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Methodology" state="visible" r:id="rId5"/>
    <sheet sheetId="3" name="DimDate" state="visible" r:id="rId6"/>
    <sheet sheetId="4" name="DimCategory" state="visible" r:id="rId7"/>
    <sheet sheetId="5" name="FactImports" state="visible" r:id="rId8"/>
    <sheet sheetId="6" name="FactForecast" state="visible" r:id="rId9"/>
    <sheet sheetId="7" name="FactBacktest" state="visible" r:id="rId10"/>
    <sheet sheetId="8" name="Accuracy" state="visible" r:id="rId11"/>
    <sheet sheetId="9" name="GapLog" state="visible" r:id="rId12"/>
    <sheet sheetId="10" name="Alerts" state="visible" r:id="rId13"/>
    <sheet sheetId="11" name="VolumePrice" state="visible" r:id="rId14"/>
    <sheet sheetId="12" name="KPI" state="visible" r:id="rId15"/>
    <sheet sheetId="13" name="Calculator" state="visible" r:id="rId16"/>
    <sheet sheetId="14" name="PowerQueryM" state="visible" r:id="rId17"/>
    <sheet sheetId="15" name="DAX" state="visible" r:id="rId18"/>
  </sheets>
  <definedNames>
    <definedName name="LatestPeriod">Cover!$B$6</definedName>
  </definedNames>
  <calcPr calcId="171027"/>
</workbook>
</file>

<file path=xl/sharedStrings.xml><?xml version="1.0" encoding="utf-8"?>
<sst xmlns="http://schemas.openxmlformats.org/spreadsheetml/2006/main" count="66141" uniqueCount="545">
  <si>
    <t>Workbook</t>
  </si>
  <si>
    <t>France–India soft-goods import forecast — modelling artifact</t>
  </si>
  <si>
    <t>Question</t>
  </si>
  <si>
    <t>Which HS 52/61/62/63/64 chapters need planner attention in the next 3 months?</t>
  </si>
  <si>
    <t>Source</t>
  </si>
  <si>
    <t>Eurostat Comext DS-045409 · reporter FR · partner IN · flow imports</t>
  </si>
  <si>
    <t>History</t>
  </si>
  <si>
    <t>2011-01 → 2026-06</t>
  </si>
  <si>
    <t>Snapshot fetched</t>
  </si>
  <si>
    <t>2026-09-10T19:10:51.818Z</t>
  </si>
  <si>
    <t>LatestPeriod</t>
  </si>
  <si>
    <t>2026-06</t>
  </si>
  <si>
    <t>Method</t>
  </si>
  <si>
    <t>F(t) = A(t−12) × (1 + trailing-12 YoY). Holt-Winters / FORECAST.ETS rejected.</t>
  </si>
  <si>
    <t>Band</t>
  </si>
  <si>
    <t>Per-horizon residual σ (or p10/p90 if skewed). Not ±1.28σ√h.</t>
  </si>
  <si>
    <t>Basket MAPE h=1</t>
  </si>
  <si>
    <t>13.5% vs seasonal-naive 13.5% and naive 14.5%</t>
  </si>
  <si>
    <t>Power BI</t>
  </si>
  <si>
    <t>Load DimDate, DimCategory, FactImports, FactForecast from this file. Measures are in the Power BI pack.</t>
  </si>
  <si>
    <t>Refresh</t>
  </si>
  <si>
    <t>npm run fetch:comext &amp;&amp; npm run artifacts:tradeflow — then refresh Power BI from this workbook, not the API.</t>
  </si>
  <si>
    <t>Reconcile</t>
  </si>
  <si>
    <t>KPI sheet ValueOnPage must match the case-study page. Same extract, same engine.</t>
  </si>
  <si>
    <t>License note</t>
  </si>
  <si>
    <t>Power BI free cannot publish-to-web. This workbook is the portable model; the site is the public surface.</t>
  </si>
  <si>
    <t>Data</t>
  </si>
  <si>
    <t>Eurostat Comext DS-045409, monthly France imports from India, HS2 52/61/62/63/64, from Jan 2011. Weight is QUANTITY_IN_100KG (×100 = kg). HS 64 is footwear, so the basket is soft goods, not textiles. Missing months stay null — never zero-filled. Confidential trade is suppressed, not zero; partner totals can run low.</t>
  </si>
  <si>
    <t>Forecast</t>
  </si>
  <si>
    <t>F(t) = A(t−12) × (1 + g), g = average of the last 12 observable year-on-year rates. g is one multiplier, so there is no extra drift across h = 1, 2, 3. FORECAST.ETS / Holt-Winters was rejected because the smoothing parameters are hard to defend under questioning.</t>
  </si>
  <si>
    <t>Backtest</t>
  </si>
  <si>
    <t>Rolling origin from month 24. At each origin, forecast h = 1–3 using only data then available. Errors are percentage-based and per category. Report MAPE and MdAPE against seasonal-naive and last-month naive.</t>
  </si>
  <si>
    <t>σ_h from those residuals, per series, per horizon. If |skew| &gt; 0.5, use the 10th/90th percentiles instead of z = 1.28. Do not scale with √h: for h ≤ 3 the seasonal base A(t+h−12) is an observed actual.</t>
  </si>
  <si>
    <t>Alerts</t>
  </si>
  <si>
    <t>z-score of the latest residual vs that chapter’s own trailing residual distribution. High |z| &gt; 2, Medium 1.5–2. Thresholds were chosen for firing rate, not round numbers.</t>
  </si>
  <si>
    <t>Horizon</t>
  </si>
  <si>
    <t>Three months is about one India→France ocean cycle (6–10 weeks door-to-door, 3–5 weeks port-to-port) plus a reaction buffer — not two cycles.</t>
  </si>
  <si>
    <t>Star schema</t>
  </si>
  <si>
    <t>FactImports is Month × Category. Volatility and z live on DimCategory so they cannot be SUMmed. DimDate is a continuous calendar and is the official date table in Power BI.</t>
  </si>
  <si>
    <t>Refresh tradeoff</t>
  </si>
  <si>
    <t>A hardcoded workbook path is fragile. Production would use a gateway or a shared drive. Here the JSON extract is the workbook, rebuilt by the artifact script, so the site, Excel, and Power BI stay on one snapshot.</t>
  </si>
  <si>
    <t>Date</t>
  </si>
  <si>
    <t>YearMonth</t>
  </si>
  <si>
    <t>Year</t>
  </si>
  <si>
    <t>MonthNumber</t>
  </si>
  <si>
    <t>MonthName</t>
  </si>
  <si>
    <t>Quarter</t>
  </si>
  <si>
    <t>IsActual</t>
  </si>
  <si>
    <t>IsForecast</t>
  </si>
  <si>
    <t>RedSeaRegime</t>
  </si>
  <si>
    <t>2011-01-01</t>
  </si>
  <si>
    <t>2011-01</t>
  </si>
  <si>
    <t>Jan</t>
  </si>
  <si>
    <t>Q1</t>
  </si>
  <si>
    <t>pre-Nov 2023</t>
  </si>
  <si>
    <t>2011-02-01</t>
  </si>
  <si>
    <t>2011-02</t>
  </si>
  <si>
    <t>Feb</t>
  </si>
  <si>
    <t>2011-03-01</t>
  </si>
  <si>
    <t>2011-03</t>
  </si>
  <si>
    <t>Mar</t>
  </si>
  <si>
    <t>2011-04-01</t>
  </si>
  <si>
    <t>2011-04</t>
  </si>
  <si>
    <t>Apr</t>
  </si>
  <si>
    <t>Q2</t>
  </si>
  <si>
    <t>2011-05-01</t>
  </si>
  <si>
    <t>2011-05</t>
  </si>
  <si>
    <t>May</t>
  </si>
  <si>
    <t>2011-06-01</t>
  </si>
  <si>
    <t>2011-06</t>
  </si>
  <si>
    <t>Jun</t>
  </si>
  <si>
    <t>2011-07-01</t>
  </si>
  <si>
    <t>2011-07</t>
  </si>
  <si>
    <t>Jul</t>
  </si>
  <si>
    <t>Q3</t>
  </si>
  <si>
    <t>2011-08-01</t>
  </si>
  <si>
    <t>2011-08</t>
  </si>
  <si>
    <t>Aug</t>
  </si>
  <si>
    <t>2011-09-01</t>
  </si>
  <si>
    <t>2011-09</t>
  </si>
  <si>
    <t>Sep</t>
  </si>
  <si>
    <t>2011-10-01</t>
  </si>
  <si>
    <t>2011-10</t>
  </si>
  <si>
    <t>Oct</t>
  </si>
  <si>
    <t>Q4</t>
  </si>
  <si>
    <t>2011-11-01</t>
  </si>
  <si>
    <t>2011-11</t>
  </si>
  <si>
    <t>Nov</t>
  </si>
  <si>
    <t>2011-12-01</t>
  </si>
  <si>
    <t>2011-12</t>
  </si>
  <si>
    <t>Dec</t>
  </si>
  <si>
    <t>2012-01-01</t>
  </si>
  <si>
    <t>2012-01</t>
  </si>
  <si>
    <t>2012-02-01</t>
  </si>
  <si>
    <t>2012-02</t>
  </si>
  <si>
    <t>2012-03-01</t>
  </si>
  <si>
    <t>2012-03</t>
  </si>
  <si>
    <t>2012-04-01</t>
  </si>
  <si>
    <t>2012-04</t>
  </si>
  <si>
    <t>2012-05-01</t>
  </si>
  <si>
    <t>2012-05</t>
  </si>
  <si>
    <t>2012-06-01</t>
  </si>
  <si>
    <t>2012-06</t>
  </si>
  <si>
    <t>2012-07-01</t>
  </si>
  <si>
    <t>2012-07</t>
  </si>
  <si>
    <t>2012-08-01</t>
  </si>
  <si>
    <t>2012-08</t>
  </si>
  <si>
    <t>2012-09-01</t>
  </si>
  <si>
    <t>2012-09</t>
  </si>
  <si>
    <t>2012-10-01</t>
  </si>
  <si>
    <t>2012-10</t>
  </si>
  <si>
    <t>2012-11-01</t>
  </si>
  <si>
    <t>2012-11</t>
  </si>
  <si>
    <t>2012-12-01</t>
  </si>
  <si>
    <t>2012-12</t>
  </si>
  <si>
    <t>2013-01-01</t>
  </si>
  <si>
    <t>2013-01</t>
  </si>
  <si>
    <t>2013-02-01</t>
  </si>
  <si>
    <t>2013-02</t>
  </si>
  <si>
    <t>2013-03-01</t>
  </si>
  <si>
    <t>2013-03</t>
  </si>
  <si>
    <t>2013-04-01</t>
  </si>
  <si>
    <t>2013-04</t>
  </si>
  <si>
    <t>2013-05-01</t>
  </si>
  <si>
    <t>2013-05</t>
  </si>
  <si>
    <t>2013-06-01</t>
  </si>
  <si>
    <t>2013-06</t>
  </si>
  <si>
    <t>2013-07-01</t>
  </si>
  <si>
    <t>2013-07</t>
  </si>
  <si>
    <t>2013-08-01</t>
  </si>
  <si>
    <t>2013-08</t>
  </si>
  <si>
    <t>2013-09-01</t>
  </si>
  <si>
    <t>2013-09</t>
  </si>
  <si>
    <t>2013-10-01</t>
  </si>
  <si>
    <t>2013-10</t>
  </si>
  <si>
    <t>2013-11-01</t>
  </si>
  <si>
    <t>2013-11</t>
  </si>
  <si>
    <t>2013-12-01</t>
  </si>
  <si>
    <t>2013-12</t>
  </si>
  <si>
    <t>2014-01-01</t>
  </si>
  <si>
    <t>2014-01</t>
  </si>
  <si>
    <t>2014-02-01</t>
  </si>
  <si>
    <t>2014-02</t>
  </si>
  <si>
    <t>2014-03-01</t>
  </si>
  <si>
    <t>2014-03</t>
  </si>
  <si>
    <t>2014-04-01</t>
  </si>
  <si>
    <t>2014-04</t>
  </si>
  <si>
    <t>2014-05-01</t>
  </si>
  <si>
    <t>2014-05</t>
  </si>
  <si>
    <t>2014-06-01</t>
  </si>
  <si>
    <t>2014-06</t>
  </si>
  <si>
    <t>2014-07-01</t>
  </si>
  <si>
    <t>2014-07</t>
  </si>
  <si>
    <t>2014-08-01</t>
  </si>
  <si>
    <t>2014-08</t>
  </si>
  <si>
    <t>2014-09-01</t>
  </si>
  <si>
    <t>2014-09</t>
  </si>
  <si>
    <t>2014-10-01</t>
  </si>
  <si>
    <t>2014-10</t>
  </si>
  <si>
    <t>2014-11-01</t>
  </si>
  <si>
    <t>2014-11</t>
  </si>
  <si>
    <t>2014-12-01</t>
  </si>
  <si>
    <t>2014-12</t>
  </si>
  <si>
    <t>2015-01-01</t>
  </si>
  <si>
    <t>2015-01</t>
  </si>
  <si>
    <t>2015-02-01</t>
  </si>
  <si>
    <t>2015-02</t>
  </si>
  <si>
    <t>2015-03-01</t>
  </si>
  <si>
    <t>2015-03</t>
  </si>
  <si>
    <t>2015-04-01</t>
  </si>
  <si>
    <t>2015-04</t>
  </si>
  <si>
    <t>2015-05-01</t>
  </si>
  <si>
    <t>2015-05</t>
  </si>
  <si>
    <t>2015-06-01</t>
  </si>
  <si>
    <t>2015-06</t>
  </si>
  <si>
    <t>2015-07-01</t>
  </si>
  <si>
    <t>2015-07</t>
  </si>
  <si>
    <t>2015-08-01</t>
  </si>
  <si>
    <t>2015-08</t>
  </si>
  <si>
    <t>2015-09-01</t>
  </si>
  <si>
    <t>2015-09</t>
  </si>
  <si>
    <t>2015-10-01</t>
  </si>
  <si>
    <t>2015-10</t>
  </si>
  <si>
    <t>2015-11-01</t>
  </si>
  <si>
    <t>2015-11</t>
  </si>
  <si>
    <t>2015-12-01</t>
  </si>
  <si>
    <t>2015-12</t>
  </si>
  <si>
    <t>2016-01-01</t>
  </si>
  <si>
    <t>2016-01</t>
  </si>
  <si>
    <t>2016-02-01</t>
  </si>
  <si>
    <t>2016-02</t>
  </si>
  <si>
    <t>2016-03-01</t>
  </si>
  <si>
    <t>2016-03</t>
  </si>
  <si>
    <t>2016-04-01</t>
  </si>
  <si>
    <t>2016-04</t>
  </si>
  <si>
    <t>2016-05-01</t>
  </si>
  <si>
    <t>2016-05</t>
  </si>
  <si>
    <t>2016-06-01</t>
  </si>
  <si>
    <t>2016-06</t>
  </si>
  <si>
    <t>2016-07-01</t>
  </si>
  <si>
    <t>2016-07</t>
  </si>
  <si>
    <t>2016-08-01</t>
  </si>
  <si>
    <t>2016-08</t>
  </si>
  <si>
    <t>2016-09-01</t>
  </si>
  <si>
    <t>2016-09</t>
  </si>
  <si>
    <t>2016-10-01</t>
  </si>
  <si>
    <t>2016-10</t>
  </si>
  <si>
    <t>2016-11-01</t>
  </si>
  <si>
    <t>2016-11</t>
  </si>
  <si>
    <t>2016-12-01</t>
  </si>
  <si>
    <t>2016-12</t>
  </si>
  <si>
    <t>2017-01-01</t>
  </si>
  <si>
    <t>2017-01</t>
  </si>
  <si>
    <t>2017-02-01</t>
  </si>
  <si>
    <t>2017-02</t>
  </si>
  <si>
    <t>2017-03-01</t>
  </si>
  <si>
    <t>2017-03</t>
  </si>
  <si>
    <t>2017-04-01</t>
  </si>
  <si>
    <t>2017-04</t>
  </si>
  <si>
    <t>2017-05-01</t>
  </si>
  <si>
    <t>2017-05</t>
  </si>
  <si>
    <t>2017-06-01</t>
  </si>
  <si>
    <t>2017-06</t>
  </si>
  <si>
    <t>2017-07-01</t>
  </si>
  <si>
    <t>2017-07</t>
  </si>
  <si>
    <t>2017-08-01</t>
  </si>
  <si>
    <t>2017-08</t>
  </si>
  <si>
    <t>2017-09-01</t>
  </si>
  <si>
    <t>2017-09</t>
  </si>
  <si>
    <t>2017-10-01</t>
  </si>
  <si>
    <t>2017-10</t>
  </si>
  <si>
    <t>2017-11-01</t>
  </si>
  <si>
    <t>2017-11</t>
  </si>
  <si>
    <t>2017-12-01</t>
  </si>
  <si>
    <t>2017-12</t>
  </si>
  <si>
    <t>2018-01-01</t>
  </si>
  <si>
    <t>2018-01</t>
  </si>
  <si>
    <t>2018-02-01</t>
  </si>
  <si>
    <t>2018-02</t>
  </si>
  <si>
    <t>2018-03-01</t>
  </si>
  <si>
    <t>2018-03</t>
  </si>
  <si>
    <t>2018-04-01</t>
  </si>
  <si>
    <t>2018-04</t>
  </si>
  <si>
    <t>2018-05-01</t>
  </si>
  <si>
    <t>2018-05</t>
  </si>
  <si>
    <t>2018-06-01</t>
  </si>
  <si>
    <t>2018-06</t>
  </si>
  <si>
    <t>2018-07-01</t>
  </si>
  <si>
    <t>2018-07</t>
  </si>
  <si>
    <t>2018-08-01</t>
  </si>
  <si>
    <t>2018-08</t>
  </si>
  <si>
    <t>2018-09-01</t>
  </si>
  <si>
    <t>2018-09</t>
  </si>
  <si>
    <t>2018-10-01</t>
  </si>
  <si>
    <t>2018-10</t>
  </si>
  <si>
    <t>2018-11-01</t>
  </si>
  <si>
    <t>2018-11</t>
  </si>
  <si>
    <t>2018-12-01</t>
  </si>
  <si>
    <t>2018-12</t>
  </si>
  <si>
    <t>2019-01-01</t>
  </si>
  <si>
    <t>2019-01</t>
  </si>
  <si>
    <t>2019-02-01</t>
  </si>
  <si>
    <t>2019-02</t>
  </si>
  <si>
    <t>2019-03-01</t>
  </si>
  <si>
    <t>2019-03</t>
  </si>
  <si>
    <t>2019-04-01</t>
  </si>
  <si>
    <t>2019-04</t>
  </si>
  <si>
    <t>2019-05-01</t>
  </si>
  <si>
    <t>2019-05</t>
  </si>
  <si>
    <t>2019-06-01</t>
  </si>
  <si>
    <t>2019-06</t>
  </si>
  <si>
    <t>2019-07-01</t>
  </si>
  <si>
    <t>2019-07</t>
  </si>
  <si>
    <t>2019-08-01</t>
  </si>
  <si>
    <t>2019-08</t>
  </si>
  <si>
    <t>2019-09-01</t>
  </si>
  <si>
    <t>2019-09</t>
  </si>
  <si>
    <t>2019-10-01</t>
  </si>
  <si>
    <t>2019-10</t>
  </si>
  <si>
    <t>2019-11-01</t>
  </si>
  <si>
    <t>2019-11</t>
  </si>
  <si>
    <t>2019-12-01</t>
  </si>
  <si>
    <t>2019-12</t>
  </si>
  <si>
    <t>2020-01-01</t>
  </si>
  <si>
    <t>2020-01</t>
  </si>
  <si>
    <t>2020-02-01</t>
  </si>
  <si>
    <t>2020-02</t>
  </si>
  <si>
    <t>2020-03-01</t>
  </si>
  <si>
    <t>2020-03</t>
  </si>
  <si>
    <t>2020-04-01</t>
  </si>
  <si>
    <t>2020-04</t>
  </si>
  <si>
    <t>2020-05-01</t>
  </si>
  <si>
    <t>2020-05</t>
  </si>
  <si>
    <t>2020-06-01</t>
  </si>
  <si>
    <t>2020-06</t>
  </si>
  <si>
    <t>2020-07-01</t>
  </si>
  <si>
    <t>2020-07</t>
  </si>
  <si>
    <t>2020-08-01</t>
  </si>
  <si>
    <t>2020-08</t>
  </si>
  <si>
    <t>2020-09-01</t>
  </si>
  <si>
    <t>2020-09</t>
  </si>
  <si>
    <t>2020-10-01</t>
  </si>
  <si>
    <t>2020-10</t>
  </si>
  <si>
    <t>2020-11-01</t>
  </si>
  <si>
    <t>2020-11</t>
  </si>
  <si>
    <t>2020-12-01</t>
  </si>
  <si>
    <t>2020-12</t>
  </si>
  <si>
    <t>2021-01-01</t>
  </si>
  <si>
    <t>2021-01</t>
  </si>
  <si>
    <t>2021-02-01</t>
  </si>
  <si>
    <t>2021-02</t>
  </si>
  <si>
    <t>2021-03-01</t>
  </si>
  <si>
    <t>2021-03</t>
  </si>
  <si>
    <t>2021-04-01</t>
  </si>
  <si>
    <t>2021-04</t>
  </si>
  <si>
    <t>2021-05-01</t>
  </si>
  <si>
    <t>2021-05</t>
  </si>
  <si>
    <t>2021-06-01</t>
  </si>
  <si>
    <t>2021-06</t>
  </si>
  <si>
    <t>2021-07-01</t>
  </si>
  <si>
    <t>2021-07</t>
  </si>
  <si>
    <t>2021-08-01</t>
  </si>
  <si>
    <t>2021-08</t>
  </si>
  <si>
    <t>2021-09-01</t>
  </si>
  <si>
    <t>2021-09</t>
  </si>
  <si>
    <t>2021-10-01</t>
  </si>
  <si>
    <t>2021-10</t>
  </si>
  <si>
    <t>2021-11-01</t>
  </si>
  <si>
    <t>2021-11</t>
  </si>
  <si>
    <t>2021-12-01</t>
  </si>
  <si>
    <t>2021-12</t>
  </si>
  <si>
    <t>2022-01-01</t>
  </si>
  <si>
    <t>2022-01</t>
  </si>
  <si>
    <t>2022-02-01</t>
  </si>
  <si>
    <t>2022-02</t>
  </si>
  <si>
    <t>2022-03-01</t>
  </si>
  <si>
    <t>2022-03</t>
  </si>
  <si>
    <t>2022-04-01</t>
  </si>
  <si>
    <t>2022-04</t>
  </si>
  <si>
    <t>2022-05-01</t>
  </si>
  <si>
    <t>2022-05</t>
  </si>
  <si>
    <t>2022-06-01</t>
  </si>
  <si>
    <t>2022-06</t>
  </si>
  <si>
    <t>2022-07-01</t>
  </si>
  <si>
    <t>2022-07</t>
  </si>
  <si>
    <t>2022-08-01</t>
  </si>
  <si>
    <t>2022-08</t>
  </si>
  <si>
    <t>2022-09-01</t>
  </si>
  <si>
    <t>2022-09</t>
  </si>
  <si>
    <t>2022-10-01</t>
  </si>
  <si>
    <t>2022-10</t>
  </si>
  <si>
    <t>2022-11-01</t>
  </si>
  <si>
    <t>2022-11</t>
  </si>
  <si>
    <t>2022-12-01</t>
  </si>
  <si>
    <t>2022-12</t>
  </si>
  <si>
    <t>2023-01-01</t>
  </si>
  <si>
    <t>2023-01</t>
  </si>
  <si>
    <t>2023-02-01</t>
  </si>
  <si>
    <t>2023-02</t>
  </si>
  <si>
    <t>2023-03-01</t>
  </si>
  <si>
    <t>2023-03</t>
  </si>
  <si>
    <t>2023-04-01</t>
  </si>
  <si>
    <t>2023-04</t>
  </si>
  <si>
    <t>2023-05-01</t>
  </si>
  <si>
    <t>2023-05</t>
  </si>
  <si>
    <t>2023-06-01</t>
  </si>
  <si>
    <t>2023-06</t>
  </si>
  <si>
    <t>2023-07-01</t>
  </si>
  <si>
    <t>2023-07</t>
  </si>
  <si>
    <t>2023-08-01</t>
  </si>
  <si>
    <t>2023-08</t>
  </si>
  <si>
    <t>2023-09-01</t>
  </si>
  <si>
    <t>2023-09</t>
  </si>
  <si>
    <t>2023-10-01</t>
  </si>
  <si>
    <t>2023-10</t>
  </si>
  <si>
    <t>2023-11-01</t>
  </si>
  <si>
    <t>2023-11</t>
  </si>
  <si>
    <t>from Nov 2023</t>
  </si>
  <si>
    <t>2023-12-01</t>
  </si>
  <si>
    <t>2023-12</t>
  </si>
  <si>
    <t>2024-01-01</t>
  </si>
  <si>
    <t>2024-01</t>
  </si>
  <si>
    <t>2024-02-01</t>
  </si>
  <si>
    <t>2024-02</t>
  </si>
  <si>
    <t>2024-03-01</t>
  </si>
  <si>
    <t>2024-03</t>
  </si>
  <si>
    <t>2024-04-01</t>
  </si>
  <si>
    <t>2024-04</t>
  </si>
  <si>
    <t>2024-05-01</t>
  </si>
  <si>
    <t>2024-05</t>
  </si>
  <si>
    <t>2024-06-01</t>
  </si>
  <si>
    <t>2024-06</t>
  </si>
  <si>
    <t>2024-07-01</t>
  </si>
  <si>
    <t>2024-07</t>
  </si>
  <si>
    <t>2024-08-01</t>
  </si>
  <si>
    <t>2024-08</t>
  </si>
  <si>
    <t>2024-09-01</t>
  </si>
  <si>
    <t>2024-09</t>
  </si>
  <si>
    <t>2024-10-01</t>
  </si>
  <si>
    <t>2024-10</t>
  </si>
  <si>
    <t>2024-11-01</t>
  </si>
  <si>
    <t>2024-11</t>
  </si>
  <si>
    <t>2024-12-01</t>
  </si>
  <si>
    <t>2024-12</t>
  </si>
  <si>
    <t>2025-01-01</t>
  </si>
  <si>
    <t>2025-01</t>
  </si>
  <si>
    <t>2025-02-01</t>
  </si>
  <si>
    <t>2025-02</t>
  </si>
  <si>
    <t>2025-03-01</t>
  </si>
  <si>
    <t>2025-03</t>
  </si>
  <si>
    <t>2025-04-01</t>
  </si>
  <si>
    <t>2025-04</t>
  </si>
  <si>
    <t>2025-05-01</t>
  </si>
  <si>
    <t>2025-05</t>
  </si>
  <si>
    <t>2025-06-01</t>
  </si>
  <si>
    <t>2025-06</t>
  </si>
  <si>
    <t>2025-07-01</t>
  </si>
  <si>
    <t>2025-07</t>
  </si>
  <si>
    <t>2025-08-01</t>
  </si>
  <si>
    <t>2025-08</t>
  </si>
  <si>
    <t>2025-09-01</t>
  </si>
  <si>
    <t>2025-09</t>
  </si>
  <si>
    <t>2025-10-01</t>
  </si>
  <si>
    <t>2025-10</t>
  </si>
  <si>
    <t>2025-11-01</t>
  </si>
  <si>
    <t>2025-11</t>
  </si>
  <si>
    <t>2025-12-01</t>
  </si>
  <si>
    <t>2025-12</t>
  </si>
  <si>
    <t>2026-01-01</t>
  </si>
  <si>
    <t>2026-01</t>
  </si>
  <si>
    <t>2026-02-01</t>
  </si>
  <si>
    <t>2026-02</t>
  </si>
  <si>
    <t>2026-03-01</t>
  </si>
  <si>
    <t>2026-03</t>
  </si>
  <si>
    <t>2026-04-01</t>
  </si>
  <si>
    <t>2026-04</t>
  </si>
  <si>
    <t>2026-05-01</t>
  </si>
  <si>
    <t>2026-05</t>
  </si>
  <si>
    <t>2026-06-01</t>
  </si>
  <si>
    <t>2026-07-01</t>
  </si>
  <si>
    <t>2026-07</t>
  </si>
  <si>
    <t>2026-08-01</t>
  </si>
  <si>
    <t>2026-08</t>
  </si>
  <si>
    <t>2026-09-01</t>
  </si>
  <si>
    <t>2026-09</t>
  </si>
  <si>
    <t>HS2</t>
  </si>
  <si>
    <t>Category</t>
  </si>
  <si>
    <t>Family</t>
  </si>
  <si>
    <t>Basket</t>
  </si>
  <si>
    <t>AnnualizedCV</t>
  </si>
  <si>
    <t>LatestZ</t>
  </si>
  <si>
    <t>Severity</t>
  </si>
  <si>
    <t>GrowthG</t>
  </si>
  <si>
    <t>BeatsSeasonalAtH1</t>
  </si>
  <si>
    <t>Note</t>
  </si>
  <si>
    <t>52</t>
  </si>
  <si>
    <t>Cotton yarn</t>
  </si>
  <si>
    <t>Textile</t>
  </si>
  <si>
    <t>Soft goods</t>
  </si>
  <si>
    <t>Low</t>
  </si>
  <si>
    <t>Textile chapter.</t>
  </si>
  <si>
    <t>61</t>
  </si>
  <si>
    <t>Knitted apparel</t>
  </si>
  <si>
    <t>62</t>
  </si>
  <si>
    <t>Woven apparel</t>
  </si>
  <si>
    <t>63</t>
  </si>
  <si>
    <t>Home textiles</t>
  </si>
  <si>
    <t>64</t>
  </si>
  <si>
    <t>Footwear</t>
  </si>
  <si>
    <t>Footwear — keep in the soft-goods basket; a textiles-only Eurostat table will not reconcile.</t>
  </si>
  <si>
    <t>ValueEUR</t>
  </si>
  <si>
    <t>Qty100kg</t>
  </si>
  <si>
    <t>WeightKg</t>
  </si>
  <si>
    <t>WeightTonnes</t>
  </si>
  <si>
    <t>UnitValueEurPerKg</t>
  </si>
  <si>
    <t>ValueMissing</t>
  </si>
  <si>
    <t>QtyMissing</t>
  </si>
  <si>
    <t>Cotton yarn &amp; woven cotton</t>
  </si>
  <si>
    <t>Made-ups / home textiles</t>
  </si>
  <si>
    <t>Grain</t>
  </si>
  <si>
    <t>ForecastEUR</t>
  </si>
  <si>
    <t>ForecastTonnes</t>
  </si>
  <si>
    <t>BandLowerEUR</t>
  </si>
  <si>
    <t>BandUpperEUR</t>
  </si>
  <si>
    <t>BandType</t>
  </si>
  <si>
    <t>SigmaH</t>
  </si>
  <si>
    <t>Skew</t>
  </si>
  <si>
    <t>category</t>
  </si>
  <si>
    <t>seasonal-naive + trend</t>
  </si>
  <si>
    <t>p10/p90</t>
  </si>
  <si>
    <t>basket</t>
  </si>
  <si>
    <t>BASKET</t>
  </si>
  <si>
    <t>Soft goods basket</t>
  </si>
  <si>
    <t>OriginYearMonth</t>
  </si>
  <si>
    <t>TargetYearMonth</t>
  </si>
  <si>
    <t>ActualEUR</t>
  </si>
  <si>
    <t>APE</t>
  </si>
  <si>
    <t>ResidualPct</t>
  </si>
  <si>
    <t>seasonal-naive</t>
  </si>
  <si>
    <t>last-month naive</t>
  </si>
  <si>
    <t>N</t>
  </si>
  <si>
    <t>MAPE</t>
  </si>
  <si>
    <t>MdAPE</t>
  </si>
  <si>
    <t>Field</t>
  </si>
  <si>
    <t>Handling</t>
  </si>
  <si>
    <t/>
  </si>
  <si>
    <t>VALUE_IN_EUROS</t>
  </si>
  <si>
    <t>No missing value months at HS2 for this reporter/partner/flow. Confidential trade can still bias partner totals low.</t>
  </si>
  <si>
    <t>VariancePct</t>
  </si>
  <si>
    <t>LatestValueEUR</t>
  </si>
  <si>
    <t>Window</t>
  </si>
  <si>
    <t>prevValue</t>
  </si>
  <si>
    <t>currValue</t>
  </si>
  <si>
    <t>deltaValue</t>
  </si>
  <si>
    <t>prevKg</t>
  </si>
  <si>
    <t>currKg</t>
  </si>
  <si>
    <t>prevEurPerKg</t>
  </si>
  <si>
    <t>currEurPerKg</t>
  </si>
  <si>
    <t>volumeEffect</t>
  </si>
  <si>
    <t>priceEffect</t>
  </si>
  <si>
    <t>reconDelta</t>
  </si>
  <si>
    <t>rolling-12 vs prior-12</t>
  </si>
  <si>
    <t>Metric</t>
  </si>
  <si>
    <t>WebPageUnit</t>
  </si>
  <si>
    <t>ValueOnPage</t>
  </si>
  <si>
    <t>Import value rolling-12 EUR</t>
  </si>
  <si>
    <t>EUR m</t>
  </si>
  <si>
    <t>3-month forecast EUR</t>
  </si>
  <si>
    <t>Basket MAPE h=1 seasonal-naive + trend</t>
  </si>
  <si>
    <t>ratio</t>
  </si>
  <si>
    <t>Basket MAPE h=1 seasonal-naive</t>
  </si>
  <si>
    <t>Basket MAPE h=1 last-month naive</t>
  </si>
  <si>
    <t>Alert firing High</t>
  </si>
  <si>
    <t>count</t>
  </si>
  <si>
    <t>Alert firing Medium</t>
  </si>
  <si>
    <t>Alert firing N</t>
  </si>
  <si>
    <t>Latest official month</t>
  </si>
  <si>
    <t>period</t>
  </si>
  <si>
    <t>Live Excel formulas for the current origin (Cover!LatestPeriod). Backtest rows are too many for formulas; they are in FactBacktest from the same engine.</t>
  </si>
  <si>
    <t>g</t>
  </si>
  <si>
    <t>F(t+1)</t>
  </si>
  <si>
    <t>F(t+2)</t>
  </si>
  <si>
    <t>F(t+3)</t>
  </si>
  <si>
    <t xml:space="preserve">// Power BI: Get Data → Blank query → Advanced Editor.
// Point Source to this workbook. Excel owns the forecast; Power BI presents it.
let
  Source = Excel.Workbook(File.Contents("tradeflow-france-india-softgoods.xlsx"), null, true),
  DimDate = Table.TransformColumnTypes(Source{[Item="tblDimDate",Kind="Table"]}[Data], {{"Date", type date}}),
  DimCategory = Source{[Item="tblDimCategory",Kind="Table"]}[Data],
  FactImports = Table.TransformColumnTypes(Source{[Item="tblFactImports",Kind="Table"]}[Data], {{"Date", type date}}),
  FactForecast = Table.TransformColumnTypes(Source{[Item="tblFactForecast",Kind="Table"]}[Data], {{"Date", type date}}),
  FactBacktest = Source{[Item="tblFactBacktest",Kind="Table"]}[Data]
in
  FactImports
</t>
  </si>
  <si>
    <t xml:space="preserve">/* TradeFlow measures — define these before building visuals.
   Mark DimDate[Date] as the official Date table.
   Relate DimDate[Date] 1:* FactImports[Date]
          DimCategory[HS2] 1:* FactImports[HS2]
          DimDate[Date] 1:* FactForecast[Date]
          DimCategory[HS2] 1:* FactForecast[HS2]  (filter FactForecast Grain = "category")
   Volatility lives on DimCategory. Never SUM it.
*/
Import Value :=
SUM ( FactImports[ValueEUR] )
Import Value R12 :=
CALCULATE (
    [Import Value],
    DATESINPERIOD ( DimDate[Date], MAX ( DimDate[Date] ), -12, MONTH )
)
Import Value R12 YoY % :=
VAR Curr = [Import Value R12]
VAR Prev =
    CALCULATE ( [Import Value R12], SAMEPERIODLASTYEAR ( DimDate[Date] ) )
RETURN
    DIVIDE ( Curr - Prev, Prev )
Volume Tonnes :=
SUM ( FactImports[WeightTonnes] )
Volume R12 t :=
CALCULATE (
    [Volume Tonnes],
    DATESINPERIOD ( DimDate[Date], MAX ( DimDate[Date] ), -12, MONTH )
)
Unit Value EUR per kg :=
DIVIDE ( [Import Value], SUM ( FactImports[WeightKg] ) )
Forecast 3M EUR :=
CALCULATE (
    SUM ( FactForecast[ForecastEUR] ),
    FactForecast[Grain] = "basket",
    FactForecast[Horizon] IN { 1, 2, 3 }
)
Band Lower 3M :=
CALCULATE (
    SUM ( FactForecast[BandLowerEUR] ),
    FactForecast[Grain] = "basket"
)
Band Upper 3M :=
CALCULATE (
    SUM ( FactForecast[BandUpperEUR] ),
    FactForecast[Grain] = "basket"
)
Selected CV :=
SELECTEDVALUE ( DimCategory[AnnualizedCV] )
Selected Z :=
SELECTEDVALUE ( DimCategory[LatestZ] )
MAPE Trend h1 :=
CALCULATE (
    AVERAGE ( FactBacktest[APE] ),
    FactBacktest[Grain] = "basket",
    FactBacktest[Horizon] = 1,
    FactBacktest[Method] = "seasonal-naive + trend"
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</si>
</sst>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DimDate" displayName="tblDimDate" ref="A1:I190" totalsRowShown="1" headerRowCount="1">
  <autoFilter ref="A1:I19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Date" totalsRowLabel="Total"/>
    <tableColumn id="2" name="YearMonth" totalsRowFunction="none"/>
    <tableColumn id="3" name="Year" totalsRowFunction="none"/>
    <tableColumn id="4" name="MonthNumber" totalsRowFunction="none"/>
    <tableColumn id="5" name="MonthName" totalsRowFunction="none"/>
    <tableColumn id="6" name="Quarter" totalsRowFunction="none"/>
    <tableColumn id="7" name="IsActual" totalsRowFunction="none"/>
    <tableColumn id="8" name="IsForecast" totalsRowFunction="none"/>
    <tableColumn id="9" name="RedSeaRegime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blDimCategory" displayName="tblDimCategory" ref="A1:J6" totalsRowShown="1" headerRowCount="1">
  <autoFilter ref="A1:J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</autoFilter>
  <tableColumns count="10">
    <tableColumn id="1" name="HS2" totalsRowLabel="Total"/>
    <tableColumn id="2" name="Category" totalsRowFunction="none"/>
    <tableColumn id="3" name="Family" totalsRowFunction="none"/>
    <tableColumn id="4" name="Basket" totalsRowFunction="none"/>
    <tableColumn id="5" name="AnnualizedCV" totalsRowFunction="none"/>
    <tableColumn id="6" name="LatestZ" totalsRowFunction="none"/>
    <tableColumn id="7" name="Severity" totalsRowFunction="none"/>
    <tableColumn id="8" name="GrowthG" totalsRowFunction="none"/>
    <tableColumn id="9" name="BeatsSeasonalAtH1" totalsRowFunction="none"/>
    <tableColumn id="10" name="Note" totalsRowFunction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blFactImports" displayName="tblFactImports" ref="A1:K931" totalsRowShown="1" headerRowCount="1">
  <autoFilter ref="A1:K93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</autoFilter>
  <tableColumns count="11">
    <tableColumn id="1" name="Date" totalsRowLabel="Total"/>
    <tableColumn id="2" name="YearMonth" totalsRowFunction="none"/>
    <tableColumn id="3" name="HS2" totalsRowFunction="none"/>
    <tableColumn id="4" name="Category" totalsRowFunction="none"/>
    <tableColumn id="5" name="ValueEUR" totalsRowFunction="none"/>
    <tableColumn id="6" name="Qty100kg" totalsRowFunction="none"/>
    <tableColumn id="7" name="WeightKg" totalsRowFunction="none"/>
    <tableColumn id="8" name="WeightTonnes" totalsRowFunction="none"/>
    <tableColumn id="9" name="UnitValueEurPerKg" totalsRowFunction="none"/>
    <tableColumn id="10" name="ValueMissing" totalsRowFunction="none"/>
    <tableColumn id="11" name="QtyMissing" totalsRowFunction="n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blFactForecast" displayName="tblFactForecast" ref="A1:O19" totalsRowShown="1" headerRowCount="1">
  <autoFilter ref="A1:O1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Date" totalsRowLabel="Total"/>
    <tableColumn id="2" name="YearMonth" totalsRowFunction="none"/>
    <tableColumn id="3" name="Grain" totalsRowFunction="none"/>
    <tableColumn id="4" name="HS2" totalsRowFunction="none"/>
    <tableColumn id="5" name="Category" totalsRowFunction="none"/>
    <tableColumn id="6" name="Horizon" totalsRowFunction="none"/>
    <tableColumn id="7" name="Method" totalsRowFunction="none"/>
    <tableColumn id="8" name="GrowthG" totalsRowFunction="none"/>
    <tableColumn id="9" name="ForecastEUR" totalsRowFunction="none"/>
    <tableColumn id="10" name="ForecastTonnes" totalsRowFunction="none"/>
    <tableColumn id="11" name="BandLowerEUR" totalsRowFunction="none"/>
    <tableColumn id="12" name="BandUpperEUR" totalsRowFunction="none"/>
    <tableColumn id="13" name="BandType" totalsRowFunction="none"/>
    <tableColumn id="14" name="SigmaH" totalsRowFunction="none"/>
    <tableColumn id="15" name="Skew" totalsRowFunction="n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blFactBacktest" displayName="tblFactBacktest" ref="A1:L8695" totalsRowShown="1" headerRowCount="1">
  <autoFilter ref="A1:L869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Grain" totalsRowLabel="Total"/>
    <tableColumn id="2" name="HS2" totalsRowFunction="none"/>
    <tableColumn id="3" name="Category" totalsRowFunction="none"/>
    <tableColumn id="4" name="OriginYearMonth" totalsRowFunction="none"/>
    <tableColumn id="5" name="TargetYearMonth" totalsRowFunction="none"/>
    <tableColumn id="6" name="Horizon" totalsRowFunction="none"/>
    <tableColumn id="7" name="Method" totalsRowFunction="none"/>
    <tableColumn id="8" name="ActualEUR" totalsRowFunction="none"/>
    <tableColumn id="9" name="ForecastEUR" totalsRowFunction="none"/>
    <tableColumn id="10" name="APE" totalsRowFunction="none"/>
    <tableColumn id="11" name="ResidualPct" totalsRowFunction="none"/>
    <tableColumn id="12" name="RedSeaRegime" totalsRowFunction="no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blAccuracy" displayName="tblAccuracy" ref="A1:H55" totalsRowShown="1" headerRowCount="1">
  <autoFilter ref="A1:H5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Grain" totalsRowLabel="Total"/>
    <tableColumn id="2" name="HS2" totalsRowFunction="none"/>
    <tableColumn id="3" name="Category" totalsRowFunction="none"/>
    <tableColumn id="4" name="Method" totalsRowFunction="none"/>
    <tableColumn id="5" name="Horizon" totalsRowFunction="none"/>
    <tableColumn id="6" name="N" totalsRowFunction="none"/>
    <tableColumn id="7" name="MAPE" totalsRowFunction="none"/>
    <tableColumn id="8" name="MdAPE" totalsRowFunction="non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blGapLog" displayName="tblGapLog" ref="A1:D6" totalsRowShown="1" headerRowCount="1">
  <autoFilter ref="A1:D6">
    <filterColumn colId="0" hiddenButton="0"/>
    <filterColumn colId="1" hiddenButton="0"/>
    <filterColumn colId="2" hiddenButton="0"/>
    <filterColumn colId="3" hiddenButton="0"/>
  </autoFilter>
  <tableColumns count="4">
    <tableColumn id="1" name="HS2" totalsRowLabel="Total"/>
    <tableColumn id="2" name="YearMonth" totalsRowFunction="none"/>
    <tableColumn id="3" name="Field" totalsRowFunction="none"/>
    <tableColumn id="4" name="Handling" totalsRowFunction="non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blAlerts" displayName="tblAlerts" ref="A1:G6" totalsRowShown="1" headerRowCount="1">
  <autoFilter ref="A1:G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</autoFilter>
  <tableColumns count="7">
    <tableColumn id="1" name="HS2" totalsRowLabel="Total"/>
    <tableColumn id="2" name="Category" totalsRowFunction="none"/>
    <tableColumn id="3" name="Severity" totalsRowFunction="none"/>
    <tableColumn id="4" name="LatestZ" totalsRowFunction="none"/>
    <tableColumn id="5" name="VariancePct" totalsRowFunction="none"/>
    <tableColumn id="6" name="AnnualizedCV" totalsRowFunction="none"/>
    <tableColumn id="7" name="LatestValueEUR" totalsRowFunction="non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blVolumePrice" displayName="tblVolumePrice" ref="A1:N7" totalsRowShown="1" headerRowCount="1">
  <autoFilter ref="A1:N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</autoFilter>
  <tableColumns count="14">
    <tableColumn id="1" name="Grain" totalsRowLabel="Total"/>
    <tableColumn id="2" name="HS2" totalsRowFunction="none"/>
    <tableColumn id="3" name="Category" totalsRowFunction="none"/>
    <tableColumn id="4" name="Window" totalsRowFunction="none"/>
    <tableColumn id="5" name="prevValue" totalsRowFunction="none"/>
    <tableColumn id="6" name="currValue" totalsRowFunction="none"/>
    <tableColumn id="7" name="deltaValue" totalsRowFunction="none"/>
    <tableColumn id="8" name="prevKg" totalsRowFunction="none"/>
    <tableColumn id="9" name="currKg" totalsRowFunction="none"/>
    <tableColumn id="10" name="prevEurPerKg" totalsRowFunction="none"/>
    <tableColumn id="11" name="currEurPerKg" totalsRowFunction="none"/>
    <tableColumn id="12" name="volumeEffect" totalsRowFunction="none"/>
    <tableColumn id="13" name="priceEffect" totalsRowFunction="none"/>
    <tableColumn id="14" name="reconDelta" totalsRowFunction="non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blKPI" displayName="tblKPI" ref="A1:D10" totalsRowShown="1" headerRowCount="1">
  <autoFilter ref="A1:D10">
    <filterColumn colId="0" hiddenButton="0"/>
    <filterColumn colId="1" hiddenButton="0"/>
    <filterColumn colId="2" hiddenButton="0"/>
    <filterColumn colId="3" hiddenButton="0"/>
  </autoFilter>
  <tableColumns count="4">
    <tableColumn id="1" name="Metric" totalsRowLabel="Total"/>
    <tableColumn id="2" name="WebPageUnit" totalsRowFunction="none"/>
    <tableColumn id="3" name="ValueEUR" totalsRowFunction="none"/>
    <tableColumn id="4" name="ValueOnPage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2A44"/>
  </sheetPr>
  <dimension ref="A1:B13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2" t="s">
        <v>17</v>
      </c>
    </row>
    <row r="10" spans="1:2" x14ac:dyDescent="0.25">
      <c r="A10" s="1" t="s">
        <v>18</v>
      </c>
      <c r="B10" s="2" t="s">
        <v>19</v>
      </c>
    </row>
    <row r="11" spans="1:2" x14ac:dyDescent="0.25">
      <c r="A11" s="1" t="s">
        <v>20</v>
      </c>
      <c r="B11" s="2" t="s">
        <v>21</v>
      </c>
    </row>
    <row r="12" spans="1:2" x14ac:dyDescent="0.25">
      <c r="A12" s="1" t="s">
        <v>22</v>
      </c>
      <c r="B12" s="2" t="s">
        <v>23</v>
      </c>
    </row>
    <row r="13" spans="1:2" x14ac:dyDescent="0.25">
      <c r="A13" s="1" t="s">
        <v>24</v>
      </c>
      <c r="B13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FormatPr defaultRowHeight="15" outlineLevelRow="0" outlineLevelCol="0" x14ac:dyDescent="55"/>
  <cols>
    <col min="1" max="1" width="22" customWidth="1"/>
    <col min="2" max="2" width="110" customWidth="1"/>
  </cols>
  <sheetData>
    <row r="1" spans="1:1" x14ac:dyDescent="0.25">
      <c r="A1" s="1" t="s">
        <v>26</v>
      </c>
    </row>
    <row r="2" ht="48" customHeight="1" spans="2:2" x14ac:dyDescent="0.25">
      <c r="B2" s="2" t="s">
        <v>27</v>
      </c>
    </row>
    <row r="4" spans="1:1" x14ac:dyDescent="0.25">
      <c r="A4" s="1" t="s">
        <v>28</v>
      </c>
    </row>
    <row r="5" ht="48" customHeight="1" spans="2:2" x14ac:dyDescent="0.25">
      <c r="B5" s="2" t="s">
        <v>29</v>
      </c>
    </row>
    <row r="7" spans="1:1" x14ac:dyDescent="0.25">
      <c r="A7" s="1" t="s">
        <v>30</v>
      </c>
    </row>
    <row r="8" ht="48" customHeight="1" spans="2:2" x14ac:dyDescent="0.25">
      <c r="B8" s="2" t="s">
        <v>31</v>
      </c>
    </row>
    <row r="10" spans="1:1" x14ac:dyDescent="0.25">
      <c r="A10" s="1" t="s">
        <v>14</v>
      </c>
    </row>
    <row r="11" ht="48" customHeight="1" spans="2:2" x14ac:dyDescent="0.25">
      <c r="B11" s="2" t="s">
        <v>32</v>
      </c>
    </row>
    <row r="13" spans="1:1" x14ac:dyDescent="0.25">
      <c r="A13" s="1" t="s">
        <v>33</v>
      </c>
    </row>
    <row r="14" ht="48" customHeight="1" spans="2:2" x14ac:dyDescent="0.25">
      <c r="B14" s="2" t="s">
        <v>34</v>
      </c>
    </row>
    <row r="16" spans="1:1" x14ac:dyDescent="0.25">
      <c r="A16" s="1" t="s">
        <v>35</v>
      </c>
    </row>
    <row r="17" ht="48" customHeight="1" spans="2:2" x14ac:dyDescent="0.25">
      <c r="B17" s="2" t="s">
        <v>36</v>
      </c>
    </row>
    <row r="19" spans="1:1" x14ac:dyDescent="0.25">
      <c r="A19" s="1" t="s">
        <v>37</v>
      </c>
    </row>
    <row r="20" ht="48" customHeight="1" spans="2:2" x14ac:dyDescent="0.25">
      <c r="B20" s="2" t="s">
        <v>38</v>
      </c>
    </row>
    <row r="22" spans="1:1" x14ac:dyDescent="0.25">
      <c r="A22" s="1" t="s">
        <v>39</v>
      </c>
    </row>
    <row r="23" ht="48" customHeight="1" spans="2:2" x14ac:dyDescent="0.25">
      <c r="B23" s="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  <col min="5" max="8" width="12" customWidth="1"/>
    <col min="9" max="9" width="14" customWidth="1"/>
  </cols>
  <sheetData>
    <row r="1" spans="1:9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</row>
    <row r="2" spans="1:9" x14ac:dyDescent="0.25">
      <c r="A2" t="s">
        <v>50</v>
      </c>
      <c r="B2" t="s">
        <v>51</v>
      </c>
      <c r="C2">
        <v>2011</v>
      </c>
      <c r="D2">
        <v>1</v>
      </c>
      <c r="E2" t="s">
        <v>52</v>
      </c>
      <c r="F2" t="s">
        <v>53</v>
      </c>
      <c r="G2" t="b">
        <v>1</v>
      </c>
      <c r="H2" t="b">
        <v>0</v>
      </c>
      <c r="I2" t="s">
        <v>54</v>
      </c>
    </row>
    <row r="3" spans="1:9" x14ac:dyDescent="0.25">
      <c r="A3" t="s">
        <v>55</v>
      </c>
      <c r="B3" t="s">
        <v>56</v>
      </c>
      <c r="C3">
        <v>2011</v>
      </c>
      <c r="D3">
        <v>2</v>
      </c>
      <c r="E3" t="s">
        <v>57</v>
      </c>
      <c r="F3" t="s">
        <v>53</v>
      </c>
      <c r="G3" t="b">
        <v>1</v>
      </c>
      <c r="H3" t="b">
        <v>0</v>
      </c>
      <c r="I3" t="s">
        <v>54</v>
      </c>
    </row>
    <row r="4" spans="1:9" x14ac:dyDescent="0.25">
      <c r="A4" t="s">
        <v>58</v>
      </c>
      <c r="B4" t="s">
        <v>59</v>
      </c>
      <c r="C4">
        <v>2011</v>
      </c>
      <c r="D4">
        <v>3</v>
      </c>
      <c r="E4" t="s">
        <v>60</v>
      </c>
      <c r="F4" t="s">
        <v>53</v>
      </c>
      <c r="G4" t="b">
        <v>1</v>
      </c>
      <c r="H4" t="b">
        <v>0</v>
      </c>
      <c r="I4" t="s">
        <v>54</v>
      </c>
    </row>
    <row r="5" spans="1:9" x14ac:dyDescent="0.25">
      <c r="A5" t="s">
        <v>61</v>
      </c>
      <c r="B5" t="s">
        <v>62</v>
      </c>
      <c r="C5">
        <v>2011</v>
      </c>
      <c r="D5">
        <v>4</v>
      </c>
      <c r="E5" t="s">
        <v>63</v>
      </c>
      <c r="F5" t="s">
        <v>64</v>
      </c>
      <c r="G5" t="b">
        <v>1</v>
      </c>
      <c r="H5" t="b">
        <v>0</v>
      </c>
      <c r="I5" t="s">
        <v>54</v>
      </c>
    </row>
    <row r="6" spans="1:9" x14ac:dyDescent="0.25">
      <c r="A6" t="s">
        <v>65</v>
      </c>
      <c r="B6" t="s">
        <v>66</v>
      </c>
      <c r="C6">
        <v>2011</v>
      </c>
      <c r="D6">
        <v>5</v>
      </c>
      <c r="E6" t="s">
        <v>67</v>
      </c>
      <c r="F6" t="s">
        <v>64</v>
      </c>
      <c r="G6" t="b">
        <v>1</v>
      </c>
      <c r="H6" t="b">
        <v>0</v>
      </c>
      <c r="I6" t="s">
        <v>54</v>
      </c>
    </row>
    <row r="7" spans="1:9" x14ac:dyDescent="0.25">
      <c r="A7" t="s">
        <v>68</v>
      </c>
      <c r="B7" t="s">
        <v>69</v>
      </c>
      <c r="C7">
        <v>2011</v>
      </c>
      <c r="D7">
        <v>6</v>
      </c>
      <c r="E7" t="s">
        <v>70</v>
      </c>
      <c r="F7" t="s">
        <v>64</v>
      </c>
      <c r="G7" t="b">
        <v>1</v>
      </c>
      <c r="H7" t="b">
        <v>0</v>
      </c>
      <c r="I7" t="s">
        <v>54</v>
      </c>
    </row>
    <row r="8" spans="1:9" x14ac:dyDescent="0.25">
      <c r="A8" t="s">
        <v>71</v>
      </c>
      <c r="B8" t="s">
        <v>72</v>
      </c>
      <c r="C8">
        <v>2011</v>
      </c>
      <c r="D8">
        <v>7</v>
      </c>
      <c r="E8" t="s">
        <v>73</v>
      </c>
      <c r="F8" t="s">
        <v>74</v>
      </c>
      <c r="G8" t="b">
        <v>1</v>
      </c>
      <c r="H8" t="b">
        <v>0</v>
      </c>
      <c r="I8" t="s">
        <v>54</v>
      </c>
    </row>
    <row r="9" spans="1:9" x14ac:dyDescent="0.25">
      <c r="A9" t="s">
        <v>75</v>
      </c>
      <c r="B9" t="s">
        <v>76</v>
      </c>
      <c r="C9">
        <v>2011</v>
      </c>
      <c r="D9">
        <v>8</v>
      </c>
      <c r="E9" t="s">
        <v>77</v>
      </c>
      <c r="F9" t="s">
        <v>74</v>
      </c>
      <c r="G9" t="b">
        <v>1</v>
      </c>
      <c r="H9" t="b">
        <v>0</v>
      </c>
      <c r="I9" t="s">
        <v>54</v>
      </c>
    </row>
    <row r="10" spans="1:9" x14ac:dyDescent="0.25">
      <c r="A10" t="s">
        <v>78</v>
      </c>
      <c r="B10" t="s">
        <v>79</v>
      </c>
      <c r="C10">
        <v>2011</v>
      </c>
      <c r="D10">
        <v>9</v>
      </c>
      <c r="E10" t="s">
        <v>80</v>
      </c>
      <c r="F10" t="s">
        <v>74</v>
      </c>
      <c r="G10" t="b">
        <v>1</v>
      </c>
      <c r="H10" t="b">
        <v>0</v>
      </c>
      <c r="I10" t="s">
        <v>54</v>
      </c>
    </row>
    <row r="11" spans="1:9" x14ac:dyDescent="0.25">
      <c r="A11" t="s">
        <v>81</v>
      </c>
      <c r="B11" t="s">
        <v>82</v>
      </c>
      <c r="C11">
        <v>2011</v>
      </c>
      <c r="D11">
        <v>10</v>
      </c>
      <c r="E11" t="s">
        <v>83</v>
      </c>
      <c r="F11" t="s">
        <v>84</v>
      </c>
      <c r="G11" t="b">
        <v>1</v>
      </c>
      <c r="H11" t="b">
        <v>0</v>
      </c>
      <c r="I11" t="s">
        <v>54</v>
      </c>
    </row>
    <row r="12" spans="1:9" x14ac:dyDescent="0.25">
      <c r="A12" t="s">
        <v>85</v>
      </c>
      <c r="B12" t="s">
        <v>86</v>
      </c>
      <c r="C12">
        <v>2011</v>
      </c>
      <c r="D12">
        <v>11</v>
      </c>
      <c r="E12" t="s">
        <v>87</v>
      </c>
      <c r="F12" t="s">
        <v>84</v>
      </c>
      <c r="G12" t="b">
        <v>1</v>
      </c>
      <c r="H12" t="b">
        <v>0</v>
      </c>
      <c r="I12" t="s">
        <v>54</v>
      </c>
    </row>
    <row r="13" spans="1:9" x14ac:dyDescent="0.25">
      <c r="A13" t="s">
        <v>88</v>
      </c>
      <c r="B13" t="s">
        <v>89</v>
      </c>
      <c r="C13">
        <v>2011</v>
      </c>
      <c r="D13">
        <v>12</v>
      </c>
      <c r="E13" t="s">
        <v>90</v>
      </c>
      <c r="F13" t="s">
        <v>84</v>
      </c>
      <c r="G13" t="b">
        <v>1</v>
      </c>
      <c r="H13" t="b">
        <v>0</v>
      </c>
      <c r="I13" t="s">
        <v>54</v>
      </c>
    </row>
    <row r="14" spans="1:9" x14ac:dyDescent="0.25">
      <c r="A14" t="s">
        <v>91</v>
      </c>
      <c r="B14" t="s">
        <v>92</v>
      </c>
      <c r="C14">
        <v>2012</v>
      </c>
      <c r="D14">
        <v>1</v>
      </c>
      <c r="E14" t="s">
        <v>52</v>
      </c>
      <c r="F14" t="s">
        <v>53</v>
      </c>
      <c r="G14" t="b">
        <v>1</v>
      </c>
      <c r="H14" t="b">
        <v>0</v>
      </c>
      <c r="I14" t="s">
        <v>54</v>
      </c>
    </row>
    <row r="15" spans="1:9" x14ac:dyDescent="0.25">
      <c r="A15" t="s">
        <v>93</v>
      </c>
      <c r="B15" t="s">
        <v>94</v>
      </c>
      <c r="C15">
        <v>2012</v>
      </c>
      <c r="D15">
        <v>2</v>
      </c>
      <c r="E15" t="s">
        <v>57</v>
      </c>
      <c r="F15" t="s">
        <v>53</v>
      </c>
      <c r="G15" t="b">
        <v>1</v>
      </c>
      <c r="H15" t="b">
        <v>0</v>
      </c>
      <c r="I15" t="s">
        <v>54</v>
      </c>
    </row>
    <row r="16" spans="1:9" x14ac:dyDescent="0.25">
      <c r="A16" t="s">
        <v>95</v>
      </c>
      <c r="B16" t="s">
        <v>96</v>
      </c>
      <c r="C16">
        <v>2012</v>
      </c>
      <c r="D16">
        <v>3</v>
      </c>
      <c r="E16" t="s">
        <v>60</v>
      </c>
      <c r="F16" t="s">
        <v>53</v>
      </c>
      <c r="G16" t="b">
        <v>1</v>
      </c>
      <c r="H16" t="b">
        <v>0</v>
      </c>
      <c r="I16" t="s">
        <v>54</v>
      </c>
    </row>
    <row r="17" spans="1:9" x14ac:dyDescent="0.25">
      <c r="A17" t="s">
        <v>97</v>
      </c>
      <c r="B17" t="s">
        <v>98</v>
      </c>
      <c r="C17">
        <v>2012</v>
      </c>
      <c r="D17">
        <v>4</v>
      </c>
      <c r="E17" t="s">
        <v>63</v>
      </c>
      <c r="F17" t="s">
        <v>64</v>
      </c>
      <c r="G17" t="b">
        <v>1</v>
      </c>
      <c r="H17" t="b">
        <v>0</v>
      </c>
      <c r="I17" t="s">
        <v>54</v>
      </c>
    </row>
    <row r="18" spans="1:9" x14ac:dyDescent="0.25">
      <c r="A18" t="s">
        <v>99</v>
      </c>
      <c r="B18" t="s">
        <v>100</v>
      </c>
      <c r="C18">
        <v>2012</v>
      </c>
      <c r="D18">
        <v>5</v>
      </c>
      <c r="E18" t="s">
        <v>67</v>
      </c>
      <c r="F18" t="s">
        <v>64</v>
      </c>
      <c r="G18" t="b">
        <v>1</v>
      </c>
      <c r="H18" t="b">
        <v>0</v>
      </c>
      <c r="I18" t="s">
        <v>54</v>
      </c>
    </row>
    <row r="19" spans="1:9" x14ac:dyDescent="0.25">
      <c r="A19" t="s">
        <v>101</v>
      </c>
      <c r="B19" t="s">
        <v>102</v>
      </c>
      <c r="C19">
        <v>2012</v>
      </c>
      <c r="D19">
        <v>6</v>
      </c>
      <c r="E19" t="s">
        <v>70</v>
      </c>
      <c r="F19" t="s">
        <v>64</v>
      </c>
      <c r="G19" t="b">
        <v>1</v>
      </c>
      <c r="H19" t="b">
        <v>0</v>
      </c>
      <c r="I19" t="s">
        <v>54</v>
      </c>
    </row>
    <row r="20" spans="1:9" x14ac:dyDescent="0.25">
      <c r="A20" t="s">
        <v>103</v>
      </c>
      <c r="B20" t="s">
        <v>104</v>
      </c>
      <c r="C20">
        <v>2012</v>
      </c>
      <c r="D20">
        <v>7</v>
      </c>
      <c r="E20" t="s">
        <v>73</v>
      </c>
      <c r="F20" t="s">
        <v>74</v>
      </c>
      <c r="G20" t="b">
        <v>1</v>
      </c>
      <c r="H20" t="b">
        <v>0</v>
      </c>
      <c r="I20" t="s">
        <v>54</v>
      </c>
    </row>
    <row r="21" spans="1:9" x14ac:dyDescent="0.25">
      <c r="A21" t="s">
        <v>105</v>
      </c>
      <c r="B21" t="s">
        <v>106</v>
      </c>
      <c r="C21">
        <v>2012</v>
      </c>
      <c r="D21">
        <v>8</v>
      </c>
      <c r="E21" t="s">
        <v>77</v>
      </c>
      <c r="F21" t="s">
        <v>74</v>
      </c>
      <c r="G21" t="b">
        <v>1</v>
      </c>
      <c r="H21" t="b">
        <v>0</v>
      </c>
      <c r="I21" t="s">
        <v>54</v>
      </c>
    </row>
    <row r="22" spans="1:9" x14ac:dyDescent="0.25">
      <c r="A22" t="s">
        <v>107</v>
      </c>
      <c r="B22" t="s">
        <v>108</v>
      </c>
      <c r="C22">
        <v>2012</v>
      </c>
      <c r="D22">
        <v>9</v>
      </c>
      <c r="E22" t="s">
        <v>80</v>
      </c>
      <c r="F22" t="s">
        <v>74</v>
      </c>
      <c r="G22" t="b">
        <v>1</v>
      </c>
      <c r="H22" t="b">
        <v>0</v>
      </c>
      <c r="I22" t="s">
        <v>54</v>
      </c>
    </row>
    <row r="23" spans="1:9" x14ac:dyDescent="0.25">
      <c r="A23" t="s">
        <v>109</v>
      </c>
      <c r="B23" t="s">
        <v>110</v>
      </c>
      <c r="C23">
        <v>2012</v>
      </c>
      <c r="D23">
        <v>10</v>
      </c>
      <c r="E23" t="s">
        <v>83</v>
      </c>
      <c r="F23" t="s">
        <v>84</v>
      </c>
      <c r="G23" t="b">
        <v>1</v>
      </c>
      <c r="H23" t="b">
        <v>0</v>
      </c>
      <c r="I23" t="s">
        <v>54</v>
      </c>
    </row>
    <row r="24" spans="1:9" x14ac:dyDescent="0.25">
      <c r="A24" t="s">
        <v>111</v>
      </c>
      <c r="B24" t="s">
        <v>112</v>
      </c>
      <c r="C24">
        <v>2012</v>
      </c>
      <c r="D24">
        <v>11</v>
      </c>
      <c r="E24" t="s">
        <v>87</v>
      </c>
      <c r="F24" t="s">
        <v>84</v>
      </c>
      <c r="G24" t="b">
        <v>1</v>
      </c>
      <c r="H24" t="b">
        <v>0</v>
      </c>
      <c r="I24" t="s">
        <v>54</v>
      </c>
    </row>
    <row r="25" spans="1:9" x14ac:dyDescent="0.25">
      <c r="A25" t="s">
        <v>113</v>
      </c>
      <c r="B25" t="s">
        <v>114</v>
      </c>
      <c r="C25">
        <v>2012</v>
      </c>
      <c r="D25">
        <v>12</v>
      </c>
      <c r="E25" t="s">
        <v>90</v>
      </c>
      <c r="F25" t="s">
        <v>84</v>
      </c>
      <c r="G25" t="b">
        <v>1</v>
      </c>
      <c r="H25" t="b">
        <v>0</v>
      </c>
      <c r="I25" t="s">
        <v>54</v>
      </c>
    </row>
    <row r="26" spans="1:9" x14ac:dyDescent="0.25">
      <c r="A26" t="s">
        <v>115</v>
      </c>
      <c r="B26" t="s">
        <v>116</v>
      </c>
      <c r="C26">
        <v>2013</v>
      </c>
      <c r="D26">
        <v>1</v>
      </c>
      <c r="E26" t="s">
        <v>52</v>
      </c>
      <c r="F26" t="s">
        <v>53</v>
      </c>
      <c r="G26" t="b">
        <v>1</v>
      </c>
      <c r="H26" t="b">
        <v>0</v>
      </c>
      <c r="I26" t="s">
        <v>54</v>
      </c>
    </row>
    <row r="27" spans="1:9" x14ac:dyDescent="0.25">
      <c r="A27" t="s">
        <v>117</v>
      </c>
      <c r="B27" t="s">
        <v>118</v>
      </c>
      <c r="C27">
        <v>2013</v>
      </c>
      <c r="D27">
        <v>2</v>
      </c>
      <c r="E27" t="s">
        <v>57</v>
      </c>
      <c r="F27" t="s">
        <v>53</v>
      </c>
      <c r="G27" t="b">
        <v>1</v>
      </c>
      <c r="H27" t="b">
        <v>0</v>
      </c>
      <c r="I27" t="s">
        <v>54</v>
      </c>
    </row>
    <row r="28" spans="1:9" x14ac:dyDescent="0.25">
      <c r="A28" t="s">
        <v>119</v>
      </c>
      <c r="B28" t="s">
        <v>120</v>
      </c>
      <c r="C28">
        <v>2013</v>
      </c>
      <c r="D28">
        <v>3</v>
      </c>
      <c r="E28" t="s">
        <v>60</v>
      </c>
      <c r="F28" t="s">
        <v>53</v>
      </c>
      <c r="G28" t="b">
        <v>1</v>
      </c>
      <c r="H28" t="b">
        <v>0</v>
      </c>
      <c r="I28" t="s">
        <v>54</v>
      </c>
    </row>
    <row r="29" spans="1:9" x14ac:dyDescent="0.25">
      <c r="A29" t="s">
        <v>121</v>
      </c>
      <c r="B29" t="s">
        <v>122</v>
      </c>
      <c r="C29">
        <v>2013</v>
      </c>
      <c r="D29">
        <v>4</v>
      </c>
      <c r="E29" t="s">
        <v>63</v>
      </c>
      <c r="F29" t="s">
        <v>64</v>
      </c>
      <c r="G29" t="b">
        <v>1</v>
      </c>
      <c r="H29" t="b">
        <v>0</v>
      </c>
      <c r="I29" t="s">
        <v>54</v>
      </c>
    </row>
    <row r="30" spans="1:9" x14ac:dyDescent="0.25">
      <c r="A30" t="s">
        <v>123</v>
      </c>
      <c r="B30" t="s">
        <v>124</v>
      </c>
      <c r="C30">
        <v>2013</v>
      </c>
      <c r="D30">
        <v>5</v>
      </c>
      <c r="E30" t="s">
        <v>67</v>
      </c>
      <c r="F30" t="s">
        <v>64</v>
      </c>
      <c r="G30" t="b">
        <v>1</v>
      </c>
      <c r="H30" t="b">
        <v>0</v>
      </c>
      <c r="I30" t="s">
        <v>54</v>
      </c>
    </row>
    <row r="31" spans="1:9" x14ac:dyDescent="0.25">
      <c r="A31" t="s">
        <v>125</v>
      </c>
      <c r="B31" t="s">
        <v>126</v>
      </c>
      <c r="C31">
        <v>2013</v>
      </c>
      <c r="D31">
        <v>6</v>
      </c>
      <c r="E31" t="s">
        <v>70</v>
      </c>
      <c r="F31" t="s">
        <v>64</v>
      </c>
      <c r="G31" t="b">
        <v>1</v>
      </c>
      <c r="H31" t="b">
        <v>0</v>
      </c>
      <c r="I31" t="s">
        <v>54</v>
      </c>
    </row>
    <row r="32" spans="1:9" x14ac:dyDescent="0.25">
      <c r="A32" t="s">
        <v>127</v>
      </c>
      <c r="B32" t="s">
        <v>128</v>
      </c>
      <c r="C32">
        <v>2013</v>
      </c>
      <c r="D32">
        <v>7</v>
      </c>
      <c r="E32" t="s">
        <v>73</v>
      </c>
      <c r="F32" t="s">
        <v>74</v>
      </c>
      <c r="G32" t="b">
        <v>1</v>
      </c>
      <c r="H32" t="b">
        <v>0</v>
      </c>
      <c r="I32" t="s">
        <v>54</v>
      </c>
    </row>
    <row r="33" spans="1:9" x14ac:dyDescent="0.25">
      <c r="A33" t="s">
        <v>129</v>
      </c>
      <c r="B33" t="s">
        <v>130</v>
      </c>
      <c r="C33">
        <v>2013</v>
      </c>
      <c r="D33">
        <v>8</v>
      </c>
      <c r="E33" t="s">
        <v>77</v>
      </c>
      <c r="F33" t="s">
        <v>74</v>
      </c>
      <c r="G33" t="b">
        <v>1</v>
      </c>
      <c r="H33" t="b">
        <v>0</v>
      </c>
      <c r="I33" t="s">
        <v>54</v>
      </c>
    </row>
    <row r="34" spans="1:9" x14ac:dyDescent="0.25">
      <c r="A34" t="s">
        <v>131</v>
      </c>
      <c r="B34" t="s">
        <v>132</v>
      </c>
      <c r="C34">
        <v>2013</v>
      </c>
      <c r="D34">
        <v>9</v>
      </c>
      <c r="E34" t="s">
        <v>80</v>
      </c>
      <c r="F34" t="s">
        <v>74</v>
      </c>
      <c r="G34" t="b">
        <v>1</v>
      </c>
      <c r="H34" t="b">
        <v>0</v>
      </c>
      <c r="I34" t="s">
        <v>54</v>
      </c>
    </row>
    <row r="35" spans="1:9" x14ac:dyDescent="0.25">
      <c r="A35" t="s">
        <v>133</v>
      </c>
      <c r="B35" t="s">
        <v>134</v>
      </c>
      <c r="C35">
        <v>2013</v>
      </c>
      <c r="D35">
        <v>10</v>
      </c>
      <c r="E35" t="s">
        <v>83</v>
      </c>
      <c r="F35" t="s">
        <v>84</v>
      </c>
      <c r="G35" t="b">
        <v>1</v>
      </c>
      <c r="H35" t="b">
        <v>0</v>
      </c>
      <c r="I35" t="s">
        <v>54</v>
      </c>
    </row>
    <row r="36" spans="1:9" x14ac:dyDescent="0.25">
      <c r="A36" t="s">
        <v>135</v>
      </c>
      <c r="B36" t="s">
        <v>136</v>
      </c>
      <c r="C36">
        <v>2013</v>
      </c>
      <c r="D36">
        <v>11</v>
      </c>
      <c r="E36" t="s">
        <v>87</v>
      </c>
      <c r="F36" t="s">
        <v>84</v>
      </c>
      <c r="G36" t="b">
        <v>1</v>
      </c>
      <c r="H36" t="b">
        <v>0</v>
      </c>
      <c r="I36" t="s">
        <v>54</v>
      </c>
    </row>
    <row r="37" spans="1:9" x14ac:dyDescent="0.25">
      <c r="A37" t="s">
        <v>137</v>
      </c>
      <c r="B37" t="s">
        <v>138</v>
      </c>
      <c r="C37">
        <v>2013</v>
      </c>
      <c r="D37">
        <v>12</v>
      </c>
      <c r="E37" t="s">
        <v>90</v>
      </c>
      <c r="F37" t="s">
        <v>84</v>
      </c>
      <c r="G37" t="b">
        <v>1</v>
      </c>
      <c r="H37" t="b">
        <v>0</v>
      </c>
      <c r="I37" t="s">
        <v>54</v>
      </c>
    </row>
    <row r="38" spans="1:9" x14ac:dyDescent="0.25">
      <c r="A38" t="s">
        <v>139</v>
      </c>
      <c r="B38" t="s">
        <v>140</v>
      </c>
      <c r="C38">
        <v>2014</v>
      </c>
      <c r="D38">
        <v>1</v>
      </c>
      <c r="E38" t="s">
        <v>52</v>
      </c>
      <c r="F38" t="s">
        <v>53</v>
      </c>
      <c r="G38" t="b">
        <v>1</v>
      </c>
      <c r="H38" t="b">
        <v>0</v>
      </c>
      <c r="I38" t="s">
        <v>54</v>
      </c>
    </row>
    <row r="39" spans="1:9" x14ac:dyDescent="0.25">
      <c r="A39" t="s">
        <v>141</v>
      </c>
      <c r="B39" t="s">
        <v>142</v>
      </c>
      <c r="C39">
        <v>2014</v>
      </c>
      <c r="D39">
        <v>2</v>
      </c>
      <c r="E39" t="s">
        <v>57</v>
      </c>
      <c r="F39" t="s">
        <v>53</v>
      </c>
      <c r="G39" t="b">
        <v>1</v>
      </c>
      <c r="H39" t="b">
        <v>0</v>
      </c>
      <c r="I39" t="s">
        <v>54</v>
      </c>
    </row>
    <row r="40" spans="1:9" x14ac:dyDescent="0.25">
      <c r="A40" t="s">
        <v>143</v>
      </c>
      <c r="B40" t="s">
        <v>144</v>
      </c>
      <c r="C40">
        <v>2014</v>
      </c>
      <c r="D40">
        <v>3</v>
      </c>
      <c r="E40" t="s">
        <v>60</v>
      </c>
      <c r="F40" t="s">
        <v>53</v>
      </c>
      <c r="G40" t="b">
        <v>1</v>
      </c>
      <c r="H40" t="b">
        <v>0</v>
      </c>
      <c r="I40" t="s">
        <v>54</v>
      </c>
    </row>
    <row r="41" spans="1:9" x14ac:dyDescent="0.25">
      <c r="A41" t="s">
        <v>145</v>
      </c>
      <c r="B41" t="s">
        <v>146</v>
      </c>
      <c r="C41">
        <v>2014</v>
      </c>
      <c r="D41">
        <v>4</v>
      </c>
      <c r="E41" t="s">
        <v>63</v>
      </c>
      <c r="F41" t="s">
        <v>64</v>
      </c>
      <c r="G41" t="b">
        <v>1</v>
      </c>
      <c r="H41" t="b">
        <v>0</v>
      </c>
      <c r="I41" t="s">
        <v>54</v>
      </c>
    </row>
    <row r="42" spans="1:9" x14ac:dyDescent="0.25">
      <c r="A42" t="s">
        <v>147</v>
      </c>
      <c r="B42" t="s">
        <v>148</v>
      </c>
      <c r="C42">
        <v>2014</v>
      </c>
      <c r="D42">
        <v>5</v>
      </c>
      <c r="E42" t="s">
        <v>67</v>
      </c>
      <c r="F42" t="s">
        <v>64</v>
      </c>
      <c r="G42" t="b">
        <v>1</v>
      </c>
      <c r="H42" t="b">
        <v>0</v>
      </c>
      <c r="I42" t="s">
        <v>54</v>
      </c>
    </row>
    <row r="43" spans="1:9" x14ac:dyDescent="0.25">
      <c r="A43" t="s">
        <v>149</v>
      </c>
      <c r="B43" t="s">
        <v>150</v>
      </c>
      <c r="C43">
        <v>2014</v>
      </c>
      <c r="D43">
        <v>6</v>
      </c>
      <c r="E43" t="s">
        <v>70</v>
      </c>
      <c r="F43" t="s">
        <v>64</v>
      </c>
      <c r="G43" t="b">
        <v>1</v>
      </c>
      <c r="H43" t="b">
        <v>0</v>
      </c>
      <c r="I43" t="s">
        <v>54</v>
      </c>
    </row>
    <row r="44" spans="1:9" x14ac:dyDescent="0.25">
      <c r="A44" t="s">
        <v>151</v>
      </c>
      <c r="B44" t="s">
        <v>152</v>
      </c>
      <c r="C44">
        <v>2014</v>
      </c>
      <c r="D44">
        <v>7</v>
      </c>
      <c r="E44" t="s">
        <v>73</v>
      </c>
      <c r="F44" t="s">
        <v>74</v>
      </c>
      <c r="G44" t="b">
        <v>1</v>
      </c>
      <c r="H44" t="b">
        <v>0</v>
      </c>
      <c r="I44" t="s">
        <v>54</v>
      </c>
    </row>
    <row r="45" spans="1:9" x14ac:dyDescent="0.25">
      <c r="A45" t="s">
        <v>153</v>
      </c>
      <c r="B45" t="s">
        <v>154</v>
      </c>
      <c r="C45">
        <v>2014</v>
      </c>
      <c r="D45">
        <v>8</v>
      </c>
      <c r="E45" t="s">
        <v>77</v>
      </c>
      <c r="F45" t="s">
        <v>74</v>
      </c>
      <c r="G45" t="b">
        <v>1</v>
      </c>
      <c r="H45" t="b">
        <v>0</v>
      </c>
      <c r="I45" t="s">
        <v>54</v>
      </c>
    </row>
    <row r="46" spans="1:9" x14ac:dyDescent="0.25">
      <c r="A46" t="s">
        <v>155</v>
      </c>
      <c r="B46" t="s">
        <v>156</v>
      </c>
      <c r="C46">
        <v>2014</v>
      </c>
      <c r="D46">
        <v>9</v>
      </c>
      <c r="E46" t="s">
        <v>80</v>
      </c>
      <c r="F46" t="s">
        <v>74</v>
      </c>
      <c r="G46" t="b">
        <v>1</v>
      </c>
      <c r="H46" t="b">
        <v>0</v>
      </c>
      <c r="I46" t="s">
        <v>54</v>
      </c>
    </row>
    <row r="47" spans="1:9" x14ac:dyDescent="0.25">
      <c r="A47" t="s">
        <v>157</v>
      </c>
      <c r="B47" t="s">
        <v>158</v>
      </c>
      <c r="C47">
        <v>2014</v>
      </c>
      <c r="D47">
        <v>10</v>
      </c>
      <c r="E47" t="s">
        <v>83</v>
      </c>
      <c r="F47" t="s">
        <v>84</v>
      </c>
      <c r="G47" t="b">
        <v>1</v>
      </c>
      <c r="H47" t="b">
        <v>0</v>
      </c>
      <c r="I47" t="s">
        <v>54</v>
      </c>
    </row>
    <row r="48" spans="1:9" x14ac:dyDescent="0.25">
      <c r="A48" t="s">
        <v>159</v>
      </c>
      <c r="B48" t="s">
        <v>160</v>
      </c>
      <c r="C48">
        <v>2014</v>
      </c>
      <c r="D48">
        <v>11</v>
      </c>
      <c r="E48" t="s">
        <v>87</v>
      </c>
      <c r="F48" t="s">
        <v>84</v>
      </c>
      <c r="G48" t="b">
        <v>1</v>
      </c>
      <c r="H48" t="b">
        <v>0</v>
      </c>
      <c r="I48" t="s">
        <v>54</v>
      </c>
    </row>
    <row r="49" spans="1:9" x14ac:dyDescent="0.25">
      <c r="A49" t="s">
        <v>161</v>
      </c>
      <c r="B49" t="s">
        <v>162</v>
      </c>
      <c r="C49">
        <v>2014</v>
      </c>
      <c r="D49">
        <v>12</v>
      </c>
      <c r="E49" t="s">
        <v>90</v>
      </c>
      <c r="F49" t="s">
        <v>84</v>
      </c>
      <c r="G49" t="b">
        <v>1</v>
      </c>
      <c r="H49" t="b">
        <v>0</v>
      </c>
      <c r="I49" t="s">
        <v>54</v>
      </c>
    </row>
    <row r="50" spans="1:9" x14ac:dyDescent="0.25">
      <c r="A50" t="s">
        <v>163</v>
      </c>
      <c r="B50" t="s">
        <v>164</v>
      </c>
      <c r="C50">
        <v>2015</v>
      </c>
      <c r="D50">
        <v>1</v>
      </c>
      <c r="E50" t="s">
        <v>52</v>
      </c>
      <c r="F50" t="s">
        <v>53</v>
      </c>
      <c r="G50" t="b">
        <v>1</v>
      </c>
      <c r="H50" t="b">
        <v>0</v>
      </c>
      <c r="I50" t="s">
        <v>54</v>
      </c>
    </row>
    <row r="51" spans="1:9" x14ac:dyDescent="0.25">
      <c r="A51" t="s">
        <v>165</v>
      </c>
      <c r="B51" t="s">
        <v>166</v>
      </c>
      <c r="C51">
        <v>2015</v>
      </c>
      <c r="D51">
        <v>2</v>
      </c>
      <c r="E51" t="s">
        <v>57</v>
      </c>
      <c r="F51" t="s">
        <v>53</v>
      </c>
      <c r="G51" t="b">
        <v>1</v>
      </c>
      <c r="H51" t="b">
        <v>0</v>
      </c>
      <c r="I51" t="s">
        <v>54</v>
      </c>
    </row>
    <row r="52" spans="1:9" x14ac:dyDescent="0.25">
      <c r="A52" t="s">
        <v>167</v>
      </c>
      <c r="B52" t="s">
        <v>168</v>
      </c>
      <c r="C52">
        <v>2015</v>
      </c>
      <c r="D52">
        <v>3</v>
      </c>
      <c r="E52" t="s">
        <v>60</v>
      </c>
      <c r="F52" t="s">
        <v>53</v>
      </c>
      <c r="G52" t="b">
        <v>1</v>
      </c>
      <c r="H52" t="b">
        <v>0</v>
      </c>
      <c r="I52" t="s">
        <v>54</v>
      </c>
    </row>
    <row r="53" spans="1:9" x14ac:dyDescent="0.25">
      <c r="A53" t="s">
        <v>169</v>
      </c>
      <c r="B53" t="s">
        <v>170</v>
      </c>
      <c r="C53">
        <v>2015</v>
      </c>
      <c r="D53">
        <v>4</v>
      </c>
      <c r="E53" t="s">
        <v>63</v>
      </c>
      <c r="F53" t="s">
        <v>64</v>
      </c>
      <c r="G53" t="b">
        <v>1</v>
      </c>
      <c r="H53" t="b">
        <v>0</v>
      </c>
      <c r="I53" t="s">
        <v>54</v>
      </c>
    </row>
    <row r="54" spans="1:9" x14ac:dyDescent="0.25">
      <c r="A54" t="s">
        <v>171</v>
      </c>
      <c r="B54" t="s">
        <v>172</v>
      </c>
      <c r="C54">
        <v>2015</v>
      </c>
      <c r="D54">
        <v>5</v>
      </c>
      <c r="E54" t="s">
        <v>67</v>
      </c>
      <c r="F54" t="s">
        <v>64</v>
      </c>
      <c r="G54" t="b">
        <v>1</v>
      </c>
      <c r="H54" t="b">
        <v>0</v>
      </c>
      <c r="I54" t="s">
        <v>54</v>
      </c>
    </row>
    <row r="55" spans="1:9" x14ac:dyDescent="0.25">
      <c r="A55" t="s">
        <v>173</v>
      </c>
      <c r="B55" t="s">
        <v>174</v>
      </c>
      <c r="C55">
        <v>2015</v>
      </c>
      <c r="D55">
        <v>6</v>
      </c>
      <c r="E55" t="s">
        <v>70</v>
      </c>
      <c r="F55" t="s">
        <v>64</v>
      </c>
      <c r="G55" t="b">
        <v>1</v>
      </c>
      <c r="H55" t="b">
        <v>0</v>
      </c>
      <c r="I55" t="s">
        <v>54</v>
      </c>
    </row>
    <row r="56" spans="1:9" x14ac:dyDescent="0.25">
      <c r="A56" t="s">
        <v>175</v>
      </c>
      <c r="B56" t="s">
        <v>176</v>
      </c>
      <c r="C56">
        <v>2015</v>
      </c>
      <c r="D56">
        <v>7</v>
      </c>
      <c r="E56" t="s">
        <v>73</v>
      </c>
      <c r="F56" t="s">
        <v>74</v>
      </c>
      <c r="G56" t="b">
        <v>1</v>
      </c>
      <c r="H56" t="b">
        <v>0</v>
      </c>
      <c r="I56" t="s">
        <v>54</v>
      </c>
    </row>
    <row r="57" spans="1:9" x14ac:dyDescent="0.25">
      <c r="A57" t="s">
        <v>177</v>
      </c>
      <c r="B57" t="s">
        <v>178</v>
      </c>
      <c r="C57">
        <v>2015</v>
      </c>
      <c r="D57">
        <v>8</v>
      </c>
      <c r="E57" t="s">
        <v>77</v>
      </c>
      <c r="F57" t="s">
        <v>74</v>
      </c>
      <c r="G57" t="b">
        <v>1</v>
      </c>
      <c r="H57" t="b">
        <v>0</v>
      </c>
      <c r="I57" t="s">
        <v>54</v>
      </c>
    </row>
    <row r="58" spans="1:9" x14ac:dyDescent="0.25">
      <c r="A58" t="s">
        <v>179</v>
      </c>
      <c r="B58" t="s">
        <v>180</v>
      </c>
      <c r="C58">
        <v>2015</v>
      </c>
      <c r="D58">
        <v>9</v>
      </c>
      <c r="E58" t="s">
        <v>80</v>
      </c>
      <c r="F58" t="s">
        <v>74</v>
      </c>
      <c r="G58" t="b">
        <v>1</v>
      </c>
      <c r="H58" t="b">
        <v>0</v>
      </c>
      <c r="I58" t="s">
        <v>54</v>
      </c>
    </row>
    <row r="59" spans="1:9" x14ac:dyDescent="0.25">
      <c r="A59" t="s">
        <v>181</v>
      </c>
      <c r="B59" t="s">
        <v>182</v>
      </c>
      <c r="C59">
        <v>2015</v>
      </c>
      <c r="D59">
        <v>10</v>
      </c>
      <c r="E59" t="s">
        <v>83</v>
      </c>
      <c r="F59" t="s">
        <v>84</v>
      </c>
      <c r="G59" t="b">
        <v>1</v>
      </c>
      <c r="H59" t="b">
        <v>0</v>
      </c>
      <c r="I59" t="s">
        <v>54</v>
      </c>
    </row>
    <row r="60" spans="1:9" x14ac:dyDescent="0.25">
      <c r="A60" t="s">
        <v>183</v>
      </c>
      <c r="B60" t="s">
        <v>184</v>
      </c>
      <c r="C60">
        <v>2015</v>
      </c>
      <c r="D60">
        <v>11</v>
      </c>
      <c r="E60" t="s">
        <v>87</v>
      </c>
      <c r="F60" t="s">
        <v>84</v>
      </c>
      <c r="G60" t="b">
        <v>1</v>
      </c>
      <c r="H60" t="b">
        <v>0</v>
      </c>
      <c r="I60" t="s">
        <v>54</v>
      </c>
    </row>
    <row r="61" spans="1:9" x14ac:dyDescent="0.25">
      <c r="A61" t="s">
        <v>185</v>
      </c>
      <c r="B61" t="s">
        <v>186</v>
      </c>
      <c r="C61">
        <v>2015</v>
      </c>
      <c r="D61">
        <v>12</v>
      </c>
      <c r="E61" t="s">
        <v>90</v>
      </c>
      <c r="F61" t="s">
        <v>84</v>
      </c>
      <c r="G61" t="b">
        <v>1</v>
      </c>
      <c r="H61" t="b">
        <v>0</v>
      </c>
      <c r="I61" t="s">
        <v>54</v>
      </c>
    </row>
    <row r="62" spans="1:9" x14ac:dyDescent="0.25">
      <c r="A62" t="s">
        <v>187</v>
      </c>
      <c r="B62" t="s">
        <v>188</v>
      </c>
      <c r="C62">
        <v>2016</v>
      </c>
      <c r="D62">
        <v>1</v>
      </c>
      <c r="E62" t="s">
        <v>52</v>
      </c>
      <c r="F62" t="s">
        <v>53</v>
      </c>
      <c r="G62" t="b">
        <v>1</v>
      </c>
      <c r="H62" t="b">
        <v>0</v>
      </c>
      <c r="I62" t="s">
        <v>54</v>
      </c>
    </row>
    <row r="63" spans="1:9" x14ac:dyDescent="0.25">
      <c r="A63" t="s">
        <v>189</v>
      </c>
      <c r="B63" t="s">
        <v>190</v>
      </c>
      <c r="C63">
        <v>2016</v>
      </c>
      <c r="D63">
        <v>2</v>
      </c>
      <c r="E63" t="s">
        <v>57</v>
      </c>
      <c r="F63" t="s">
        <v>53</v>
      </c>
      <c r="G63" t="b">
        <v>1</v>
      </c>
      <c r="H63" t="b">
        <v>0</v>
      </c>
      <c r="I63" t="s">
        <v>54</v>
      </c>
    </row>
    <row r="64" spans="1:9" x14ac:dyDescent="0.25">
      <c r="A64" t="s">
        <v>191</v>
      </c>
      <c r="B64" t="s">
        <v>192</v>
      </c>
      <c r="C64">
        <v>2016</v>
      </c>
      <c r="D64">
        <v>3</v>
      </c>
      <c r="E64" t="s">
        <v>60</v>
      </c>
      <c r="F64" t="s">
        <v>53</v>
      </c>
      <c r="G64" t="b">
        <v>1</v>
      </c>
      <c r="H64" t="b">
        <v>0</v>
      </c>
      <c r="I64" t="s">
        <v>54</v>
      </c>
    </row>
    <row r="65" spans="1:9" x14ac:dyDescent="0.25">
      <c r="A65" t="s">
        <v>193</v>
      </c>
      <c r="B65" t="s">
        <v>194</v>
      </c>
      <c r="C65">
        <v>2016</v>
      </c>
      <c r="D65">
        <v>4</v>
      </c>
      <c r="E65" t="s">
        <v>63</v>
      </c>
      <c r="F65" t="s">
        <v>64</v>
      </c>
      <c r="G65" t="b">
        <v>1</v>
      </c>
      <c r="H65" t="b">
        <v>0</v>
      </c>
      <c r="I65" t="s">
        <v>54</v>
      </c>
    </row>
    <row r="66" spans="1:9" x14ac:dyDescent="0.25">
      <c r="A66" t="s">
        <v>195</v>
      </c>
      <c r="B66" t="s">
        <v>196</v>
      </c>
      <c r="C66">
        <v>2016</v>
      </c>
      <c r="D66">
        <v>5</v>
      </c>
      <c r="E66" t="s">
        <v>67</v>
      </c>
      <c r="F66" t="s">
        <v>64</v>
      </c>
      <c r="G66" t="b">
        <v>1</v>
      </c>
      <c r="H66" t="b">
        <v>0</v>
      </c>
      <c r="I66" t="s">
        <v>54</v>
      </c>
    </row>
    <row r="67" spans="1:9" x14ac:dyDescent="0.25">
      <c r="A67" t="s">
        <v>197</v>
      </c>
      <c r="B67" t="s">
        <v>198</v>
      </c>
      <c r="C67">
        <v>2016</v>
      </c>
      <c r="D67">
        <v>6</v>
      </c>
      <c r="E67" t="s">
        <v>70</v>
      </c>
      <c r="F67" t="s">
        <v>64</v>
      </c>
      <c r="G67" t="b">
        <v>1</v>
      </c>
      <c r="H67" t="b">
        <v>0</v>
      </c>
      <c r="I67" t="s">
        <v>54</v>
      </c>
    </row>
    <row r="68" spans="1:9" x14ac:dyDescent="0.25">
      <c r="A68" t="s">
        <v>199</v>
      </c>
      <c r="B68" t="s">
        <v>200</v>
      </c>
      <c r="C68">
        <v>2016</v>
      </c>
      <c r="D68">
        <v>7</v>
      </c>
      <c r="E68" t="s">
        <v>73</v>
      </c>
      <c r="F68" t="s">
        <v>74</v>
      </c>
      <c r="G68" t="b">
        <v>1</v>
      </c>
      <c r="H68" t="b">
        <v>0</v>
      </c>
      <c r="I68" t="s">
        <v>54</v>
      </c>
    </row>
    <row r="69" spans="1:9" x14ac:dyDescent="0.25">
      <c r="A69" t="s">
        <v>201</v>
      </c>
      <c r="B69" t="s">
        <v>202</v>
      </c>
      <c r="C69">
        <v>2016</v>
      </c>
      <c r="D69">
        <v>8</v>
      </c>
      <c r="E69" t="s">
        <v>77</v>
      </c>
      <c r="F69" t="s">
        <v>74</v>
      </c>
      <c r="G69" t="b">
        <v>1</v>
      </c>
      <c r="H69" t="b">
        <v>0</v>
      </c>
      <c r="I69" t="s">
        <v>54</v>
      </c>
    </row>
    <row r="70" spans="1:9" x14ac:dyDescent="0.25">
      <c r="A70" t="s">
        <v>203</v>
      </c>
      <c r="B70" t="s">
        <v>204</v>
      </c>
      <c r="C70">
        <v>2016</v>
      </c>
      <c r="D70">
        <v>9</v>
      </c>
      <c r="E70" t="s">
        <v>80</v>
      </c>
      <c r="F70" t="s">
        <v>74</v>
      </c>
      <c r="G70" t="b">
        <v>1</v>
      </c>
      <c r="H70" t="b">
        <v>0</v>
      </c>
      <c r="I70" t="s">
        <v>54</v>
      </c>
    </row>
    <row r="71" spans="1:9" x14ac:dyDescent="0.25">
      <c r="A71" t="s">
        <v>205</v>
      </c>
      <c r="B71" t="s">
        <v>206</v>
      </c>
      <c r="C71">
        <v>2016</v>
      </c>
      <c r="D71">
        <v>10</v>
      </c>
      <c r="E71" t="s">
        <v>83</v>
      </c>
      <c r="F71" t="s">
        <v>84</v>
      </c>
      <c r="G71" t="b">
        <v>1</v>
      </c>
      <c r="H71" t="b">
        <v>0</v>
      </c>
      <c r="I71" t="s">
        <v>54</v>
      </c>
    </row>
    <row r="72" spans="1:9" x14ac:dyDescent="0.25">
      <c r="A72" t="s">
        <v>207</v>
      </c>
      <c r="B72" t="s">
        <v>208</v>
      </c>
      <c r="C72">
        <v>2016</v>
      </c>
      <c r="D72">
        <v>11</v>
      </c>
      <c r="E72" t="s">
        <v>87</v>
      </c>
      <c r="F72" t="s">
        <v>84</v>
      </c>
      <c r="G72" t="b">
        <v>1</v>
      </c>
      <c r="H72" t="b">
        <v>0</v>
      </c>
      <c r="I72" t="s">
        <v>54</v>
      </c>
    </row>
    <row r="73" spans="1:9" x14ac:dyDescent="0.25">
      <c r="A73" t="s">
        <v>209</v>
      </c>
      <c r="B73" t="s">
        <v>210</v>
      </c>
      <c r="C73">
        <v>2016</v>
      </c>
      <c r="D73">
        <v>12</v>
      </c>
      <c r="E73" t="s">
        <v>90</v>
      </c>
      <c r="F73" t="s">
        <v>84</v>
      </c>
      <c r="G73" t="b">
        <v>1</v>
      </c>
      <c r="H73" t="b">
        <v>0</v>
      </c>
      <c r="I73" t="s">
        <v>54</v>
      </c>
    </row>
    <row r="74" spans="1:9" x14ac:dyDescent="0.25">
      <c r="A74" t="s">
        <v>211</v>
      </c>
      <c r="B74" t="s">
        <v>212</v>
      </c>
      <c r="C74">
        <v>2017</v>
      </c>
      <c r="D74">
        <v>1</v>
      </c>
      <c r="E74" t="s">
        <v>52</v>
      </c>
      <c r="F74" t="s">
        <v>53</v>
      </c>
      <c r="G74" t="b">
        <v>1</v>
      </c>
      <c r="H74" t="b">
        <v>0</v>
      </c>
      <c r="I74" t="s">
        <v>54</v>
      </c>
    </row>
    <row r="75" spans="1:9" x14ac:dyDescent="0.25">
      <c r="A75" t="s">
        <v>213</v>
      </c>
      <c r="B75" t="s">
        <v>214</v>
      </c>
      <c r="C75">
        <v>2017</v>
      </c>
      <c r="D75">
        <v>2</v>
      </c>
      <c r="E75" t="s">
        <v>57</v>
      </c>
      <c r="F75" t="s">
        <v>53</v>
      </c>
      <c r="G75" t="b">
        <v>1</v>
      </c>
      <c r="H75" t="b">
        <v>0</v>
      </c>
      <c r="I75" t="s">
        <v>54</v>
      </c>
    </row>
    <row r="76" spans="1:9" x14ac:dyDescent="0.25">
      <c r="A76" t="s">
        <v>215</v>
      </c>
      <c r="B76" t="s">
        <v>216</v>
      </c>
      <c r="C76">
        <v>2017</v>
      </c>
      <c r="D76">
        <v>3</v>
      </c>
      <c r="E76" t="s">
        <v>60</v>
      </c>
      <c r="F76" t="s">
        <v>53</v>
      </c>
      <c r="G76" t="b">
        <v>1</v>
      </c>
      <c r="H76" t="b">
        <v>0</v>
      </c>
      <c r="I76" t="s">
        <v>54</v>
      </c>
    </row>
    <row r="77" spans="1:9" x14ac:dyDescent="0.25">
      <c r="A77" t="s">
        <v>217</v>
      </c>
      <c r="B77" t="s">
        <v>218</v>
      </c>
      <c r="C77">
        <v>2017</v>
      </c>
      <c r="D77">
        <v>4</v>
      </c>
      <c r="E77" t="s">
        <v>63</v>
      </c>
      <c r="F77" t="s">
        <v>64</v>
      </c>
      <c r="G77" t="b">
        <v>1</v>
      </c>
      <c r="H77" t="b">
        <v>0</v>
      </c>
      <c r="I77" t="s">
        <v>54</v>
      </c>
    </row>
    <row r="78" spans="1:9" x14ac:dyDescent="0.25">
      <c r="A78" t="s">
        <v>219</v>
      </c>
      <c r="B78" t="s">
        <v>220</v>
      </c>
      <c r="C78">
        <v>2017</v>
      </c>
      <c r="D78">
        <v>5</v>
      </c>
      <c r="E78" t="s">
        <v>67</v>
      </c>
      <c r="F78" t="s">
        <v>64</v>
      </c>
      <c r="G78" t="b">
        <v>1</v>
      </c>
      <c r="H78" t="b">
        <v>0</v>
      </c>
      <c r="I78" t="s">
        <v>54</v>
      </c>
    </row>
    <row r="79" spans="1:9" x14ac:dyDescent="0.25">
      <c r="A79" t="s">
        <v>221</v>
      </c>
      <c r="B79" t="s">
        <v>222</v>
      </c>
      <c r="C79">
        <v>2017</v>
      </c>
      <c r="D79">
        <v>6</v>
      </c>
      <c r="E79" t="s">
        <v>70</v>
      </c>
      <c r="F79" t="s">
        <v>64</v>
      </c>
      <c r="G79" t="b">
        <v>1</v>
      </c>
      <c r="H79" t="b">
        <v>0</v>
      </c>
      <c r="I79" t="s">
        <v>54</v>
      </c>
    </row>
    <row r="80" spans="1:9" x14ac:dyDescent="0.25">
      <c r="A80" t="s">
        <v>223</v>
      </c>
      <c r="B80" t="s">
        <v>224</v>
      </c>
      <c r="C80">
        <v>2017</v>
      </c>
      <c r="D80">
        <v>7</v>
      </c>
      <c r="E80" t="s">
        <v>73</v>
      </c>
      <c r="F80" t="s">
        <v>74</v>
      </c>
      <c r="G80" t="b">
        <v>1</v>
      </c>
      <c r="H80" t="b">
        <v>0</v>
      </c>
      <c r="I80" t="s">
        <v>54</v>
      </c>
    </row>
    <row r="81" spans="1:9" x14ac:dyDescent="0.25">
      <c r="A81" t="s">
        <v>225</v>
      </c>
      <c r="B81" t="s">
        <v>226</v>
      </c>
      <c r="C81">
        <v>2017</v>
      </c>
      <c r="D81">
        <v>8</v>
      </c>
      <c r="E81" t="s">
        <v>77</v>
      </c>
      <c r="F81" t="s">
        <v>74</v>
      </c>
      <c r="G81" t="b">
        <v>1</v>
      </c>
      <c r="H81" t="b">
        <v>0</v>
      </c>
      <c r="I81" t="s">
        <v>54</v>
      </c>
    </row>
    <row r="82" spans="1:9" x14ac:dyDescent="0.25">
      <c r="A82" t="s">
        <v>227</v>
      </c>
      <c r="B82" t="s">
        <v>228</v>
      </c>
      <c r="C82">
        <v>2017</v>
      </c>
      <c r="D82">
        <v>9</v>
      </c>
      <c r="E82" t="s">
        <v>80</v>
      </c>
      <c r="F82" t="s">
        <v>74</v>
      </c>
      <c r="G82" t="b">
        <v>1</v>
      </c>
      <c r="H82" t="b">
        <v>0</v>
      </c>
      <c r="I82" t="s">
        <v>54</v>
      </c>
    </row>
    <row r="83" spans="1:9" x14ac:dyDescent="0.25">
      <c r="A83" t="s">
        <v>229</v>
      </c>
      <c r="B83" t="s">
        <v>230</v>
      </c>
      <c r="C83">
        <v>2017</v>
      </c>
      <c r="D83">
        <v>10</v>
      </c>
      <c r="E83" t="s">
        <v>83</v>
      </c>
      <c r="F83" t="s">
        <v>84</v>
      </c>
      <c r="G83" t="b">
        <v>1</v>
      </c>
      <c r="H83" t="b">
        <v>0</v>
      </c>
      <c r="I83" t="s">
        <v>54</v>
      </c>
    </row>
    <row r="84" spans="1:9" x14ac:dyDescent="0.25">
      <c r="A84" t="s">
        <v>231</v>
      </c>
      <c r="B84" t="s">
        <v>232</v>
      </c>
      <c r="C84">
        <v>2017</v>
      </c>
      <c r="D84">
        <v>11</v>
      </c>
      <c r="E84" t="s">
        <v>87</v>
      </c>
      <c r="F84" t="s">
        <v>84</v>
      </c>
      <c r="G84" t="b">
        <v>1</v>
      </c>
      <c r="H84" t="b">
        <v>0</v>
      </c>
      <c r="I84" t="s">
        <v>54</v>
      </c>
    </row>
    <row r="85" spans="1:9" x14ac:dyDescent="0.25">
      <c r="A85" t="s">
        <v>233</v>
      </c>
      <c r="B85" t="s">
        <v>234</v>
      </c>
      <c r="C85">
        <v>2017</v>
      </c>
      <c r="D85">
        <v>12</v>
      </c>
      <c r="E85" t="s">
        <v>90</v>
      </c>
      <c r="F85" t="s">
        <v>84</v>
      </c>
      <c r="G85" t="b">
        <v>1</v>
      </c>
      <c r="H85" t="b">
        <v>0</v>
      </c>
      <c r="I85" t="s">
        <v>54</v>
      </c>
    </row>
    <row r="86" spans="1:9" x14ac:dyDescent="0.25">
      <c r="A86" t="s">
        <v>235</v>
      </c>
      <c r="B86" t="s">
        <v>236</v>
      </c>
      <c r="C86">
        <v>2018</v>
      </c>
      <c r="D86">
        <v>1</v>
      </c>
      <c r="E86" t="s">
        <v>52</v>
      </c>
      <c r="F86" t="s">
        <v>53</v>
      </c>
      <c r="G86" t="b">
        <v>1</v>
      </c>
      <c r="H86" t="b">
        <v>0</v>
      </c>
      <c r="I86" t="s">
        <v>54</v>
      </c>
    </row>
    <row r="87" spans="1:9" x14ac:dyDescent="0.25">
      <c r="A87" t="s">
        <v>237</v>
      </c>
      <c r="B87" t="s">
        <v>238</v>
      </c>
      <c r="C87">
        <v>2018</v>
      </c>
      <c r="D87">
        <v>2</v>
      </c>
      <c r="E87" t="s">
        <v>57</v>
      </c>
      <c r="F87" t="s">
        <v>53</v>
      </c>
      <c r="G87" t="b">
        <v>1</v>
      </c>
      <c r="H87" t="b">
        <v>0</v>
      </c>
      <c r="I87" t="s">
        <v>54</v>
      </c>
    </row>
    <row r="88" spans="1:9" x14ac:dyDescent="0.25">
      <c r="A88" t="s">
        <v>239</v>
      </c>
      <c r="B88" t="s">
        <v>240</v>
      </c>
      <c r="C88">
        <v>2018</v>
      </c>
      <c r="D88">
        <v>3</v>
      </c>
      <c r="E88" t="s">
        <v>60</v>
      </c>
      <c r="F88" t="s">
        <v>53</v>
      </c>
      <c r="G88" t="b">
        <v>1</v>
      </c>
      <c r="H88" t="b">
        <v>0</v>
      </c>
      <c r="I88" t="s">
        <v>54</v>
      </c>
    </row>
    <row r="89" spans="1:9" x14ac:dyDescent="0.25">
      <c r="A89" t="s">
        <v>241</v>
      </c>
      <c r="B89" t="s">
        <v>242</v>
      </c>
      <c r="C89">
        <v>2018</v>
      </c>
      <c r="D89">
        <v>4</v>
      </c>
      <c r="E89" t="s">
        <v>63</v>
      </c>
      <c r="F89" t="s">
        <v>64</v>
      </c>
      <c r="G89" t="b">
        <v>1</v>
      </c>
      <c r="H89" t="b">
        <v>0</v>
      </c>
      <c r="I89" t="s">
        <v>54</v>
      </c>
    </row>
    <row r="90" spans="1:9" x14ac:dyDescent="0.25">
      <c r="A90" t="s">
        <v>243</v>
      </c>
      <c r="B90" t="s">
        <v>244</v>
      </c>
      <c r="C90">
        <v>2018</v>
      </c>
      <c r="D90">
        <v>5</v>
      </c>
      <c r="E90" t="s">
        <v>67</v>
      </c>
      <c r="F90" t="s">
        <v>64</v>
      </c>
      <c r="G90" t="b">
        <v>1</v>
      </c>
      <c r="H90" t="b">
        <v>0</v>
      </c>
      <c r="I90" t="s">
        <v>54</v>
      </c>
    </row>
    <row r="91" spans="1:9" x14ac:dyDescent="0.25">
      <c r="A91" t="s">
        <v>245</v>
      </c>
      <c r="B91" t="s">
        <v>246</v>
      </c>
      <c r="C91">
        <v>2018</v>
      </c>
      <c r="D91">
        <v>6</v>
      </c>
      <c r="E91" t="s">
        <v>70</v>
      </c>
      <c r="F91" t="s">
        <v>64</v>
      </c>
      <c r="G91" t="b">
        <v>1</v>
      </c>
      <c r="H91" t="b">
        <v>0</v>
      </c>
      <c r="I91" t="s">
        <v>54</v>
      </c>
    </row>
    <row r="92" spans="1:9" x14ac:dyDescent="0.25">
      <c r="A92" t="s">
        <v>247</v>
      </c>
      <c r="B92" t="s">
        <v>248</v>
      </c>
      <c r="C92">
        <v>2018</v>
      </c>
      <c r="D92">
        <v>7</v>
      </c>
      <c r="E92" t="s">
        <v>73</v>
      </c>
      <c r="F92" t="s">
        <v>74</v>
      </c>
      <c r="G92" t="b">
        <v>1</v>
      </c>
      <c r="H92" t="b">
        <v>0</v>
      </c>
      <c r="I92" t="s">
        <v>54</v>
      </c>
    </row>
    <row r="93" spans="1:9" x14ac:dyDescent="0.25">
      <c r="A93" t="s">
        <v>249</v>
      </c>
      <c r="B93" t="s">
        <v>250</v>
      </c>
      <c r="C93">
        <v>2018</v>
      </c>
      <c r="D93">
        <v>8</v>
      </c>
      <c r="E93" t="s">
        <v>77</v>
      </c>
      <c r="F93" t="s">
        <v>74</v>
      </c>
      <c r="G93" t="b">
        <v>1</v>
      </c>
      <c r="H93" t="b">
        <v>0</v>
      </c>
      <c r="I93" t="s">
        <v>54</v>
      </c>
    </row>
    <row r="94" spans="1:9" x14ac:dyDescent="0.25">
      <c r="A94" t="s">
        <v>251</v>
      </c>
      <c r="B94" t="s">
        <v>252</v>
      </c>
      <c r="C94">
        <v>2018</v>
      </c>
      <c r="D94">
        <v>9</v>
      </c>
      <c r="E94" t="s">
        <v>80</v>
      </c>
      <c r="F94" t="s">
        <v>74</v>
      </c>
      <c r="G94" t="b">
        <v>1</v>
      </c>
      <c r="H94" t="b">
        <v>0</v>
      </c>
      <c r="I94" t="s">
        <v>54</v>
      </c>
    </row>
    <row r="95" spans="1:9" x14ac:dyDescent="0.25">
      <c r="A95" t="s">
        <v>253</v>
      </c>
      <c r="B95" t="s">
        <v>254</v>
      </c>
      <c r="C95">
        <v>2018</v>
      </c>
      <c r="D95">
        <v>10</v>
      </c>
      <c r="E95" t="s">
        <v>83</v>
      </c>
      <c r="F95" t="s">
        <v>84</v>
      </c>
      <c r="G95" t="b">
        <v>1</v>
      </c>
      <c r="H95" t="b">
        <v>0</v>
      </c>
      <c r="I95" t="s">
        <v>54</v>
      </c>
    </row>
    <row r="96" spans="1:9" x14ac:dyDescent="0.25">
      <c r="A96" t="s">
        <v>255</v>
      </c>
      <c r="B96" t="s">
        <v>256</v>
      </c>
      <c r="C96">
        <v>2018</v>
      </c>
      <c r="D96">
        <v>11</v>
      </c>
      <c r="E96" t="s">
        <v>87</v>
      </c>
      <c r="F96" t="s">
        <v>84</v>
      </c>
      <c r="G96" t="b">
        <v>1</v>
      </c>
      <c r="H96" t="b">
        <v>0</v>
      </c>
      <c r="I96" t="s">
        <v>54</v>
      </c>
    </row>
    <row r="97" spans="1:9" x14ac:dyDescent="0.25">
      <c r="A97" t="s">
        <v>257</v>
      </c>
      <c r="B97" t="s">
        <v>258</v>
      </c>
      <c r="C97">
        <v>2018</v>
      </c>
      <c r="D97">
        <v>12</v>
      </c>
      <c r="E97" t="s">
        <v>90</v>
      </c>
      <c r="F97" t="s">
        <v>84</v>
      </c>
      <c r="G97" t="b">
        <v>1</v>
      </c>
      <c r="H97" t="b">
        <v>0</v>
      </c>
      <c r="I97" t="s">
        <v>54</v>
      </c>
    </row>
    <row r="98" spans="1:9" x14ac:dyDescent="0.25">
      <c r="A98" t="s">
        <v>259</v>
      </c>
      <c r="B98" t="s">
        <v>260</v>
      </c>
      <c r="C98">
        <v>2019</v>
      </c>
      <c r="D98">
        <v>1</v>
      </c>
      <c r="E98" t="s">
        <v>52</v>
      </c>
      <c r="F98" t="s">
        <v>53</v>
      </c>
      <c r="G98" t="b">
        <v>1</v>
      </c>
      <c r="H98" t="b">
        <v>0</v>
      </c>
      <c r="I98" t="s">
        <v>54</v>
      </c>
    </row>
    <row r="99" spans="1:9" x14ac:dyDescent="0.25">
      <c r="A99" t="s">
        <v>261</v>
      </c>
      <c r="B99" t="s">
        <v>262</v>
      </c>
      <c r="C99">
        <v>2019</v>
      </c>
      <c r="D99">
        <v>2</v>
      </c>
      <c r="E99" t="s">
        <v>57</v>
      </c>
      <c r="F99" t="s">
        <v>53</v>
      </c>
      <c r="G99" t="b">
        <v>1</v>
      </c>
      <c r="H99" t="b">
        <v>0</v>
      </c>
      <c r="I99" t="s">
        <v>54</v>
      </c>
    </row>
    <row r="100" spans="1:9" x14ac:dyDescent="0.25">
      <c r="A100" t="s">
        <v>263</v>
      </c>
      <c r="B100" t="s">
        <v>264</v>
      </c>
      <c r="C100">
        <v>2019</v>
      </c>
      <c r="D100">
        <v>3</v>
      </c>
      <c r="E100" t="s">
        <v>60</v>
      </c>
      <c r="F100" t="s">
        <v>53</v>
      </c>
      <c r="G100" t="b">
        <v>1</v>
      </c>
      <c r="H100" t="b">
        <v>0</v>
      </c>
      <c r="I100" t="s">
        <v>54</v>
      </c>
    </row>
    <row r="101" spans="1:9" x14ac:dyDescent="0.25">
      <c r="A101" t="s">
        <v>265</v>
      </c>
      <c r="B101" t="s">
        <v>266</v>
      </c>
      <c r="C101">
        <v>2019</v>
      </c>
      <c r="D101">
        <v>4</v>
      </c>
      <c r="E101" t="s">
        <v>63</v>
      </c>
      <c r="F101" t="s">
        <v>64</v>
      </c>
      <c r="G101" t="b">
        <v>1</v>
      </c>
      <c r="H101" t="b">
        <v>0</v>
      </c>
      <c r="I101" t="s">
        <v>54</v>
      </c>
    </row>
    <row r="102" spans="1:9" x14ac:dyDescent="0.25">
      <c r="A102" t="s">
        <v>267</v>
      </c>
      <c r="B102" t="s">
        <v>268</v>
      </c>
      <c r="C102">
        <v>2019</v>
      </c>
      <c r="D102">
        <v>5</v>
      </c>
      <c r="E102" t="s">
        <v>67</v>
      </c>
      <c r="F102" t="s">
        <v>64</v>
      </c>
      <c r="G102" t="b">
        <v>1</v>
      </c>
      <c r="H102" t="b">
        <v>0</v>
      </c>
      <c r="I102" t="s">
        <v>54</v>
      </c>
    </row>
    <row r="103" spans="1:9" x14ac:dyDescent="0.25">
      <c r="A103" t="s">
        <v>269</v>
      </c>
      <c r="B103" t="s">
        <v>270</v>
      </c>
      <c r="C103">
        <v>2019</v>
      </c>
      <c r="D103">
        <v>6</v>
      </c>
      <c r="E103" t="s">
        <v>70</v>
      </c>
      <c r="F103" t="s">
        <v>64</v>
      </c>
      <c r="G103" t="b">
        <v>1</v>
      </c>
      <c r="H103" t="b">
        <v>0</v>
      </c>
      <c r="I103" t="s">
        <v>54</v>
      </c>
    </row>
    <row r="104" spans="1:9" x14ac:dyDescent="0.25">
      <c r="A104" t="s">
        <v>271</v>
      </c>
      <c r="B104" t="s">
        <v>272</v>
      </c>
      <c r="C104">
        <v>2019</v>
      </c>
      <c r="D104">
        <v>7</v>
      </c>
      <c r="E104" t="s">
        <v>73</v>
      </c>
      <c r="F104" t="s">
        <v>74</v>
      </c>
      <c r="G104" t="b">
        <v>1</v>
      </c>
      <c r="H104" t="b">
        <v>0</v>
      </c>
      <c r="I104" t="s">
        <v>54</v>
      </c>
    </row>
    <row r="105" spans="1:9" x14ac:dyDescent="0.25">
      <c r="A105" t="s">
        <v>273</v>
      </c>
      <c r="B105" t="s">
        <v>274</v>
      </c>
      <c r="C105">
        <v>2019</v>
      </c>
      <c r="D105">
        <v>8</v>
      </c>
      <c r="E105" t="s">
        <v>77</v>
      </c>
      <c r="F105" t="s">
        <v>74</v>
      </c>
      <c r="G105" t="b">
        <v>1</v>
      </c>
      <c r="H105" t="b">
        <v>0</v>
      </c>
      <c r="I105" t="s">
        <v>54</v>
      </c>
    </row>
    <row r="106" spans="1:9" x14ac:dyDescent="0.25">
      <c r="A106" t="s">
        <v>275</v>
      </c>
      <c r="B106" t="s">
        <v>276</v>
      </c>
      <c r="C106">
        <v>2019</v>
      </c>
      <c r="D106">
        <v>9</v>
      </c>
      <c r="E106" t="s">
        <v>80</v>
      </c>
      <c r="F106" t="s">
        <v>74</v>
      </c>
      <c r="G106" t="b">
        <v>1</v>
      </c>
      <c r="H106" t="b">
        <v>0</v>
      </c>
      <c r="I106" t="s">
        <v>54</v>
      </c>
    </row>
    <row r="107" spans="1:9" x14ac:dyDescent="0.25">
      <c r="A107" t="s">
        <v>277</v>
      </c>
      <c r="B107" t="s">
        <v>278</v>
      </c>
      <c r="C107">
        <v>2019</v>
      </c>
      <c r="D107">
        <v>10</v>
      </c>
      <c r="E107" t="s">
        <v>83</v>
      </c>
      <c r="F107" t="s">
        <v>84</v>
      </c>
      <c r="G107" t="b">
        <v>1</v>
      </c>
      <c r="H107" t="b">
        <v>0</v>
      </c>
      <c r="I107" t="s">
        <v>54</v>
      </c>
    </row>
    <row r="108" spans="1:9" x14ac:dyDescent="0.25">
      <c r="A108" t="s">
        <v>279</v>
      </c>
      <c r="B108" t="s">
        <v>280</v>
      </c>
      <c r="C108">
        <v>2019</v>
      </c>
      <c r="D108">
        <v>11</v>
      </c>
      <c r="E108" t="s">
        <v>87</v>
      </c>
      <c r="F108" t="s">
        <v>84</v>
      </c>
      <c r="G108" t="b">
        <v>1</v>
      </c>
      <c r="H108" t="b">
        <v>0</v>
      </c>
      <c r="I108" t="s">
        <v>54</v>
      </c>
    </row>
    <row r="109" spans="1:9" x14ac:dyDescent="0.25">
      <c r="A109" t="s">
        <v>281</v>
      </c>
      <c r="B109" t="s">
        <v>282</v>
      </c>
      <c r="C109">
        <v>2019</v>
      </c>
      <c r="D109">
        <v>12</v>
      </c>
      <c r="E109" t="s">
        <v>90</v>
      </c>
      <c r="F109" t="s">
        <v>84</v>
      </c>
      <c r="G109" t="b">
        <v>1</v>
      </c>
      <c r="H109" t="b">
        <v>0</v>
      </c>
      <c r="I109" t="s">
        <v>54</v>
      </c>
    </row>
    <row r="110" spans="1:9" x14ac:dyDescent="0.25">
      <c r="A110" t="s">
        <v>283</v>
      </c>
      <c r="B110" t="s">
        <v>284</v>
      </c>
      <c r="C110">
        <v>2020</v>
      </c>
      <c r="D110">
        <v>1</v>
      </c>
      <c r="E110" t="s">
        <v>52</v>
      </c>
      <c r="F110" t="s">
        <v>53</v>
      </c>
      <c r="G110" t="b">
        <v>1</v>
      </c>
      <c r="H110" t="b">
        <v>0</v>
      </c>
      <c r="I110" t="s">
        <v>54</v>
      </c>
    </row>
    <row r="111" spans="1:9" x14ac:dyDescent="0.25">
      <c r="A111" t="s">
        <v>285</v>
      </c>
      <c r="B111" t="s">
        <v>286</v>
      </c>
      <c r="C111">
        <v>2020</v>
      </c>
      <c r="D111">
        <v>2</v>
      </c>
      <c r="E111" t="s">
        <v>57</v>
      </c>
      <c r="F111" t="s">
        <v>53</v>
      </c>
      <c r="G111" t="b">
        <v>1</v>
      </c>
      <c r="H111" t="b">
        <v>0</v>
      </c>
      <c r="I111" t="s">
        <v>54</v>
      </c>
    </row>
    <row r="112" spans="1:9" x14ac:dyDescent="0.25">
      <c r="A112" t="s">
        <v>287</v>
      </c>
      <c r="B112" t="s">
        <v>288</v>
      </c>
      <c r="C112">
        <v>2020</v>
      </c>
      <c r="D112">
        <v>3</v>
      </c>
      <c r="E112" t="s">
        <v>60</v>
      </c>
      <c r="F112" t="s">
        <v>53</v>
      </c>
      <c r="G112" t="b">
        <v>1</v>
      </c>
      <c r="H112" t="b">
        <v>0</v>
      </c>
      <c r="I112" t="s">
        <v>54</v>
      </c>
    </row>
    <row r="113" spans="1:9" x14ac:dyDescent="0.25">
      <c r="A113" t="s">
        <v>289</v>
      </c>
      <c r="B113" t="s">
        <v>290</v>
      </c>
      <c r="C113">
        <v>2020</v>
      </c>
      <c r="D113">
        <v>4</v>
      </c>
      <c r="E113" t="s">
        <v>63</v>
      </c>
      <c r="F113" t="s">
        <v>64</v>
      </c>
      <c r="G113" t="b">
        <v>1</v>
      </c>
      <c r="H113" t="b">
        <v>0</v>
      </c>
      <c r="I113" t="s">
        <v>54</v>
      </c>
    </row>
    <row r="114" spans="1:9" x14ac:dyDescent="0.25">
      <c r="A114" t="s">
        <v>291</v>
      </c>
      <c r="B114" t="s">
        <v>292</v>
      </c>
      <c r="C114">
        <v>2020</v>
      </c>
      <c r="D114">
        <v>5</v>
      </c>
      <c r="E114" t="s">
        <v>67</v>
      </c>
      <c r="F114" t="s">
        <v>64</v>
      </c>
      <c r="G114" t="b">
        <v>1</v>
      </c>
      <c r="H114" t="b">
        <v>0</v>
      </c>
      <c r="I114" t="s">
        <v>54</v>
      </c>
    </row>
    <row r="115" spans="1:9" x14ac:dyDescent="0.25">
      <c r="A115" t="s">
        <v>293</v>
      </c>
      <c r="B115" t="s">
        <v>294</v>
      </c>
      <c r="C115">
        <v>2020</v>
      </c>
      <c r="D115">
        <v>6</v>
      </c>
      <c r="E115" t="s">
        <v>70</v>
      </c>
      <c r="F115" t="s">
        <v>64</v>
      </c>
      <c r="G115" t="b">
        <v>1</v>
      </c>
      <c r="H115" t="b">
        <v>0</v>
      </c>
      <c r="I115" t="s">
        <v>54</v>
      </c>
    </row>
    <row r="116" spans="1:9" x14ac:dyDescent="0.25">
      <c r="A116" t="s">
        <v>295</v>
      </c>
      <c r="B116" t="s">
        <v>296</v>
      </c>
      <c r="C116">
        <v>2020</v>
      </c>
      <c r="D116">
        <v>7</v>
      </c>
      <c r="E116" t="s">
        <v>73</v>
      </c>
      <c r="F116" t="s">
        <v>74</v>
      </c>
      <c r="G116" t="b">
        <v>1</v>
      </c>
      <c r="H116" t="b">
        <v>0</v>
      </c>
      <c r="I116" t="s">
        <v>54</v>
      </c>
    </row>
    <row r="117" spans="1:9" x14ac:dyDescent="0.25">
      <c r="A117" t="s">
        <v>297</v>
      </c>
      <c r="B117" t="s">
        <v>298</v>
      </c>
      <c r="C117">
        <v>2020</v>
      </c>
      <c r="D117">
        <v>8</v>
      </c>
      <c r="E117" t="s">
        <v>77</v>
      </c>
      <c r="F117" t="s">
        <v>74</v>
      </c>
      <c r="G117" t="b">
        <v>1</v>
      </c>
      <c r="H117" t="b">
        <v>0</v>
      </c>
      <c r="I117" t="s">
        <v>54</v>
      </c>
    </row>
    <row r="118" spans="1:9" x14ac:dyDescent="0.25">
      <c r="A118" t="s">
        <v>299</v>
      </c>
      <c r="B118" t="s">
        <v>300</v>
      </c>
      <c r="C118">
        <v>2020</v>
      </c>
      <c r="D118">
        <v>9</v>
      </c>
      <c r="E118" t="s">
        <v>80</v>
      </c>
      <c r="F118" t="s">
        <v>74</v>
      </c>
      <c r="G118" t="b">
        <v>1</v>
      </c>
      <c r="H118" t="b">
        <v>0</v>
      </c>
      <c r="I118" t="s">
        <v>54</v>
      </c>
    </row>
    <row r="119" spans="1:9" x14ac:dyDescent="0.25">
      <c r="A119" t="s">
        <v>301</v>
      </c>
      <c r="B119" t="s">
        <v>302</v>
      </c>
      <c r="C119">
        <v>2020</v>
      </c>
      <c r="D119">
        <v>10</v>
      </c>
      <c r="E119" t="s">
        <v>83</v>
      </c>
      <c r="F119" t="s">
        <v>84</v>
      </c>
      <c r="G119" t="b">
        <v>1</v>
      </c>
      <c r="H119" t="b">
        <v>0</v>
      </c>
      <c r="I119" t="s">
        <v>54</v>
      </c>
    </row>
    <row r="120" spans="1:9" x14ac:dyDescent="0.25">
      <c r="A120" t="s">
        <v>303</v>
      </c>
      <c r="B120" t="s">
        <v>304</v>
      </c>
      <c r="C120">
        <v>2020</v>
      </c>
      <c r="D120">
        <v>11</v>
      </c>
      <c r="E120" t="s">
        <v>87</v>
      </c>
      <c r="F120" t="s">
        <v>84</v>
      </c>
      <c r="G120" t="b">
        <v>1</v>
      </c>
      <c r="H120" t="b">
        <v>0</v>
      </c>
      <c r="I120" t="s">
        <v>54</v>
      </c>
    </row>
    <row r="121" spans="1:9" x14ac:dyDescent="0.25">
      <c r="A121" t="s">
        <v>305</v>
      </c>
      <c r="B121" t="s">
        <v>306</v>
      </c>
      <c r="C121">
        <v>2020</v>
      </c>
      <c r="D121">
        <v>12</v>
      </c>
      <c r="E121" t="s">
        <v>90</v>
      </c>
      <c r="F121" t="s">
        <v>84</v>
      </c>
      <c r="G121" t="b">
        <v>1</v>
      </c>
      <c r="H121" t="b">
        <v>0</v>
      </c>
      <c r="I121" t="s">
        <v>54</v>
      </c>
    </row>
    <row r="122" spans="1:9" x14ac:dyDescent="0.25">
      <c r="A122" t="s">
        <v>307</v>
      </c>
      <c r="B122" t="s">
        <v>308</v>
      </c>
      <c r="C122">
        <v>2021</v>
      </c>
      <c r="D122">
        <v>1</v>
      </c>
      <c r="E122" t="s">
        <v>52</v>
      </c>
      <c r="F122" t="s">
        <v>53</v>
      </c>
      <c r="G122" t="b">
        <v>1</v>
      </c>
      <c r="H122" t="b">
        <v>0</v>
      </c>
      <c r="I122" t="s">
        <v>54</v>
      </c>
    </row>
    <row r="123" spans="1:9" x14ac:dyDescent="0.25">
      <c r="A123" t="s">
        <v>309</v>
      </c>
      <c r="B123" t="s">
        <v>310</v>
      </c>
      <c r="C123">
        <v>2021</v>
      </c>
      <c r="D123">
        <v>2</v>
      </c>
      <c r="E123" t="s">
        <v>57</v>
      </c>
      <c r="F123" t="s">
        <v>53</v>
      </c>
      <c r="G123" t="b">
        <v>1</v>
      </c>
      <c r="H123" t="b">
        <v>0</v>
      </c>
      <c r="I123" t="s">
        <v>54</v>
      </c>
    </row>
    <row r="124" spans="1:9" x14ac:dyDescent="0.25">
      <c r="A124" t="s">
        <v>311</v>
      </c>
      <c r="B124" t="s">
        <v>312</v>
      </c>
      <c r="C124">
        <v>2021</v>
      </c>
      <c r="D124">
        <v>3</v>
      </c>
      <c r="E124" t="s">
        <v>60</v>
      </c>
      <c r="F124" t="s">
        <v>53</v>
      </c>
      <c r="G124" t="b">
        <v>1</v>
      </c>
      <c r="H124" t="b">
        <v>0</v>
      </c>
      <c r="I124" t="s">
        <v>54</v>
      </c>
    </row>
    <row r="125" spans="1:9" x14ac:dyDescent="0.25">
      <c r="A125" t="s">
        <v>313</v>
      </c>
      <c r="B125" t="s">
        <v>314</v>
      </c>
      <c r="C125">
        <v>2021</v>
      </c>
      <c r="D125">
        <v>4</v>
      </c>
      <c r="E125" t="s">
        <v>63</v>
      </c>
      <c r="F125" t="s">
        <v>64</v>
      </c>
      <c r="G125" t="b">
        <v>1</v>
      </c>
      <c r="H125" t="b">
        <v>0</v>
      </c>
      <c r="I125" t="s">
        <v>54</v>
      </c>
    </row>
    <row r="126" spans="1:9" x14ac:dyDescent="0.25">
      <c r="A126" t="s">
        <v>315</v>
      </c>
      <c r="B126" t="s">
        <v>316</v>
      </c>
      <c r="C126">
        <v>2021</v>
      </c>
      <c r="D126">
        <v>5</v>
      </c>
      <c r="E126" t="s">
        <v>67</v>
      </c>
      <c r="F126" t="s">
        <v>64</v>
      </c>
      <c r="G126" t="b">
        <v>1</v>
      </c>
      <c r="H126" t="b">
        <v>0</v>
      </c>
      <c r="I126" t="s">
        <v>54</v>
      </c>
    </row>
    <row r="127" spans="1:9" x14ac:dyDescent="0.25">
      <c r="A127" t="s">
        <v>317</v>
      </c>
      <c r="B127" t="s">
        <v>318</v>
      </c>
      <c r="C127">
        <v>2021</v>
      </c>
      <c r="D127">
        <v>6</v>
      </c>
      <c r="E127" t="s">
        <v>70</v>
      </c>
      <c r="F127" t="s">
        <v>64</v>
      </c>
      <c r="G127" t="b">
        <v>1</v>
      </c>
      <c r="H127" t="b">
        <v>0</v>
      </c>
      <c r="I127" t="s">
        <v>54</v>
      </c>
    </row>
    <row r="128" spans="1:9" x14ac:dyDescent="0.25">
      <c r="A128" t="s">
        <v>319</v>
      </c>
      <c r="B128" t="s">
        <v>320</v>
      </c>
      <c r="C128">
        <v>2021</v>
      </c>
      <c r="D128">
        <v>7</v>
      </c>
      <c r="E128" t="s">
        <v>73</v>
      </c>
      <c r="F128" t="s">
        <v>74</v>
      </c>
      <c r="G128" t="b">
        <v>1</v>
      </c>
      <c r="H128" t="b">
        <v>0</v>
      </c>
      <c r="I128" t="s">
        <v>54</v>
      </c>
    </row>
    <row r="129" spans="1:9" x14ac:dyDescent="0.25">
      <c r="A129" t="s">
        <v>321</v>
      </c>
      <c r="B129" t="s">
        <v>322</v>
      </c>
      <c r="C129">
        <v>2021</v>
      </c>
      <c r="D129">
        <v>8</v>
      </c>
      <c r="E129" t="s">
        <v>77</v>
      </c>
      <c r="F129" t="s">
        <v>74</v>
      </c>
      <c r="G129" t="b">
        <v>1</v>
      </c>
      <c r="H129" t="b">
        <v>0</v>
      </c>
      <c r="I129" t="s">
        <v>54</v>
      </c>
    </row>
    <row r="130" spans="1:9" x14ac:dyDescent="0.25">
      <c r="A130" t="s">
        <v>323</v>
      </c>
      <c r="B130" t="s">
        <v>324</v>
      </c>
      <c r="C130">
        <v>2021</v>
      </c>
      <c r="D130">
        <v>9</v>
      </c>
      <c r="E130" t="s">
        <v>80</v>
      </c>
      <c r="F130" t="s">
        <v>74</v>
      </c>
      <c r="G130" t="b">
        <v>1</v>
      </c>
      <c r="H130" t="b">
        <v>0</v>
      </c>
      <c r="I130" t="s">
        <v>54</v>
      </c>
    </row>
    <row r="131" spans="1:9" x14ac:dyDescent="0.25">
      <c r="A131" t="s">
        <v>325</v>
      </c>
      <c r="B131" t="s">
        <v>326</v>
      </c>
      <c r="C131">
        <v>2021</v>
      </c>
      <c r="D131">
        <v>10</v>
      </c>
      <c r="E131" t="s">
        <v>83</v>
      </c>
      <c r="F131" t="s">
        <v>84</v>
      </c>
      <c r="G131" t="b">
        <v>1</v>
      </c>
      <c r="H131" t="b">
        <v>0</v>
      </c>
      <c r="I131" t="s">
        <v>54</v>
      </c>
    </row>
    <row r="132" spans="1:9" x14ac:dyDescent="0.25">
      <c r="A132" t="s">
        <v>327</v>
      </c>
      <c r="B132" t="s">
        <v>328</v>
      </c>
      <c r="C132">
        <v>2021</v>
      </c>
      <c r="D132">
        <v>11</v>
      </c>
      <c r="E132" t="s">
        <v>87</v>
      </c>
      <c r="F132" t="s">
        <v>84</v>
      </c>
      <c r="G132" t="b">
        <v>1</v>
      </c>
      <c r="H132" t="b">
        <v>0</v>
      </c>
      <c r="I132" t="s">
        <v>54</v>
      </c>
    </row>
    <row r="133" spans="1:9" x14ac:dyDescent="0.25">
      <c r="A133" t="s">
        <v>329</v>
      </c>
      <c r="B133" t="s">
        <v>330</v>
      </c>
      <c r="C133">
        <v>2021</v>
      </c>
      <c r="D133">
        <v>12</v>
      </c>
      <c r="E133" t="s">
        <v>90</v>
      </c>
      <c r="F133" t="s">
        <v>84</v>
      </c>
      <c r="G133" t="b">
        <v>1</v>
      </c>
      <c r="H133" t="b">
        <v>0</v>
      </c>
      <c r="I133" t="s">
        <v>54</v>
      </c>
    </row>
    <row r="134" spans="1:9" x14ac:dyDescent="0.25">
      <c r="A134" t="s">
        <v>331</v>
      </c>
      <c r="B134" t="s">
        <v>332</v>
      </c>
      <c r="C134">
        <v>2022</v>
      </c>
      <c r="D134">
        <v>1</v>
      </c>
      <c r="E134" t="s">
        <v>52</v>
      </c>
      <c r="F134" t="s">
        <v>53</v>
      </c>
      <c r="G134" t="b">
        <v>1</v>
      </c>
      <c r="H134" t="b">
        <v>0</v>
      </c>
      <c r="I134" t="s">
        <v>54</v>
      </c>
    </row>
    <row r="135" spans="1:9" x14ac:dyDescent="0.25">
      <c r="A135" t="s">
        <v>333</v>
      </c>
      <c r="B135" t="s">
        <v>334</v>
      </c>
      <c r="C135">
        <v>2022</v>
      </c>
      <c r="D135">
        <v>2</v>
      </c>
      <c r="E135" t="s">
        <v>57</v>
      </c>
      <c r="F135" t="s">
        <v>53</v>
      </c>
      <c r="G135" t="b">
        <v>1</v>
      </c>
      <c r="H135" t="b">
        <v>0</v>
      </c>
      <c r="I135" t="s">
        <v>54</v>
      </c>
    </row>
    <row r="136" spans="1:9" x14ac:dyDescent="0.25">
      <c r="A136" t="s">
        <v>335</v>
      </c>
      <c r="B136" t="s">
        <v>336</v>
      </c>
      <c r="C136">
        <v>2022</v>
      </c>
      <c r="D136">
        <v>3</v>
      </c>
      <c r="E136" t="s">
        <v>60</v>
      </c>
      <c r="F136" t="s">
        <v>53</v>
      </c>
      <c r="G136" t="b">
        <v>1</v>
      </c>
      <c r="H136" t="b">
        <v>0</v>
      </c>
      <c r="I136" t="s">
        <v>54</v>
      </c>
    </row>
    <row r="137" spans="1:9" x14ac:dyDescent="0.25">
      <c r="A137" t="s">
        <v>337</v>
      </c>
      <c r="B137" t="s">
        <v>338</v>
      </c>
      <c r="C137">
        <v>2022</v>
      </c>
      <c r="D137">
        <v>4</v>
      </c>
      <c r="E137" t="s">
        <v>63</v>
      </c>
      <c r="F137" t="s">
        <v>64</v>
      </c>
      <c r="G137" t="b">
        <v>1</v>
      </c>
      <c r="H137" t="b">
        <v>0</v>
      </c>
      <c r="I137" t="s">
        <v>54</v>
      </c>
    </row>
    <row r="138" spans="1:9" x14ac:dyDescent="0.25">
      <c r="A138" t="s">
        <v>339</v>
      </c>
      <c r="B138" t="s">
        <v>340</v>
      </c>
      <c r="C138">
        <v>2022</v>
      </c>
      <c r="D138">
        <v>5</v>
      </c>
      <c r="E138" t="s">
        <v>67</v>
      </c>
      <c r="F138" t="s">
        <v>64</v>
      </c>
      <c r="G138" t="b">
        <v>1</v>
      </c>
      <c r="H138" t="b">
        <v>0</v>
      </c>
      <c r="I138" t="s">
        <v>54</v>
      </c>
    </row>
    <row r="139" spans="1:9" x14ac:dyDescent="0.25">
      <c r="A139" t="s">
        <v>341</v>
      </c>
      <c r="B139" t="s">
        <v>342</v>
      </c>
      <c r="C139">
        <v>2022</v>
      </c>
      <c r="D139">
        <v>6</v>
      </c>
      <c r="E139" t="s">
        <v>70</v>
      </c>
      <c r="F139" t="s">
        <v>64</v>
      </c>
      <c r="G139" t="b">
        <v>1</v>
      </c>
      <c r="H139" t="b">
        <v>0</v>
      </c>
      <c r="I139" t="s">
        <v>54</v>
      </c>
    </row>
    <row r="140" spans="1:9" x14ac:dyDescent="0.25">
      <c r="A140" t="s">
        <v>343</v>
      </c>
      <c r="B140" t="s">
        <v>344</v>
      </c>
      <c r="C140">
        <v>2022</v>
      </c>
      <c r="D140">
        <v>7</v>
      </c>
      <c r="E140" t="s">
        <v>73</v>
      </c>
      <c r="F140" t="s">
        <v>74</v>
      </c>
      <c r="G140" t="b">
        <v>1</v>
      </c>
      <c r="H140" t="b">
        <v>0</v>
      </c>
      <c r="I140" t="s">
        <v>54</v>
      </c>
    </row>
    <row r="141" spans="1:9" x14ac:dyDescent="0.25">
      <c r="A141" t="s">
        <v>345</v>
      </c>
      <c r="B141" t="s">
        <v>346</v>
      </c>
      <c r="C141">
        <v>2022</v>
      </c>
      <c r="D141">
        <v>8</v>
      </c>
      <c r="E141" t="s">
        <v>77</v>
      </c>
      <c r="F141" t="s">
        <v>74</v>
      </c>
      <c r="G141" t="b">
        <v>1</v>
      </c>
      <c r="H141" t="b">
        <v>0</v>
      </c>
      <c r="I141" t="s">
        <v>54</v>
      </c>
    </row>
    <row r="142" spans="1:9" x14ac:dyDescent="0.25">
      <c r="A142" t="s">
        <v>347</v>
      </c>
      <c r="B142" t="s">
        <v>348</v>
      </c>
      <c r="C142">
        <v>2022</v>
      </c>
      <c r="D142">
        <v>9</v>
      </c>
      <c r="E142" t="s">
        <v>80</v>
      </c>
      <c r="F142" t="s">
        <v>74</v>
      </c>
      <c r="G142" t="b">
        <v>1</v>
      </c>
      <c r="H142" t="b">
        <v>0</v>
      </c>
      <c r="I142" t="s">
        <v>54</v>
      </c>
    </row>
    <row r="143" spans="1:9" x14ac:dyDescent="0.25">
      <c r="A143" t="s">
        <v>349</v>
      </c>
      <c r="B143" t="s">
        <v>350</v>
      </c>
      <c r="C143">
        <v>2022</v>
      </c>
      <c r="D143">
        <v>10</v>
      </c>
      <c r="E143" t="s">
        <v>83</v>
      </c>
      <c r="F143" t="s">
        <v>84</v>
      </c>
      <c r="G143" t="b">
        <v>1</v>
      </c>
      <c r="H143" t="b">
        <v>0</v>
      </c>
      <c r="I143" t="s">
        <v>54</v>
      </c>
    </row>
    <row r="144" spans="1:9" x14ac:dyDescent="0.25">
      <c r="A144" t="s">
        <v>351</v>
      </c>
      <c r="B144" t="s">
        <v>352</v>
      </c>
      <c r="C144">
        <v>2022</v>
      </c>
      <c r="D144">
        <v>11</v>
      </c>
      <c r="E144" t="s">
        <v>87</v>
      </c>
      <c r="F144" t="s">
        <v>84</v>
      </c>
      <c r="G144" t="b">
        <v>1</v>
      </c>
      <c r="H144" t="b">
        <v>0</v>
      </c>
      <c r="I144" t="s">
        <v>54</v>
      </c>
    </row>
    <row r="145" spans="1:9" x14ac:dyDescent="0.25">
      <c r="A145" t="s">
        <v>353</v>
      </c>
      <c r="B145" t="s">
        <v>354</v>
      </c>
      <c r="C145">
        <v>2022</v>
      </c>
      <c r="D145">
        <v>12</v>
      </c>
      <c r="E145" t="s">
        <v>90</v>
      </c>
      <c r="F145" t="s">
        <v>84</v>
      </c>
      <c r="G145" t="b">
        <v>1</v>
      </c>
      <c r="H145" t="b">
        <v>0</v>
      </c>
      <c r="I145" t="s">
        <v>54</v>
      </c>
    </row>
    <row r="146" spans="1:9" x14ac:dyDescent="0.25">
      <c r="A146" t="s">
        <v>355</v>
      </c>
      <c r="B146" t="s">
        <v>356</v>
      </c>
      <c r="C146">
        <v>2023</v>
      </c>
      <c r="D146">
        <v>1</v>
      </c>
      <c r="E146" t="s">
        <v>52</v>
      </c>
      <c r="F146" t="s">
        <v>53</v>
      </c>
      <c r="G146" t="b">
        <v>1</v>
      </c>
      <c r="H146" t="b">
        <v>0</v>
      </c>
      <c r="I146" t="s">
        <v>54</v>
      </c>
    </row>
    <row r="147" spans="1:9" x14ac:dyDescent="0.25">
      <c r="A147" t="s">
        <v>357</v>
      </c>
      <c r="B147" t="s">
        <v>358</v>
      </c>
      <c r="C147">
        <v>2023</v>
      </c>
      <c r="D147">
        <v>2</v>
      </c>
      <c r="E147" t="s">
        <v>57</v>
      </c>
      <c r="F147" t="s">
        <v>53</v>
      </c>
      <c r="G147" t="b">
        <v>1</v>
      </c>
      <c r="H147" t="b">
        <v>0</v>
      </c>
      <c r="I147" t="s">
        <v>54</v>
      </c>
    </row>
    <row r="148" spans="1:9" x14ac:dyDescent="0.25">
      <c r="A148" t="s">
        <v>359</v>
      </c>
      <c r="B148" t="s">
        <v>360</v>
      </c>
      <c r="C148">
        <v>2023</v>
      </c>
      <c r="D148">
        <v>3</v>
      </c>
      <c r="E148" t="s">
        <v>60</v>
      </c>
      <c r="F148" t="s">
        <v>53</v>
      </c>
      <c r="G148" t="b">
        <v>1</v>
      </c>
      <c r="H148" t="b">
        <v>0</v>
      </c>
      <c r="I148" t="s">
        <v>54</v>
      </c>
    </row>
    <row r="149" spans="1:9" x14ac:dyDescent="0.25">
      <c r="A149" t="s">
        <v>361</v>
      </c>
      <c r="B149" t="s">
        <v>362</v>
      </c>
      <c r="C149">
        <v>2023</v>
      </c>
      <c r="D149">
        <v>4</v>
      </c>
      <c r="E149" t="s">
        <v>63</v>
      </c>
      <c r="F149" t="s">
        <v>64</v>
      </c>
      <c r="G149" t="b">
        <v>1</v>
      </c>
      <c r="H149" t="b">
        <v>0</v>
      </c>
      <c r="I149" t="s">
        <v>54</v>
      </c>
    </row>
    <row r="150" spans="1:9" x14ac:dyDescent="0.25">
      <c r="A150" t="s">
        <v>363</v>
      </c>
      <c r="B150" t="s">
        <v>364</v>
      </c>
      <c r="C150">
        <v>2023</v>
      </c>
      <c r="D150">
        <v>5</v>
      </c>
      <c r="E150" t="s">
        <v>67</v>
      </c>
      <c r="F150" t="s">
        <v>64</v>
      </c>
      <c r="G150" t="b">
        <v>1</v>
      </c>
      <c r="H150" t="b">
        <v>0</v>
      </c>
      <c r="I150" t="s">
        <v>54</v>
      </c>
    </row>
    <row r="151" spans="1:9" x14ac:dyDescent="0.25">
      <c r="A151" t="s">
        <v>365</v>
      </c>
      <c r="B151" t="s">
        <v>366</v>
      </c>
      <c r="C151">
        <v>2023</v>
      </c>
      <c r="D151">
        <v>6</v>
      </c>
      <c r="E151" t="s">
        <v>70</v>
      </c>
      <c r="F151" t="s">
        <v>64</v>
      </c>
      <c r="G151" t="b">
        <v>1</v>
      </c>
      <c r="H151" t="b">
        <v>0</v>
      </c>
      <c r="I151" t="s">
        <v>54</v>
      </c>
    </row>
    <row r="152" spans="1:9" x14ac:dyDescent="0.25">
      <c r="A152" t="s">
        <v>367</v>
      </c>
      <c r="B152" t="s">
        <v>368</v>
      </c>
      <c r="C152">
        <v>2023</v>
      </c>
      <c r="D152">
        <v>7</v>
      </c>
      <c r="E152" t="s">
        <v>73</v>
      </c>
      <c r="F152" t="s">
        <v>74</v>
      </c>
      <c r="G152" t="b">
        <v>1</v>
      </c>
      <c r="H152" t="b">
        <v>0</v>
      </c>
      <c r="I152" t="s">
        <v>54</v>
      </c>
    </row>
    <row r="153" spans="1:9" x14ac:dyDescent="0.25">
      <c r="A153" t="s">
        <v>369</v>
      </c>
      <c r="B153" t="s">
        <v>370</v>
      </c>
      <c r="C153">
        <v>2023</v>
      </c>
      <c r="D153">
        <v>8</v>
      </c>
      <c r="E153" t="s">
        <v>77</v>
      </c>
      <c r="F153" t="s">
        <v>74</v>
      </c>
      <c r="G153" t="b">
        <v>1</v>
      </c>
      <c r="H153" t="b">
        <v>0</v>
      </c>
      <c r="I153" t="s">
        <v>54</v>
      </c>
    </row>
    <row r="154" spans="1:9" x14ac:dyDescent="0.25">
      <c r="A154" t="s">
        <v>371</v>
      </c>
      <c r="B154" t="s">
        <v>372</v>
      </c>
      <c r="C154">
        <v>2023</v>
      </c>
      <c r="D154">
        <v>9</v>
      </c>
      <c r="E154" t="s">
        <v>80</v>
      </c>
      <c r="F154" t="s">
        <v>74</v>
      </c>
      <c r="G154" t="b">
        <v>1</v>
      </c>
      <c r="H154" t="b">
        <v>0</v>
      </c>
      <c r="I154" t="s">
        <v>54</v>
      </c>
    </row>
    <row r="155" spans="1:9" x14ac:dyDescent="0.25">
      <c r="A155" t="s">
        <v>373</v>
      </c>
      <c r="B155" t="s">
        <v>374</v>
      </c>
      <c r="C155">
        <v>2023</v>
      </c>
      <c r="D155">
        <v>10</v>
      </c>
      <c r="E155" t="s">
        <v>83</v>
      </c>
      <c r="F155" t="s">
        <v>84</v>
      </c>
      <c r="G155" t="b">
        <v>1</v>
      </c>
      <c r="H155" t="b">
        <v>0</v>
      </c>
      <c r="I155" t="s">
        <v>54</v>
      </c>
    </row>
    <row r="156" spans="1:9" x14ac:dyDescent="0.25">
      <c r="A156" t="s">
        <v>375</v>
      </c>
      <c r="B156" t="s">
        <v>376</v>
      </c>
      <c r="C156">
        <v>2023</v>
      </c>
      <c r="D156">
        <v>11</v>
      </c>
      <c r="E156" t="s">
        <v>87</v>
      </c>
      <c r="F156" t="s">
        <v>84</v>
      </c>
      <c r="G156" t="b">
        <v>1</v>
      </c>
      <c r="H156" t="b">
        <v>0</v>
      </c>
      <c r="I156" t="s">
        <v>377</v>
      </c>
    </row>
    <row r="157" spans="1:9" x14ac:dyDescent="0.25">
      <c r="A157" t="s">
        <v>378</v>
      </c>
      <c r="B157" t="s">
        <v>379</v>
      </c>
      <c r="C157">
        <v>2023</v>
      </c>
      <c r="D157">
        <v>12</v>
      </c>
      <c r="E157" t="s">
        <v>90</v>
      </c>
      <c r="F157" t="s">
        <v>84</v>
      </c>
      <c r="G157" t="b">
        <v>1</v>
      </c>
      <c r="H157" t="b">
        <v>0</v>
      </c>
      <c r="I157" t="s">
        <v>377</v>
      </c>
    </row>
    <row r="158" spans="1:9" x14ac:dyDescent="0.25">
      <c r="A158" t="s">
        <v>380</v>
      </c>
      <c r="B158" t="s">
        <v>381</v>
      </c>
      <c r="C158">
        <v>2024</v>
      </c>
      <c r="D158">
        <v>1</v>
      </c>
      <c r="E158" t="s">
        <v>52</v>
      </c>
      <c r="F158" t="s">
        <v>53</v>
      </c>
      <c r="G158" t="b">
        <v>1</v>
      </c>
      <c r="H158" t="b">
        <v>0</v>
      </c>
      <c r="I158" t="s">
        <v>377</v>
      </c>
    </row>
    <row r="159" spans="1:9" x14ac:dyDescent="0.25">
      <c r="A159" t="s">
        <v>382</v>
      </c>
      <c r="B159" t="s">
        <v>383</v>
      </c>
      <c r="C159">
        <v>2024</v>
      </c>
      <c r="D159">
        <v>2</v>
      </c>
      <c r="E159" t="s">
        <v>57</v>
      </c>
      <c r="F159" t="s">
        <v>53</v>
      </c>
      <c r="G159" t="b">
        <v>1</v>
      </c>
      <c r="H159" t="b">
        <v>0</v>
      </c>
      <c r="I159" t="s">
        <v>377</v>
      </c>
    </row>
    <row r="160" spans="1:9" x14ac:dyDescent="0.25">
      <c r="A160" t="s">
        <v>384</v>
      </c>
      <c r="B160" t="s">
        <v>385</v>
      </c>
      <c r="C160">
        <v>2024</v>
      </c>
      <c r="D160">
        <v>3</v>
      </c>
      <c r="E160" t="s">
        <v>60</v>
      </c>
      <c r="F160" t="s">
        <v>53</v>
      </c>
      <c r="G160" t="b">
        <v>1</v>
      </c>
      <c r="H160" t="b">
        <v>0</v>
      </c>
      <c r="I160" t="s">
        <v>377</v>
      </c>
    </row>
    <row r="161" spans="1:9" x14ac:dyDescent="0.25">
      <c r="A161" t="s">
        <v>386</v>
      </c>
      <c r="B161" t="s">
        <v>387</v>
      </c>
      <c r="C161">
        <v>2024</v>
      </c>
      <c r="D161">
        <v>4</v>
      </c>
      <c r="E161" t="s">
        <v>63</v>
      </c>
      <c r="F161" t="s">
        <v>64</v>
      </c>
      <c r="G161" t="b">
        <v>1</v>
      </c>
      <c r="H161" t="b">
        <v>0</v>
      </c>
      <c r="I161" t="s">
        <v>377</v>
      </c>
    </row>
    <row r="162" spans="1:9" x14ac:dyDescent="0.25">
      <c r="A162" t="s">
        <v>388</v>
      </c>
      <c r="B162" t="s">
        <v>389</v>
      </c>
      <c r="C162">
        <v>2024</v>
      </c>
      <c r="D162">
        <v>5</v>
      </c>
      <c r="E162" t="s">
        <v>67</v>
      </c>
      <c r="F162" t="s">
        <v>64</v>
      </c>
      <c r="G162" t="b">
        <v>1</v>
      </c>
      <c r="H162" t="b">
        <v>0</v>
      </c>
      <c r="I162" t="s">
        <v>377</v>
      </c>
    </row>
    <row r="163" spans="1:9" x14ac:dyDescent="0.25">
      <c r="A163" t="s">
        <v>390</v>
      </c>
      <c r="B163" t="s">
        <v>391</v>
      </c>
      <c r="C163">
        <v>2024</v>
      </c>
      <c r="D163">
        <v>6</v>
      </c>
      <c r="E163" t="s">
        <v>70</v>
      </c>
      <c r="F163" t="s">
        <v>64</v>
      </c>
      <c r="G163" t="b">
        <v>1</v>
      </c>
      <c r="H163" t="b">
        <v>0</v>
      </c>
      <c r="I163" t="s">
        <v>377</v>
      </c>
    </row>
    <row r="164" spans="1:9" x14ac:dyDescent="0.25">
      <c r="A164" t="s">
        <v>392</v>
      </c>
      <c r="B164" t="s">
        <v>393</v>
      </c>
      <c r="C164">
        <v>2024</v>
      </c>
      <c r="D164">
        <v>7</v>
      </c>
      <c r="E164" t="s">
        <v>73</v>
      </c>
      <c r="F164" t="s">
        <v>74</v>
      </c>
      <c r="G164" t="b">
        <v>1</v>
      </c>
      <c r="H164" t="b">
        <v>0</v>
      </c>
      <c r="I164" t="s">
        <v>377</v>
      </c>
    </row>
    <row r="165" spans="1:9" x14ac:dyDescent="0.25">
      <c r="A165" t="s">
        <v>394</v>
      </c>
      <c r="B165" t="s">
        <v>395</v>
      </c>
      <c r="C165">
        <v>2024</v>
      </c>
      <c r="D165">
        <v>8</v>
      </c>
      <c r="E165" t="s">
        <v>77</v>
      </c>
      <c r="F165" t="s">
        <v>74</v>
      </c>
      <c r="G165" t="b">
        <v>1</v>
      </c>
      <c r="H165" t="b">
        <v>0</v>
      </c>
      <c r="I165" t="s">
        <v>377</v>
      </c>
    </row>
    <row r="166" spans="1:9" x14ac:dyDescent="0.25">
      <c r="A166" t="s">
        <v>396</v>
      </c>
      <c r="B166" t="s">
        <v>397</v>
      </c>
      <c r="C166">
        <v>2024</v>
      </c>
      <c r="D166">
        <v>9</v>
      </c>
      <c r="E166" t="s">
        <v>80</v>
      </c>
      <c r="F166" t="s">
        <v>74</v>
      </c>
      <c r="G166" t="b">
        <v>1</v>
      </c>
      <c r="H166" t="b">
        <v>0</v>
      </c>
      <c r="I166" t="s">
        <v>377</v>
      </c>
    </row>
    <row r="167" spans="1:9" x14ac:dyDescent="0.25">
      <c r="A167" t="s">
        <v>398</v>
      </c>
      <c r="B167" t="s">
        <v>399</v>
      </c>
      <c r="C167">
        <v>2024</v>
      </c>
      <c r="D167">
        <v>10</v>
      </c>
      <c r="E167" t="s">
        <v>83</v>
      </c>
      <c r="F167" t="s">
        <v>84</v>
      </c>
      <c r="G167" t="b">
        <v>1</v>
      </c>
      <c r="H167" t="b">
        <v>0</v>
      </c>
      <c r="I167" t="s">
        <v>377</v>
      </c>
    </row>
    <row r="168" spans="1:9" x14ac:dyDescent="0.25">
      <c r="A168" t="s">
        <v>400</v>
      </c>
      <c r="B168" t="s">
        <v>401</v>
      </c>
      <c r="C168">
        <v>2024</v>
      </c>
      <c r="D168">
        <v>11</v>
      </c>
      <c r="E168" t="s">
        <v>87</v>
      </c>
      <c r="F168" t="s">
        <v>84</v>
      </c>
      <c r="G168" t="b">
        <v>1</v>
      </c>
      <c r="H168" t="b">
        <v>0</v>
      </c>
      <c r="I168" t="s">
        <v>377</v>
      </c>
    </row>
    <row r="169" spans="1:9" x14ac:dyDescent="0.25">
      <c r="A169" t="s">
        <v>402</v>
      </c>
      <c r="B169" t="s">
        <v>403</v>
      </c>
      <c r="C169">
        <v>2024</v>
      </c>
      <c r="D169">
        <v>12</v>
      </c>
      <c r="E169" t="s">
        <v>90</v>
      </c>
      <c r="F169" t="s">
        <v>84</v>
      </c>
      <c r="G169" t="b">
        <v>1</v>
      </c>
      <c r="H169" t="b">
        <v>0</v>
      </c>
      <c r="I169" t="s">
        <v>377</v>
      </c>
    </row>
    <row r="170" spans="1:9" x14ac:dyDescent="0.25">
      <c r="A170" t="s">
        <v>404</v>
      </c>
      <c r="B170" t="s">
        <v>405</v>
      </c>
      <c r="C170">
        <v>2025</v>
      </c>
      <c r="D170">
        <v>1</v>
      </c>
      <c r="E170" t="s">
        <v>52</v>
      </c>
      <c r="F170" t="s">
        <v>53</v>
      </c>
      <c r="G170" t="b">
        <v>1</v>
      </c>
      <c r="H170" t="b">
        <v>0</v>
      </c>
      <c r="I170" t="s">
        <v>377</v>
      </c>
    </row>
    <row r="171" spans="1:9" x14ac:dyDescent="0.25">
      <c r="A171" t="s">
        <v>406</v>
      </c>
      <c r="B171" t="s">
        <v>407</v>
      </c>
      <c r="C171">
        <v>2025</v>
      </c>
      <c r="D171">
        <v>2</v>
      </c>
      <c r="E171" t="s">
        <v>57</v>
      </c>
      <c r="F171" t="s">
        <v>53</v>
      </c>
      <c r="G171" t="b">
        <v>1</v>
      </c>
      <c r="H171" t="b">
        <v>0</v>
      </c>
      <c r="I171" t="s">
        <v>377</v>
      </c>
    </row>
    <row r="172" spans="1:9" x14ac:dyDescent="0.25">
      <c r="A172" t="s">
        <v>408</v>
      </c>
      <c r="B172" t="s">
        <v>409</v>
      </c>
      <c r="C172">
        <v>2025</v>
      </c>
      <c r="D172">
        <v>3</v>
      </c>
      <c r="E172" t="s">
        <v>60</v>
      </c>
      <c r="F172" t="s">
        <v>53</v>
      </c>
      <c r="G172" t="b">
        <v>1</v>
      </c>
      <c r="H172" t="b">
        <v>0</v>
      </c>
      <c r="I172" t="s">
        <v>377</v>
      </c>
    </row>
    <row r="173" spans="1:9" x14ac:dyDescent="0.25">
      <c r="A173" t="s">
        <v>410</v>
      </c>
      <c r="B173" t="s">
        <v>411</v>
      </c>
      <c r="C173">
        <v>2025</v>
      </c>
      <c r="D173">
        <v>4</v>
      </c>
      <c r="E173" t="s">
        <v>63</v>
      </c>
      <c r="F173" t="s">
        <v>64</v>
      </c>
      <c r="G173" t="b">
        <v>1</v>
      </c>
      <c r="H173" t="b">
        <v>0</v>
      </c>
      <c r="I173" t="s">
        <v>377</v>
      </c>
    </row>
    <row r="174" spans="1:9" x14ac:dyDescent="0.25">
      <c r="A174" t="s">
        <v>412</v>
      </c>
      <c r="B174" t="s">
        <v>413</v>
      </c>
      <c r="C174">
        <v>2025</v>
      </c>
      <c r="D174">
        <v>5</v>
      </c>
      <c r="E174" t="s">
        <v>67</v>
      </c>
      <c r="F174" t="s">
        <v>64</v>
      </c>
      <c r="G174" t="b">
        <v>1</v>
      </c>
      <c r="H174" t="b">
        <v>0</v>
      </c>
      <c r="I174" t="s">
        <v>377</v>
      </c>
    </row>
    <row r="175" spans="1:9" x14ac:dyDescent="0.25">
      <c r="A175" t="s">
        <v>414</v>
      </c>
      <c r="B175" t="s">
        <v>415</v>
      </c>
      <c r="C175">
        <v>2025</v>
      </c>
      <c r="D175">
        <v>6</v>
      </c>
      <c r="E175" t="s">
        <v>70</v>
      </c>
      <c r="F175" t="s">
        <v>64</v>
      </c>
      <c r="G175" t="b">
        <v>1</v>
      </c>
      <c r="H175" t="b">
        <v>0</v>
      </c>
      <c r="I175" t="s">
        <v>377</v>
      </c>
    </row>
    <row r="176" spans="1:9" x14ac:dyDescent="0.25">
      <c r="A176" t="s">
        <v>416</v>
      </c>
      <c r="B176" t="s">
        <v>417</v>
      </c>
      <c r="C176">
        <v>2025</v>
      </c>
      <c r="D176">
        <v>7</v>
      </c>
      <c r="E176" t="s">
        <v>73</v>
      </c>
      <c r="F176" t="s">
        <v>74</v>
      </c>
      <c r="G176" t="b">
        <v>1</v>
      </c>
      <c r="H176" t="b">
        <v>0</v>
      </c>
      <c r="I176" t="s">
        <v>377</v>
      </c>
    </row>
    <row r="177" spans="1:9" x14ac:dyDescent="0.25">
      <c r="A177" t="s">
        <v>418</v>
      </c>
      <c r="B177" t="s">
        <v>419</v>
      </c>
      <c r="C177">
        <v>2025</v>
      </c>
      <c r="D177">
        <v>8</v>
      </c>
      <c r="E177" t="s">
        <v>77</v>
      </c>
      <c r="F177" t="s">
        <v>74</v>
      </c>
      <c r="G177" t="b">
        <v>1</v>
      </c>
      <c r="H177" t="b">
        <v>0</v>
      </c>
      <c r="I177" t="s">
        <v>377</v>
      </c>
    </row>
    <row r="178" spans="1:9" x14ac:dyDescent="0.25">
      <c r="A178" t="s">
        <v>420</v>
      </c>
      <c r="B178" t="s">
        <v>421</v>
      </c>
      <c r="C178">
        <v>2025</v>
      </c>
      <c r="D178">
        <v>9</v>
      </c>
      <c r="E178" t="s">
        <v>80</v>
      </c>
      <c r="F178" t="s">
        <v>74</v>
      </c>
      <c r="G178" t="b">
        <v>1</v>
      </c>
      <c r="H178" t="b">
        <v>0</v>
      </c>
      <c r="I178" t="s">
        <v>377</v>
      </c>
    </row>
    <row r="179" spans="1:9" x14ac:dyDescent="0.25">
      <c r="A179" t="s">
        <v>422</v>
      </c>
      <c r="B179" t="s">
        <v>423</v>
      </c>
      <c r="C179">
        <v>2025</v>
      </c>
      <c r="D179">
        <v>10</v>
      </c>
      <c r="E179" t="s">
        <v>83</v>
      </c>
      <c r="F179" t="s">
        <v>84</v>
      </c>
      <c r="G179" t="b">
        <v>1</v>
      </c>
      <c r="H179" t="b">
        <v>0</v>
      </c>
      <c r="I179" t="s">
        <v>377</v>
      </c>
    </row>
    <row r="180" spans="1:9" x14ac:dyDescent="0.25">
      <c r="A180" t="s">
        <v>424</v>
      </c>
      <c r="B180" t="s">
        <v>425</v>
      </c>
      <c r="C180">
        <v>2025</v>
      </c>
      <c r="D180">
        <v>11</v>
      </c>
      <c r="E180" t="s">
        <v>87</v>
      </c>
      <c r="F180" t="s">
        <v>84</v>
      </c>
      <c r="G180" t="b">
        <v>1</v>
      </c>
      <c r="H180" t="b">
        <v>0</v>
      </c>
      <c r="I180" t="s">
        <v>377</v>
      </c>
    </row>
    <row r="181" spans="1:9" x14ac:dyDescent="0.25">
      <c r="A181" t="s">
        <v>426</v>
      </c>
      <c r="B181" t="s">
        <v>427</v>
      </c>
      <c r="C181">
        <v>2025</v>
      </c>
      <c r="D181">
        <v>12</v>
      </c>
      <c r="E181" t="s">
        <v>90</v>
      </c>
      <c r="F181" t="s">
        <v>84</v>
      </c>
      <c r="G181" t="b">
        <v>1</v>
      </c>
      <c r="H181" t="b">
        <v>0</v>
      </c>
      <c r="I181" t="s">
        <v>377</v>
      </c>
    </row>
    <row r="182" spans="1:9" x14ac:dyDescent="0.25">
      <c r="A182" t="s">
        <v>428</v>
      </c>
      <c r="B182" t="s">
        <v>429</v>
      </c>
      <c r="C182">
        <v>2026</v>
      </c>
      <c r="D182">
        <v>1</v>
      </c>
      <c r="E182" t="s">
        <v>52</v>
      </c>
      <c r="F182" t="s">
        <v>53</v>
      </c>
      <c r="G182" t="b">
        <v>1</v>
      </c>
      <c r="H182" t="b">
        <v>0</v>
      </c>
      <c r="I182" t="s">
        <v>377</v>
      </c>
    </row>
    <row r="183" spans="1:9" x14ac:dyDescent="0.25">
      <c r="A183" t="s">
        <v>430</v>
      </c>
      <c r="B183" t="s">
        <v>431</v>
      </c>
      <c r="C183">
        <v>2026</v>
      </c>
      <c r="D183">
        <v>2</v>
      </c>
      <c r="E183" t="s">
        <v>57</v>
      </c>
      <c r="F183" t="s">
        <v>53</v>
      </c>
      <c r="G183" t="b">
        <v>1</v>
      </c>
      <c r="H183" t="b">
        <v>0</v>
      </c>
      <c r="I183" t="s">
        <v>377</v>
      </c>
    </row>
    <row r="184" spans="1:9" x14ac:dyDescent="0.25">
      <c r="A184" t="s">
        <v>432</v>
      </c>
      <c r="B184" t="s">
        <v>433</v>
      </c>
      <c r="C184">
        <v>2026</v>
      </c>
      <c r="D184">
        <v>3</v>
      </c>
      <c r="E184" t="s">
        <v>60</v>
      </c>
      <c r="F184" t="s">
        <v>53</v>
      </c>
      <c r="G184" t="b">
        <v>1</v>
      </c>
      <c r="H184" t="b">
        <v>0</v>
      </c>
      <c r="I184" t="s">
        <v>377</v>
      </c>
    </row>
    <row r="185" spans="1:9" x14ac:dyDescent="0.25">
      <c r="A185" t="s">
        <v>434</v>
      </c>
      <c r="B185" t="s">
        <v>435</v>
      </c>
      <c r="C185">
        <v>2026</v>
      </c>
      <c r="D185">
        <v>4</v>
      </c>
      <c r="E185" t="s">
        <v>63</v>
      </c>
      <c r="F185" t="s">
        <v>64</v>
      </c>
      <c r="G185" t="b">
        <v>1</v>
      </c>
      <c r="H185" t="b">
        <v>0</v>
      </c>
      <c r="I185" t="s">
        <v>377</v>
      </c>
    </row>
    <row r="186" spans="1:9" x14ac:dyDescent="0.25">
      <c r="A186" t="s">
        <v>436</v>
      </c>
      <c r="B186" t="s">
        <v>437</v>
      </c>
      <c r="C186">
        <v>2026</v>
      </c>
      <c r="D186">
        <v>5</v>
      </c>
      <c r="E186" t="s">
        <v>67</v>
      </c>
      <c r="F186" t="s">
        <v>64</v>
      </c>
      <c r="G186" t="b">
        <v>1</v>
      </c>
      <c r="H186" t="b">
        <v>0</v>
      </c>
      <c r="I186" t="s">
        <v>377</v>
      </c>
    </row>
    <row r="187" spans="1:9" x14ac:dyDescent="0.25">
      <c r="A187" t="s">
        <v>438</v>
      </c>
      <c r="B187" t="s">
        <v>11</v>
      </c>
      <c r="C187">
        <v>2026</v>
      </c>
      <c r="D187">
        <v>6</v>
      </c>
      <c r="E187" t="s">
        <v>70</v>
      </c>
      <c r="F187" t="s">
        <v>64</v>
      </c>
      <c r="G187" t="b">
        <v>1</v>
      </c>
      <c r="H187" t="b">
        <v>0</v>
      </c>
      <c r="I187" t="s">
        <v>377</v>
      </c>
    </row>
    <row r="188" spans="1:9" x14ac:dyDescent="0.25">
      <c r="A188" t="s">
        <v>439</v>
      </c>
      <c r="B188" t="s">
        <v>440</v>
      </c>
      <c r="C188">
        <v>2026</v>
      </c>
      <c r="D188">
        <v>7</v>
      </c>
      <c r="E188" t="s">
        <v>73</v>
      </c>
      <c r="F188" t="s">
        <v>74</v>
      </c>
      <c r="G188" t="b">
        <v>0</v>
      </c>
      <c r="H188" t="b">
        <v>1</v>
      </c>
      <c r="I188" t="s">
        <v>377</v>
      </c>
    </row>
    <row r="189" spans="1:9" x14ac:dyDescent="0.25">
      <c r="A189" t="s">
        <v>441</v>
      </c>
      <c r="B189" t="s">
        <v>442</v>
      </c>
      <c r="C189">
        <v>2026</v>
      </c>
      <c r="D189">
        <v>8</v>
      </c>
      <c r="E189" t="s">
        <v>77</v>
      </c>
      <c r="F189" t="s">
        <v>74</v>
      </c>
      <c r="G189" t="b">
        <v>0</v>
      </c>
      <c r="H189" t="b">
        <v>1</v>
      </c>
      <c r="I189" t="s">
        <v>377</v>
      </c>
    </row>
    <row r="190" spans="1:9" x14ac:dyDescent="0.25">
      <c r="A190" t="s">
        <v>443</v>
      </c>
      <c r="B190" t="s">
        <v>444</v>
      </c>
      <c r="C190">
        <v>2026</v>
      </c>
      <c r="D190">
        <v>9</v>
      </c>
      <c r="E190" t="s">
        <v>80</v>
      </c>
      <c r="F190" t="s">
        <v>74</v>
      </c>
      <c r="G190" t="b">
        <v>0</v>
      </c>
      <c r="H190" t="b">
        <v>1</v>
      </c>
      <c r="I190" t="s">
        <v>377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4" customWidth="1"/>
    <col min="6" max="8" width="12" customWidth="1"/>
    <col min="9" max="9" width="19" customWidth="1"/>
    <col min="10" max="10" width="12" customWidth="1"/>
  </cols>
  <sheetData>
    <row r="1" spans="1:10" x14ac:dyDescent="0.25">
      <c r="A1" t="s">
        <v>445</v>
      </c>
      <c r="B1" t="s">
        <v>446</v>
      </c>
      <c r="C1" t="s">
        <v>447</v>
      </c>
      <c r="D1" t="s">
        <v>448</v>
      </c>
      <c r="E1" t="s">
        <v>449</v>
      </c>
      <c r="F1" t="s">
        <v>450</v>
      </c>
      <c r="G1" t="s">
        <v>451</v>
      </c>
      <c r="H1" t="s">
        <v>452</v>
      </c>
      <c r="I1" t="s">
        <v>453</v>
      </c>
      <c r="J1" t="s">
        <v>454</v>
      </c>
    </row>
    <row r="2" spans="1:10" x14ac:dyDescent="0.25">
      <c r="A2" t="s">
        <v>455</v>
      </c>
      <c r="B2" t="s">
        <v>456</v>
      </c>
      <c r="C2" t="s">
        <v>457</v>
      </c>
      <c r="D2" t="s">
        <v>458</v>
      </c>
      <c r="E2" s="3">
        <v>1.1629230781639992</v>
      </c>
      <c r="F2" s="4">
        <v>-0.716581263241914</v>
      </c>
      <c r="G2" t="s">
        <v>459</v>
      </c>
      <c r="H2" s="3">
        <v>0.013226497188171649</v>
      </c>
      <c r="I2" t="b">
        <v>0</v>
      </c>
      <c r="J2" t="s">
        <v>460</v>
      </c>
    </row>
    <row r="3" spans="1:10" x14ac:dyDescent="0.25">
      <c r="A3" t="s">
        <v>461</v>
      </c>
      <c r="B3" t="s">
        <v>462</v>
      </c>
      <c r="C3" t="s">
        <v>457</v>
      </c>
      <c r="D3" t="s">
        <v>458</v>
      </c>
      <c r="E3" s="3">
        <v>0.7861791876333685</v>
      </c>
      <c r="F3" s="4">
        <v>0.5900296023079418</v>
      </c>
      <c r="G3" t="s">
        <v>459</v>
      </c>
      <c r="H3" s="3">
        <v>-0.04516154512815405</v>
      </c>
      <c r="I3" t="b">
        <v>1</v>
      </c>
      <c r="J3" t="s">
        <v>460</v>
      </c>
    </row>
    <row r="4" spans="1:10" x14ac:dyDescent="0.25">
      <c r="A4" t="s">
        <v>463</v>
      </c>
      <c r="B4" t="s">
        <v>464</v>
      </c>
      <c r="C4" t="s">
        <v>457</v>
      </c>
      <c r="D4" t="s">
        <v>458</v>
      </c>
      <c r="E4" s="3">
        <v>1.2488503271935463</v>
      </c>
      <c r="F4" s="4">
        <v>0.19721171652294442</v>
      </c>
      <c r="G4" t="s">
        <v>459</v>
      </c>
      <c r="H4" s="3">
        <v>-0.04334181878271401</v>
      </c>
      <c r="I4" t="b">
        <v>0</v>
      </c>
      <c r="J4" t="s">
        <v>460</v>
      </c>
    </row>
    <row r="5" spans="1:10" x14ac:dyDescent="0.25">
      <c r="A5" t="s">
        <v>465</v>
      </c>
      <c r="B5" t="s">
        <v>466</v>
      </c>
      <c r="C5" t="s">
        <v>457</v>
      </c>
      <c r="D5" t="s">
        <v>458</v>
      </c>
      <c r="E5" s="3">
        <v>0.9867922146886321</v>
      </c>
      <c r="F5" s="4">
        <v>0.8331488709597542</v>
      </c>
      <c r="G5" t="s">
        <v>459</v>
      </c>
      <c r="H5" s="3">
        <v>-0.04999285660716959</v>
      </c>
      <c r="I5" t="b">
        <v>0</v>
      </c>
      <c r="J5" t="s">
        <v>460</v>
      </c>
    </row>
    <row r="6" spans="1:10" x14ac:dyDescent="0.25">
      <c r="A6" t="s">
        <v>467</v>
      </c>
      <c r="B6" t="s">
        <v>468</v>
      </c>
      <c r="C6" t="s">
        <v>468</v>
      </c>
      <c r="D6" t="s">
        <v>458</v>
      </c>
      <c r="E6" s="3">
        <v>1.0142181729963768</v>
      </c>
      <c r="F6" s="4">
        <v>-0.06702298753168186</v>
      </c>
      <c r="G6" t="s">
        <v>459</v>
      </c>
      <c r="H6" s="3">
        <v>-0.19173353243114474</v>
      </c>
      <c r="I6" t="b">
        <v>0</v>
      </c>
      <c r="J6" t="s">
        <v>469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2" customWidth="1"/>
    <col min="8" max="8" width="14" customWidth="1"/>
    <col min="9" max="9" width="19" customWidth="1"/>
    <col min="10" max="10" width="14" customWidth="1"/>
    <col min="11" max="11" width="12" customWidth="1"/>
  </cols>
  <sheetData>
    <row r="1" spans="1:11" x14ac:dyDescent="0.25">
      <c r="A1" t="s">
        <v>41</v>
      </c>
      <c r="B1" t="s">
        <v>42</v>
      </c>
      <c r="C1" t="s">
        <v>445</v>
      </c>
      <c r="D1" t="s">
        <v>446</v>
      </c>
      <c r="E1" t="s">
        <v>470</v>
      </c>
      <c r="F1" t="s">
        <v>471</v>
      </c>
      <c r="G1" t="s">
        <v>472</v>
      </c>
      <c r="H1" t="s">
        <v>473</v>
      </c>
      <c r="I1" t="s">
        <v>474</v>
      </c>
      <c r="J1" t="s">
        <v>475</v>
      </c>
      <c r="K1" t="s">
        <v>476</v>
      </c>
    </row>
    <row r="2" spans="1:11" x14ac:dyDescent="0.25">
      <c r="A2" t="s">
        <v>50</v>
      </c>
      <c r="B2" t="s">
        <v>51</v>
      </c>
      <c r="C2" t="s">
        <v>455</v>
      </c>
      <c r="D2" t="s">
        <v>477</v>
      </c>
      <c r="E2" s="4">
        <v>437859</v>
      </c>
      <c r="F2" s="4">
        <v>931.69</v>
      </c>
      <c r="G2" s="4">
        <v>93169</v>
      </c>
      <c r="H2" s="4">
        <v>93.16900000000001</v>
      </c>
      <c r="I2" s="4">
        <v>4.699621118612414</v>
      </c>
      <c r="J2" t="b">
        <v>0</v>
      </c>
      <c r="K2" t="b">
        <v>0</v>
      </c>
    </row>
    <row r="3" spans="1:11" x14ac:dyDescent="0.25">
      <c r="A3" t="s">
        <v>50</v>
      </c>
      <c r="B3" t="s">
        <v>51</v>
      </c>
      <c r="C3" t="s">
        <v>461</v>
      </c>
      <c r="D3" t="s">
        <v>462</v>
      </c>
      <c r="E3" s="4">
        <v>29374404</v>
      </c>
      <c r="F3" s="4">
        <v>16449.16</v>
      </c>
      <c r="G3" s="4">
        <v>1644916</v>
      </c>
      <c r="H3" s="4">
        <v>1644.9160000000002</v>
      </c>
      <c r="I3" s="4">
        <v>17.857692429279062</v>
      </c>
      <c r="J3" t="b">
        <v>0</v>
      </c>
      <c r="K3" t="b">
        <v>0</v>
      </c>
    </row>
    <row r="4" spans="1:11" x14ac:dyDescent="0.25">
      <c r="A4" t="s">
        <v>50</v>
      </c>
      <c r="B4" t="s">
        <v>51</v>
      </c>
      <c r="C4" t="s">
        <v>463</v>
      </c>
      <c r="D4" t="s">
        <v>464</v>
      </c>
      <c r="E4" s="4">
        <v>37059564</v>
      </c>
      <c r="F4" s="4">
        <v>12422.63</v>
      </c>
      <c r="G4" s="4">
        <v>1242263</v>
      </c>
      <c r="H4" s="4">
        <v>1242.263</v>
      </c>
      <c r="I4" s="4">
        <v>29.83230121157919</v>
      </c>
      <c r="J4" t="b">
        <v>0</v>
      </c>
      <c r="K4" t="b">
        <v>0</v>
      </c>
    </row>
    <row r="5" spans="1:11" x14ac:dyDescent="0.25">
      <c r="A5" t="s">
        <v>50</v>
      </c>
      <c r="B5" t="s">
        <v>51</v>
      </c>
      <c r="C5" t="s">
        <v>465</v>
      </c>
      <c r="D5" t="s">
        <v>478</v>
      </c>
      <c r="E5" s="4">
        <v>7981793</v>
      </c>
      <c r="F5" s="4">
        <v>15770.33</v>
      </c>
      <c r="G5" s="4">
        <v>1577033</v>
      </c>
      <c r="H5" s="4">
        <v>1577.0330000000001</v>
      </c>
      <c r="I5" s="4">
        <v>5.061272021574691</v>
      </c>
      <c r="J5" t="b">
        <v>0</v>
      </c>
      <c r="K5" t="b">
        <v>0</v>
      </c>
    </row>
    <row r="6" spans="1:11" x14ac:dyDescent="0.25">
      <c r="A6" t="s">
        <v>50</v>
      </c>
      <c r="B6" t="s">
        <v>51</v>
      </c>
      <c r="C6" t="s">
        <v>467</v>
      </c>
      <c r="D6" t="s">
        <v>468</v>
      </c>
      <c r="E6" s="4">
        <v>12037100</v>
      </c>
      <c r="F6" s="4">
        <v>7482.86</v>
      </c>
      <c r="G6" s="4">
        <v>748286</v>
      </c>
      <c r="H6" s="4">
        <v>748.2860000000001</v>
      </c>
      <c r="I6" s="4">
        <v>16.086229062150032</v>
      </c>
      <c r="J6" t="b">
        <v>0</v>
      </c>
      <c r="K6" t="b">
        <v>0</v>
      </c>
    </row>
    <row r="7" spans="1:11" x14ac:dyDescent="0.25">
      <c r="A7" t="s">
        <v>55</v>
      </c>
      <c r="B7" t="s">
        <v>56</v>
      </c>
      <c r="C7" t="s">
        <v>455</v>
      </c>
      <c r="D7" t="s">
        <v>477</v>
      </c>
      <c r="E7" s="4">
        <v>730955</v>
      </c>
      <c r="F7" s="4">
        <v>1245.71</v>
      </c>
      <c r="G7" s="4">
        <v>124571</v>
      </c>
      <c r="H7" s="4">
        <v>124.57100000000001</v>
      </c>
      <c r="I7" s="4">
        <v>5.867778214833308</v>
      </c>
      <c r="J7" t="b">
        <v>0</v>
      </c>
      <c r="K7" t="b">
        <v>0</v>
      </c>
    </row>
    <row r="8" spans="1:11" x14ac:dyDescent="0.25">
      <c r="A8" t="s">
        <v>55</v>
      </c>
      <c r="B8" t="s">
        <v>56</v>
      </c>
      <c r="C8" t="s">
        <v>461</v>
      </c>
      <c r="D8" t="s">
        <v>462</v>
      </c>
      <c r="E8" s="4">
        <v>33260760</v>
      </c>
      <c r="F8" s="4">
        <v>18285.78</v>
      </c>
      <c r="G8" s="4">
        <v>1828578</v>
      </c>
      <c r="H8" s="4">
        <v>1828.578</v>
      </c>
      <c r="I8" s="4">
        <v>18.189412756797907</v>
      </c>
      <c r="J8" t="b">
        <v>0</v>
      </c>
      <c r="K8" t="b">
        <v>0</v>
      </c>
    </row>
    <row r="9" spans="1:11" x14ac:dyDescent="0.25">
      <c r="A9" t="s">
        <v>55</v>
      </c>
      <c r="B9" t="s">
        <v>56</v>
      </c>
      <c r="C9" t="s">
        <v>463</v>
      </c>
      <c r="D9" t="s">
        <v>464</v>
      </c>
      <c r="E9" s="4">
        <v>46806094</v>
      </c>
      <c r="F9" s="4">
        <v>16140.91</v>
      </c>
      <c r="G9" s="4">
        <v>1614091</v>
      </c>
      <c r="H9" s="4">
        <v>1614.0910000000001</v>
      </c>
      <c r="I9" s="4">
        <v>28.99842326114203</v>
      </c>
      <c r="J9" t="b">
        <v>0</v>
      </c>
      <c r="K9" t="b">
        <v>0</v>
      </c>
    </row>
    <row r="10" spans="1:11" x14ac:dyDescent="0.25">
      <c r="A10" t="s">
        <v>55</v>
      </c>
      <c r="B10" t="s">
        <v>56</v>
      </c>
      <c r="C10" t="s">
        <v>465</v>
      </c>
      <c r="D10" t="s">
        <v>478</v>
      </c>
      <c r="E10" s="4">
        <v>8832581</v>
      </c>
      <c r="F10" s="4">
        <v>19773.11</v>
      </c>
      <c r="G10" s="4">
        <v>1977311</v>
      </c>
      <c r="H10" s="4">
        <v>1977.3110000000001</v>
      </c>
      <c r="I10" s="4">
        <v>4.466965995738657</v>
      </c>
      <c r="J10" t="b">
        <v>0</v>
      </c>
      <c r="K10" t="b">
        <v>0</v>
      </c>
    </row>
    <row r="11" spans="1:11" x14ac:dyDescent="0.25">
      <c r="A11" t="s">
        <v>55</v>
      </c>
      <c r="B11" t="s">
        <v>56</v>
      </c>
      <c r="C11" t="s">
        <v>467</v>
      </c>
      <c r="D11" t="s">
        <v>468</v>
      </c>
      <c r="E11" s="4">
        <v>15370173</v>
      </c>
      <c r="F11" s="4">
        <v>9926.66</v>
      </c>
      <c r="G11" s="4">
        <v>992666</v>
      </c>
      <c r="H11" s="4">
        <v>992.666</v>
      </c>
      <c r="I11" s="4">
        <v>15.483730680813084</v>
      </c>
      <c r="J11" t="b">
        <v>0</v>
      </c>
      <c r="K11" t="b">
        <v>0</v>
      </c>
    </row>
    <row r="12" spans="1:11" x14ac:dyDescent="0.25">
      <c r="A12" t="s">
        <v>58</v>
      </c>
      <c r="B12" t="s">
        <v>59</v>
      </c>
      <c r="C12" t="s">
        <v>455</v>
      </c>
      <c r="D12" t="s">
        <v>477</v>
      </c>
      <c r="E12" s="4">
        <v>971957</v>
      </c>
      <c r="F12" s="4">
        <v>2638.56</v>
      </c>
      <c r="G12" s="4">
        <v>263856</v>
      </c>
      <c r="H12" s="4">
        <v>263.856</v>
      </c>
      <c r="I12" s="4">
        <v>3.6836645746164574</v>
      </c>
      <c r="J12" t="b">
        <v>0</v>
      </c>
      <c r="K12" t="b">
        <v>0</v>
      </c>
    </row>
    <row r="13" spans="1:11" x14ac:dyDescent="0.25">
      <c r="A13" t="s">
        <v>58</v>
      </c>
      <c r="B13" t="s">
        <v>59</v>
      </c>
      <c r="C13" t="s">
        <v>461</v>
      </c>
      <c r="D13" t="s">
        <v>462</v>
      </c>
      <c r="E13" s="4">
        <v>35292536</v>
      </c>
      <c r="F13" s="4">
        <v>19183.08</v>
      </c>
      <c r="G13" s="4">
        <v>1918308.0000000002</v>
      </c>
      <c r="H13" s="4">
        <v>1918.3080000000002</v>
      </c>
      <c r="I13" s="4">
        <v>18.39774217696011</v>
      </c>
      <c r="J13" t="b">
        <v>0</v>
      </c>
      <c r="K13" t="b">
        <v>0</v>
      </c>
    </row>
    <row r="14" spans="1:11" x14ac:dyDescent="0.25">
      <c r="A14" t="s">
        <v>58</v>
      </c>
      <c r="B14" t="s">
        <v>59</v>
      </c>
      <c r="C14" t="s">
        <v>463</v>
      </c>
      <c r="D14" t="s">
        <v>464</v>
      </c>
      <c r="E14" s="4">
        <v>52058916</v>
      </c>
      <c r="F14" s="4">
        <v>17825.04</v>
      </c>
      <c r="G14" s="4">
        <v>1782504</v>
      </c>
      <c r="H14" s="4">
        <v>1782.5040000000001</v>
      </c>
      <c r="I14" s="4">
        <v>29.20549743506887</v>
      </c>
      <c r="J14" t="b">
        <v>0</v>
      </c>
      <c r="K14" t="b">
        <v>0</v>
      </c>
    </row>
    <row r="15" spans="1:11" x14ac:dyDescent="0.25">
      <c r="A15" t="s">
        <v>58</v>
      </c>
      <c r="B15" t="s">
        <v>59</v>
      </c>
      <c r="C15" t="s">
        <v>465</v>
      </c>
      <c r="D15" t="s">
        <v>478</v>
      </c>
      <c r="E15" s="4">
        <v>10451712</v>
      </c>
      <c r="F15" s="4">
        <v>22662.86</v>
      </c>
      <c r="G15" s="4">
        <v>2266286</v>
      </c>
      <c r="H15" s="4">
        <v>2266.286</v>
      </c>
      <c r="I15" s="4">
        <v>4.611823926900665</v>
      </c>
      <c r="J15" t="b">
        <v>0</v>
      </c>
      <c r="K15" t="b">
        <v>0</v>
      </c>
    </row>
    <row r="16" spans="1:11" x14ac:dyDescent="0.25">
      <c r="A16" t="s">
        <v>58</v>
      </c>
      <c r="B16" t="s">
        <v>59</v>
      </c>
      <c r="C16" t="s">
        <v>467</v>
      </c>
      <c r="D16" t="s">
        <v>468</v>
      </c>
      <c r="E16" s="4">
        <v>18106902</v>
      </c>
      <c r="F16" s="4">
        <v>11152.51</v>
      </c>
      <c r="G16" s="4">
        <v>1115251</v>
      </c>
      <c r="H16" s="4">
        <v>1115.251</v>
      </c>
      <c r="I16" s="4">
        <v>16.235719134078337</v>
      </c>
      <c r="J16" t="b">
        <v>0</v>
      </c>
      <c r="K16" t="b">
        <v>0</v>
      </c>
    </row>
    <row r="17" spans="1:11" x14ac:dyDescent="0.25">
      <c r="A17" t="s">
        <v>61</v>
      </c>
      <c r="B17" t="s">
        <v>62</v>
      </c>
      <c r="C17" t="s">
        <v>455</v>
      </c>
      <c r="D17" t="s">
        <v>477</v>
      </c>
      <c r="E17" s="4">
        <v>678910</v>
      </c>
      <c r="F17" s="4">
        <v>1040.76</v>
      </c>
      <c r="G17" s="4">
        <v>104076</v>
      </c>
      <c r="H17" s="4">
        <v>104.07600000000001</v>
      </c>
      <c r="I17" s="4">
        <v>6.5232138052961295</v>
      </c>
      <c r="J17" t="b">
        <v>0</v>
      </c>
      <c r="K17" t="b">
        <v>0</v>
      </c>
    </row>
    <row r="18" spans="1:11" x14ac:dyDescent="0.25">
      <c r="A18" t="s">
        <v>61</v>
      </c>
      <c r="B18" t="s">
        <v>62</v>
      </c>
      <c r="C18" t="s">
        <v>461</v>
      </c>
      <c r="D18" t="s">
        <v>462</v>
      </c>
      <c r="E18" s="4">
        <v>24012588</v>
      </c>
      <c r="F18" s="4">
        <v>13044.18</v>
      </c>
      <c r="G18" s="4">
        <v>1304418</v>
      </c>
      <c r="H18" s="4">
        <v>1304.4180000000001</v>
      </c>
      <c r="I18" s="4">
        <v>18.408660414069722</v>
      </c>
      <c r="J18" t="b">
        <v>0</v>
      </c>
      <c r="K18" t="b">
        <v>0</v>
      </c>
    </row>
    <row r="19" spans="1:11" x14ac:dyDescent="0.25">
      <c r="A19" t="s">
        <v>61</v>
      </c>
      <c r="B19" t="s">
        <v>62</v>
      </c>
      <c r="C19" t="s">
        <v>463</v>
      </c>
      <c r="D19" t="s">
        <v>464</v>
      </c>
      <c r="E19" s="4">
        <v>44152811</v>
      </c>
      <c r="F19" s="4">
        <v>15662.3</v>
      </c>
      <c r="G19" s="4">
        <v>1566230</v>
      </c>
      <c r="H19" s="4">
        <v>1566.23</v>
      </c>
      <c r="I19" s="4">
        <v>28.19050267202135</v>
      </c>
      <c r="J19" t="b">
        <v>0</v>
      </c>
      <c r="K19" t="b">
        <v>0</v>
      </c>
    </row>
    <row r="20" spans="1:11" x14ac:dyDescent="0.25">
      <c r="A20" t="s">
        <v>61</v>
      </c>
      <c r="B20" t="s">
        <v>62</v>
      </c>
      <c r="C20" t="s">
        <v>465</v>
      </c>
      <c r="D20" t="s">
        <v>478</v>
      </c>
      <c r="E20" s="4">
        <v>10952912</v>
      </c>
      <c r="F20" s="4">
        <v>21628.41</v>
      </c>
      <c r="G20" s="4">
        <v>2162841</v>
      </c>
      <c r="H20" s="4">
        <v>2162.841</v>
      </c>
      <c r="I20" s="4">
        <v>5.064131852503259</v>
      </c>
      <c r="J20" t="b">
        <v>0</v>
      </c>
      <c r="K20" t="b">
        <v>0</v>
      </c>
    </row>
    <row r="21" spans="1:11" x14ac:dyDescent="0.25">
      <c r="A21" t="s">
        <v>61</v>
      </c>
      <c r="B21" t="s">
        <v>62</v>
      </c>
      <c r="C21" t="s">
        <v>467</v>
      </c>
      <c r="D21" t="s">
        <v>468</v>
      </c>
      <c r="E21" s="4">
        <v>12701216</v>
      </c>
      <c r="F21" s="4">
        <v>7570.81</v>
      </c>
      <c r="G21" s="4">
        <v>757081</v>
      </c>
      <c r="H21" s="4">
        <v>757.0810000000001</v>
      </c>
      <c r="I21" s="4">
        <v>16.77656155682153</v>
      </c>
      <c r="J21" t="b">
        <v>0</v>
      </c>
      <c r="K21" t="b">
        <v>0</v>
      </c>
    </row>
    <row r="22" spans="1:11" x14ac:dyDescent="0.25">
      <c r="A22" t="s">
        <v>65</v>
      </c>
      <c r="B22" t="s">
        <v>66</v>
      </c>
      <c r="C22" t="s">
        <v>455</v>
      </c>
      <c r="D22" t="s">
        <v>477</v>
      </c>
      <c r="E22" s="4">
        <v>1121600</v>
      </c>
      <c r="F22" s="4">
        <v>1886.89</v>
      </c>
      <c r="G22" s="4">
        <v>188689</v>
      </c>
      <c r="H22" s="4">
        <v>188.68900000000002</v>
      </c>
      <c r="I22" s="4">
        <v>5.94417268627212</v>
      </c>
      <c r="J22" t="b">
        <v>0</v>
      </c>
      <c r="K22" t="b">
        <v>0</v>
      </c>
    </row>
    <row r="23" spans="1:11" x14ac:dyDescent="0.25">
      <c r="A23" t="s">
        <v>65</v>
      </c>
      <c r="B23" t="s">
        <v>66</v>
      </c>
      <c r="C23" t="s">
        <v>461</v>
      </c>
      <c r="D23" t="s">
        <v>462</v>
      </c>
      <c r="E23" s="4">
        <v>26587733</v>
      </c>
      <c r="F23" s="4">
        <v>14414.67</v>
      </c>
      <c r="G23" s="4">
        <v>1441467</v>
      </c>
      <c r="H23" s="4">
        <v>1441.467</v>
      </c>
      <c r="I23" s="4">
        <v>18.44491271739138</v>
      </c>
      <c r="J23" t="b">
        <v>0</v>
      </c>
      <c r="K23" t="b">
        <v>0</v>
      </c>
    </row>
    <row r="24" spans="1:11" x14ac:dyDescent="0.25">
      <c r="A24" t="s">
        <v>65</v>
      </c>
      <c r="B24" t="s">
        <v>66</v>
      </c>
      <c r="C24" t="s">
        <v>463</v>
      </c>
      <c r="D24" t="s">
        <v>464</v>
      </c>
      <c r="E24" s="4">
        <v>40675943</v>
      </c>
      <c r="F24" s="4">
        <v>14411.01</v>
      </c>
      <c r="G24" s="4">
        <v>1441101</v>
      </c>
      <c r="H24" s="4">
        <v>1441.101</v>
      </c>
      <c r="I24" s="4">
        <v>28.225601814168474</v>
      </c>
      <c r="J24" t="b">
        <v>0</v>
      </c>
      <c r="K24" t="b">
        <v>0</v>
      </c>
    </row>
    <row r="25" spans="1:11" x14ac:dyDescent="0.25">
      <c r="A25" t="s">
        <v>65</v>
      </c>
      <c r="B25" t="s">
        <v>66</v>
      </c>
      <c r="C25" t="s">
        <v>465</v>
      </c>
      <c r="D25" t="s">
        <v>478</v>
      </c>
      <c r="E25" s="4">
        <v>10598148</v>
      </c>
      <c r="F25" s="4">
        <v>22813.63</v>
      </c>
      <c r="G25" s="4">
        <v>2281363</v>
      </c>
      <c r="H25" s="4">
        <v>2281.3630000000003</v>
      </c>
      <c r="I25" s="4">
        <v>4.64553339385271</v>
      </c>
      <c r="J25" t="b">
        <v>0</v>
      </c>
      <c r="K25" t="b">
        <v>0</v>
      </c>
    </row>
    <row r="26" spans="1:11" x14ac:dyDescent="0.25">
      <c r="A26" t="s">
        <v>65</v>
      </c>
      <c r="B26" t="s">
        <v>66</v>
      </c>
      <c r="C26" t="s">
        <v>467</v>
      </c>
      <c r="D26" t="s">
        <v>468</v>
      </c>
      <c r="E26" s="4">
        <v>7987515</v>
      </c>
      <c r="F26" s="4">
        <v>4928.53</v>
      </c>
      <c r="G26" s="4">
        <v>492853</v>
      </c>
      <c r="H26" s="4">
        <v>492.853</v>
      </c>
      <c r="I26" s="4">
        <v>16.206688404047455</v>
      </c>
      <c r="J26" t="b">
        <v>0</v>
      </c>
      <c r="K26" t="b">
        <v>0</v>
      </c>
    </row>
    <row r="27" spans="1:11" x14ac:dyDescent="0.25">
      <c r="A27" t="s">
        <v>68</v>
      </c>
      <c r="B27" t="s">
        <v>69</v>
      </c>
      <c r="C27" t="s">
        <v>455</v>
      </c>
      <c r="D27" t="s">
        <v>477</v>
      </c>
      <c r="E27" s="4">
        <v>986809</v>
      </c>
      <c r="F27" s="4">
        <v>1726.57</v>
      </c>
      <c r="G27" s="4">
        <v>172657</v>
      </c>
      <c r="H27" s="4">
        <v>172.657</v>
      </c>
      <c r="I27" s="4">
        <v>5.715430014421657</v>
      </c>
      <c r="J27" t="b">
        <v>0</v>
      </c>
      <c r="K27" t="b">
        <v>0</v>
      </c>
    </row>
    <row r="28" spans="1:11" x14ac:dyDescent="0.25">
      <c r="A28" t="s">
        <v>68</v>
      </c>
      <c r="B28" t="s">
        <v>69</v>
      </c>
      <c r="C28" t="s">
        <v>461</v>
      </c>
      <c r="D28" t="s">
        <v>462</v>
      </c>
      <c r="E28" s="4">
        <v>32475427</v>
      </c>
      <c r="F28" s="4">
        <v>18077.49</v>
      </c>
      <c r="G28" s="4">
        <v>1807749.0000000002</v>
      </c>
      <c r="H28" s="4">
        <v>1807.7490000000003</v>
      </c>
      <c r="I28" s="4">
        <v>17.964566430405988</v>
      </c>
      <c r="J28" t="b">
        <v>0</v>
      </c>
      <c r="K28" t="b">
        <v>0</v>
      </c>
    </row>
    <row r="29" spans="1:11" x14ac:dyDescent="0.25">
      <c r="A29" t="s">
        <v>68</v>
      </c>
      <c r="B29" t="s">
        <v>69</v>
      </c>
      <c r="C29" t="s">
        <v>463</v>
      </c>
      <c r="D29" t="s">
        <v>464</v>
      </c>
      <c r="E29" s="4">
        <v>34678643</v>
      </c>
      <c r="F29" s="4">
        <v>12262.46</v>
      </c>
      <c r="G29" s="4">
        <v>1226246</v>
      </c>
      <c r="H29" s="4">
        <v>1226.2459999999999</v>
      </c>
      <c r="I29" s="4">
        <v>28.28033118966341</v>
      </c>
      <c r="J29" t="b">
        <v>0</v>
      </c>
      <c r="K29" t="b">
        <v>0</v>
      </c>
    </row>
    <row r="30" spans="1:11" x14ac:dyDescent="0.25">
      <c r="A30" t="s">
        <v>68</v>
      </c>
      <c r="B30" t="s">
        <v>69</v>
      </c>
      <c r="C30" t="s">
        <v>465</v>
      </c>
      <c r="D30" t="s">
        <v>478</v>
      </c>
      <c r="E30" s="4">
        <v>9178928</v>
      </c>
      <c r="F30" s="4">
        <v>19475.87</v>
      </c>
      <c r="G30" s="4">
        <v>1947587</v>
      </c>
      <c r="H30" s="4">
        <v>1947.587</v>
      </c>
      <c r="I30" s="4">
        <v>4.7129745680167305</v>
      </c>
      <c r="J30" t="b">
        <v>0</v>
      </c>
      <c r="K30" t="b">
        <v>0</v>
      </c>
    </row>
    <row r="31" spans="1:11" x14ac:dyDescent="0.25">
      <c r="A31" t="s">
        <v>68</v>
      </c>
      <c r="B31" t="s">
        <v>69</v>
      </c>
      <c r="C31" t="s">
        <v>467</v>
      </c>
      <c r="D31" t="s">
        <v>468</v>
      </c>
      <c r="E31" s="4">
        <v>10178215</v>
      </c>
      <c r="F31" s="4">
        <v>6519.79</v>
      </c>
      <c r="G31" s="4">
        <v>651979</v>
      </c>
      <c r="H31" s="4">
        <v>651.979</v>
      </c>
      <c r="I31" s="4">
        <v>15.611262019175465</v>
      </c>
      <c r="J31" t="b">
        <v>0</v>
      </c>
      <c r="K31" t="b">
        <v>0</v>
      </c>
    </row>
    <row r="32" spans="1:11" x14ac:dyDescent="0.25">
      <c r="A32" t="s">
        <v>71</v>
      </c>
      <c r="B32" t="s">
        <v>72</v>
      </c>
      <c r="C32" t="s">
        <v>455</v>
      </c>
      <c r="D32" t="s">
        <v>477</v>
      </c>
      <c r="E32" s="4">
        <v>1049862</v>
      </c>
      <c r="F32" s="4">
        <v>2226.74</v>
      </c>
      <c r="G32" s="4">
        <v>222673.99999999997</v>
      </c>
      <c r="H32" s="4">
        <v>222.67399999999998</v>
      </c>
      <c r="I32" s="4">
        <v>4.7147938241554925</v>
      </c>
      <c r="J32" t="b">
        <v>0</v>
      </c>
      <c r="K32" t="b">
        <v>0</v>
      </c>
    </row>
    <row r="33" spans="1:11" x14ac:dyDescent="0.25">
      <c r="A33" t="s">
        <v>71</v>
      </c>
      <c r="B33" t="s">
        <v>72</v>
      </c>
      <c r="C33" t="s">
        <v>461</v>
      </c>
      <c r="D33" t="s">
        <v>462</v>
      </c>
      <c r="E33" s="4">
        <v>36379229</v>
      </c>
      <c r="F33" s="4">
        <v>19956.1</v>
      </c>
      <c r="G33" s="4">
        <v>1995609.9999999998</v>
      </c>
      <c r="H33" s="4">
        <v>1995.61</v>
      </c>
      <c r="I33" s="4">
        <v>18.229628534633523</v>
      </c>
      <c r="J33" t="b">
        <v>0</v>
      </c>
      <c r="K33" t="b">
        <v>0</v>
      </c>
    </row>
    <row r="34" spans="1:11" x14ac:dyDescent="0.25">
      <c r="A34" t="s">
        <v>71</v>
      </c>
      <c r="B34" t="s">
        <v>72</v>
      </c>
      <c r="C34" t="s">
        <v>463</v>
      </c>
      <c r="D34" t="s">
        <v>464</v>
      </c>
      <c r="E34" s="4">
        <v>31240104</v>
      </c>
      <c r="F34" s="4">
        <v>10941.32</v>
      </c>
      <c r="G34" s="4">
        <v>1094132</v>
      </c>
      <c r="H34" s="4">
        <v>1094.132</v>
      </c>
      <c r="I34" s="4">
        <v>28.55240866732716</v>
      </c>
      <c r="J34" t="b">
        <v>0</v>
      </c>
      <c r="K34" t="b">
        <v>0</v>
      </c>
    </row>
    <row r="35" spans="1:11" x14ac:dyDescent="0.25">
      <c r="A35" t="s">
        <v>71</v>
      </c>
      <c r="B35" t="s">
        <v>72</v>
      </c>
      <c r="C35" t="s">
        <v>465</v>
      </c>
      <c r="D35" t="s">
        <v>478</v>
      </c>
      <c r="E35" s="4">
        <v>9124251</v>
      </c>
      <c r="F35" s="4">
        <v>19901.89</v>
      </c>
      <c r="G35" s="4">
        <v>1990189</v>
      </c>
      <c r="H35" s="4">
        <v>1990.189</v>
      </c>
      <c r="I35" s="4">
        <v>4.5846153305037864</v>
      </c>
      <c r="J35" t="b">
        <v>0</v>
      </c>
      <c r="K35" t="b">
        <v>0</v>
      </c>
    </row>
    <row r="36" spans="1:11" x14ac:dyDescent="0.25">
      <c r="A36" t="s">
        <v>71</v>
      </c>
      <c r="B36" t="s">
        <v>72</v>
      </c>
      <c r="C36" t="s">
        <v>467</v>
      </c>
      <c r="D36" t="s">
        <v>468</v>
      </c>
      <c r="E36" s="4">
        <v>11875898</v>
      </c>
      <c r="F36" s="4">
        <v>7820.34</v>
      </c>
      <c r="G36" s="4">
        <v>782034</v>
      </c>
      <c r="H36" s="4">
        <v>782.0340000000001</v>
      </c>
      <c r="I36" s="4">
        <v>15.185910075521013</v>
      </c>
      <c r="J36" t="b">
        <v>0</v>
      </c>
      <c r="K36" t="b">
        <v>0</v>
      </c>
    </row>
    <row r="37" spans="1:11" x14ac:dyDescent="0.25">
      <c r="A37" t="s">
        <v>75</v>
      </c>
      <c r="B37" t="s">
        <v>76</v>
      </c>
      <c r="C37" t="s">
        <v>455</v>
      </c>
      <c r="D37" t="s">
        <v>477</v>
      </c>
      <c r="E37" s="4">
        <v>604624</v>
      </c>
      <c r="F37" s="4">
        <v>1180.06</v>
      </c>
      <c r="G37" s="4">
        <v>118006</v>
      </c>
      <c r="H37" s="4">
        <v>118.006</v>
      </c>
      <c r="I37" s="4">
        <v>5.123671677711303</v>
      </c>
      <c r="J37" t="b">
        <v>0</v>
      </c>
      <c r="K37" t="b">
        <v>0</v>
      </c>
    </row>
    <row r="38" spans="1:11" x14ac:dyDescent="0.25">
      <c r="A38" t="s">
        <v>75</v>
      </c>
      <c r="B38" t="s">
        <v>76</v>
      </c>
      <c r="C38" t="s">
        <v>461</v>
      </c>
      <c r="D38" t="s">
        <v>462</v>
      </c>
      <c r="E38" s="4">
        <v>31291111</v>
      </c>
      <c r="F38" s="4">
        <v>17479.38</v>
      </c>
      <c r="G38" s="4">
        <v>1747938</v>
      </c>
      <c r="H38" s="4">
        <v>1747.938</v>
      </c>
      <c r="I38" s="4">
        <v>17.901728207751077</v>
      </c>
      <c r="J38" t="b">
        <v>0</v>
      </c>
      <c r="K38" t="b">
        <v>0</v>
      </c>
    </row>
    <row r="39" spans="1:11" x14ac:dyDescent="0.25">
      <c r="A39" t="s">
        <v>75</v>
      </c>
      <c r="B39" t="s">
        <v>76</v>
      </c>
      <c r="C39" t="s">
        <v>463</v>
      </c>
      <c r="D39" t="s">
        <v>464</v>
      </c>
      <c r="E39" s="4">
        <v>24542393</v>
      </c>
      <c r="F39" s="4">
        <v>8432.04</v>
      </c>
      <c r="G39" s="4">
        <v>843204.0000000001</v>
      </c>
      <c r="H39" s="4">
        <v>843.2040000000002</v>
      </c>
      <c r="I39" s="4">
        <v>29.10611548332313</v>
      </c>
      <c r="J39" t="b">
        <v>0</v>
      </c>
      <c r="K39" t="b">
        <v>0</v>
      </c>
    </row>
    <row r="40" spans="1:11" x14ac:dyDescent="0.25">
      <c r="A40" t="s">
        <v>75</v>
      </c>
      <c r="B40" t="s">
        <v>76</v>
      </c>
      <c r="C40" t="s">
        <v>465</v>
      </c>
      <c r="D40" t="s">
        <v>478</v>
      </c>
      <c r="E40" s="4">
        <v>9748192</v>
      </c>
      <c r="F40" s="4">
        <v>21597.38</v>
      </c>
      <c r="G40" s="4">
        <v>2159738</v>
      </c>
      <c r="H40" s="4">
        <v>2159.7380000000003</v>
      </c>
      <c r="I40" s="4">
        <v>4.513599334734121</v>
      </c>
      <c r="J40" t="b">
        <v>0</v>
      </c>
      <c r="K40" t="b">
        <v>0</v>
      </c>
    </row>
    <row r="41" spans="1:11" x14ac:dyDescent="0.25">
      <c r="A41" t="s">
        <v>75</v>
      </c>
      <c r="B41" t="s">
        <v>76</v>
      </c>
      <c r="C41" t="s">
        <v>467</v>
      </c>
      <c r="D41" t="s">
        <v>468</v>
      </c>
      <c r="E41" s="4">
        <v>15571275</v>
      </c>
      <c r="F41" s="4">
        <v>9917.82</v>
      </c>
      <c r="G41" s="4">
        <v>991782</v>
      </c>
      <c r="H41" s="4">
        <v>991.782</v>
      </c>
      <c r="I41" s="4">
        <v>15.70030006594191</v>
      </c>
      <c r="J41" t="b">
        <v>0</v>
      </c>
      <c r="K41" t="b">
        <v>0</v>
      </c>
    </row>
    <row r="42" spans="1:11" x14ac:dyDescent="0.25">
      <c r="A42" t="s">
        <v>78</v>
      </c>
      <c r="B42" t="s">
        <v>79</v>
      </c>
      <c r="C42" t="s">
        <v>455</v>
      </c>
      <c r="D42" t="s">
        <v>477</v>
      </c>
      <c r="E42" s="4">
        <v>725562</v>
      </c>
      <c r="F42" s="4">
        <v>1390.04</v>
      </c>
      <c r="G42" s="4">
        <v>139004</v>
      </c>
      <c r="H42" s="4">
        <v>139.004</v>
      </c>
      <c r="I42" s="4">
        <v>5.219720295818825</v>
      </c>
      <c r="J42" t="b">
        <v>0</v>
      </c>
      <c r="K42" t="b">
        <v>0</v>
      </c>
    </row>
    <row r="43" spans="1:11" x14ac:dyDescent="0.25">
      <c r="A43" t="s">
        <v>78</v>
      </c>
      <c r="B43" t="s">
        <v>79</v>
      </c>
      <c r="C43" t="s">
        <v>461</v>
      </c>
      <c r="D43" t="s">
        <v>462</v>
      </c>
      <c r="E43" s="4">
        <v>21029273</v>
      </c>
      <c r="F43" s="4">
        <v>11890.28</v>
      </c>
      <c r="G43" s="4">
        <v>1189028</v>
      </c>
      <c r="H43" s="4">
        <v>1189.028</v>
      </c>
      <c r="I43" s="4">
        <v>17.68610411193008</v>
      </c>
      <c r="J43" t="b">
        <v>0</v>
      </c>
      <c r="K43" t="b">
        <v>0</v>
      </c>
    </row>
    <row r="44" spans="1:11" x14ac:dyDescent="0.25">
      <c r="A44" t="s">
        <v>78</v>
      </c>
      <c r="B44" t="s">
        <v>79</v>
      </c>
      <c r="C44" t="s">
        <v>463</v>
      </c>
      <c r="D44" t="s">
        <v>464</v>
      </c>
      <c r="E44" s="4">
        <v>19113666</v>
      </c>
      <c r="F44" s="4">
        <v>7581.19</v>
      </c>
      <c r="G44" s="4">
        <v>758119</v>
      </c>
      <c r="H44" s="4">
        <v>758.119</v>
      </c>
      <c r="I44" s="4">
        <v>25.211960127631677</v>
      </c>
      <c r="J44" t="b">
        <v>0</v>
      </c>
      <c r="K44" t="b">
        <v>0</v>
      </c>
    </row>
    <row r="45" spans="1:11" x14ac:dyDescent="0.25">
      <c r="A45" t="s">
        <v>78</v>
      </c>
      <c r="B45" t="s">
        <v>79</v>
      </c>
      <c r="C45" t="s">
        <v>465</v>
      </c>
      <c r="D45" t="s">
        <v>478</v>
      </c>
      <c r="E45" s="4">
        <v>10247892</v>
      </c>
      <c r="F45" s="4">
        <v>22177.99</v>
      </c>
      <c r="G45" s="4">
        <v>2217799</v>
      </c>
      <c r="H45" s="4">
        <v>2217.7990000000004</v>
      </c>
      <c r="I45" s="4">
        <v>4.620748769388029</v>
      </c>
      <c r="J45" t="b">
        <v>0</v>
      </c>
      <c r="K45" t="b">
        <v>0</v>
      </c>
    </row>
    <row r="46" spans="1:11" x14ac:dyDescent="0.25">
      <c r="A46" t="s">
        <v>78</v>
      </c>
      <c r="B46" t="s">
        <v>79</v>
      </c>
      <c r="C46" t="s">
        <v>467</v>
      </c>
      <c r="D46" t="s">
        <v>468</v>
      </c>
      <c r="E46" s="4">
        <v>10939224</v>
      </c>
      <c r="F46" s="4">
        <v>7382.61</v>
      </c>
      <c r="G46" s="4">
        <v>738261</v>
      </c>
      <c r="H46" s="4">
        <v>738.261</v>
      </c>
      <c r="I46" s="4">
        <v>14.817556392657881</v>
      </c>
      <c r="J46" t="b">
        <v>0</v>
      </c>
      <c r="K46" t="b">
        <v>0</v>
      </c>
    </row>
    <row r="47" spans="1:11" x14ac:dyDescent="0.25">
      <c r="A47" t="s">
        <v>81</v>
      </c>
      <c r="B47" t="s">
        <v>82</v>
      </c>
      <c r="C47" t="s">
        <v>455</v>
      </c>
      <c r="D47" t="s">
        <v>477</v>
      </c>
      <c r="E47" s="4">
        <v>1242797</v>
      </c>
      <c r="F47" s="4">
        <v>2892.72</v>
      </c>
      <c r="G47" s="4">
        <v>289272</v>
      </c>
      <c r="H47" s="4">
        <v>289.272</v>
      </c>
      <c r="I47" s="4">
        <v>4.296292071130286</v>
      </c>
      <c r="J47" t="b">
        <v>0</v>
      </c>
      <c r="K47" t="b">
        <v>0</v>
      </c>
    </row>
    <row r="48" spans="1:11" x14ac:dyDescent="0.25">
      <c r="A48" t="s">
        <v>81</v>
      </c>
      <c r="B48" t="s">
        <v>82</v>
      </c>
      <c r="C48" t="s">
        <v>461</v>
      </c>
      <c r="D48" t="s">
        <v>462</v>
      </c>
      <c r="E48" s="4">
        <v>14685466</v>
      </c>
      <c r="F48" s="4">
        <v>8265.08</v>
      </c>
      <c r="G48" s="4">
        <v>826508</v>
      </c>
      <c r="H48" s="4">
        <v>826.508</v>
      </c>
      <c r="I48" s="4">
        <v>17.768086939267377</v>
      </c>
      <c r="J48" t="b">
        <v>0</v>
      </c>
      <c r="K48" t="b">
        <v>0</v>
      </c>
    </row>
    <row r="49" spans="1:11" x14ac:dyDescent="0.25">
      <c r="A49" t="s">
        <v>81</v>
      </c>
      <c r="B49" t="s">
        <v>82</v>
      </c>
      <c r="C49" t="s">
        <v>463</v>
      </c>
      <c r="D49" t="s">
        <v>464</v>
      </c>
      <c r="E49" s="4">
        <v>12744201</v>
      </c>
      <c r="F49" s="4">
        <v>4821.92</v>
      </c>
      <c r="G49" s="4">
        <v>482192</v>
      </c>
      <c r="H49" s="4">
        <v>482.192</v>
      </c>
      <c r="I49" s="4">
        <v>26.42972301489863</v>
      </c>
      <c r="J49" t="b">
        <v>0</v>
      </c>
      <c r="K49" t="b">
        <v>0</v>
      </c>
    </row>
    <row r="50" spans="1:11" x14ac:dyDescent="0.25">
      <c r="A50" t="s">
        <v>81</v>
      </c>
      <c r="B50" t="s">
        <v>82</v>
      </c>
      <c r="C50" t="s">
        <v>465</v>
      </c>
      <c r="D50" t="s">
        <v>478</v>
      </c>
      <c r="E50" s="4">
        <v>10106786</v>
      </c>
      <c r="F50" s="4">
        <v>20393.31</v>
      </c>
      <c r="G50" s="4">
        <v>2039331.0000000002</v>
      </c>
      <c r="H50" s="4">
        <v>2039.3310000000001</v>
      </c>
      <c r="I50" s="4">
        <v>4.95593211695404</v>
      </c>
      <c r="J50" t="b">
        <v>0</v>
      </c>
      <c r="K50" t="b">
        <v>0</v>
      </c>
    </row>
    <row r="51" spans="1:11" x14ac:dyDescent="0.25">
      <c r="A51" t="s">
        <v>81</v>
      </c>
      <c r="B51" t="s">
        <v>82</v>
      </c>
      <c r="C51" t="s">
        <v>467</v>
      </c>
      <c r="D51" t="s">
        <v>468</v>
      </c>
      <c r="E51" s="4">
        <v>7715273</v>
      </c>
      <c r="F51" s="4">
        <v>5419.13</v>
      </c>
      <c r="G51" s="4">
        <v>541913</v>
      </c>
      <c r="H51" s="4">
        <v>541.913</v>
      </c>
      <c r="I51" s="4">
        <v>14.237106325185039</v>
      </c>
      <c r="J51" t="b">
        <v>0</v>
      </c>
      <c r="K51" t="b">
        <v>0</v>
      </c>
    </row>
    <row r="52" spans="1:11" x14ac:dyDescent="0.25">
      <c r="A52" t="s">
        <v>85</v>
      </c>
      <c r="B52" t="s">
        <v>86</v>
      </c>
      <c r="C52" t="s">
        <v>455</v>
      </c>
      <c r="D52" t="s">
        <v>477</v>
      </c>
      <c r="E52" s="4">
        <v>1202476</v>
      </c>
      <c r="F52" s="4">
        <v>4358.29</v>
      </c>
      <c r="G52" s="4">
        <v>435829</v>
      </c>
      <c r="H52" s="4">
        <v>435.829</v>
      </c>
      <c r="I52" s="4">
        <v>2.759054583334289</v>
      </c>
      <c r="J52" t="b">
        <v>0</v>
      </c>
      <c r="K52" t="b">
        <v>0</v>
      </c>
    </row>
    <row r="53" spans="1:11" x14ac:dyDescent="0.25">
      <c r="A53" t="s">
        <v>85</v>
      </c>
      <c r="B53" t="s">
        <v>86</v>
      </c>
      <c r="C53" t="s">
        <v>461</v>
      </c>
      <c r="D53" t="s">
        <v>462</v>
      </c>
      <c r="E53" s="4">
        <v>17519809</v>
      </c>
      <c r="F53" s="4">
        <v>9753.39</v>
      </c>
      <c r="G53" s="4">
        <v>975339</v>
      </c>
      <c r="H53" s="4">
        <v>975.3389999999999</v>
      </c>
      <c r="I53" s="4">
        <v>17.962789348113834</v>
      </c>
      <c r="J53" t="b">
        <v>0</v>
      </c>
      <c r="K53" t="b">
        <v>0</v>
      </c>
    </row>
    <row r="54" spans="1:11" x14ac:dyDescent="0.25">
      <c r="A54" t="s">
        <v>85</v>
      </c>
      <c r="B54" t="s">
        <v>86</v>
      </c>
      <c r="C54" t="s">
        <v>463</v>
      </c>
      <c r="D54" t="s">
        <v>464</v>
      </c>
      <c r="E54" s="4">
        <v>16690304</v>
      </c>
      <c r="F54" s="4">
        <v>6582.93</v>
      </c>
      <c r="G54" s="4">
        <v>658293</v>
      </c>
      <c r="H54" s="4">
        <v>658.2930000000001</v>
      </c>
      <c r="I54" s="4">
        <v>25.353913834721013</v>
      </c>
      <c r="J54" t="b">
        <v>0</v>
      </c>
      <c r="K54" t="b">
        <v>0</v>
      </c>
    </row>
    <row r="55" spans="1:11" x14ac:dyDescent="0.25">
      <c r="A55" t="s">
        <v>85</v>
      </c>
      <c r="B55" t="s">
        <v>86</v>
      </c>
      <c r="C55" t="s">
        <v>465</v>
      </c>
      <c r="D55" t="s">
        <v>478</v>
      </c>
      <c r="E55" s="4">
        <v>7619099</v>
      </c>
      <c r="F55" s="4">
        <v>13394.57</v>
      </c>
      <c r="G55" s="4">
        <v>1339457</v>
      </c>
      <c r="H55" s="4">
        <v>1339.457</v>
      </c>
      <c r="I55" s="4">
        <v>5.688199770504018</v>
      </c>
      <c r="J55" t="b">
        <v>0</v>
      </c>
      <c r="K55" t="b">
        <v>0</v>
      </c>
    </row>
    <row r="56" spans="1:11" x14ac:dyDescent="0.25">
      <c r="A56" t="s">
        <v>85</v>
      </c>
      <c r="B56" t="s">
        <v>86</v>
      </c>
      <c r="C56" t="s">
        <v>467</v>
      </c>
      <c r="D56" t="s">
        <v>468</v>
      </c>
      <c r="E56" s="4">
        <v>6463032</v>
      </c>
      <c r="F56" s="4">
        <v>4192.79</v>
      </c>
      <c r="G56" s="4">
        <v>419279</v>
      </c>
      <c r="H56" s="4">
        <v>419.279</v>
      </c>
      <c r="I56" s="4">
        <v>15.414633215591527</v>
      </c>
      <c r="J56" t="b">
        <v>0</v>
      </c>
      <c r="K56" t="b">
        <v>0</v>
      </c>
    </row>
    <row r="57" spans="1:11" x14ac:dyDescent="0.25">
      <c r="A57" t="s">
        <v>88</v>
      </c>
      <c r="B57" t="s">
        <v>89</v>
      </c>
      <c r="C57" t="s">
        <v>455</v>
      </c>
      <c r="D57" t="s">
        <v>477</v>
      </c>
      <c r="E57" s="4">
        <v>673012</v>
      </c>
      <c r="F57" s="4">
        <v>1182.48</v>
      </c>
      <c r="G57" s="4">
        <v>118248</v>
      </c>
      <c r="H57" s="4">
        <v>118.248</v>
      </c>
      <c r="I57" s="4">
        <v>5.691529666463704</v>
      </c>
      <c r="J57" t="b">
        <v>0</v>
      </c>
      <c r="K57" t="b">
        <v>0</v>
      </c>
    </row>
    <row r="58" spans="1:11" x14ac:dyDescent="0.25">
      <c r="A58" t="s">
        <v>88</v>
      </c>
      <c r="B58" t="s">
        <v>89</v>
      </c>
      <c r="C58" t="s">
        <v>461</v>
      </c>
      <c r="D58" t="s">
        <v>462</v>
      </c>
      <c r="E58" s="4">
        <v>24759650</v>
      </c>
      <c r="F58" s="4">
        <v>12611.58</v>
      </c>
      <c r="G58" s="4">
        <v>1261158</v>
      </c>
      <c r="H58" s="4">
        <v>1261.1580000000001</v>
      </c>
      <c r="I58" s="4">
        <v>19.632472695728847</v>
      </c>
      <c r="J58" t="b">
        <v>0</v>
      </c>
      <c r="K58" t="b">
        <v>0</v>
      </c>
    </row>
    <row r="59" spans="1:11" x14ac:dyDescent="0.25">
      <c r="A59" t="s">
        <v>88</v>
      </c>
      <c r="B59" t="s">
        <v>89</v>
      </c>
      <c r="C59" t="s">
        <v>463</v>
      </c>
      <c r="D59" t="s">
        <v>464</v>
      </c>
      <c r="E59" s="4">
        <v>26685189</v>
      </c>
      <c r="F59" s="4">
        <v>9312.16</v>
      </c>
      <c r="G59" s="4">
        <v>931216</v>
      </c>
      <c r="H59" s="4">
        <v>931.216</v>
      </c>
      <c r="I59" s="4">
        <v>28.65628275287366</v>
      </c>
      <c r="J59" t="b">
        <v>0</v>
      </c>
      <c r="K59" t="b">
        <v>0</v>
      </c>
    </row>
    <row r="60" spans="1:11" x14ac:dyDescent="0.25">
      <c r="A60" t="s">
        <v>88</v>
      </c>
      <c r="B60" t="s">
        <v>89</v>
      </c>
      <c r="C60" t="s">
        <v>465</v>
      </c>
      <c r="D60" t="s">
        <v>478</v>
      </c>
      <c r="E60" s="4">
        <v>7208466</v>
      </c>
      <c r="F60" s="4">
        <v>14344.55</v>
      </c>
      <c r="G60" s="4">
        <v>1434455</v>
      </c>
      <c r="H60" s="4">
        <v>1434.455</v>
      </c>
      <c r="I60" s="4">
        <v>5.025229791105333</v>
      </c>
      <c r="J60" t="b">
        <v>0</v>
      </c>
      <c r="K60" t="b">
        <v>0</v>
      </c>
    </row>
    <row r="61" spans="1:11" x14ac:dyDescent="0.25">
      <c r="A61" t="s">
        <v>88</v>
      </c>
      <c r="B61" t="s">
        <v>89</v>
      </c>
      <c r="C61" t="s">
        <v>467</v>
      </c>
      <c r="D61" t="s">
        <v>468</v>
      </c>
      <c r="E61" s="4">
        <v>10673439</v>
      </c>
      <c r="F61" s="4">
        <v>6302.1</v>
      </c>
      <c r="G61" s="4">
        <v>630210</v>
      </c>
      <c r="H61" s="4">
        <v>630.21</v>
      </c>
      <c r="I61" s="4">
        <v>16.936321226257913</v>
      </c>
      <c r="J61" t="b">
        <v>0</v>
      </c>
      <c r="K61" t="b">
        <v>0</v>
      </c>
    </row>
    <row r="62" spans="1:11" x14ac:dyDescent="0.25">
      <c r="A62" t="s">
        <v>91</v>
      </c>
      <c r="B62" t="s">
        <v>92</v>
      </c>
      <c r="C62" t="s">
        <v>455</v>
      </c>
      <c r="D62" t="s">
        <v>477</v>
      </c>
      <c r="E62" s="4">
        <v>978583</v>
      </c>
      <c r="F62" s="4">
        <v>2328.97</v>
      </c>
      <c r="G62" s="4">
        <v>232896.99999999997</v>
      </c>
      <c r="H62" s="4">
        <v>232.897</v>
      </c>
      <c r="I62" s="4">
        <v>4.2017844798344335</v>
      </c>
      <c r="J62" t="b">
        <v>0</v>
      </c>
      <c r="K62" t="b">
        <v>0</v>
      </c>
    </row>
    <row r="63" spans="1:11" x14ac:dyDescent="0.25">
      <c r="A63" t="s">
        <v>91</v>
      </c>
      <c r="B63" t="s">
        <v>92</v>
      </c>
      <c r="C63" t="s">
        <v>461</v>
      </c>
      <c r="D63" t="s">
        <v>462</v>
      </c>
      <c r="E63" s="4">
        <v>29120733</v>
      </c>
      <c r="F63" s="4">
        <v>14341.7</v>
      </c>
      <c r="G63" s="4">
        <v>1434170</v>
      </c>
      <c r="H63" s="4">
        <v>1434.17</v>
      </c>
      <c r="I63" s="4">
        <v>20.30493804779071</v>
      </c>
      <c r="J63" t="b">
        <v>0</v>
      </c>
      <c r="K63" t="b">
        <v>0</v>
      </c>
    </row>
    <row r="64" spans="1:11" x14ac:dyDescent="0.25">
      <c r="A64" t="s">
        <v>91</v>
      </c>
      <c r="B64" t="s">
        <v>92</v>
      </c>
      <c r="C64" t="s">
        <v>463</v>
      </c>
      <c r="D64" t="s">
        <v>464</v>
      </c>
      <c r="E64" s="4">
        <v>43610343</v>
      </c>
      <c r="F64" s="4">
        <v>14000.09</v>
      </c>
      <c r="G64" s="4">
        <v>1400009</v>
      </c>
      <c r="H64" s="4">
        <v>1400.009</v>
      </c>
      <c r="I64" s="4">
        <v>31.150044749712322</v>
      </c>
      <c r="J64" t="b">
        <v>0</v>
      </c>
      <c r="K64" t="b">
        <v>0</v>
      </c>
    </row>
    <row r="65" spans="1:11" x14ac:dyDescent="0.25">
      <c r="A65" t="s">
        <v>91</v>
      </c>
      <c r="B65" t="s">
        <v>92</v>
      </c>
      <c r="C65" t="s">
        <v>465</v>
      </c>
      <c r="D65" t="s">
        <v>478</v>
      </c>
      <c r="E65" s="4">
        <v>8615722</v>
      </c>
      <c r="F65" s="4">
        <v>16339.57</v>
      </c>
      <c r="G65" s="4">
        <v>1633957</v>
      </c>
      <c r="H65" s="4">
        <v>1633.957</v>
      </c>
      <c r="I65" s="4">
        <v>5.2729184427741975</v>
      </c>
      <c r="J65" t="b">
        <v>0</v>
      </c>
      <c r="K65" t="b">
        <v>0</v>
      </c>
    </row>
    <row r="66" spans="1:11" x14ac:dyDescent="0.25">
      <c r="A66" t="s">
        <v>91</v>
      </c>
      <c r="B66" t="s">
        <v>92</v>
      </c>
      <c r="C66" t="s">
        <v>467</v>
      </c>
      <c r="D66" t="s">
        <v>468</v>
      </c>
      <c r="E66" s="4">
        <v>12859386</v>
      </c>
      <c r="F66" s="4">
        <v>7348.34</v>
      </c>
      <c r="G66" s="4">
        <v>734834</v>
      </c>
      <c r="H66" s="4">
        <v>734.8340000000001</v>
      </c>
      <c r="I66" s="4">
        <v>17.499715582022606</v>
      </c>
      <c r="J66" t="b">
        <v>0</v>
      </c>
      <c r="K66" t="b">
        <v>0</v>
      </c>
    </row>
    <row r="67" spans="1:11" x14ac:dyDescent="0.25">
      <c r="A67" t="s">
        <v>93</v>
      </c>
      <c r="B67" t="s">
        <v>94</v>
      </c>
      <c r="C67" t="s">
        <v>455</v>
      </c>
      <c r="D67" t="s">
        <v>477</v>
      </c>
      <c r="E67" s="4">
        <v>823139</v>
      </c>
      <c r="F67" s="4">
        <v>2073.35</v>
      </c>
      <c r="G67" s="4">
        <v>207335</v>
      </c>
      <c r="H67" s="4">
        <v>207.335</v>
      </c>
      <c r="I67" s="4">
        <v>3.9700918802903513</v>
      </c>
      <c r="J67" t="b">
        <v>0</v>
      </c>
      <c r="K67" t="b">
        <v>0</v>
      </c>
    </row>
    <row r="68" spans="1:11" x14ac:dyDescent="0.25">
      <c r="A68" t="s">
        <v>93</v>
      </c>
      <c r="B68" t="s">
        <v>94</v>
      </c>
      <c r="C68" t="s">
        <v>461</v>
      </c>
      <c r="D68" t="s">
        <v>462</v>
      </c>
      <c r="E68" s="4">
        <v>27696281</v>
      </c>
      <c r="F68" s="4">
        <v>13242.86</v>
      </c>
      <c r="G68" s="4">
        <v>1324286</v>
      </c>
      <c r="H68" s="4">
        <v>1324.286</v>
      </c>
      <c r="I68" s="4">
        <v>20.91412353524843</v>
      </c>
      <c r="J68" t="b">
        <v>0</v>
      </c>
      <c r="K68" t="b">
        <v>0</v>
      </c>
    </row>
    <row r="69" spans="1:11" x14ac:dyDescent="0.25">
      <c r="A69" t="s">
        <v>93</v>
      </c>
      <c r="B69" t="s">
        <v>94</v>
      </c>
      <c r="C69" t="s">
        <v>463</v>
      </c>
      <c r="D69" t="s">
        <v>464</v>
      </c>
      <c r="E69" s="4">
        <v>49134382</v>
      </c>
      <c r="F69" s="4">
        <v>15259.29</v>
      </c>
      <c r="G69" s="4">
        <v>1525929</v>
      </c>
      <c r="H69" s="4">
        <v>1525.929</v>
      </c>
      <c r="I69" s="4">
        <v>32.199651490993354</v>
      </c>
      <c r="J69" t="b">
        <v>0</v>
      </c>
      <c r="K69" t="b">
        <v>0</v>
      </c>
    </row>
    <row r="70" spans="1:11" x14ac:dyDescent="0.25">
      <c r="A70" t="s">
        <v>93</v>
      </c>
      <c r="B70" t="s">
        <v>94</v>
      </c>
      <c r="C70" t="s">
        <v>465</v>
      </c>
      <c r="D70" t="s">
        <v>478</v>
      </c>
      <c r="E70" s="4">
        <v>8176638</v>
      </c>
      <c r="F70" s="4">
        <v>16297.72</v>
      </c>
      <c r="G70" s="4">
        <v>1629772</v>
      </c>
      <c r="H70" s="4">
        <v>1629.772</v>
      </c>
      <c r="I70" s="4">
        <v>5.017044101874372</v>
      </c>
      <c r="J70" t="b">
        <v>0</v>
      </c>
      <c r="K70" t="b">
        <v>0</v>
      </c>
    </row>
    <row r="71" spans="1:11" x14ac:dyDescent="0.25">
      <c r="A71" t="s">
        <v>93</v>
      </c>
      <c r="B71" t="s">
        <v>94</v>
      </c>
      <c r="C71" t="s">
        <v>467</v>
      </c>
      <c r="D71" t="s">
        <v>468</v>
      </c>
      <c r="E71" s="4">
        <v>14363153</v>
      </c>
      <c r="F71" s="4">
        <v>8552.35</v>
      </c>
      <c r="G71" s="4">
        <v>855235</v>
      </c>
      <c r="H71" s="4">
        <v>855.2350000000001</v>
      </c>
      <c r="I71" s="4">
        <v>16.794393353873495</v>
      </c>
      <c r="J71" t="b">
        <v>0</v>
      </c>
      <c r="K71" t="b">
        <v>0</v>
      </c>
    </row>
    <row r="72" spans="1:11" x14ac:dyDescent="0.25">
      <c r="A72" t="s">
        <v>95</v>
      </c>
      <c r="B72" t="s">
        <v>96</v>
      </c>
      <c r="C72" t="s">
        <v>455</v>
      </c>
      <c r="D72" t="s">
        <v>477</v>
      </c>
      <c r="E72" s="4">
        <v>933831</v>
      </c>
      <c r="F72" s="4">
        <v>2039.52</v>
      </c>
      <c r="G72" s="4">
        <v>203952</v>
      </c>
      <c r="H72" s="4">
        <v>203.952</v>
      </c>
      <c r="I72" s="4">
        <v>4.578680277712403</v>
      </c>
      <c r="J72" t="b">
        <v>0</v>
      </c>
      <c r="K72" t="b">
        <v>0</v>
      </c>
    </row>
    <row r="73" spans="1:11" x14ac:dyDescent="0.25">
      <c r="A73" t="s">
        <v>95</v>
      </c>
      <c r="B73" t="s">
        <v>96</v>
      </c>
      <c r="C73" t="s">
        <v>461</v>
      </c>
      <c r="D73" t="s">
        <v>462</v>
      </c>
      <c r="E73" s="4">
        <v>21683569</v>
      </c>
      <c r="F73" s="4">
        <v>10792.54</v>
      </c>
      <c r="G73" s="4">
        <v>1079254</v>
      </c>
      <c r="H73" s="4">
        <v>1079.2540000000001</v>
      </c>
      <c r="I73" s="4">
        <v>20.09125655313763</v>
      </c>
      <c r="J73" t="b">
        <v>0</v>
      </c>
      <c r="K73" t="b">
        <v>0</v>
      </c>
    </row>
    <row r="74" spans="1:11" x14ac:dyDescent="0.25">
      <c r="A74" t="s">
        <v>95</v>
      </c>
      <c r="B74" t="s">
        <v>96</v>
      </c>
      <c r="C74" t="s">
        <v>463</v>
      </c>
      <c r="D74" t="s">
        <v>464</v>
      </c>
      <c r="E74" s="4">
        <v>40578650</v>
      </c>
      <c r="F74" s="4">
        <v>13444.65</v>
      </c>
      <c r="G74" s="4">
        <v>1344465</v>
      </c>
      <c r="H74" s="4">
        <v>1344.4650000000001</v>
      </c>
      <c r="I74" s="4">
        <v>30.18200548173437</v>
      </c>
      <c r="J74" t="b">
        <v>0</v>
      </c>
      <c r="K74" t="b">
        <v>0</v>
      </c>
    </row>
    <row r="75" spans="1:11" x14ac:dyDescent="0.25">
      <c r="A75" t="s">
        <v>95</v>
      </c>
      <c r="B75" t="s">
        <v>96</v>
      </c>
      <c r="C75" t="s">
        <v>465</v>
      </c>
      <c r="D75" t="s">
        <v>478</v>
      </c>
      <c r="E75" s="4">
        <v>8758098</v>
      </c>
      <c r="F75" s="4">
        <v>16777.1</v>
      </c>
      <c r="G75" s="4">
        <v>1677709.9999999998</v>
      </c>
      <c r="H75" s="4">
        <v>1677.71</v>
      </c>
      <c r="I75" s="4">
        <v>5.220269295647044</v>
      </c>
      <c r="J75" t="b">
        <v>0</v>
      </c>
      <c r="K75" t="b">
        <v>0</v>
      </c>
    </row>
    <row r="76" spans="1:11" x14ac:dyDescent="0.25">
      <c r="A76" t="s">
        <v>95</v>
      </c>
      <c r="B76" t="s">
        <v>96</v>
      </c>
      <c r="C76" t="s">
        <v>467</v>
      </c>
      <c r="D76" t="s">
        <v>468</v>
      </c>
      <c r="E76" s="4">
        <v>12472898</v>
      </c>
      <c r="F76" s="4">
        <v>6961.32</v>
      </c>
      <c r="G76" s="4">
        <v>696132</v>
      </c>
      <c r="H76" s="4">
        <v>696.1320000000001</v>
      </c>
      <c r="I76" s="4">
        <v>17.917432326053106</v>
      </c>
      <c r="J76" t="b">
        <v>0</v>
      </c>
      <c r="K76" t="b">
        <v>0</v>
      </c>
    </row>
    <row r="77" spans="1:11" x14ac:dyDescent="0.25">
      <c r="A77" t="s">
        <v>97</v>
      </c>
      <c r="B77" t="s">
        <v>98</v>
      </c>
      <c r="C77" t="s">
        <v>455</v>
      </c>
      <c r="D77" t="s">
        <v>477</v>
      </c>
      <c r="E77" s="4">
        <v>823263</v>
      </c>
      <c r="F77" s="4">
        <v>1664.45</v>
      </c>
      <c r="G77" s="4">
        <v>166445</v>
      </c>
      <c r="H77" s="4">
        <v>166.44500000000002</v>
      </c>
      <c r="I77" s="4">
        <v>4.946156387996035</v>
      </c>
      <c r="J77" t="b">
        <v>0</v>
      </c>
      <c r="K77" t="b">
        <v>0</v>
      </c>
    </row>
    <row r="78" spans="1:11" x14ac:dyDescent="0.25">
      <c r="A78" t="s">
        <v>97</v>
      </c>
      <c r="B78" t="s">
        <v>98</v>
      </c>
      <c r="C78" t="s">
        <v>461</v>
      </c>
      <c r="D78" t="s">
        <v>462</v>
      </c>
      <c r="E78" s="4">
        <v>18094207</v>
      </c>
      <c r="F78" s="4">
        <v>9548.1</v>
      </c>
      <c r="G78" s="4">
        <v>954810</v>
      </c>
      <c r="H78" s="4">
        <v>954.8100000000001</v>
      </c>
      <c r="I78" s="4">
        <v>18.95058388579927</v>
      </c>
      <c r="J78" t="b">
        <v>0</v>
      </c>
      <c r="K78" t="b">
        <v>0</v>
      </c>
    </row>
    <row r="79" spans="1:11" x14ac:dyDescent="0.25">
      <c r="A79" t="s">
        <v>97</v>
      </c>
      <c r="B79" t="s">
        <v>98</v>
      </c>
      <c r="C79" t="s">
        <v>463</v>
      </c>
      <c r="D79" t="s">
        <v>464</v>
      </c>
      <c r="E79" s="4">
        <v>31048856</v>
      </c>
      <c r="F79" s="4">
        <v>10883.46</v>
      </c>
      <c r="G79" s="4">
        <v>1088346</v>
      </c>
      <c r="H79" s="4">
        <v>1088.346</v>
      </c>
      <c r="I79" s="4">
        <v>28.528478994731454</v>
      </c>
      <c r="J79" t="b">
        <v>0</v>
      </c>
      <c r="K79" t="b">
        <v>0</v>
      </c>
    </row>
    <row r="80" spans="1:11" x14ac:dyDescent="0.25">
      <c r="A80" t="s">
        <v>97</v>
      </c>
      <c r="B80" t="s">
        <v>98</v>
      </c>
      <c r="C80" t="s">
        <v>465</v>
      </c>
      <c r="D80" t="s">
        <v>478</v>
      </c>
      <c r="E80" s="4">
        <v>8547462</v>
      </c>
      <c r="F80" s="4">
        <v>18077.28</v>
      </c>
      <c r="G80" s="4">
        <v>1807728</v>
      </c>
      <c r="H80" s="4">
        <v>1807.728</v>
      </c>
      <c r="I80" s="4">
        <v>4.728289875467991</v>
      </c>
      <c r="J80" t="b">
        <v>0</v>
      </c>
      <c r="K80" t="b">
        <v>0</v>
      </c>
    </row>
    <row r="81" spans="1:11" x14ac:dyDescent="0.25">
      <c r="A81" t="s">
        <v>97</v>
      </c>
      <c r="B81" t="s">
        <v>98</v>
      </c>
      <c r="C81" t="s">
        <v>467</v>
      </c>
      <c r="D81" t="s">
        <v>468</v>
      </c>
      <c r="E81" s="4">
        <v>8590693</v>
      </c>
      <c r="F81" s="4">
        <v>4813.44</v>
      </c>
      <c r="G81" s="4">
        <v>481343.99999999994</v>
      </c>
      <c r="H81" s="4">
        <v>481.344</v>
      </c>
      <c r="I81" s="4">
        <v>17.847304630368303</v>
      </c>
      <c r="J81" t="b">
        <v>0</v>
      </c>
      <c r="K81" t="b">
        <v>0</v>
      </c>
    </row>
    <row r="82" spans="1:11" x14ac:dyDescent="0.25">
      <c r="A82" t="s">
        <v>99</v>
      </c>
      <c r="B82" t="s">
        <v>100</v>
      </c>
      <c r="C82" t="s">
        <v>455</v>
      </c>
      <c r="D82" t="s">
        <v>477</v>
      </c>
      <c r="E82" s="4">
        <v>502265</v>
      </c>
      <c r="F82" s="4">
        <v>605.22</v>
      </c>
      <c r="G82" s="4">
        <v>60522</v>
      </c>
      <c r="H82" s="4">
        <v>60.522000000000006</v>
      </c>
      <c r="I82" s="4">
        <v>8.298883050791448</v>
      </c>
      <c r="J82" t="b">
        <v>0</v>
      </c>
      <c r="K82" t="b">
        <v>0</v>
      </c>
    </row>
    <row r="83" spans="1:11" x14ac:dyDescent="0.25">
      <c r="A83" t="s">
        <v>99</v>
      </c>
      <c r="B83" t="s">
        <v>100</v>
      </c>
      <c r="C83" t="s">
        <v>461</v>
      </c>
      <c r="D83" t="s">
        <v>462</v>
      </c>
      <c r="E83" s="4">
        <v>17795369</v>
      </c>
      <c r="F83" s="4">
        <v>10059.56</v>
      </c>
      <c r="G83" s="4">
        <v>1005956</v>
      </c>
      <c r="H83" s="4">
        <v>1005.956</v>
      </c>
      <c r="I83" s="4">
        <v>17.690007316423383</v>
      </c>
      <c r="J83" t="b">
        <v>0</v>
      </c>
      <c r="K83" t="b">
        <v>0</v>
      </c>
    </row>
    <row r="84" spans="1:11" x14ac:dyDescent="0.25">
      <c r="A84" t="s">
        <v>99</v>
      </c>
      <c r="B84" t="s">
        <v>100</v>
      </c>
      <c r="C84" t="s">
        <v>463</v>
      </c>
      <c r="D84" t="s">
        <v>464</v>
      </c>
      <c r="E84" s="4">
        <v>23233293</v>
      </c>
      <c r="F84" s="4">
        <v>8537.79</v>
      </c>
      <c r="G84" s="4">
        <v>853779.0000000001</v>
      </c>
      <c r="H84" s="4">
        <v>853.7790000000001</v>
      </c>
      <c r="I84" s="4">
        <v>27.212303183844995</v>
      </c>
      <c r="J84" t="b">
        <v>0</v>
      </c>
      <c r="K84" t="b">
        <v>0</v>
      </c>
    </row>
    <row r="85" spans="1:11" x14ac:dyDescent="0.25">
      <c r="A85" t="s">
        <v>99</v>
      </c>
      <c r="B85" t="s">
        <v>100</v>
      </c>
      <c r="C85" t="s">
        <v>465</v>
      </c>
      <c r="D85" t="s">
        <v>478</v>
      </c>
      <c r="E85" s="4">
        <v>7201025</v>
      </c>
      <c r="F85" s="4">
        <v>14423.54</v>
      </c>
      <c r="G85" s="4">
        <v>1442354</v>
      </c>
      <c r="H85" s="4">
        <v>1442.3540000000003</v>
      </c>
      <c r="I85" s="4">
        <v>4.99255037251604</v>
      </c>
      <c r="J85" t="b">
        <v>0</v>
      </c>
      <c r="K85" t="b">
        <v>0</v>
      </c>
    </row>
    <row r="86" spans="1:11" x14ac:dyDescent="0.25">
      <c r="A86" t="s">
        <v>99</v>
      </c>
      <c r="B86" t="s">
        <v>100</v>
      </c>
      <c r="C86" t="s">
        <v>467</v>
      </c>
      <c r="D86" t="s">
        <v>468</v>
      </c>
      <c r="E86" s="4">
        <v>6685130</v>
      </c>
      <c r="F86" s="4">
        <v>4018.97</v>
      </c>
      <c r="G86" s="4">
        <v>401897</v>
      </c>
      <c r="H86" s="4">
        <v>401.897</v>
      </c>
      <c r="I86" s="4">
        <v>16.633938546443492</v>
      </c>
      <c r="J86" t="b">
        <v>0</v>
      </c>
      <c r="K86" t="b">
        <v>0</v>
      </c>
    </row>
    <row r="87" spans="1:11" x14ac:dyDescent="0.25">
      <c r="A87" t="s">
        <v>101</v>
      </c>
      <c r="B87" t="s">
        <v>102</v>
      </c>
      <c r="C87" t="s">
        <v>455</v>
      </c>
      <c r="D87" t="s">
        <v>477</v>
      </c>
      <c r="E87" s="4">
        <v>675475</v>
      </c>
      <c r="F87" s="4">
        <v>2142.58</v>
      </c>
      <c r="G87" s="4">
        <v>214258</v>
      </c>
      <c r="H87" s="4">
        <v>214.258</v>
      </c>
      <c r="I87" s="4">
        <v>3.1526244060898545</v>
      </c>
      <c r="J87" t="b">
        <v>0</v>
      </c>
      <c r="K87" t="b">
        <v>0</v>
      </c>
    </row>
    <row r="88" spans="1:11" x14ac:dyDescent="0.25">
      <c r="A88" t="s">
        <v>101</v>
      </c>
      <c r="B88" t="s">
        <v>102</v>
      </c>
      <c r="C88" t="s">
        <v>461</v>
      </c>
      <c r="D88" t="s">
        <v>462</v>
      </c>
      <c r="E88" s="4">
        <v>24771213</v>
      </c>
      <c r="F88" s="4">
        <v>14137.7</v>
      </c>
      <c r="G88" s="4">
        <v>1413770</v>
      </c>
      <c r="H88" s="4">
        <v>1413.7700000000002</v>
      </c>
      <c r="I88" s="4">
        <v>17.521388203173075</v>
      </c>
      <c r="J88" t="b">
        <v>0</v>
      </c>
      <c r="K88" t="b">
        <v>0</v>
      </c>
    </row>
    <row r="89" spans="1:11" x14ac:dyDescent="0.25">
      <c r="A89" t="s">
        <v>101</v>
      </c>
      <c r="B89" t="s">
        <v>102</v>
      </c>
      <c r="C89" t="s">
        <v>463</v>
      </c>
      <c r="D89" t="s">
        <v>464</v>
      </c>
      <c r="E89" s="4">
        <v>23759815</v>
      </c>
      <c r="F89" s="4">
        <v>8695.71</v>
      </c>
      <c r="G89" s="4">
        <v>869570.9999999999</v>
      </c>
      <c r="H89" s="4">
        <v>869.5709999999999</v>
      </c>
      <c r="I89" s="4">
        <v>27.32360554802311</v>
      </c>
      <c r="J89" t="b">
        <v>0</v>
      </c>
      <c r="K89" t="b">
        <v>0</v>
      </c>
    </row>
    <row r="90" spans="1:11" x14ac:dyDescent="0.25">
      <c r="A90" t="s">
        <v>101</v>
      </c>
      <c r="B90" t="s">
        <v>102</v>
      </c>
      <c r="C90" t="s">
        <v>465</v>
      </c>
      <c r="D90" t="s">
        <v>478</v>
      </c>
      <c r="E90" s="4">
        <v>7895900</v>
      </c>
      <c r="F90" s="4">
        <v>16965.61</v>
      </c>
      <c r="G90" s="4">
        <v>1696561</v>
      </c>
      <c r="H90" s="4">
        <v>1696.5610000000001</v>
      </c>
      <c r="I90" s="4">
        <v>4.654061952384854</v>
      </c>
      <c r="J90" t="b">
        <v>0</v>
      </c>
      <c r="K90" t="b">
        <v>0</v>
      </c>
    </row>
    <row r="91" spans="1:11" x14ac:dyDescent="0.25">
      <c r="A91" t="s">
        <v>101</v>
      </c>
      <c r="B91" t="s">
        <v>102</v>
      </c>
      <c r="C91" t="s">
        <v>467</v>
      </c>
      <c r="D91" t="s">
        <v>468</v>
      </c>
      <c r="E91" s="4">
        <v>9275191</v>
      </c>
      <c r="F91" s="4">
        <v>5740.64</v>
      </c>
      <c r="G91" s="4">
        <v>574064</v>
      </c>
      <c r="H91" s="4">
        <v>574.0640000000001</v>
      </c>
      <c r="I91" s="4">
        <v>16.15706785306168</v>
      </c>
      <c r="J91" t="b">
        <v>0</v>
      </c>
      <c r="K91" t="b">
        <v>0</v>
      </c>
    </row>
    <row r="92" spans="1:11" x14ac:dyDescent="0.25">
      <c r="A92" t="s">
        <v>103</v>
      </c>
      <c r="B92" t="s">
        <v>104</v>
      </c>
      <c r="C92" t="s">
        <v>455</v>
      </c>
      <c r="D92" t="s">
        <v>477</v>
      </c>
      <c r="E92" s="4">
        <v>1125193</v>
      </c>
      <c r="F92" s="4">
        <v>4787.55</v>
      </c>
      <c r="G92" s="4">
        <v>478755</v>
      </c>
      <c r="H92" s="4">
        <v>478.75500000000005</v>
      </c>
      <c r="I92" s="4">
        <v>2.350248039184969</v>
      </c>
      <c r="J92" t="b">
        <v>0</v>
      </c>
      <c r="K92" t="b">
        <v>0</v>
      </c>
    </row>
    <row r="93" spans="1:11" x14ac:dyDescent="0.25">
      <c r="A93" t="s">
        <v>103</v>
      </c>
      <c r="B93" t="s">
        <v>104</v>
      </c>
      <c r="C93" t="s">
        <v>461</v>
      </c>
      <c r="D93" t="s">
        <v>462</v>
      </c>
      <c r="E93" s="4">
        <v>28547942</v>
      </c>
      <c r="F93" s="4">
        <v>15250.08</v>
      </c>
      <c r="G93" s="4">
        <v>1525008</v>
      </c>
      <c r="H93" s="4">
        <v>1525.008</v>
      </c>
      <c r="I93" s="4">
        <v>18.719863764649105</v>
      </c>
      <c r="J93" t="b">
        <v>0</v>
      </c>
      <c r="K93" t="b">
        <v>0</v>
      </c>
    </row>
    <row r="94" spans="1:11" x14ac:dyDescent="0.25">
      <c r="A94" t="s">
        <v>103</v>
      </c>
      <c r="B94" t="s">
        <v>104</v>
      </c>
      <c r="C94" t="s">
        <v>463</v>
      </c>
      <c r="D94" t="s">
        <v>464</v>
      </c>
      <c r="E94" s="4">
        <v>26813397</v>
      </c>
      <c r="F94" s="4">
        <v>9696.86</v>
      </c>
      <c r="G94" s="4">
        <v>969686</v>
      </c>
      <c r="H94" s="4">
        <v>969.6860000000001</v>
      </c>
      <c r="I94" s="4">
        <v>27.651628465297012</v>
      </c>
      <c r="J94" t="b">
        <v>0</v>
      </c>
      <c r="K94" t="b">
        <v>0</v>
      </c>
    </row>
    <row r="95" spans="1:11" x14ac:dyDescent="0.25">
      <c r="A95" t="s">
        <v>103</v>
      </c>
      <c r="B95" t="s">
        <v>104</v>
      </c>
      <c r="C95" t="s">
        <v>465</v>
      </c>
      <c r="D95" t="s">
        <v>478</v>
      </c>
      <c r="E95" s="4">
        <v>9398190</v>
      </c>
      <c r="F95" s="4">
        <v>19853.31</v>
      </c>
      <c r="G95" s="4">
        <v>1985331.0000000002</v>
      </c>
      <c r="H95" s="4">
        <v>1985.3310000000001</v>
      </c>
      <c r="I95" s="4">
        <v>4.733815167344891</v>
      </c>
      <c r="J95" t="b">
        <v>0</v>
      </c>
      <c r="K95" t="b">
        <v>0</v>
      </c>
    </row>
    <row r="96" spans="1:11" x14ac:dyDescent="0.25">
      <c r="A96" t="s">
        <v>103</v>
      </c>
      <c r="B96" t="s">
        <v>104</v>
      </c>
      <c r="C96" t="s">
        <v>467</v>
      </c>
      <c r="D96" t="s">
        <v>468</v>
      </c>
      <c r="E96" s="4">
        <v>11183996</v>
      </c>
      <c r="F96" s="4">
        <v>6716.23</v>
      </c>
      <c r="G96" s="4">
        <v>671623</v>
      </c>
      <c r="H96" s="4">
        <v>671.623</v>
      </c>
      <c r="I96" s="4">
        <v>16.652193269140575</v>
      </c>
      <c r="J96" t="b">
        <v>0</v>
      </c>
      <c r="K96" t="b">
        <v>0</v>
      </c>
    </row>
    <row r="97" spans="1:11" x14ac:dyDescent="0.25">
      <c r="A97" t="s">
        <v>105</v>
      </c>
      <c r="B97" t="s">
        <v>106</v>
      </c>
      <c r="C97" t="s">
        <v>455</v>
      </c>
      <c r="D97" t="s">
        <v>477</v>
      </c>
      <c r="E97" s="4">
        <v>643636</v>
      </c>
      <c r="F97" s="4">
        <v>1156.38</v>
      </c>
      <c r="G97" s="4">
        <v>115638.00000000001</v>
      </c>
      <c r="H97" s="4">
        <v>115.63800000000002</v>
      </c>
      <c r="I97" s="4">
        <v>5.565955827669105</v>
      </c>
      <c r="J97" t="b">
        <v>0</v>
      </c>
      <c r="K97" t="b">
        <v>0</v>
      </c>
    </row>
    <row r="98" spans="1:11" x14ac:dyDescent="0.25">
      <c r="A98" t="s">
        <v>105</v>
      </c>
      <c r="B98" t="s">
        <v>106</v>
      </c>
      <c r="C98" t="s">
        <v>461</v>
      </c>
      <c r="D98" t="s">
        <v>462</v>
      </c>
      <c r="E98" s="4">
        <v>21194721</v>
      </c>
      <c r="F98" s="4">
        <v>11399.64</v>
      </c>
      <c r="G98" s="4">
        <v>1139964</v>
      </c>
      <c r="H98" s="4">
        <v>1139.964</v>
      </c>
      <c r="I98" s="4">
        <v>18.592447656241777</v>
      </c>
      <c r="J98" t="b">
        <v>0</v>
      </c>
      <c r="K98" t="b">
        <v>0</v>
      </c>
    </row>
    <row r="99" spans="1:11" x14ac:dyDescent="0.25">
      <c r="A99" t="s">
        <v>105</v>
      </c>
      <c r="B99" t="s">
        <v>106</v>
      </c>
      <c r="C99" t="s">
        <v>463</v>
      </c>
      <c r="D99" t="s">
        <v>464</v>
      </c>
      <c r="E99" s="4">
        <v>22584383</v>
      </c>
      <c r="F99" s="4">
        <v>8324.11</v>
      </c>
      <c r="G99" s="4">
        <v>832411</v>
      </c>
      <c r="H99" s="4">
        <v>832.4110000000001</v>
      </c>
      <c r="I99" s="4">
        <v>27.131288510123003</v>
      </c>
      <c r="J99" t="b">
        <v>0</v>
      </c>
      <c r="K99" t="b">
        <v>0</v>
      </c>
    </row>
    <row r="100" spans="1:11" x14ac:dyDescent="0.25">
      <c r="A100" t="s">
        <v>105</v>
      </c>
      <c r="B100" t="s">
        <v>106</v>
      </c>
      <c r="C100" t="s">
        <v>465</v>
      </c>
      <c r="D100" t="s">
        <v>478</v>
      </c>
      <c r="E100" s="4">
        <v>9294752</v>
      </c>
      <c r="F100" s="4">
        <v>20746.23</v>
      </c>
      <c r="G100" s="4">
        <v>2074623</v>
      </c>
      <c r="H100" s="4">
        <v>2074.623</v>
      </c>
      <c r="I100" s="4">
        <v>4.480212549460793</v>
      </c>
      <c r="J100" t="b">
        <v>0</v>
      </c>
      <c r="K100" t="b">
        <v>0</v>
      </c>
    </row>
    <row r="101" spans="1:11" x14ac:dyDescent="0.25">
      <c r="A101" t="s">
        <v>105</v>
      </c>
      <c r="B101" t="s">
        <v>106</v>
      </c>
      <c r="C101" t="s">
        <v>467</v>
      </c>
      <c r="D101" t="s">
        <v>468</v>
      </c>
      <c r="E101" s="4">
        <v>14478150</v>
      </c>
      <c r="F101" s="4">
        <v>8465.58</v>
      </c>
      <c r="G101" s="4">
        <v>846558</v>
      </c>
      <c r="H101" s="4">
        <v>846.558</v>
      </c>
      <c r="I101" s="4">
        <v>17.102372194226504</v>
      </c>
      <c r="J101" t="b">
        <v>0</v>
      </c>
      <c r="K101" t="b">
        <v>0</v>
      </c>
    </row>
    <row r="102" spans="1:11" x14ac:dyDescent="0.25">
      <c r="A102" t="s">
        <v>107</v>
      </c>
      <c r="B102" t="s">
        <v>108</v>
      </c>
      <c r="C102" t="s">
        <v>455</v>
      </c>
      <c r="D102" t="s">
        <v>477</v>
      </c>
      <c r="E102" s="4">
        <v>738316</v>
      </c>
      <c r="F102" s="4">
        <v>1244.59</v>
      </c>
      <c r="G102" s="4">
        <v>124458.99999999999</v>
      </c>
      <c r="H102" s="4">
        <v>124.459</v>
      </c>
      <c r="I102" s="4">
        <v>5.932202572734797</v>
      </c>
      <c r="J102" t="b">
        <v>0</v>
      </c>
      <c r="K102" t="b">
        <v>0</v>
      </c>
    </row>
    <row r="103" spans="1:11" x14ac:dyDescent="0.25">
      <c r="A103" t="s">
        <v>107</v>
      </c>
      <c r="B103" t="s">
        <v>108</v>
      </c>
      <c r="C103" t="s">
        <v>461</v>
      </c>
      <c r="D103" t="s">
        <v>462</v>
      </c>
      <c r="E103" s="4">
        <v>13593176</v>
      </c>
      <c r="F103" s="4">
        <v>7388.75</v>
      </c>
      <c r="G103" s="4">
        <v>738875</v>
      </c>
      <c r="H103" s="4">
        <v>738.875</v>
      </c>
      <c r="I103" s="4">
        <v>18.39712535949924</v>
      </c>
      <c r="J103" t="b">
        <v>0</v>
      </c>
      <c r="K103" t="b">
        <v>0</v>
      </c>
    </row>
    <row r="104" spans="1:11" x14ac:dyDescent="0.25">
      <c r="A104" t="s">
        <v>107</v>
      </c>
      <c r="B104" t="s">
        <v>108</v>
      </c>
      <c r="C104" t="s">
        <v>463</v>
      </c>
      <c r="D104" t="s">
        <v>464</v>
      </c>
      <c r="E104" s="4">
        <v>13822291</v>
      </c>
      <c r="F104" s="4">
        <v>5510.37</v>
      </c>
      <c r="G104" s="4">
        <v>551037</v>
      </c>
      <c r="H104" s="4">
        <v>551.037</v>
      </c>
      <c r="I104" s="4">
        <v>25.08414317005936</v>
      </c>
      <c r="J104" t="b">
        <v>0</v>
      </c>
      <c r="K104" t="b">
        <v>0</v>
      </c>
    </row>
    <row r="105" spans="1:11" x14ac:dyDescent="0.25">
      <c r="A105" t="s">
        <v>107</v>
      </c>
      <c r="B105" t="s">
        <v>108</v>
      </c>
      <c r="C105" t="s">
        <v>465</v>
      </c>
      <c r="D105" t="s">
        <v>478</v>
      </c>
      <c r="E105" s="4">
        <v>7175278</v>
      </c>
      <c r="F105" s="4">
        <v>15118.49</v>
      </c>
      <c r="G105" s="4">
        <v>1511849</v>
      </c>
      <c r="H105" s="4">
        <v>1511.8490000000002</v>
      </c>
      <c r="I105" s="4">
        <v>4.7460282078435085</v>
      </c>
      <c r="J105" t="b">
        <v>0</v>
      </c>
      <c r="K105" t="b">
        <v>0</v>
      </c>
    </row>
    <row r="106" spans="1:11" x14ac:dyDescent="0.25">
      <c r="A106" t="s">
        <v>107</v>
      </c>
      <c r="B106" t="s">
        <v>108</v>
      </c>
      <c r="C106" t="s">
        <v>467</v>
      </c>
      <c r="D106" t="s">
        <v>468</v>
      </c>
      <c r="E106" s="4">
        <v>10300281</v>
      </c>
      <c r="F106" s="4">
        <v>5618.69</v>
      </c>
      <c r="G106" s="4">
        <v>561869</v>
      </c>
      <c r="H106" s="4">
        <v>561.869</v>
      </c>
      <c r="I106" s="4">
        <v>18.332175293529275</v>
      </c>
      <c r="J106" t="b">
        <v>0</v>
      </c>
      <c r="K106" t="b">
        <v>0</v>
      </c>
    </row>
    <row r="107" spans="1:11" x14ac:dyDescent="0.25">
      <c r="A107" t="s">
        <v>109</v>
      </c>
      <c r="B107" t="s">
        <v>110</v>
      </c>
      <c r="C107" t="s">
        <v>455</v>
      </c>
      <c r="D107" t="s">
        <v>477</v>
      </c>
      <c r="E107" s="4">
        <v>958980</v>
      </c>
      <c r="F107" s="4">
        <v>1917.68</v>
      </c>
      <c r="G107" s="4">
        <v>191768</v>
      </c>
      <c r="H107" s="4">
        <v>191.76800000000003</v>
      </c>
      <c r="I107" s="4">
        <v>5.000730048808977</v>
      </c>
      <c r="J107" t="b">
        <v>0</v>
      </c>
      <c r="K107" t="b">
        <v>0</v>
      </c>
    </row>
    <row r="108" spans="1:11" x14ac:dyDescent="0.25">
      <c r="A108" t="s">
        <v>109</v>
      </c>
      <c r="B108" t="s">
        <v>110</v>
      </c>
      <c r="C108" t="s">
        <v>461</v>
      </c>
      <c r="D108" t="s">
        <v>462</v>
      </c>
      <c r="E108" s="4">
        <v>12890722</v>
      </c>
      <c r="F108" s="4">
        <v>7241.25</v>
      </c>
      <c r="G108" s="4">
        <v>724125</v>
      </c>
      <c r="H108" s="4">
        <v>724.125</v>
      </c>
      <c r="I108" s="4">
        <v>17.80179112722251</v>
      </c>
      <c r="J108" t="b">
        <v>0</v>
      </c>
      <c r="K108" t="b">
        <v>0</v>
      </c>
    </row>
    <row r="109" spans="1:11" x14ac:dyDescent="0.25">
      <c r="A109" t="s">
        <v>109</v>
      </c>
      <c r="B109" t="s">
        <v>110</v>
      </c>
      <c r="C109" t="s">
        <v>463</v>
      </c>
      <c r="D109" t="s">
        <v>464</v>
      </c>
      <c r="E109" s="4">
        <v>11369195</v>
      </c>
      <c r="F109" s="4">
        <v>4349.79</v>
      </c>
      <c r="G109" s="4">
        <v>434979</v>
      </c>
      <c r="H109" s="4">
        <v>434.97900000000004</v>
      </c>
      <c r="I109" s="4">
        <v>26.137342262500027</v>
      </c>
      <c r="J109" t="b">
        <v>0</v>
      </c>
      <c r="K109" t="b">
        <v>0</v>
      </c>
    </row>
    <row r="110" spans="1:11" x14ac:dyDescent="0.25">
      <c r="A110" t="s">
        <v>109</v>
      </c>
      <c r="B110" t="s">
        <v>110</v>
      </c>
      <c r="C110" t="s">
        <v>465</v>
      </c>
      <c r="D110" t="s">
        <v>478</v>
      </c>
      <c r="E110" s="4">
        <v>9158011</v>
      </c>
      <c r="F110" s="4">
        <v>18796.46</v>
      </c>
      <c r="G110" s="4">
        <v>1879646</v>
      </c>
      <c r="H110" s="4">
        <v>1879.646</v>
      </c>
      <c r="I110" s="4">
        <v>4.872199871677965</v>
      </c>
      <c r="J110" t="b">
        <v>0</v>
      </c>
      <c r="K110" t="b">
        <v>0</v>
      </c>
    </row>
    <row r="111" spans="1:11" x14ac:dyDescent="0.25">
      <c r="A111" t="s">
        <v>109</v>
      </c>
      <c r="B111" t="s">
        <v>110</v>
      </c>
      <c r="C111" t="s">
        <v>467</v>
      </c>
      <c r="D111" t="s">
        <v>468</v>
      </c>
      <c r="E111" s="4">
        <v>7638648</v>
      </c>
      <c r="F111" s="4">
        <v>4667.95</v>
      </c>
      <c r="G111" s="4">
        <v>466795</v>
      </c>
      <c r="H111" s="4">
        <v>466.795</v>
      </c>
      <c r="I111" s="4">
        <v>16.36403131995844</v>
      </c>
      <c r="J111" t="b">
        <v>0</v>
      </c>
      <c r="K111" t="b">
        <v>0</v>
      </c>
    </row>
    <row r="112" spans="1:11" x14ac:dyDescent="0.25">
      <c r="A112" t="s">
        <v>111</v>
      </c>
      <c r="B112" t="s">
        <v>112</v>
      </c>
      <c r="C112" t="s">
        <v>455</v>
      </c>
      <c r="D112" t="s">
        <v>477</v>
      </c>
      <c r="E112" s="4">
        <v>680475</v>
      </c>
      <c r="F112" s="4">
        <v>1709.39</v>
      </c>
      <c r="G112" s="4">
        <v>170939</v>
      </c>
      <c r="H112" s="4">
        <v>170.93900000000002</v>
      </c>
      <c r="I112" s="4">
        <v>3.980806018521227</v>
      </c>
      <c r="J112" t="b">
        <v>0</v>
      </c>
      <c r="K112" t="b">
        <v>0</v>
      </c>
    </row>
    <row r="113" spans="1:11" x14ac:dyDescent="0.25">
      <c r="A113" t="s">
        <v>111</v>
      </c>
      <c r="B113" t="s">
        <v>112</v>
      </c>
      <c r="C113" t="s">
        <v>461</v>
      </c>
      <c r="D113" t="s">
        <v>462</v>
      </c>
      <c r="E113" s="4">
        <v>17173086</v>
      </c>
      <c r="F113" s="4">
        <v>10618.32</v>
      </c>
      <c r="G113" s="4">
        <v>1061832</v>
      </c>
      <c r="H113" s="4">
        <v>1061.832</v>
      </c>
      <c r="I113" s="4">
        <v>16.17307257645277</v>
      </c>
      <c r="J113" t="b">
        <v>0</v>
      </c>
      <c r="K113" t="b">
        <v>0</v>
      </c>
    </row>
    <row r="114" spans="1:11" x14ac:dyDescent="0.25">
      <c r="A114" t="s">
        <v>111</v>
      </c>
      <c r="B114" t="s">
        <v>112</v>
      </c>
      <c r="C114" t="s">
        <v>463</v>
      </c>
      <c r="D114" t="s">
        <v>464</v>
      </c>
      <c r="E114" s="4">
        <v>14305306</v>
      </c>
      <c r="F114" s="4">
        <v>5607.53</v>
      </c>
      <c r="G114" s="4">
        <v>560753</v>
      </c>
      <c r="H114" s="4">
        <v>560.753</v>
      </c>
      <c r="I114" s="4">
        <v>25.510886254732476</v>
      </c>
      <c r="J114" t="b">
        <v>0</v>
      </c>
      <c r="K114" t="b">
        <v>0</v>
      </c>
    </row>
    <row r="115" spans="1:11" x14ac:dyDescent="0.25">
      <c r="A115" t="s">
        <v>111</v>
      </c>
      <c r="B115" t="s">
        <v>112</v>
      </c>
      <c r="C115" t="s">
        <v>465</v>
      </c>
      <c r="D115" t="s">
        <v>478</v>
      </c>
      <c r="E115" s="4">
        <v>7142444</v>
      </c>
      <c r="F115" s="4">
        <v>14208.92</v>
      </c>
      <c r="G115" s="4">
        <v>1420892</v>
      </c>
      <c r="H115" s="4">
        <v>1420.892</v>
      </c>
      <c r="I115" s="4">
        <v>5.026732503244441</v>
      </c>
      <c r="J115" t="b">
        <v>0</v>
      </c>
      <c r="K115" t="b">
        <v>0</v>
      </c>
    </row>
    <row r="116" spans="1:11" x14ac:dyDescent="0.25">
      <c r="A116" t="s">
        <v>111</v>
      </c>
      <c r="B116" t="s">
        <v>112</v>
      </c>
      <c r="C116" t="s">
        <v>467</v>
      </c>
      <c r="D116" t="s">
        <v>468</v>
      </c>
      <c r="E116" s="4">
        <v>5937200</v>
      </c>
      <c r="F116" s="4">
        <v>3554.62</v>
      </c>
      <c r="G116" s="4">
        <v>355462</v>
      </c>
      <c r="H116" s="4">
        <v>355.462</v>
      </c>
      <c r="I116" s="4">
        <v>16.702769916334237</v>
      </c>
      <c r="J116" t="b">
        <v>0</v>
      </c>
      <c r="K116" t="b">
        <v>0</v>
      </c>
    </row>
    <row r="117" spans="1:11" x14ac:dyDescent="0.25">
      <c r="A117" t="s">
        <v>113</v>
      </c>
      <c r="B117" t="s">
        <v>114</v>
      </c>
      <c r="C117" t="s">
        <v>455</v>
      </c>
      <c r="D117" t="s">
        <v>477</v>
      </c>
      <c r="E117" s="4">
        <v>1075849</v>
      </c>
      <c r="F117" s="4">
        <v>3625.3</v>
      </c>
      <c r="G117" s="4">
        <v>362530</v>
      </c>
      <c r="H117" s="4">
        <v>362.53000000000003</v>
      </c>
      <c r="I117" s="4">
        <v>2.967613714727057</v>
      </c>
      <c r="J117" t="b">
        <v>0</v>
      </c>
      <c r="K117" t="b">
        <v>0</v>
      </c>
    </row>
    <row r="118" spans="1:11" x14ac:dyDescent="0.25">
      <c r="A118" t="s">
        <v>113</v>
      </c>
      <c r="B118" t="s">
        <v>114</v>
      </c>
      <c r="C118" t="s">
        <v>461</v>
      </c>
      <c r="D118" t="s">
        <v>462</v>
      </c>
      <c r="E118" s="4">
        <v>21067914</v>
      </c>
      <c r="F118" s="4">
        <v>12152.2</v>
      </c>
      <c r="G118" s="4">
        <v>1215220</v>
      </c>
      <c r="H118" s="4">
        <v>1215.22</v>
      </c>
      <c r="I118" s="4">
        <v>17.3367077566202</v>
      </c>
      <c r="J118" t="b">
        <v>0</v>
      </c>
      <c r="K118" t="b">
        <v>0</v>
      </c>
    </row>
    <row r="119" spans="1:11" x14ac:dyDescent="0.25">
      <c r="A119" t="s">
        <v>113</v>
      </c>
      <c r="B119" t="s">
        <v>114</v>
      </c>
      <c r="C119" t="s">
        <v>463</v>
      </c>
      <c r="D119" t="s">
        <v>464</v>
      </c>
      <c r="E119" s="4">
        <v>20841463</v>
      </c>
      <c r="F119" s="4">
        <v>7416.57</v>
      </c>
      <c r="G119" s="4">
        <v>741657</v>
      </c>
      <c r="H119" s="4">
        <v>741.657</v>
      </c>
      <c r="I119" s="4">
        <v>28.101215251794294</v>
      </c>
      <c r="J119" t="b">
        <v>0</v>
      </c>
      <c r="K119" t="b">
        <v>0</v>
      </c>
    </row>
    <row r="120" spans="1:11" x14ac:dyDescent="0.25">
      <c r="A120" t="s">
        <v>113</v>
      </c>
      <c r="B120" t="s">
        <v>114</v>
      </c>
      <c r="C120" t="s">
        <v>465</v>
      </c>
      <c r="D120" t="s">
        <v>478</v>
      </c>
      <c r="E120" s="4">
        <v>5624648</v>
      </c>
      <c r="F120" s="4">
        <v>10928.57</v>
      </c>
      <c r="G120" s="4">
        <v>1092857</v>
      </c>
      <c r="H120" s="4">
        <v>1092.857</v>
      </c>
      <c r="I120" s="4">
        <v>5.146737404802275</v>
      </c>
      <c r="J120" t="b">
        <v>0</v>
      </c>
      <c r="K120" t="b">
        <v>0</v>
      </c>
    </row>
    <row r="121" spans="1:11" x14ac:dyDescent="0.25">
      <c r="A121" t="s">
        <v>113</v>
      </c>
      <c r="B121" t="s">
        <v>114</v>
      </c>
      <c r="C121" t="s">
        <v>467</v>
      </c>
      <c r="D121" t="s">
        <v>468</v>
      </c>
      <c r="E121" s="4">
        <v>9056474</v>
      </c>
      <c r="F121" s="4">
        <v>5614.53</v>
      </c>
      <c r="G121" s="4">
        <v>561453</v>
      </c>
      <c r="H121" s="4">
        <v>561.453</v>
      </c>
      <c r="I121" s="4">
        <v>16.130422314957798</v>
      </c>
      <c r="J121" t="b">
        <v>0</v>
      </c>
      <c r="K121" t="b">
        <v>0</v>
      </c>
    </row>
    <row r="122" spans="1:11" x14ac:dyDescent="0.25">
      <c r="A122" t="s">
        <v>115</v>
      </c>
      <c r="B122" t="s">
        <v>116</v>
      </c>
      <c r="C122" t="s">
        <v>455</v>
      </c>
      <c r="D122" t="s">
        <v>477</v>
      </c>
      <c r="E122" s="4">
        <v>737767</v>
      </c>
      <c r="F122" s="4">
        <v>1678.35</v>
      </c>
      <c r="G122" s="4">
        <v>167835</v>
      </c>
      <c r="H122" s="4">
        <v>167.835</v>
      </c>
      <c r="I122" s="4">
        <v>4.395787529418774</v>
      </c>
      <c r="J122" t="b">
        <v>0</v>
      </c>
      <c r="K122" t="b">
        <v>0</v>
      </c>
    </row>
    <row r="123" spans="1:11" x14ac:dyDescent="0.25">
      <c r="A123" t="s">
        <v>115</v>
      </c>
      <c r="B123" t="s">
        <v>116</v>
      </c>
      <c r="C123" t="s">
        <v>461</v>
      </c>
      <c r="D123" t="s">
        <v>462</v>
      </c>
      <c r="E123" s="4">
        <v>24889337</v>
      </c>
      <c r="F123" s="4">
        <v>12599.42</v>
      </c>
      <c r="G123" s="4">
        <v>1259942</v>
      </c>
      <c r="H123" s="4">
        <v>1259.942</v>
      </c>
      <c r="I123" s="4">
        <v>19.754351390778307</v>
      </c>
      <c r="J123" t="b">
        <v>0</v>
      </c>
      <c r="K123" t="b">
        <v>0</v>
      </c>
    </row>
    <row r="124" spans="1:11" x14ac:dyDescent="0.25">
      <c r="A124" t="s">
        <v>115</v>
      </c>
      <c r="B124" t="s">
        <v>116</v>
      </c>
      <c r="C124" t="s">
        <v>463</v>
      </c>
      <c r="D124" t="s">
        <v>464</v>
      </c>
      <c r="E124" s="4">
        <v>35157562</v>
      </c>
      <c r="F124" s="4">
        <v>12055.35</v>
      </c>
      <c r="G124" s="4">
        <v>1205535</v>
      </c>
      <c r="H124" s="4">
        <v>1205.535</v>
      </c>
      <c r="I124" s="4">
        <v>29.163451911392038</v>
      </c>
      <c r="J124" t="b">
        <v>0</v>
      </c>
      <c r="K124" t="b">
        <v>0</v>
      </c>
    </row>
    <row r="125" spans="1:11" x14ac:dyDescent="0.25">
      <c r="A125" t="s">
        <v>115</v>
      </c>
      <c r="B125" t="s">
        <v>116</v>
      </c>
      <c r="C125" t="s">
        <v>465</v>
      </c>
      <c r="D125" t="s">
        <v>478</v>
      </c>
      <c r="E125" s="4">
        <v>7503487</v>
      </c>
      <c r="F125" s="4">
        <v>14906.3</v>
      </c>
      <c r="G125" s="4">
        <v>1490630</v>
      </c>
      <c r="H125" s="4">
        <v>1490.63</v>
      </c>
      <c r="I125" s="4">
        <v>5.033768943332685</v>
      </c>
      <c r="J125" t="b">
        <v>0</v>
      </c>
      <c r="K125" t="b">
        <v>0</v>
      </c>
    </row>
    <row r="126" spans="1:11" x14ac:dyDescent="0.25">
      <c r="A126" t="s">
        <v>115</v>
      </c>
      <c r="B126" t="s">
        <v>116</v>
      </c>
      <c r="C126" t="s">
        <v>467</v>
      </c>
      <c r="D126" t="s">
        <v>468</v>
      </c>
      <c r="E126" s="4">
        <v>12895770</v>
      </c>
      <c r="F126" s="4">
        <v>7342.53</v>
      </c>
      <c r="G126" s="4">
        <v>734253</v>
      </c>
      <c r="H126" s="4">
        <v>734.253</v>
      </c>
      <c r="I126" s="4">
        <v>17.56311516602588</v>
      </c>
      <c r="J126" t="b">
        <v>0</v>
      </c>
      <c r="K126" t="b">
        <v>0</v>
      </c>
    </row>
    <row r="127" spans="1:11" x14ac:dyDescent="0.25">
      <c r="A127" t="s">
        <v>117</v>
      </c>
      <c r="B127" t="s">
        <v>118</v>
      </c>
      <c r="C127" t="s">
        <v>455</v>
      </c>
      <c r="D127" t="s">
        <v>477</v>
      </c>
      <c r="E127" s="4">
        <v>895787</v>
      </c>
      <c r="F127" s="4">
        <v>2566.32</v>
      </c>
      <c r="G127" s="4">
        <v>256632.00000000003</v>
      </c>
      <c r="H127" s="4">
        <v>256.632</v>
      </c>
      <c r="I127" s="4">
        <v>3.490550671779045</v>
      </c>
      <c r="J127" t="b">
        <v>0</v>
      </c>
      <c r="K127" t="b">
        <v>0</v>
      </c>
    </row>
    <row r="128" spans="1:11" x14ac:dyDescent="0.25">
      <c r="A128" t="s">
        <v>117</v>
      </c>
      <c r="B128" t="s">
        <v>118</v>
      </c>
      <c r="C128" t="s">
        <v>461</v>
      </c>
      <c r="D128" t="s">
        <v>462</v>
      </c>
      <c r="E128" s="4">
        <v>24699391</v>
      </c>
      <c r="F128" s="4">
        <v>12588.2</v>
      </c>
      <c r="G128" s="4">
        <v>1258820</v>
      </c>
      <c r="H128" s="4">
        <v>1258.8200000000002</v>
      </c>
      <c r="I128" s="4">
        <v>19.621066554392208</v>
      </c>
      <c r="J128" t="b">
        <v>0</v>
      </c>
      <c r="K128" t="b">
        <v>0</v>
      </c>
    </row>
    <row r="129" spans="1:11" x14ac:dyDescent="0.25">
      <c r="A129" t="s">
        <v>117</v>
      </c>
      <c r="B129" t="s">
        <v>118</v>
      </c>
      <c r="C129" t="s">
        <v>463</v>
      </c>
      <c r="D129" t="s">
        <v>464</v>
      </c>
      <c r="E129" s="4">
        <v>35042041</v>
      </c>
      <c r="F129" s="4">
        <v>12771.42</v>
      </c>
      <c r="G129" s="4">
        <v>1277142</v>
      </c>
      <c r="H129" s="4">
        <v>1277.142</v>
      </c>
      <c r="I129" s="4">
        <v>27.43785812384214</v>
      </c>
      <c r="J129" t="b">
        <v>0</v>
      </c>
      <c r="K129" t="b">
        <v>0</v>
      </c>
    </row>
    <row r="130" spans="1:11" x14ac:dyDescent="0.25">
      <c r="A130" t="s">
        <v>117</v>
      </c>
      <c r="B130" t="s">
        <v>118</v>
      </c>
      <c r="C130" t="s">
        <v>465</v>
      </c>
      <c r="D130" t="s">
        <v>478</v>
      </c>
      <c r="E130" s="4">
        <v>7554011</v>
      </c>
      <c r="F130" s="4">
        <v>16026.4</v>
      </c>
      <c r="G130" s="4">
        <v>1602640</v>
      </c>
      <c r="H130" s="4">
        <v>1602.64</v>
      </c>
      <c r="I130" s="4">
        <v>4.713479633604552</v>
      </c>
      <c r="J130" t="b">
        <v>0</v>
      </c>
      <c r="K130" t="b">
        <v>0</v>
      </c>
    </row>
    <row r="131" spans="1:11" x14ac:dyDescent="0.25">
      <c r="A131" t="s">
        <v>117</v>
      </c>
      <c r="B131" t="s">
        <v>118</v>
      </c>
      <c r="C131" t="s">
        <v>467</v>
      </c>
      <c r="D131" t="s">
        <v>468</v>
      </c>
      <c r="E131" s="4">
        <v>15824772</v>
      </c>
      <c r="F131" s="4">
        <v>8700.68</v>
      </c>
      <c r="G131" s="4">
        <v>870068</v>
      </c>
      <c r="H131" s="4">
        <v>870.0680000000001</v>
      </c>
      <c r="I131" s="4">
        <v>18.187971514870103</v>
      </c>
      <c r="J131" t="b">
        <v>0</v>
      </c>
      <c r="K131" t="b">
        <v>0</v>
      </c>
    </row>
    <row r="132" spans="1:11" x14ac:dyDescent="0.25">
      <c r="A132" t="s">
        <v>119</v>
      </c>
      <c r="B132" t="s">
        <v>120</v>
      </c>
      <c r="C132" t="s">
        <v>455</v>
      </c>
      <c r="D132" t="s">
        <v>477</v>
      </c>
      <c r="E132" s="4">
        <v>959068</v>
      </c>
      <c r="F132" s="4">
        <v>3120.8</v>
      </c>
      <c r="G132" s="4">
        <v>312080</v>
      </c>
      <c r="H132" s="4">
        <v>312.08000000000004</v>
      </c>
      <c r="I132" s="4">
        <v>3.0731479107921045</v>
      </c>
      <c r="J132" t="b">
        <v>0</v>
      </c>
      <c r="K132" t="b">
        <v>0</v>
      </c>
    </row>
    <row r="133" spans="1:11" x14ac:dyDescent="0.25">
      <c r="A133" t="s">
        <v>119</v>
      </c>
      <c r="B133" t="s">
        <v>120</v>
      </c>
      <c r="C133" t="s">
        <v>461</v>
      </c>
      <c r="D133" t="s">
        <v>462</v>
      </c>
      <c r="E133" s="4">
        <v>24966437</v>
      </c>
      <c r="F133" s="4">
        <v>12744.47</v>
      </c>
      <c r="G133" s="4">
        <v>1274447</v>
      </c>
      <c r="H133" s="4">
        <v>1274.4470000000001</v>
      </c>
      <c r="I133" s="4">
        <v>19.59001590493759</v>
      </c>
      <c r="J133" t="b">
        <v>0</v>
      </c>
      <c r="K133" t="b">
        <v>0</v>
      </c>
    </row>
    <row r="134" spans="1:11" x14ac:dyDescent="0.25">
      <c r="A134" t="s">
        <v>119</v>
      </c>
      <c r="B134" t="s">
        <v>120</v>
      </c>
      <c r="C134" t="s">
        <v>463</v>
      </c>
      <c r="D134" t="s">
        <v>464</v>
      </c>
      <c r="E134" s="4">
        <v>37320260</v>
      </c>
      <c r="F134" s="4">
        <v>13083.97</v>
      </c>
      <c r="G134" s="4">
        <v>1308397</v>
      </c>
      <c r="H134" s="4">
        <v>1308.397</v>
      </c>
      <c r="I134" s="4">
        <v>28.523651460527653</v>
      </c>
      <c r="J134" t="b">
        <v>0</v>
      </c>
      <c r="K134" t="b">
        <v>0</v>
      </c>
    </row>
    <row r="135" spans="1:11" x14ac:dyDescent="0.25">
      <c r="A135" t="s">
        <v>119</v>
      </c>
      <c r="B135" t="s">
        <v>120</v>
      </c>
      <c r="C135" t="s">
        <v>465</v>
      </c>
      <c r="D135" t="s">
        <v>478</v>
      </c>
      <c r="E135" s="4">
        <v>7855322</v>
      </c>
      <c r="F135" s="4">
        <v>15419.77</v>
      </c>
      <c r="G135" s="4">
        <v>1541977</v>
      </c>
      <c r="H135" s="4">
        <v>1541.977</v>
      </c>
      <c r="I135" s="4">
        <v>5.094318527448853</v>
      </c>
      <c r="J135" t="b">
        <v>0</v>
      </c>
      <c r="K135" t="b">
        <v>0</v>
      </c>
    </row>
    <row r="136" spans="1:11" x14ac:dyDescent="0.25">
      <c r="A136" t="s">
        <v>119</v>
      </c>
      <c r="B136" t="s">
        <v>120</v>
      </c>
      <c r="C136" t="s">
        <v>467</v>
      </c>
      <c r="D136" t="s">
        <v>468</v>
      </c>
      <c r="E136" s="4">
        <v>16015944</v>
      </c>
      <c r="F136" s="4">
        <v>8898.12</v>
      </c>
      <c r="G136" s="4">
        <v>889812.0000000001</v>
      </c>
      <c r="H136" s="4">
        <v>889.8120000000001</v>
      </c>
      <c r="I136" s="4">
        <v>17.999244784291513</v>
      </c>
      <c r="J136" t="b">
        <v>0</v>
      </c>
      <c r="K136" t="b">
        <v>0</v>
      </c>
    </row>
    <row r="137" spans="1:11" x14ac:dyDescent="0.25">
      <c r="A137" t="s">
        <v>121</v>
      </c>
      <c r="B137" t="s">
        <v>122</v>
      </c>
      <c r="C137" t="s">
        <v>455</v>
      </c>
      <c r="D137" t="s">
        <v>477</v>
      </c>
      <c r="E137" s="4">
        <v>912419</v>
      </c>
      <c r="F137" s="4">
        <v>2205.85</v>
      </c>
      <c r="G137" s="4">
        <v>220585</v>
      </c>
      <c r="H137" s="4">
        <v>220.585</v>
      </c>
      <c r="I137" s="4">
        <v>4.136360133281955</v>
      </c>
      <c r="J137" t="b">
        <v>0</v>
      </c>
      <c r="K137" t="b">
        <v>0</v>
      </c>
    </row>
    <row r="138" spans="1:11" x14ac:dyDescent="0.25">
      <c r="A138" t="s">
        <v>121</v>
      </c>
      <c r="B138" t="s">
        <v>122</v>
      </c>
      <c r="C138" t="s">
        <v>461</v>
      </c>
      <c r="D138" t="s">
        <v>462</v>
      </c>
      <c r="E138" s="4">
        <v>23720229</v>
      </c>
      <c r="F138" s="4">
        <v>12802.3</v>
      </c>
      <c r="G138" s="4">
        <v>1280230</v>
      </c>
      <c r="H138" s="4">
        <v>1280.23</v>
      </c>
      <c r="I138" s="4">
        <v>18.528099638346234</v>
      </c>
      <c r="J138" t="b">
        <v>0</v>
      </c>
      <c r="K138" t="b">
        <v>0</v>
      </c>
    </row>
    <row r="139" spans="1:11" x14ac:dyDescent="0.25">
      <c r="A139" t="s">
        <v>121</v>
      </c>
      <c r="B139" t="s">
        <v>122</v>
      </c>
      <c r="C139" t="s">
        <v>463</v>
      </c>
      <c r="D139" t="s">
        <v>464</v>
      </c>
      <c r="E139" s="4">
        <v>34185772</v>
      </c>
      <c r="F139" s="4">
        <v>11705.19</v>
      </c>
      <c r="G139" s="4">
        <v>1170519</v>
      </c>
      <c r="H139" s="4">
        <v>1170.519</v>
      </c>
      <c r="I139" s="4">
        <v>29.205653218785855</v>
      </c>
      <c r="J139" t="b">
        <v>0</v>
      </c>
      <c r="K139" t="b">
        <v>0</v>
      </c>
    </row>
    <row r="140" spans="1:11" x14ac:dyDescent="0.25">
      <c r="A140" t="s">
        <v>121</v>
      </c>
      <c r="B140" t="s">
        <v>122</v>
      </c>
      <c r="C140" t="s">
        <v>465</v>
      </c>
      <c r="D140" t="s">
        <v>478</v>
      </c>
      <c r="E140" s="4">
        <v>8204176</v>
      </c>
      <c r="F140" s="4">
        <v>19365.13</v>
      </c>
      <c r="G140" s="4">
        <v>1936513</v>
      </c>
      <c r="H140" s="4">
        <v>1936.5130000000001</v>
      </c>
      <c r="I140" s="4">
        <v>4.236571610931607</v>
      </c>
      <c r="J140" t="b">
        <v>0</v>
      </c>
      <c r="K140" t="b">
        <v>0</v>
      </c>
    </row>
    <row r="141" spans="1:11" x14ac:dyDescent="0.25">
      <c r="A141" t="s">
        <v>121</v>
      </c>
      <c r="B141" t="s">
        <v>122</v>
      </c>
      <c r="C141" t="s">
        <v>467</v>
      </c>
      <c r="D141" t="s">
        <v>468</v>
      </c>
      <c r="E141" s="4">
        <v>12794877</v>
      </c>
      <c r="F141" s="4">
        <v>7539.16</v>
      </c>
      <c r="G141" s="4">
        <v>753916</v>
      </c>
      <c r="H141" s="4">
        <v>753.916</v>
      </c>
      <c r="I141" s="4">
        <v>16.971223584590327</v>
      </c>
      <c r="J141" t="b">
        <v>0</v>
      </c>
      <c r="K141" t="b">
        <v>0</v>
      </c>
    </row>
    <row r="142" spans="1:11" x14ac:dyDescent="0.25">
      <c r="A142" t="s">
        <v>123</v>
      </c>
      <c r="B142" t="s">
        <v>124</v>
      </c>
      <c r="C142" t="s">
        <v>455</v>
      </c>
      <c r="D142" t="s">
        <v>477</v>
      </c>
      <c r="E142" s="4">
        <v>574079</v>
      </c>
      <c r="F142" s="4">
        <v>749.55</v>
      </c>
      <c r="G142" s="4">
        <v>74955</v>
      </c>
      <c r="H142" s="4">
        <v>74.955</v>
      </c>
      <c r="I142" s="4">
        <v>7.658982055900207</v>
      </c>
      <c r="J142" t="b">
        <v>0</v>
      </c>
      <c r="K142" t="b">
        <v>0</v>
      </c>
    </row>
    <row r="143" spans="1:11" x14ac:dyDescent="0.25">
      <c r="A143" t="s">
        <v>123</v>
      </c>
      <c r="B143" t="s">
        <v>124</v>
      </c>
      <c r="C143" t="s">
        <v>461</v>
      </c>
      <c r="D143" t="s">
        <v>462</v>
      </c>
      <c r="E143" s="4">
        <v>21448140</v>
      </c>
      <c r="F143" s="4">
        <v>12374.99</v>
      </c>
      <c r="G143" s="4">
        <v>1237499</v>
      </c>
      <c r="H143" s="4">
        <v>1237.499</v>
      </c>
      <c r="I143" s="4">
        <v>17.331844308561056</v>
      </c>
      <c r="J143" t="b">
        <v>0</v>
      </c>
      <c r="K143" t="b">
        <v>0</v>
      </c>
    </row>
    <row r="144" spans="1:11" x14ac:dyDescent="0.25">
      <c r="A144" t="s">
        <v>123</v>
      </c>
      <c r="B144" t="s">
        <v>124</v>
      </c>
      <c r="C144" t="s">
        <v>463</v>
      </c>
      <c r="D144" t="s">
        <v>464</v>
      </c>
      <c r="E144" s="4">
        <v>24704981</v>
      </c>
      <c r="F144" s="4">
        <v>8801.03</v>
      </c>
      <c r="G144" s="4">
        <v>880103.0000000001</v>
      </c>
      <c r="H144" s="4">
        <v>880.1030000000001</v>
      </c>
      <c r="I144" s="4">
        <v>28.07055651440797</v>
      </c>
      <c r="J144" t="b">
        <v>0</v>
      </c>
      <c r="K144" t="b">
        <v>0</v>
      </c>
    </row>
    <row r="145" spans="1:11" x14ac:dyDescent="0.25">
      <c r="A145" t="s">
        <v>123</v>
      </c>
      <c r="B145" t="s">
        <v>124</v>
      </c>
      <c r="C145" t="s">
        <v>465</v>
      </c>
      <c r="D145" t="s">
        <v>478</v>
      </c>
      <c r="E145" s="4">
        <v>7042367</v>
      </c>
      <c r="F145" s="4">
        <v>16507.48</v>
      </c>
      <c r="G145" s="4">
        <v>1650748</v>
      </c>
      <c r="H145" s="4">
        <v>1650.748</v>
      </c>
      <c r="I145" s="4">
        <v>4.266167216316482</v>
      </c>
      <c r="J145" t="b">
        <v>0</v>
      </c>
      <c r="K145" t="b">
        <v>0</v>
      </c>
    </row>
    <row r="146" spans="1:11" x14ac:dyDescent="0.25">
      <c r="A146" t="s">
        <v>123</v>
      </c>
      <c r="B146" t="s">
        <v>124</v>
      </c>
      <c r="C146" t="s">
        <v>467</v>
      </c>
      <c r="D146" t="s">
        <v>468</v>
      </c>
      <c r="E146" s="4">
        <v>7781477</v>
      </c>
      <c r="F146" s="4">
        <v>4607.47</v>
      </c>
      <c r="G146" s="4">
        <v>460747</v>
      </c>
      <c r="H146" s="4">
        <v>460.74700000000007</v>
      </c>
      <c r="I146" s="4">
        <v>16.888828359164574</v>
      </c>
      <c r="J146" t="b">
        <v>0</v>
      </c>
      <c r="K146" t="b">
        <v>0</v>
      </c>
    </row>
    <row r="147" spans="1:11" x14ac:dyDescent="0.25">
      <c r="A147" t="s">
        <v>125</v>
      </c>
      <c r="B147" t="s">
        <v>126</v>
      </c>
      <c r="C147" t="s">
        <v>455</v>
      </c>
      <c r="D147" t="s">
        <v>477</v>
      </c>
      <c r="E147" s="4">
        <v>884376</v>
      </c>
      <c r="F147" s="4">
        <v>2663.85</v>
      </c>
      <c r="G147" s="4">
        <v>266385</v>
      </c>
      <c r="H147" s="4">
        <v>266.385</v>
      </c>
      <c r="I147" s="4">
        <v>3.31991666197421</v>
      </c>
      <c r="J147" t="b">
        <v>0</v>
      </c>
      <c r="K147" t="b">
        <v>0</v>
      </c>
    </row>
    <row r="148" spans="1:11" x14ac:dyDescent="0.25">
      <c r="A148" t="s">
        <v>125</v>
      </c>
      <c r="B148" t="s">
        <v>126</v>
      </c>
      <c r="C148" t="s">
        <v>461</v>
      </c>
      <c r="D148" t="s">
        <v>462</v>
      </c>
      <c r="E148" s="4">
        <v>24186918</v>
      </c>
      <c r="F148" s="4">
        <v>14320.11</v>
      </c>
      <c r="G148" s="4">
        <v>1432011</v>
      </c>
      <c r="H148" s="4">
        <v>1432.0110000000002</v>
      </c>
      <c r="I148" s="4">
        <v>16.890176122948777</v>
      </c>
      <c r="J148" t="b">
        <v>0</v>
      </c>
      <c r="K148" t="b">
        <v>0</v>
      </c>
    </row>
    <row r="149" spans="1:11" x14ac:dyDescent="0.25">
      <c r="A149" t="s">
        <v>125</v>
      </c>
      <c r="B149" t="s">
        <v>126</v>
      </c>
      <c r="C149" t="s">
        <v>463</v>
      </c>
      <c r="D149" t="s">
        <v>464</v>
      </c>
      <c r="E149" s="4">
        <v>26372158</v>
      </c>
      <c r="F149" s="4">
        <v>9503.31</v>
      </c>
      <c r="G149" s="4">
        <v>950331</v>
      </c>
      <c r="H149" s="4">
        <v>950.331</v>
      </c>
      <c r="I149" s="4">
        <v>27.750497458254017</v>
      </c>
      <c r="J149" t="b">
        <v>0</v>
      </c>
      <c r="K149" t="b">
        <v>0</v>
      </c>
    </row>
    <row r="150" spans="1:11" x14ac:dyDescent="0.25">
      <c r="A150" t="s">
        <v>125</v>
      </c>
      <c r="B150" t="s">
        <v>126</v>
      </c>
      <c r="C150" t="s">
        <v>465</v>
      </c>
      <c r="D150" t="s">
        <v>478</v>
      </c>
      <c r="E150" s="4">
        <v>7289097</v>
      </c>
      <c r="F150" s="4">
        <v>16289.92</v>
      </c>
      <c r="G150" s="4">
        <v>1628992</v>
      </c>
      <c r="H150" s="4">
        <v>1628.9920000000002</v>
      </c>
      <c r="I150" s="4">
        <v>4.474605768475229</v>
      </c>
      <c r="J150" t="b">
        <v>0</v>
      </c>
      <c r="K150" t="b">
        <v>0</v>
      </c>
    </row>
    <row r="151" spans="1:11" x14ac:dyDescent="0.25">
      <c r="A151" t="s">
        <v>125</v>
      </c>
      <c r="B151" t="s">
        <v>126</v>
      </c>
      <c r="C151" t="s">
        <v>467</v>
      </c>
      <c r="D151" t="s">
        <v>468</v>
      </c>
      <c r="E151" s="4">
        <v>8618084</v>
      </c>
      <c r="F151" s="4">
        <v>4961.18</v>
      </c>
      <c r="G151" s="4">
        <v>496118</v>
      </c>
      <c r="H151" s="4">
        <v>496.11800000000005</v>
      </c>
      <c r="I151" s="4">
        <v>17.37103672916524</v>
      </c>
      <c r="J151" t="b">
        <v>0</v>
      </c>
      <c r="K151" t="b">
        <v>0</v>
      </c>
    </row>
    <row r="152" spans="1:11" x14ac:dyDescent="0.25">
      <c r="A152" t="s">
        <v>127</v>
      </c>
      <c r="B152" t="s">
        <v>128</v>
      </c>
      <c r="C152" t="s">
        <v>455</v>
      </c>
      <c r="D152" t="s">
        <v>477</v>
      </c>
      <c r="E152" s="4">
        <v>846688</v>
      </c>
      <c r="F152" s="4">
        <v>1974.61</v>
      </c>
      <c r="G152" s="4">
        <v>197461</v>
      </c>
      <c r="H152" s="4">
        <v>197.461</v>
      </c>
      <c r="I152" s="4">
        <v>4.287874567636141</v>
      </c>
      <c r="J152" t="b">
        <v>0</v>
      </c>
      <c r="K152" t="b">
        <v>0</v>
      </c>
    </row>
    <row r="153" spans="1:11" x14ac:dyDescent="0.25">
      <c r="A153" t="s">
        <v>127</v>
      </c>
      <c r="B153" t="s">
        <v>128</v>
      </c>
      <c r="C153" t="s">
        <v>461</v>
      </c>
      <c r="D153" t="s">
        <v>462</v>
      </c>
      <c r="E153" s="4">
        <v>32766522</v>
      </c>
      <c r="F153" s="4">
        <v>19302.9</v>
      </c>
      <c r="G153" s="4">
        <v>1930290.0000000002</v>
      </c>
      <c r="H153" s="4">
        <v>1930.2900000000002</v>
      </c>
      <c r="I153" s="4">
        <v>16.9749219029265</v>
      </c>
      <c r="J153" t="b">
        <v>0</v>
      </c>
      <c r="K153" t="b">
        <v>0</v>
      </c>
    </row>
    <row r="154" spans="1:11" x14ac:dyDescent="0.25">
      <c r="A154" t="s">
        <v>127</v>
      </c>
      <c r="B154" t="s">
        <v>128</v>
      </c>
      <c r="C154" t="s">
        <v>463</v>
      </c>
      <c r="D154" t="s">
        <v>464</v>
      </c>
      <c r="E154" s="4">
        <v>28151171</v>
      </c>
      <c r="F154" s="4">
        <v>9857.82</v>
      </c>
      <c r="G154" s="4">
        <v>985782</v>
      </c>
      <c r="H154" s="4">
        <v>985.782</v>
      </c>
      <c r="I154" s="4">
        <v>28.55719723021926</v>
      </c>
      <c r="J154" t="b">
        <v>0</v>
      </c>
      <c r="K154" t="b">
        <v>0</v>
      </c>
    </row>
    <row r="155" spans="1:11" x14ac:dyDescent="0.25">
      <c r="A155" t="s">
        <v>127</v>
      </c>
      <c r="B155" t="s">
        <v>128</v>
      </c>
      <c r="C155" t="s">
        <v>465</v>
      </c>
      <c r="D155" t="s">
        <v>478</v>
      </c>
      <c r="E155" s="4">
        <v>8996185</v>
      </c>
      <c r="F155" s="4">
        <v>19139.21</v>
      </c>
      <c r="G155" s="4">
        <v>1913921</v>
      </c>
      <c r="H155" s="4">
        <v>1913.921</v>
      </c>
      <c r="I155" s="4">
        <v>4.700395157375879</v>
      </c>
      <c r="J155" t="b">
        <v>0</v>
      </c>
      <c r="K155" t="b">
        <v>0</v>
      </c>
    </row>
    <row r="156" spans="1:11" x14ac:dyDescent="0.25">
      <c r="A156" t="s">
        <v>127</v>
      </c>
      <c r="B156" t="s">
        <v>128</v>
      </c>
      <c r="C156" t="s">
        <v>467</v>
      </c>
      <c r="D156" t="s">
        <v>468</v>
      </c>
      <c r="E156" s="4">
        <v>12926311</v>
      </c>
      <c r="F156" s="4">
        <v>7244.56</v>
      </c>
      <c r="G156" s="4">
        <v>724456</v>
      </c>
      <c r="H156" s="4">
        <v>724.4560000000001</v>
      </c>
      <c r="I156" s="4">
        <v>17.84278272248418</v>
      </c>
      <c r="J156" t="b">
        <v>0</v>
      </c>
      <c r="K156" t="b">
        <v>0</v>
      </c>
    </row>
    <row r="157" spans="1:11" x14ac:dyDescent="0.25">
      <c r="A157" t="s">
        <v>129</v>
      </c>
      <c r="B157" t="s">
        <v>130</v>
      </c>
      <c r="C157" t="s">
        <v>455</v>
      </c>
      <c r="D157" t="s">
        <v>477</v>
      </c>
      <c r="E157" s="4">
        <v>748514</v>
      </c>
      <c r="F157" s="4">
        <v>1712.75</v>
      </c>
      <c r="G157" s="4">
        <v>171275</v>
      </c>
      <c r="H157" s="4">
        <v>171.275</v>
      </c>
      <c r="I157" s="4">
        <v>4.370246679316888</v>
      </c>
      <c r="J157" t="b">
        <v>0</v>
      </c>
      <c r="K157" t="b">
        <v>0</v>
      </c>
    </row>
    <row r="158" spans="1:11" x14ac:dyDescent="0.25">
      <c r="A158" t="s">
        <v>129</v>
      </c>
      <c r="B158" t="s">
        <v>130</v>
      </c>
      <c r="C158" t="s">
        <v>461</v>
      </c>
      <c r="D158" t="s">
        <v>462</v>
      </c>
      <c r="E158" s="4">
        <v>23520679</v>
      </c>
      <c r="F158" s="4">
        <v>13908.82</v>
      </c>
      <c r="G158" s="4">
        <v>1390882</v>
      </c>
      <c r="H158" s="4">
        <v>1390.882</v>
      </c>
      <c r="I158" s="4">
        <v>16.91062146177749</v>
      </c>
      <c r="J158" t="b">
        <v>0</v>
      </c>
      <c r="K158" t="b">
        <v>0</v>
      </c>
    </row>
    <row r="159" spans="1:11" x14ac:dyDescent="0.25">
      <c r="A159" t="s">
        <v>129</v>
      </c>
      <c r="B159" t="s">
        <v>130</v>
      </c>
      <c r="C159" t="s">
        <v>463</v>
      </c>
      <c r="D159" t="s">
        <v>464</v>
      </c>
      <c r="E159" s="4">
        <v>18850699</v>
      </c>
      <c r="F159" s="4">
        <v>6650.05</v>
      </c>
      <c r="G159" s="4">
        <v>665005</v>
      </c>
      <c r="H159" s="4">
        <v>665.0050000000001</v>
      </c>
      <c r="I159" s="4">
        <v>28.346702656371004</v>
      </c>
      <c r="J159" t="b">
        <v>0</v>
      </c>
      <c r="K159" t="b">
        <v>0</v>
      </c>
    </row>
    <row r="160" spans="1:11" x14ac:dyDescent="0.25">
      <c r="A160" t="s">
        <v>129</v>
      </c>
      <c r="B160" t="s">
        <v>130</v>
      </c>
      <c r="C160" t="s">
        <v>465</v>
      </c>
      <c r="D160" t="s">
        <v>478</v>
      </c>
      <c r="E160" s="4">
        <v>9035142</v>
      </c>
      <c r="F160" s="4">
        <v>20879.68</v>
      </c>
      <c r="G160" s="4">
        <v>2087968</v>
      </c>
      <c r="H160" s="4">
        <v>2087.9680000000003</v>
      </c>
      <c r="I160" s="4">
        <v>4.327241605235329</v>
      </c>
      <c r="J160" t="b">
        <v>0</v>
      </c>
      <c r="K160" t="b">
        <v>0</v>
      </c>
    </row>
    <row r="161" spans="1:11" x14ac:dyDescent="0.25">
      <c r="A161" t="s">
        <v>129</v>
      </c>
      <c r="B161" t="s">
        <v>130</v>
      </c>
      <c r="C161" t="s">
        <v>467</v>
      </c>
      <c r="D161" t="s">
        <v>468</v>
      </c>
      <c r="E161" s="4">
        <v>15993018</v>
      </c>
      <c r="F161" s="4">
        <v>9071.36</v>
      </c>
      <c r="G161" s="4">
        <v>907136</v>
      </c>
      <c r="H161" s="4">
        <v>907.1360000000001</v>
      </c>
      <c r="I161" s="4">
        <v>17.63023185057147</v>
      </c>
      <c r="J161" t="b">
        <v>0</v>
      </c>
      <c r="K161" t="b">
        <v>0</v>
      </c>
    </row>
    <row r="162" spans="1:11" x14ac:dyDescent="0.25">
      <c r="A162" t="s">
        <v>131</v>
      </c>
      <c r="B162" t="s">
        <v>132</v>
      </c>
      <c r="C162" t="s">
        <v>455</v>
      </c>
      <c r="D162" t="s">
        <v>477</v>
      </c>
      <c r="E162" s="4">
        <v>978399</v>
      </c>
      <c r="F162" s="4">
        <v>2468.7</v>
      </c>
      <c r="G162" s="4">
        <v>246869.99999999997</v>
      </c>
      <c r="H162" s="4">
        <v>246.87</v>
      </c>
      <c r="I162" s="4">
        <v>3.9632154575282543</v>
      </c>
      <c r="J162" t="b">
        <v>0</v>
      </c>
      <c r="K162" t="b">
        <v>0</v>
      </c>
    </row>
    <row r="163" spans="1:11" x14ac:dyDescent="0.25">
      <c r="A163" t="s">
        <v>131</v>
      </c>
      <c r="B163" t="s">
        <v>132</v>
      </c>
      <c r="C163" t="s">
        <v>461</v>
      </c>
      <c r="D163" t="s">
        <v>462</v>
      </c>
      <c r="E163" s="4">
        <v>16683187</v>
      </c>
      <c r="F163" s="4">
        <v>9733.72</v>
      </c>
      <c r="G163" s="4">
        <v>973371.9999999999</v>
      </c>
      <c r="H163" s="4">
        <v>973.372</v>
      </c>
      <c r="I163" s="4">
        <v>17.139579729024465</v>
      </c>
      <c r="J163" t="b">
        <v>0</v>
      </c>
      <c r="K163" t="b">
        <v>0</v>
      </c>
    </row>
    <row r="164" spans="1:11" x14ac:dyDescent="0.25">
      <c r="A164" t="s">
        <v>131</v>
      </c>
      <c r="B164" t="s">
        <v>132</v>
      </c>
      <c r="C164" t="s">
        <v>463</v>
      </c>
      <c r="D164" t="s">
        <v>464</v>
      </c>
      <c r="E164" s="4">
        <v>14843455</v>
      </c>
      <c r="F164" s="4">
        <v>5751.86</v>
      </c>
      <c r="G164" s="4">
        <v>575186</v>
      </c>
      <c r="H164" s="4">
        <v>575.186</v>
      </c>
      <c r="I164" s="4">
        <v>25.80635655248911</v>
      </c>
      <c r="J164" t="b">
        <v>0</v>
      </c>
      <c r="K164" t="b">
        <v>0</v>
      </c>
    </row>
    <row r="165" spans="1:11" x14ac:dyDescent="0.25">
      <c r="A165" t="s">
        <v>131</v>
      </c>
      <c r="B165" t="s">
        <v>132</v>
      </c>
      <c r="C165" t="s">
        <v>465</v>
      </c>
      <c r="D165" t="s">
        <v>478</v>
      </c>
      <c r="E165" s="4">
        <v>9090061</v>
      </c>
      <c r="F165" s="4">
        <v>20326.74</v>
      </c>
      <c r="G165" s="4">
        <v>2032674.0000000002</v>
      </c>
      <c r="H165" s="4">
        <v>2032.6740000000002</v>
      </c>
      <c r="I165" s="4">
        <v>4.471971895148951</v>
      </c>
      <c r="J165" t="b">
        <v>0</v>
      </c>
      <c r="K165" t="b">
        <v>0</v>
      </c>
    </row>
    <row r="166" spans="1:11" x14ac:dyDescent="0.25">
      <c r="A166" t="s">
        <v>131</v>
      </c>
      <c r="B166" t="s">
        <v>132</v>
      </c>
      <c r="C166" t="s">
        <v>467</v>
      </c>
      <c r="D166" t="s">
        <v>468</v>
      </c>
      <c r="E166" s="4">
        <v>12332173</v>
      </c>
      <c r="F166" s="4">
        <v>7133.1</v>
      </c>
      <c r="G166" s="4">
        <v>713310</v>
      </c>
      <c r="H166" s="4">
        <v>713.3100000000001</v>
      </c>
      <c r="I166" s="4">
        <v>17.288658507521273</v>
      </c>
      <c r="J166" t="b">
        <v>0</v>
      </c>
      <c r="K166" t="b">
        <v>0</v>
      </c>
    </row>
    <row r="167" spans="1:11" x14ac:dyDescent="0.25">
      <c r="A167" t="s">
        <v>133</v>
      </c>
      <c r="B167" t="s">
        <v>134</v>
      </c>
      <c r="C167" t="s">
        <v>455</v>
      </c>
      <c r="D167" t="s">
        <v>477</v>
      </c>
      <c r="E167" s="4">
        <v>619708</v>
      </c>
      <c r="F167" s="4">
        <v>2509.32</v>
      </c>
      <c r="G167" s="4">
        <v>250932.00000000003</v>
      </c>
      <c r="H167" s="4">
        <v>250.93200000000002</v>
      </c>
      <c r="I167" s="4">
        <v>2.469625237116031</v>
      </c>
      <c r="J167" t="b">
        <v>0</v>
      </c>
      <c r="K167" t="b">
        <v>0</v>
      </c>
    </row>
    <row r="168" spans="1:11" x14ac:dyDescent="0.25">
      <c r="A168" t="s">
        <v>133</v>
      </c>
      <c r="B168" t="s">
        <v>134</v>
      </c>
      <c r="C168" t="s">
        <v>461</v>
      </c>
      <c r="D168" t="s">
        <v>462</v>
      </c>
      <c r="E168" s="4">
        <v>15603353</v>
      </c>
      <c r="F168" s="4">
        <v>9686.3</v>
      </c>
      <c r="G168" s="4">
        <v>968629.9999999999</v>
      </c>
      <c r="H168" s="4">
        <v>968.63</v>
      </c>
      <c r="I168" s="4">
        <v>16.10868236581564</v>
      </c>
      <c r="J168" t="b">
        <v>0</v>
      </c>
      <c r="K168" t="b">
        <v>0</v>
      </c>
    </row>
    <row r="169" spans="1:11" x14ac:dyDescent="0.25">
      <c r="A169" t="s">
        <v>133</v>
      </c>
      <c r="B169" t="s">
        <v>134</v>
      </c>
      <c r="C169" t="s">
        <v>463</v>
      </c>
      <c r="D169" t="s">
        <v>464</v>
      </c>
      <c r="E169" s="4">
        <v>12644251</v>
      </c>
      <c r="F169" s="4">
        <v>5129.06</v>
      </c>
      <c r="G169" s="4">
        <v>512906.00000000006</v>
      </c>
      <c r="H169" s="4">
        <v>512.9060000000001</v>
      </c>
      <c r="I169" s="4">
        <v>24.6521799316054</v>
      </c>
      <c r="J169" t="b">
        <v>0</v>
      </c>
      <c r="K169" t="b">
        <v>0</v>
      </c>
    </row>
    <row r="170" spans="1:11" x14ac:dyDescent="0.25">
      <c r="A170" t="s">
        <v>133</v>
      </c>
      <c r="B170" t="s">
        <v>134</v>
      </c>
      <c r="C170" t="s">
        <v>465</v>
      </c>
      <c r="D170" t="s">
        <v>478</v>
      </c>
      <c r="E170" s="4">
        <v>9170404</v>
      </c>
      <c r="F170" s="4">
        <v>21296.08</v>
      </c>
      <c r="G170" s="4">
        <v>2129608</v>
      </c>
      <c r="H170" s="4">
        <v>2129.608</v>
      </c>
      <c r="I170" s="4">
        <v>4.306146483296456</v>
      </c>
      <c r="J170" t="b">
        <v>0</v>
      </c>
      <c r="K170" t="b">
        <v>0</v>
      </c>
    </row>
    <row r="171" spans="1:11" x14ac:dyDescent="0.25">
      <c r="A171" t="s">
        <v>133</v>
      </c>
      <c r="B171" t="s">
        <v>134</v>
      </c>
      <c r="C171" t="s">
        <v>467</v>
      </c>
      <c r="D171" t="s">
        <v>468</v>
      </c>
      <c r="E171" s="4">
        <v>7642360</v>
      </c>
      <c r="F171" s="4">
        <v>4603.12</v>
      </c>
      <c r="G171" s="4">
        <v>460312</v>
      </c>
      <c r="H171" s="4">
        <v>460.312</v>
      </c>
      <c r="I171" s="4">
        <v>16.602565216635675</v>
      </c>
      <c r="J171" t="b">
        <v>0</v>
      </c>
      <c r="K171" t="b">
        <v>0</v>
      </c>
    </row>
    <row r="172" spans="1:11" x14ac:dyDescent="0.25">
      <c r="A172" t="s">
        <v>135</v>
      </c>
      <c r="B172" t="s">
        <v>136</v>
      </c>
      <c r="C172" t="s">
        <v>455</v>
      </c>
      <c r="D172" t="s">
        <v>477</v>
      </c>
      <c r="E172" s="4">
        <v>880895</v>
      </c>
      <c r="F172" s="4">
        <v>3786.86</v>
      </c>
      <c r="G172" s="4">
        <v>378686</v>
      </c>
      <c r="H172" s="4">
        <v>378.68600000000004</v>
      </c>
      <c r="I172" s="4">
        <v>2.3261884516459546</v>
      </c>
      <c r="J172" t="b">
        <v>0</v>
      </c>
      <c r="K172" t="b">
        <v>0</v>
      </c>
    </row>
    <row r="173" spans="1:11" x14ac:dyDescent="0.25">
      <c r="A173" t="s">
        <v>135</v>
      </c>
      <c r="B173" t="s">
        <v>136</v>
      </c>
      <c r="C173" t="s">
        <v>461</v>
      </c>
      <c r="D173" t="s">
        <v>462</v>
      </c>
      <c r="E173" s="4">
        <v>21494143</v>
      </c>
      <c r="F173" s="4">
        <v>13647.08</v>
      </c>
      <c r="G173" s="4">
        <v>1364708</v>
      </c>
      <c r="H173" s="4">
        <v>1364.708</v>
      </c>
      <c r="I173" s="4">
        <v>15.749994137940131</v>
      </c>
      <c r="J173" t="b">
        <v>0</v>
      </c>
      <c r="K173" t="b">
        <v>0</v>
      </c>
    </row>
    <row r="174" spans="1:11" x14ac:dyDescent="0.25">
      <c r="A174" t="s">
        <v>135</v>
      </c>
      <c r="B174" t="s">
        <v>136</v>
      </c>
      <c r="C174" t="s">
        <v>463</v>
      </c>
      <c r="D174" t="s">
        <v>464</v>
      </c>
      <c r="E174" s="4">
        <v>12041431</v>
      </c>
      <c r="F174" s="4">
        <v>4693.79</v>
      </c>
      <c r="G174" s="4">
        <v>469379</v>
      </c>
      <c r="H174" s="4">
        <v>469.379</v>
      </c>
      <c r="I174" s="4">
        <v>25.653961936942213</v>
      </c>
      <c r="J174" t="b">
        <v>0</v>
      </c>
      <c r="K174" t="b">
        <v>0</v>
      </c>
    </row>
    <row r="175" spans="1:11" x14ac:dyDescent="0.25">
      <c r="A175" t="s">
        <v>135</v>
      </c>
      <c r="B175" t="s">
        <v>136</v>
      </c>
      <c r="C175" t="s">
        <v>465</v>
      </c>
      <c r="D175" t="s">
        <v>478</v>
      </c>
      <c r="E175" s="4">
        <v>8683635</v>
      </c>
      <c r="F175" s="4">
        <v>19966.36</v>
      </c>
      <c r="G175" s="4">
        <v>1996636</v>
      </c>
      <c r="H175" s="4">
        <v>1996.6360000000002</v>
      </c>
      <c r="I175" s="4">
        <v>4.349132741270817</v>
      </c>
      <c r="J175" t="b">
        <v>0</v>
      </c>
      <c r="K175" t="b">
        <v>0</v>
      </c>
    </row>
    <row r="176" spans="1:11" x14ac:dyDescent="0.25">
      <c r="A176" t="s">
        <v>135</v>
      </c>
      <c r="B176" t="s">
        <v>136</v>
      </c>
      <c r="C176" t="s">
        <v>467</v>
      </c>
      <c r="D176" t="s">
        <v>468</v>
      </c>
      <c r="E176" s="4">
        <v>6156260</v>
      </c>
      <c r="F176" s="4">
        <v>3714.39</v>
      </c>
      <c r="G176" s="4">
        <v>371439</v>
      </c>
      <c r="H176" s="4">
        <v>371.439</v>
      </c>
      <c r="I176" s="4">
        <v>16.57408080465433</v>
      </c>
      <c r="J176" t="b">
        <v>0</v>
      </c>
      <c r="K176" t="b">
        <v>0</v>
      </c>
    </row>
    <row r="177" spans="1:11" x14ac:dyDescent="0.25">
      <c r="A177" t="s">
        <v>137</v>
      </c>
      <c r="B177" t="s">
        <v>138</v>
      </c>
      <c r="C177" t="s">
        <v>455</v>
      </c>
      <c r="D177" t="s">
        <v>477</v>
      </c>
      <c r="E177" s="4">
        <v>614506</v>
      </c>
      <c r="F177" s="4">
        <v>2047.63</v>
      </c>
      <c r="G177" s="4">
        <v>204763</v>
      </c>
      <c r="H177" s="4">
        <v>204.76300000000003</v>
      </c>
      <c r="I177" s="4">
        <v>3.001059761773367</v>
      </c>
      <c r="J177" t="b">
        <v>0</v>
      </c>
      <c r="K177" t="b">
        <v>0</v>
      </c>
    </row>
    <row r="178" spans="1:11" x14ac:dyDescent="0.25">
      <c r="A178" t="s">
        <v>137</v>
      </c>
      <c r="B178" t="s">
        <v>138</v>
      </c>
      <c r="C178" t="s">
        <v>461</v>
      </c>
      <c r="D178" t="s">
        <v>462</v>
      </c>
      <c r="E178" s="4">
        <v>23178458</v>
      </c>
      <c r="F178" s="4">
        <v>13630.25</v>
      </c>
      <c r="G178" s="4">
        <v>1363025</v>
      </c>
      <c r="H178" s="4">
        <v>1363.025</v>
      </c>
      <c r="I178" s="4">
        <v>17.005159846664586</v>
      </c>
      <c r="J178" t="b">
        <v>0</v>
      </c>
      <c r="K178" t="b">
        <v>0</v>
      </c>
    </row>
    <row r="179" spans="1:11" x14ac:dyDescent="0.25">
      <c r="A179" t="s">
        <v>137</v>
      </c>
      <c r="B179" t="s">
        <v>138</v>
      </c>
      <c r="C179" t="s">
        <v>463</v>
      </c>
      <c r="D179" t="s">
        <v>464</v>
      </c>
      <c r="E179" s="4">
        <v>19257579</v>
      </c>
      <c r="F179" s="4">
        <v>7116.81</v>
      </c>
      <c r="G179" s="4">
        <v>711681</v>
      </c>
      <c r="H179" s="4">
        <v>711.681</v>
      </c>
      <c r="I179" s="4">
        <v>27.059284988639572</v>
      </c>
      <c r="J179" t="b">
        <v>0</v>
      </c>
      <c r="K179" t="b">
        <v>0</v>
      </c>
    </row>
    <row r="180" spans="1:11" x14ac:dyDescent="0.25">
      <c r="A180" t="s">
        <v>137</v>
      </c>
      <c r="B180" t="s">
        <v>138</v>
      </c>
      <c r="C180" t="s">
        <v>465</v>
      </c>
      <c r="D180" t="s">
        <v>478</v>
      </c>
      <c r="E180" s="4">
        <v>5851401</v>
      </c>
      <c r="F180" s="4">
        <v>13671.72</v>
      </c>
      <c r="G180" s="4">
        <v>1367172</v>
      </c>
      <c r="H180" s="4">
        <v>1367.172</v>
      </c>
      <c r="I180" s="4">
        <v>4.279930396468037</v>
      </c>
      <c r="J180" t="b">
        <v>0</v>
      </c>
      <c r="K180" t="b">
        <v>0</v>
      </c>
    </row>
    <row r="181" spans="1:11" x14ac:dyDescent="0.25">
      <c r="A181" t="s">
        <v>137</v>
      </c>
      <c r="B181" t="s">
        <v>138</v>
      </c>
      <c r="C181" t="s">
        <v>467</v>
      </c>
      <c r="D181" t="s">
        <v>468</v>
      </c>
      <c r="E181" s="4">
        <v>10342073</v>
      </c>
      <c r="F181" s="4">
        <v>6033.25</v>
      </c>
      <c r="G181" s="4">
        <v>603325</v>
      </c>
      <c r="H181" s="4">
        <v>603.325</v>
      </c>
      <c r="I181" s="4">
        <v>17.141794223677124</v>
      </c>
      <c r="J181" t="b">
        <v>0</v>
      </c>
      <c r="K181" t="b">
        <v>0</v>
      </c>
    </row>
    <row r="182" spans="1:11" x14ac:dyDescent="0.25">
      <c r="A182" t="s">
        <v>139</v>
      </c>
      <c r="B182" t="s">
        <v>140</v>
      </c>
      <c r="C182" t="s">
        <v>455</v>
      </c>
      <c r="D182" t="s">
        <v>477</v>
      </c>
      <c r="E182" s="4">
        <v>1046319</v>
      </c>
      <c r="F182" s="4">
        <v>4451.79</v>
      </c>
      <c r="G182" s="4">
        <v>445179</v>
      </c>
      <c r="H182" s="4">
        <v>445.17900000000003</v>
      </c>
      <c r="I182" s="4">
        <v>2.3503332367429732</v>
      </c>
      <c r="J182" t="b">
        <v>0</v>
      </c>
      <c r="K182" t="b">
        <v>0</v>
      </c>
    </row>
    <row r="183" spans="1:11" x14ac:dyDescent="0.25">
      <c r="A183" t="s">
        <v>139</v>
      </c>
      <c r="B183" t="s">
        <v>140</v>
      </c>
      <c r="C183" t="s">
        <v>461</v>
      </c>
      <c r="D183" t="s">
        <v>462</v>
      </c>
      <c r="E183" s="4">
        <v>31241635</v>
      </c>
      <c r="F183" s="4">
        <v>16995.83</v>
      </c>
      <c r="G183" s="4">
        <v>1699583.0000000002</v>
      </c>
      <c r="H183" s="4">
        <v>1699.5830000000003</v>
      </c>
      <c r="I183" s="4">
        <v>18.381941335021587</v>
      </c>
      <c r="J183" t="b">
        <v>0</v>
      </c>
      <c r="K183" t="b">
        <v>0</v>
      </c>
    </row>
    <row r="184" spans="1:11" x14ac:dyDescent="0.25">
      <c r="A184" t="s">
        <v>139</v>
      </c>
      <c r="B184" t="s">
        <v>140</v>
      </c>
      <c r="C184" t="s">
        <v>463</v>
      </c>
      <c r="D184" t="s">
        <v>464</v>
      </c>
      <c r="E184" s="4">
        <v>35590483</v>
      </c>
      <c r="F184" s="4">
        <v>12924.88</v>
      </c>
      <c r="G184" s="4">
        <v>1292488</v>
      </c>
      <c r="H184" s="4">
        <v>1292.488</v>
      </c>
      <c r="I184" s="4">
        <v>27.53641271717803</v>
      </c>
      <c r="J184" t="b">
        <v>0</v>
      </c>
      <c r="K184" t="b">
        <v>0</v>
      </c>
    </row>
    <row r="185" spans="1:11" x14ac:dyDescent="0.25">
      <c r="A185" t="s">
        <v>139</v>
      </c>
      <c r="B185" t="s">
        <v>140</v>
      </c>
      <c r="C185" t="s">
        <v>465</v>
      </c>
      <c r="D185" t="s">
        <v>478</v>
      </c>
      <c r="E185" s="4">
        <v>8676866</v>
      </c>
      <c r="F185" s="4">
        <v>21430.08</v>
      </c>
      <c r="G185" s="4">
        <v>2143008</v>
      </c>
      <c r="H185" s="4">
        <v>2143.0080000000003</v>
      </c>
      <c r="I185" s="4">
        <v>4.048919089429438</v>
      </c>
      <c r="J185" t="b">
        <v>0</v>
      </c>
      <c r="K185" t="b">
        <v>0</v>
      </c>
    </row>
    <row r="186" spans="1:11" x14ac:dyDescent="0.25">
      <c r="A186" t="s">
        <v>139</v>
      </c>
      <c r="B186" t="s">
        <v>140</v>
      </c>
      <c r="C186" t="s">
        <v>467</v>
      </c>
      <c r="D186" t="s">
        <v>468</v>
      </c>
      <c r="E186" s="4">
        <v>15592914</v>
      </c>
      <c r="F186" s="4">
        <v>9311.4</v>
      </c>
      <c r="G186" s="4">
        <v>931140</v>
      </c>
      <c r="H186" s="4">
        <v>931.14</v>
      </c>
      <c r="I186" s="4">
        <v>16.74604678136478</v>
      </c>
      <c r="J186" t="b">
        <v>0</v>
      </c>
      <c r="K186" t="b">
        <v>0</v>
      </c>
    </row>
    <row r="187" spans="1:11" x14ac:dyDescent="0.25">
      <c r="A187" t="s">
        <v>141</v>
      </c>
      <c r="B187" t="s">
        <v>142</v>
      </c>
      <c r="C187" t="s">
        <v>455</v>
      </c>
      <c r="D187" t="s">
        <v>477</v>
      </c>
      <c r="E187" s="4">
        <v>1143666</v>
      </c>
      <c r="F187" s="4">
        <v>4303.62</v>
      </c>
      <c r="G187" s="4">
        <v>430362</v>
      </c>
      <c r="H187" s="4">
        <v>430.362</v>
      </c>
      <c r="I187" s="4">
        <v>2.657451169015852</v>
      </c>
      <c r="J187" t="b">
        <v>0</v>
      </c>
      <c r="K187" t="b">
        <v>0</v>
      </c>
    </row>
    <row r="188" spans="1:11" x14ac:dyDescent="0.25">
      <c r="A188" t="s">
        <v>141</v>
      </c>
      <c r="B188" t="s">
        <v>142</v>
      </c>
      <c r="C188" t="s">
        <v>461</v>
      </c>
      <c r="D188" t="s">
        <v>462</v>
      </c>
      <c r="E188" s="4">
        <v>27591892</v>
      </c>
      <c r="F188" s="4">
        <v>14725.79</v>
      </c>
      <c r="G188" s="4">
        <v>1472579</v>
      </c>
      <c r="H188" s="4">
        <v>1472.5790000000002</v>
      </c>
      <c r="I188" s="4">
        <v>18.737121743553317</v>
      </c>
      <c r="J188" t="b">
        <v>0</v>
      </c>
      <c r="K188" t="b">
        <v>0</v>
      </c>
    </row>
    <row r="189" spans="1:11" x14ac:dyDescent="0.25">
      <c r="A189" t="s">
        <v>141</v>
      </c>
      <c r="B189" t="s">
        <v>142</v>
      </c>
      <c r="C189" t="s">
        <v>463</v>
      </c>
      <c r="D189" t="s">
        <v>464</v>
      </c>
      <c r="E189" s="4">
        <v>35680594</v>
      </c>
      <c r="F189" s="4">
        <v>12287.85</v>
      </c>
      <c r="G189" s="4">
        <v>1228785</v>
      </c>
      <c r="H189" s="4">
        <v>1228.785</v>
      </c>
      <c r="I189" s="4">
        <v>29.03729619095285</v>
      </c>
      <c r="J189" t="b">
        <v>0</v>
      </c>
      <c r="K189" t="b">
        <v>0</v>
      </c>
    </row>
    <row r="190" spans="1:11" x14ac:dyDescent="0.25">
      <c r="A190" t="s">
        <v>141</v>
      </c>
      <c r="B190" t="s">
        <v>142</v>
      </c>
      <c r="C190" t="s">
        <v>465</v>
      </c>
      <c r="D190" t="s">
        <v>478</v>
      </c>
      <c r="E190" s="4">
        <v>6793429</v>
      </c>
      <c r="F190" s="4">
        <v>14937.6</v>
      </c>
      <c r="G190" s="4">
        <v>1493760</v>
      </c>
      <c r="H190" s="4">
        <v>1493.7600000000002</v>
      </c>
      <c r="I190" s="4">
        <v>4.547871813410454</v>
      </c>
      <c r="J190" t="b">
        <v>0</v>
      </c>
      <c r="K190" t="b">
        <v>0</v>
      </c>
    </row>
    <row r="191" spans="1:11" x14ac:dyDescent="0.25">
      <c r="A191" t="s">
        <v>141</v>
      </c>
      <c r="B191" t="s">
        <v>142</v>
      </c>
      <c r="C191" t="s">
        <v>467</v>
      </c>
      <c r="D191" t="s">
        <v>468</v>
      </c>
      <c r="E191" s="4">
        <v>14393013</v>
      </c>
      <c r="F191" s="4">
        <v>7604.69</v>
      </c>
      <c r="G191" s="4">
        <v>760469</v>
      </c>
      <c r="H191" s="4">
        <v>760.469</v>
      </c>
      <c r="I191" s="4">
        <v>18.926495360100148</v>
      </c>
      <c r="J191" t="b">
        <v>0</v>
      </c>
      <c r="K191" t="b">
        <v>0</v>
      </c>
    </row>
    <row r="192" spans="1:11" x14ac:dyDescent="0.25">
      <c r="A192" t="s">
        <v>143</v>
      </c>
      <c r="B192" t="s">
        <v>144</v>
      </c>
      <c r="C192" t="s">
        <v>455</v>
      </c>
      <c r="D192" t="s">
        <v>477</v>
      </c>
      <c r="E192" s="4">
        <v>689333</v>
      </c>
      <c r="F192" s="4">
        <v>1189.75</v>
      </c>
      <c r="G192" s="4">
        <v>118975</v>
      </c>
      <c r="H192" s="4">
        <v>118.97500000000001</v>
      </c>
      <c r="I192" s="4">
        <v>5.793931498213911</v>
      </c>
      <c r="J192" t="b">
        <v>0</v>
      </c>
      <c r="K192" t="b">
        <v>0</v>
      </c>
    </row>
    <row r="193" spans="1:11" x14ac:dyDescent="0.25">
      <c r="A193" t="s">
        <v>143</v>
      </c>
      <c r="B193" t="s">
        <v>144</v>
      </c>
      <c r="C193" t="s">
        <v>461</v>
      </c>
      <c r="D193" t="s">
        <v>462</v>
      </c>
      <c r="E193" s="4">
        <v>28212048</v>
      </c>
      <c r="F193" s="4">
        <v>15295.88</v>
      </c>
      <c r="G193" s="4">
        <v>1529588</v>
      </c>
      <c r="H193" s="4">
        <v>1529.588</v>
      </c>
      <c r="I193" s="4">
        <v>18.444213735986423</v>
      </c>
      <c r="J193" t="b">
        <v>0</v>
      </c>
      <c r="K193" t="b">
        <v>0</v>
      </c>
    </row>
    <row r="194" spans="1:11" x14ac:dyDescent="0.25">
      <c r="A194" t="s">
        <v>143</v>
      </c>
      <c r="B194" t="s">
        <v>144</v>
      </c>
      <c r="C194" t="s">
        <v>463</v>
      </c>
      <c r="D194" t="s">
        <v>464</v>
      </c>
      <c r="E194" s="4">
        <v>40985442</v>
      </c>
      <c r="F194" s="4">
        <v>15046.6</v>
      </c>
      <c r="G194" s="4">
        <v>1504660</v>
      </c>
      <c r="H194" s="4">
        <v>1504.66</v>
      </c>
      <c r="I194" s="4">
        <v>27.23900548961227</v>
      </c>
      <c r="J194" t="b">
        <v>0</v>
      </c>
      <c r="K194" t="b">
        <v>0</v>
      </c>
    </row>
    <row r="195" spans="1:11" x14ac:dyDescent="0.25">
      <c r="A195" t="s">
        <v>143</v>
      </c>
      <c r="B195" t="s">
        <v>144</v>
      </c>
      <c r="C195" t="s">
        <v>465</v>
      </c>
      <c r="D195" t="s">
        <v>478</v>
      </c>
      <c r="E195" s="4">
        <v>9114735</v>
      </c>
      <c r="F195" s="4">
        <v>22422.77</v>
      </c>
      <c r="G195" s="4">
        <v>2242277</v>
      </c>
      <c r="H195" s="4">
        <v>2242.277</v>
      </c>
      <c r="I195" s="4">
        <v>4.0649460347673365</v>
      </c>
      <c r="J195" t="b">
        <v>0</v>
      </c>
      <c r="K195" t="b">
        <v>0</v>
      </c>
    </row>
    <row r="196" spans="1:11" x14ac:dyDescent="0.25">
      <c r="A196" t="s">
        <v>143</v>
      </c>
      <c r="B196" t="s">
        <v>144</v>
      </c>
      <c r="C196" t="s">
        <v>467</v>
      </c>
      <c r="D196" t="s">
        <v>468</v>
      </c>
      <c r="E196" s="4">
        <v>18207010</v>
      </c>
      <c r="F196" s="4">
        <v>10305.53</v>
      </c>
      <c r="G196" s="4">
        <v>1030553.0000000001</v>
      </c>
      <c r="H196" s="4">
        <v>1030.553</v>
      </c>
      <c r="I196" s="4">
        <v>17.667223325729</v>
      </c>
      <c r="J196" t="b">
        <v>0</v>
      </c>
      <c r="K196" t="b">
        <v>0</v>
      </c>
    </row>
    <row r="197" spans="1:11" x14ac:dyDescent="0.25">
      <c r="A197" t="s">
        <v>145</v>
      </c>
      <c r="B197" t="s">
        <v>146</v>
      </c>
      <c r="C197" t="s">
        <v>455</v>
      </c>
      <c r="D197" t="s">
        <v>477</v>
      </c>
      <c r="E197" s="4">
        <v>986656</v>
      </c>
      <c r="F197" s="4">
        <v>3307.3</v>
      </c>
      <c r="G197" s="4">
        <v>330730</v>
      </c>
      <c r="H197" s="4">
        <v>330.73</v>
      </c>
      <c r="I197" s="4">
        <v>2.9832673177516402</v>
      </c>
      <c r="J197" t="b">
        <v>0</v>
      </c>
      <c r="K197" t="b">
        <v>0</v>
      </c>
    </row>
    <row r="198" spans="1:11" x14ac:dyDescent="0.25">
      <c r="A198" t="s">
        <v>145</v>
      </c>
      <c r="B198" t="s">
        <v>146</v>
      </c>
      <c r="C198" t="s">
        <v>461</v>
      </c>
      <c r="D198" t="s">
        <v>462</v>
      </c>
      <c r="E198" s="4">
        <v>30420958</v>
      </c>
      <c r="F198" s="4">
        <v>18479.37</v>
      </c>
      <c r="G198" s="4">
        <v>1847937</v>
      </c>
      <c r="H198" s="4">
        <v>1847.937</v>
      </c>
      <c r="I198" s="4">
        <v>16.4621185678949</v>
      </c>
      <c r="J198" t="b">
        <v>0</v>
      </c>
      <c r="K198" t="b">
        <v>0</v>
      </c>
    </row>
    <row r="199" spans="1:11" x14ac:dyDescent="0.25">
      <c r="A199" t="s">
        <v>145</v>
      </c>
      <c r="B199" t="s">
        <v>146</v>
      </c>
      <c r="C199" t="s">
        <v>463</v>
      </c>
      <c r="D199" t="s">
        <v>464</v>
      </c>
      <c r="E199" s="4">
        <v>35219074</v>
      </c>
      <c r="F199" s="4">
        <v>13267.01</v>
      </c>
      <c r="G199" s="4">
        <v>1326701</v>
      </c>
      <c r="H199" s="4">
        <v>1326.701</v>
      </c>
      <c r="I199" s="4">
        <v>26.546353699891686</v>
      </c>
      <c r="J199" t="b">
        <v>0</v>
      </c>
      <c r="K199" t="b">
        <v>0</v>
      </c>
    </row>
    <row r="200" spans="1:11" x14ac:dyDescent="0.25">
      <c r="A200" t="s">
        <v>145</v>
      </c>
      <c r="B200" t="s">
        <v>146</v>
      </c>
      <c r="C200" t="s">
        <v>465</v>
      </c>
      <c r="D200" t="s">
        <v>478</v>
      </c>
      <c r="E200" s="4">
        <v>8776732</v>
      </c>
      <c r="F200" s="4">
        <v>19629.51</v>
      </c>
      <c r="G200" s="4">
        <v>1962950.9999999998</v>
      </c>
      <c r="H200" s="4">
        <v>1962.951</v>
      </c>
      <c r="I200" s="4">
        <v>4.4711926074568344</v>
      </c>
      <c r="J200" t="b">
        <v>0</v>
      </c>
      <c r="K200" t="b">
        <v>0</v>
      </c>
    </row>
    <row r="201" spans="1:11" x14ac:dyDescent="0.25">
      <c r="A201" t="s">
        <v>145</v>
      </c>
      <c r="B201" t="s">
        <v>146</v>
      </c>
      <c r="C201" t="s">
        <v>467</v>
      </c>
      <c r="D201" t="s">
        <v>468</v>
      </c>
      <c r="E201" s="4">
        <v>12184999</v>
      </c>
      <c r="F201" s="4">
        <v>6402.42</v>
      </c>
      <c r="G201" s="4">
        <v>640242</v>
      </c>
      <c r="H201" s="4">
        <v>640.2420000000001</v>
      </c>
      <c r="I201" s="4">
        <v>19.031864513730746</v>
      </c>
      <c r="J201" t="b">
        <v>0</v>
      </c>
      <c r="K201" t="b">
        <v>0</v>
      </c>
    </row>
    <row r="202" spans="1:11" x14ac:dyDescent="0.25">
      <c r="A202" t="s">
        <v>147</v>
      </c>
      <c r="B202" t="s">
        <v>148</v>
      </c>
      <c r="C202" t="s">
        <v>455</v>
      </c>
      <c r="D202" t="s">
        <v>477</v>
      </c>
      <c r="E202" s="4">
        <v>800825</v>
      </c>
      <c r="F202" s="4">
        <v>2669.39</v>
      </c>
      <c r="G202" s="4">
        <v>266939</v>
      </c>
      <c r="H202" s="4">
        <v>266.939</v>
      </c>
      <c r="I202" s="4">
        <v>3.0000299693937564</v>
      </c>
      <c r="J202" t="b">
        <v>0</v>
      </c>
      <c r="K202" t="b">
        <v>0</v>
      </c>
    </row>
    <row r="203" spans="1:11" x14ac:dyDescent="0.25">
      <c r="A203" t="s">
        <v>147</v>
      </c>
      <c r="B203" t="s">
        <v>148</v>
      </c>
      <c r="C203" t="s">
        <v>461</v>
      </c>
      <c r="D203" t="s">
        <v>462</v>
      </c>
      <c r="E203" s="4">
        <v>31688509</v>
      </c>
      <c r="F203" s="4">
        <v>20028.42</v>
      </c>
      <c r="G203" s="4">
        <v>2002841.9999999998</v>
      </c>
      <c r="H203" s="4">
        <v>2002.8419999999999</v>
      </c>
      <c r="I203" s="4">
        <v>15.821771762325737</v>
      </c>
      <c r="J203" t="b">
        <v>0</v>
      </c>
      <c r="K203" t="b">
        <v>0</v>
      </c>
    </row>
    <row r="204" spans="1:11" x14ac:dyDescent="0.25">
      <c r="A204" t="s">
        <v>147</v>
      </c>
      <c r="B204" t="s">
        <v>148</v>
      </c>
      <c r="C204" t="s">
        <v>463</v>
      </c>
      <c r="D204" t="s">
        <v>464</v>
      </c>
      <c r="E204" s="4">
        <v>29843127</v>
      </c>
      <c r="F204" s="4">
        <v>11673.24</v>
      </c>
      <c r="G204" s="4">
        <v>1167324</v>
      </c>
      <c r="H204" s="4">
        <v>1167.324</v>
      </c>
      <c r="I204" s="4">
        <v>25.565418855433453</v>
      </c>
      <c r="J204" t="b">
        <v>0</v>
      </c>
      <c r="K204" t="b">
        <v>0</v>
      </c>
    </row>
    <row r="205" spans="1:11" x14ac:dyDescent="0.25">
      <c r="A205" t="s">
        <v>147</v>
      </c>
      <c r="B205" t="s">
        <v>148</v>
      </c>
      <c r="C205" t="s">
        <v>465</v>
      </c>
      <c r="D205" t="s">
        <v>478</v>
      </c>
      <c r="E205" s="4">
        <v>7949583</v>
      </c>
      <c r="F205" s="4">
        <v>19445.25</v>
      </c>
      <c r="G205" s="4">
        <v>1944525</v>
      </c>
      <c r="H205" s="4">
        <v>1944.525</v>
      </c>
      <c r="I205" s="4">
        <v>4.0881876036564195</v>
      </c>
      <c r="J205" t="b">
        <v>0</v>
      </c>
      <c r="K205" t="b">
        <v>0</v>
      </c>
    </row>
    <row r="206" spans="1:11" x14ac:dyDescent="0.25">
      <c r="A206" t="s">
        <v>147</v>
      </c>
      <c r="B206" t="s">
        <v>148</v>
      </c>
      <c r="C206" t="s">
        <v>467</v>
      </c>
      <c r="D206" t="s">
        <v>468</v>
      </c>
      <c r="E206" s="4">
        <v>10677217</v>
      </c>
      <c r="F206" s="4">
        <v>6642.1</v>
      </c>
      <c r="G206" s="4">
        <v>664210</v>
      </c>
      <c r="H206" s="4">
        <v>664.21</v>
      </c>
      <c r="I206" s="4">
        <v>16.075062103852698</v>
      </c>
      <c r="J206" t="b">
        <v>0</v>
      </c>
      <c r="K206" t="b">
        <v>0</v>
      </c>
    </row>
    <row r="207" spans="1:11" x14ac:dyDescent="0.25">
      <c r="A207" t="s">
        <v>149</v>
      </c>
      <c r="B207" t="s">
        <v>150</v>
      </c>
      <c r="C207" t="s">
        <v>455</v>
      </c>
      <c r="D207" t="s">
        <v>477</v>
      </c>
      <c r="E207" s="4">
        <v>904624</v>
      </c>
      <c r="F207" s="4">
        <v>2784.62</v>
      </c>
      <c r="G207" s="4">
        <v>278462</v>
      </c>
      <c r="H207" s="4">
        <v>278.462</v>
      </c>
      <c r="I207" s="4">
        <v>3.2486443392635262</v>
      </c>
      <c r="J207" t="b">
        <v>0</v>
      </c>
      <c r="K207" t="b">
        <v>0</v>
      </c>
    </row>
    <row r="208" spans="1:11" x14ac:dyDescent="0.25">
      <c r="A208" t="s">
        <v>149</v>
      </c>
      <c r="B208" t="s">
        <v>150</v>
      </c>
      <c r="C208" t="s">
        <v>461</v>
      </c>
      <c r="D208" t="s">
        <v>462</v>
      </c>
      <c r="E208" s="4">
        <v>39413384</v>
      </c>
      <c r="F208" s="4">
        <v>25265.8</v>
      </c>
      <c r="G208" s="4">
        <v>2526580</v>
      </c>
      <c r="H208" s="4">
        <v>2526.58</v>
      </c>
      <c r="I208" s="4">
        <v>15.599499718987722</v>
      </c>
      <c r="J208" t="b">
        <v>0</v>
      </c>
      <c r="K208" t="b">
        <v>0</v>
      </c>
    </row>
    <row r="209" spans="1:11" x14ac:dyDescent="0.25">
      <c r="A209" t="s">
        <v>149</v>
      </c>
      <c r="B209" t="s">
        <v>150</v>
      </c>
      <c r="C209" t="s">
        <v>463</v>
      </c>
      <c r="D209" t="s">
        <v>464</v>
      </c>
      <c r="E209" s="4">
        <v>31430725</v>
      </c>
      <c r="F209" s="4">
        <v>12936.77</v>
      </c>
      <c r="G209" s="4">
        <v>1293677</v>
      </c>
      <c r="H209" s="4">
        <v>1293.6770000000001</v>
      </c>
      <c r="I209" s="4">
        <v>24.295651078283065</v>
      </c>
      <c r="J209" t="b">
        <v>0</v>
      </c>
      <c r="K209" t="b">
        <v>0</v>
      </c>
    </row>
    <row r="210" spans="1:11" x14ac:dyDescent="0.25">
      <c r="A210" t="s">
        <v>149</v>
      </c>
      <c r="B210" t="s">
        <v>150</v>
      </c>
      <c r="C210" t="s">
        <v>465</v>
      </c>
      <c r="D210" t="s">
        <v>478</v>
      </c>
      <c r="E210" s="4">
        <v>8381446</v>
      </c>
      <c r="F210" s="4">
        <v>19705.41</v>
      </c>
      <c r="G210" s="4">
        <v>1970541</v>
      </c>
      <c r="H210" s="4">
        <v>1970.5410000000002</v>
      </c>
      <c r="I210" s="4">
        <v>4.253373058464655</v>
      </c>
      <c r="J210" t="b">
        <v>0</v>
      </c>
      <c r="K210" t="b">
        <v>0</v>
      </c>
    </row>
    <row r="211" spans="1:11" x14ac:dyDescent="0.25">
      <c r="A211" t="s">
        <v>149</v>
      </c>
      <c r="B211" t="s">
        <v>150</v>
      </c>
      <c r="C211" t="s">
        <v>467</v>
      </c>
      <c r="D211" t="s">
        <v>468</v>
      </c>
      <c r="E211" s="4">
        <v>11691014</v>
      </c>
      <c r="F211" s="4">
        <v>6563.3</v>
      </c>
      <c r="G211" s="4">
        <v>656330</v>
      </c>
      <c r="H211" s="4">
        <v>656.33</v>
      </c>
      <c r="I211" s="4">
        <v>17.812707022382032</v>
      </c>
      <c r="J211" t="b">
        <v>0</v>
      </c>
      <c r="K211" t="b">
        <v>0</v>
      </c>
    </row>
    <row r="212" spans="1:11" x14ac:dyDescent="0.25">
      <c r="A212" t="s">
        <v>151</v>
      </c>
      <c r="B212" t="s">
        <v>152</v>
      </c>
      <c r="C212" t="s">
        <v>455</v>
      </c>
      <c r="D212" t="s">
        <v>477</v>
      </c>
      <c r="E212" s="4">
        <v>831954</v>
      </c>
      <c r="F212" s="4">
        <v>2081.34</v>
      </c>
      <c r="G212" s="4">
        <v>208134</v>
      </c>
      <c r="H212" s="4">
        <v>208.13400000000001</v>
      </c>
      <c r="I212" s="4">
        <v>3.997203724523624</v>
      </c>
      <c r="J212" t="b">
        <v>0</v>
      </c>
      <c r="K212" t="b">
        <v>0</v>
      </c>
    </row>
    <row r="213" spans="1:11" x14ac:dyDescent="0.25">
      <c r="A213" t="s">
        <v>151</v>
      </c>
      <c r="B213" t="s">
        <v>152</v>
      </c>
      <c r="C213" t="s">
        <v>461</v>
      </c>
      <c r="D213" t="s">
        <v>462</v>
      </c>
      <c r="E213" s="4">
        <v>42402818</v>
      </c>
      <c r="F213" s="4">
        <v>26642.41</v>
      </c>
      <c r="G213" s="4">
        <v>2664241</v>
      </c>
      <c r="H213" s="4">
        <v>2664.241</v>
      </c>
      <c r="I213" s="4">
        <v>15.915533917539742</v>
      </c>
      <c r="J213" t="b">
        <v>0</v>
      </c>
      <c r="K213" t="b">
        <v>0</v>
      </c>
    </row>
    <row r="214" spans="1:11" x14ac:dyDescent="0.25">
      <c r="A214" t="s">
        <v>151</v>
      </c>
      <c r="B214" t="s">
        <v>152</v>
      </c>
      <c r="C214" t="s">
        <v>463</v>
      </c>
      <c r="D214" t="s">
        <v>464</v>
      </c>
      <c r="E214" s="4">
        <v>30466515</v>
      </c>
      <c r="F214" s="4">
        <v>11477.45</v>
      </c>
      <c r="G214" s="4">
        <v>1147745</v>
      </c>
      <c r="H214" s="4">
        <v>1147.7450000000001</v>
      </c>
      <c r="I214" s="4">
        <v>26.544672379317706</v>
      </c>
      <c r="J214" t="b">
        <v>0</v>
      </c>
      <c r="K214" t="b">
        <v>0</v>
      </c>
    </row>
    <row r="215" spans="1:11" x14ac:dyDescent="0.25">
      <c r="A215" t="s">
        <v>151</v>
      </c>
      <c r="B215" t="s">
        <v>152</v>
      </c>
      <c r="C215" t="s">
        <v>465</v>
      </c>
      <c r="D215" t="s">
        <v>478</v>
      </c>
      <c r="E215" s="4">
        <v>8393019</v>
      </c>
      <c r="F215" s="4">
        <v>19247.96</v>
      </c>
      <c r="G215" s="4">
        <v>1924796</v>
      </c>
      <c r="H215" s="4">
        <v>1924.796</v>
      </c>
      <c r="I215" s="4">
        <v>4.3604719668993495</v>
      </c>
      <c r="J215" t="b">
        <v>0</v>
      </c>
      <c r="K215" t="b">
        <v>0</v>
      </c>
    </row>
    <row r="216" spans="1:11" x14ac:dyDescent="0.25">
      <c r="A216" t="s">
        <v>151</v>
      </c>
      <c r="B216" t="s">
        <v>152</v>
      </c>
      <c r="C216" t="s">
        <v>467</v>
      </c>
      <c r="D216" t="s">
        <v>468</v>
      </c>
      <c r="E216" s="4">
        <v>16449559</v>
      </c>
      <c r="F216" s="4">
        <v>9840.12</v>
      </c>
      <c r="G216" s="4">
        <v>984012.0000000001</v>
      </c>
      <c r="H216" s="4">
        <v>984.0120000000002</v>
      </c>
      <c r="I216" s="4">
        <v>16.716827640313326</v>
      </c>
      <c r="J216" t="b">
        <v>0</v>
      </c>
      <c r="K216" t="b">
        <v>0</v>
      </c>
    </row>
    <row r="217" spans="1:11" x14ac:dyDescent="0.25">
      <c r="A217" t="s">
        <v>153</v>
      </c>
      <c r="B217" t="s">
        <v>154</v>
      </c>
      <c r="C217" t="s">
        <v>455</v>
      </c>
      <c r="D217" t="s">
        <v>477</v>
      </c>
      <c r="E217" s="4">
        <v>571379</v>
      </c>
      <c r="F217" s="4">
        <v>1743.39</v>
      </c>
      <c r="G217" s="4">
        <v>174339</v>
      </c>
      <c r="H217" s="4">
        <v>174.33900000000003</v>
      </c>
      <c r="I217" s="4">
        <v>3.2774020729727713</v>
      </c>
      <c r="J217" t="b">
        <v>0</v>
      </c>
      <c r="K217" t="b">
        <v>0</v>
      </c>
    </row>
    <row r="218" spans="1:11" x14ac:dyDescent="0.25">
      <c r="A218" t="s">
        <v>153</v>
      </c>
      <c r="B218" t="s">
        <v>154</v>
      </c>
      <c r="C218" t="s">
        <v>461</v>
      </c>
      <c r="D218" t="s">
        <v>462</v>
      </c>
      <c r="E218" s="4">
        <v>33598199</v>
      </c>
      <c r="F218" s="4">
        <v>21337.34</v>
      </c>
      <c r="G218" s="4">
        <v>2133734</v>
      </c>
      <c r="H218" s="4">
        <v>2133.734</v>
      </c>
      <c r="I218" s="4">
        <v>15.746198448353919</v>
      </c>
      <c r="J218" t="b">
        <v>0</v>
      </c>
      <c r="K218" t="b">
        <v>0</v>
      </c>
    </row>
    <row r="219" spans="1:11" x14ac:dyDescent="0.25">
      <c r="A219" t="s">
        <v>153</v>
      </c>
      <c r="B219" t="s">
        <v>154</v>
      </c>
      <c r="C219" t="s">
        <v>463</v>
      </c>
      <c r="D219" t="s">
        <v>464</v>
      </c>
      <c r="E219" s="4">
        <v>20572088</v>
      </c>
      <c r="F219" s="4">
        <v>8575.56</v>
      </c>
      <c r="G219" s="4">
        <v>857556</v>
      </c>
      <c r="H219" s="4">
        <v>857.556</v>
      </c>
      <c r="I219" s="4">
        <v>23.989206535783087</v>
      </c>
      <c r="J219" t="b">
        <v>0</v>
      </c>
      <c r="K219" t="b">
        <v>0</v>
      </c>
    </row>
    <row r="220" spans="1:11" x14ac:dyDescent="0.25">
      <c r="A220" t="s">
        <v>153</v>
      </c>
      <c r="B220" t="s">
        <v>154</v>
      </c>
      <c r="C220" t="s">
        <v>465</v>
      </c>
      <c r="D220" t="s">
        <v>478</v>
      </c>
      <c r="E220" s="4">
        <v>8918205</v>
      </c>
      <c r="F220" s="4">
        <v>19845.41</v>
      </c>
      <c r="G220" s="4">
        <v>1984541</v>
      </c>
      <c r="H220" s="4">
        <v>1984.5410000000002</v>
      </c>
      <c r="I220" s="4">
        <v>4.493837617867305</v>
      </c>
      <c r="J220" t="b">
        <v>0</v>
      </c>
      <c r="K220" t="b">
        <v>0</v>
      </c>
    </row>
    <row r="221" spans="1:11" x14ac:dyDescent="0.25">
      <c r="A221" t="s">
        <v>153</v>
      </c>
      <c r="B221" t="s">
        <v>154</v>
      </c>
      <c r="C221" t="s">
        <v>467</v>
      </c>
      <c r="D221" t="s">
        <v>468</v>
      </c>
      <c r="E221" s="4">
        <v>15689133</v>
      </c>
      <c r="F221" s="4">
        <v>8750.48</v>
      </c>
      <c r="G221" s="4">
        <v>875048</v>
      </c>
      <c r="H221" s="4">
        <v>875.048</v>
      </c>
      <c r="I221" s="4">
        <v>17.929454155657748</v>
      </c>
      <c r="J221" t="b">
        <v>0</v>
      </c>
      <c r="K221" t="b">
        <v>0</v>
      </c>
    </row>
    <row r="222" spans="1:11" x14ac:dyDescent="0.25">
      <c r="A222" t="s">
        <v>155</v>
      </c>
      <c r="B222" t="s">
        <v>156</v>
      </c>
      <c r="C222" t="s">
        <v>455</v>
      </c>
      <c r="D222" t="s">
        <v>477</v>
      </c>
      <c r="E222" s="4">
        <v>788754</v>
      </c>
      <c r="F222" s="4">
        <v>1703.16</v>
      </c>
      <c r="G222" s="4">
        <v>170316</v>
      </c>
      <c r="H222" s="4">
        <v>170.31600000000003</v>
      </c>
      <c r="I222" s="4">
        <v>4.631120975128584</v>
      </c>
      <c r="J222" t="b">
        <v>0</v>
      </c>
      <c r="K222" t="b">
        <v>0</v>
      </c>
    </row>
    <row r="223" spans="1:11" x14ac:dyDescent="0.25">
      <c r="A223" t="s">
        <v>155</v>
      </c>
      <c r="B223" t="s">
        <v>156</v>
      </c>
      <c r="C223" t="s">
        <v>461</v>
      </c>
      <c r="D223" t="s">
        <v>462</v>
      </c>
      <c r="E223" s="4">
        <v>26964414</v>
      </c>
      <c r="F223" s="4">
        <v>17138.34</v>
      </c>
      <c r="G223" s="4">
        <v>1713834</v>
      </c>
      <c r="H223" s="4">
        <v>1713.834</v>
      </c>
      <c r="I223" s="4">
        <v>15.733387247539726</v>
      </c>
      <c r="J223" t="b">
        <v>0</v>
      </c>
      <c r="K223" t="b">
        <v>0</v>
      </c>
    </row>
    <row r="224" spans="1:11" x14ac:dyDescent="0.25">
      <c r="A224" t="s">
        <v>155</v>
      </c>
      <c r="B224" t="s">
        <v>156</v>
      </c>
      <c r="C224" t="s">
        <v>463</v>
      </c>
      <c r="D224" t="s">
        <v>464</v>
      </c>
      <c r="E224" s="4">
        <v>18356302</v>
      </c>
      <c r="F224" s="4">
        <v>8537.78</v>
      </c>
      <c r="G224" s="4">
        <v>853778.0000000001</v>
      </c>
      <c r="H224" s="4">
        <v>853.7780000000001</v>
      </c>
      <c r="I224" s="4">
        <v>21.500087844849595</v>
      </c>
      <c r="J224" t="b">
        <v>0</v>
      </c>
      <c r="K224" t="b">
        <v>0</v>
      </c>
    </row>
    <row r="225" spans="1:11" x14ac:dyDescent="0.25">
      <c r="A225" t="s">
        <v>155</v>
      </c>
      <c r="B225" t="s">
        <v>156</v>
      </c>
      <c r="C225" t="s">
        <v>465</v>
      </c>
      <c r="D225" t="s">
        <v>478</v>
      </c>
      <c r="E225" s="4">
        <v>9349523</v>
      </c>
      <c r="F225" s="4">
        <v>20979.26</v>
      </c>
      <c r="G225" s="4">
        <v>2097926</v>
      </c>
      <c r="H225" s="4">
        <v>2097.926</v>
      </c>
      <c r="I225" s="4">
        <v>4.456555188314555</v>
      </c>
      <c r="J225" t="b">
        <v>0</v>
      </c>
      <c r="K225" t="b">
        <v>0</v>
      </c>
    </row>
    <row r="226" spans="1:11" x14ac:dyDescent="0.25">
      <c r="A226" t="s">
        <v>155</v>
      </c>
      <c r="B226" t="s">
        <v>156</v>
      </c>
      <c r="C226" t="s">
        <v>467</v>
      </c>
      <c r="D226" t="s">
        <v>468</v>
      </c>
      <c r="E226" s="4">
        <v>13856747</v>
      </c>
      <c r="F226" s="4">
        <v>7515.76</v>
      </c>
      <c r="G226" s="4">
        <v>751576</v>
      </c>
      <c r="H226" s="4">
        <v>751.576</v>
      </c>
      <c r="I226" s="4">
        <v>18.43692055094894</v>
      </c>
      <c r="J226" t="b">
        <v>0</v>
      </c>
      <c r="K226" t="b">
        <v>0</v>
      </c>
    </row>
    <row r="227" spans="1:11" x14ac:dyDescent="0.25">
      <c r="A227" t="s">
        <v>157</v>
      </c>
      <c r="B227" t="s">
        <v>158</v>
      </c>
      <c r="C227" t="s">
        <v>455</v>
      </c>
      <c r="D227" t="s">
        <v>477</v>
      </c>
      <c r="E227" s="4">
        <v>670950</v>
      </c>
      <c r="F227" s="4">
        <v>2104.95</v>
      </c>
      <c r="G227" s="4">
        <v>210494.99999999997</v>
      </c>
      <c r="H227" s="4">
        <v>210.495</v>
      </c>
      <c r="I227" s="4">
        <v>3.187486638637498</v>
      </c>
      <c r="J227" t="b">
        <v>0</v>
      </c>
      <c r="K227" t="b">
        <v>0</v>
      </c>
    </row>
    <row r="228" spans="1:11" x14ac:dyDescent="0.25">
      <c r="A228" t="s">
        <v>157</v>
      </c>
      <c r="B228" t="s">
        <v>158</v>
      </c>
      <c r="C228" t="s">
        <v>461</v>
      </c>
      <c r="D228" t="s">
        <v>462</v>
      </c>
      <c r="E228" s="4">
        <v>23203224</v>
      </c>
      <c r="F228" s="4">
        <v>14926.33</v>
      </c>
      <c r="G228" s="4">
        <v>1492633</v>
      </c>
      <c r="H228" s="4">
        <v>1492.633</v>
      </c>
      <c r="I228" s="4">
        <v>15.545163479569325</v>
      </c>
      <c r="J228" t="b">
        <v>0</v>
      </c>
      <c r="K228" t="b">
        <v>0</v>
      </c>
    </row>
    <row r="229" spans="1:11" x14ac:dyDescent="0.25">
      <c r="A229" t="s">
        <v>157</v>
      </c>
      <c r="B229" t="s">
        <v>158</v>
      </c>
      <c r="C229" t="s">
        <v>463</v>
      </c>
      <c r="D229" t="s">
        <v>464</v>
      </c>
      <c r="E229" s="4">
        <v>15444242</v>
      </c>
      <c r="F229" s="4">
        <v>6730.73</v>
      </c>
      <c r="G229" s="4">
        <v>673073</v>
      </c>
      <c r="H229" s="4">
        <v>673.073</v>
      </c>
      <c r="I229" s="4">
        <v>22.94586471304004</v>
      </c>
      <c r="J229" t="b">
        <v>0</v>
      </c>
      <c r="K229" t="b">
        <v>0</v>
      </c>
    </row>
    <row r="230" spans="1:11" x14ac:dyDescent="0.25">
      <c r="A230" t="s">
        <v>157</v>
      </c>
      <c r="B230" t="s">
        <v>158</v>
      </c>
      <c r="C230" t="s">
        <v>465</v>
      </c>
      <c r="D230" t="s">
        <v>478</v>
      </c>
      <c r="E230" s="4">
        <v>10171917</v>
      </c>
      <c r="F230" s="4">
        <v>21671.87</v>
      </c>
      <c r="G230" s="4">
        <v>2167187</v>
      </c>
      <c r="H230" s="4">
        <v>2167.187</v>
      </c>
      <c r="I230" s="4">
        <v>4.69360373608738</v>
      </c>
      <c r="J230" t="b">
        <v>0</v>
      </c>
      <c r="K230" t="b">
        <v>0</v>
      </c>
    </row>
    <row r="231" spans="1:11" x14ac:dyDescent="0.25">
      <c r="A231" t="s">
        <v>157</v>
      </c>
      <c r="B231" t="s">
        <v>158</v>
      </c>
      <c r="C231" t="s">
        <v>467</v>
      </c>
      <c r="D231" t="s">
        <v>468</v>
      </c>
      <c r="E231" s="4">
        <v>9233899</v>
      </c>
      <c r="F231" s="4">
        <v>5574.36</v>
      </c>
      <c r="G231" s="4">
        <v>557436</v>
      </c>
      <c r="H231" s="4">
        <v>557.436</v>
      </c>
      <c r="I231" s="4">
        <v>16.56494916008295</v>
      </c>
      <c r="J231" t="b">
        <v>0</v>
      </c>
      <c r="K231" t="b">
        <v>0</v>
      </c>
    </row>
    <row r="232" spans="1:11" x14ac:dyDescent="0.25">
      <c r="A232" t="s">
        <v>159</v>
      </c>
      <c r="B232" t="s">
        <v>160</v>
      </c>
      <c r="C232" t="s">
        <v>455</v>
      </c>
      <c r="D232" t="s">
        <v>477</v>
      </c>
      <c r="E232" s="4">
        <v>602210</v>
      </c>
      <c r="F232" s="4">
        <v>1711.29</v>
      </c>
      <c r="G232" s="4">
        <v>171129</v>
      </c>
      <c r="H232" s="4">
        <v>171.12900000000002</v>
      </c>
      <c r="I232" s="4">
        <v>3.5190411911481982</v>
      </c>
      <c r="J232" t="b">
        <v>0</v>
      </c>
      <c r="K232" t="b">
        <v>0</v>
      </c>
    </row>
    <row r="233" spans="1:11" x14ac:dyDescent="0.25">
      <c r="A233" t="s">
        <v>159</v>
      </c>
      <c r="B233" t="s">
        <v>160</v>
      </c>
      <c r="C233" t="s">
        <v>461</v>
      </c>
      <c r="D233" t="s">
        <v>462</v>
      </c>
      <c r="E233" s="4">
        <v>27489172</v>
      </c>
      <c r="F233" s="4">
        <v>17777.66</v>
      </c>
      <c r="G233" s="4">
        <v>1777766</v>
      </c>
      <c r="H233" s="4">
        <v>1777.766</v>
      </c>
      <c r="I233" s="4">
        <v>15.462761690796201</v>
      </c>
      <c r="J233" t="b">
        <v>0</v>
      </c>
      <c r="K233" t="b">
        <v>0</v>
      </c>
    </row>
    <row r="234" spans="1:11" x14ac:dyDescent="0.25">
      <c r="A234" t="s">
        <v>159</v>
      </c>
      <c r="B234" t="s">
        <v>160</v>
      </c>
      <c r="C234" t="s">
        <v>463</v>
      </c>
      <c r="D234" t="s">
        <v>464</v>
      </c>
      <c r="E234" s="4">
        <v>16982703</v>
      </c>
      <c r="F234" s="4">
        <v>6788.24</v>
      </c>
      <c r="G234" s="4">
        <v>678824</v>
      </c>
      <c r="H234" s="4">
        <v>678.8240000000001</v>
      </c>
      <c r="I234" s="4">
        <v>25.017829363723145</v>
      </c>
      <c r="J234" t="b">
        <v>0</v>
      </c>
      <c r="K234" t="b">
        <v>0</v>
      </c>
    </row>
    <row r="235" spans="1:11" x14ac:dyDescent="0.25">
      <c r="A235" t="s">
        <v>159</v>
      </c>
      <c r="B235" t="s">
        <v>160</v>
      </c>
      <c r="C235" t="s">
        <v>465</v>
      </c>
      <c r="D235" t="s">
        <v>478</v>
      </c>
      <c r="E235" s="4">
        <v>7472398</v>
      </c>
      <c r="F235" s="4">
        <v>15153.73</v>
      </c>
      <c r="G235" s="4">
        <v>1515373</v>
      </c>
      <c r="H235" s="4">
        <v>1515.373</v>
      </c>
      <c r="I235" s="4">
        <v>4.9310618573776885</v>
      </c>
      <c r="J235" t="b">
        <v>0</v>
      </c>
      <c r="K235" t="b">
        <v>0</v>
      </c>
    </row>
    <row r="236" spans="1:11" x14ac:dyDescent="0.25">
      <c r="A236" t="s">
        <v>159</v>
      </c>
      <c r="B236" t="s">
        <v>160</v>
      </c>
      <c r="C236" t="s">
        <v>467</v>
      </c>
      <c r="D236" t="s">
        <v>468</v>
      </c>
      <c r="E236" s="4">
        <v>6723272</v>
      </c>
      <c r="F236" s="4">
        <v>3880.33</v>
      </c>
      <c r="G236" s="4">
        <v>388033</v>
      </c>
      <c r="H236" s="4">
        <v>388.033</v>
      </c>
      <c r="I236" s="4">
        <v>17.32654696894336</v>
      </c>
      <c r="J236" t="b">
        <v>0</v>
      </c>
      <c r="K236" t="b">
        <v>0</v>
      </c>
    </row>
    <row r="237" spans="1:11" x14ac:dyDescent="0.25">
      <c r="A237" t="s">
        <v>161</v>
      </c>
      <c r="B237" t="s">
        <v>162</v>
      </c>
      <c r="C237" t="s">
        <v>455</v>
      </c>
      <c r="D237" t="s">
        <v>477</v>
      </c>
      <c r="E237" s="4">
        <v>794514</v>
      </c>
      <c r="F237" s="4">
        <v>1430.65</v>
      </c>
      <c r="G237" s="4">
        <v>143065</v>
      </c>
      <c r="H237" s="4">
        <v>143.06500000000003</v>
      </c>
      <c r="I237" s="4">
        <v>5.553517631845665</v>
      </c>
      <c r="J237" t="b">
        <v>0</v>
      </c>
      <c r="K237" t="b">
        <v>0</v>
      </c>
    </row>
    <row r="238" spans="1:11" x14ac:dyDescent="0.25">
      <c r="A238" t="s">
        <v>161</v>
      </c>
      <c r="B238" t="s">
        <v>162</v>
      </c>
      <c r="C238" t="s">
        <v>461</v>
      </c>
      <c r="D238" t="s">
        <v>462</v>
      </c>
      <c r="E238" s="4">
        <v>33309657</v>
      </c>
      <c r="F238" s="4">
        <v>19656.14</v>
      </c>
      <c r="G238" s="4">
        <v>1965614</v>
      </c>
      <c r="H238" s="4">
        <v>1965.614</v>
      </c>
      <c r="I238" s="4">
        <v>16.946184245736955</v>
      </c>
      <c r="J238" t="b">
        <v>0</v>
      </c>
      <c r="K238" t="b">
        <v>0</v>
      </c>
    </row>
    <row r="239" spans="1:11" x14ac:dyDescent="0.25">
      <c r="A239" t="s">
        <v>161</v>
      </c>
      <c r="B239" t="s">
        <v>162</v>
      </c>
      <c r="C239" t="s">
        <v>463</v>
      </c>
      <c r="D239" t="s">
        <v>464</v>
      </c>
      <c r="E239" s="4">
        <v>24771731</v>
      </c>
      <c r="F239" s="4">
        <v>9137.26</v>
      </c>
      <c r="G239" s="4">
        <v>913726</v>
      </c>
      <c r="H239" s="4">
        <v>913.7260000000001</v>
      </c>
      <c r="I239" s="4">
        <v>27.110677599192755</v>
      </c>
      <c r="J239" t="b">
        <v>0</v>
      </c>
      <c r="K239" t="b">
        <v>0</v>
      </c>
    </row>
    <row r="240" spans="1:11" x14ac:dyDescent="0.25">
      <c r="A240" t="s">
        <v>161</v>
      </c>
      <c r="B240" t="s">
        <v>162</v>
      </c>
      <c r="C240" t="s">
        <v>465</v>
      </c>
      <c r="D240" t="s">
        <v>478</v>
      </c>
      <c r="E240" s="4">
        <v>6880903</v>
      </c>
      <c r="F240" s="4">
        <v>16523.07</v>
      </c>
      <c r="G240" s="4">
        <v>1652307</v>
      </c>
      <c r="H240" s="4">
        <v>1652.307</v>
      </c>
      <c r="I240" s="4">
        <v>4.1644216238265646</v>
      </c>
      <c r="J240" t="b">
        <v>0</v>
      </c>
      <c r="K240" t="b">
        <v>0</v>
      </c>
    </row>
    <row r="241" spans="1:11" x14ac:dyDescent="0.25">
      <c r="A241" t="s">
        <v>161</v>
      </c>
      <c r="B241" t="s">
        <v>162</v>
      </c>
      <c r="C241" t="s">
        <v>467</v>
      </c>
      <c r="D241" t="s">
        <v>468</v>
      </c>
      <c r="E241" s="4">
        <v>11988697</v>
      </c>
      <c r="F241" s="4">
        <v>7247.75</v>
      </c>
      <c r="G241" s="4">
        <v>724775</v>
      </c>
      <c r="H241" s="4">
        <v>724.7750000000001</v>
      </c>
      <c r="I241" s="4">
        <v>16.541267289848573</v>
      </c>
      <c r="J241" t="b">
        <v>0</v>
      </c>
      <c r="K241" t="b">
        <v>0</v>
      </c>
    </row>
    <row r="242" spans="1:11" x14ac:dyDescent="0.25">
      <c r="A242" t="s">
        <v>163</v>
      </c>
      <c r="B242" t="s">
        <v>164</v>
      </c>
      <c r="C242" t="s">
        <v>455</v>
      </c>
      <c r="D242" t="s">
        <v>477</v>
      </c>
      <c r="E242" s="4">
        <v>1204862</v>
      </c>
      <c r="F242" s="4">
        <v>2286.63</v>
      </c>
      <c r="G242" s="4">
        <v>228663</v>
      </c>
      <c r="H242" s="4">
        <v>228.663</v>
      </c>
      <c r="I242" s="4">
        <v>5.269160292657754</v>
      </c>
      <c r="J242" t="b">
        <v>0</v>
      </c>
      <c r="K242" t="b">
        <v>0</v>
      </c>
    </row>
    <row r="243" spans="1:11" x14ac:dyDescent="0.25">
      <c r="A243" t="s">
        <v>163</v>
      </c>
      <c r="B243" t="s">
        <v>164</v>
      </c>
      <c r="C243" t="s">
        <v>461</v>
      </c>
      <c r="D243" t="s">
        <v>462</v>
      </c>
      <c r="E243" s="4">
        <v>39458602</v>
      </c>
      <c r="F243" s="4">
        <v>22501.44</v>
      </c>
      <c r="G243" s="4">
        <v>2250144</v>
      </c>
      <c r="H243" s="4">
        <v>2250.144</v>
      </c>
      <c r="I243" s="4">
        <v>17.536034138259595</v>
      </c>
      <c r="J243" t="b">
        <v>0</v>
      </c>
      <c r="K243" t="b">
        <v>0</v>
      </c>
    </row>
    <row r="244" spans="1:11" x14ac:dyDescent="0.25">
      <c r="A244" t="s">
        <v>163</v>
      </c>
      <c r="B244" t="s">
        <v>164</v>
      </c>
      <c r="C244" t="s">
        <v>463</v>
      </c>
      <c r="D244" t="s">
        <v>464</v>
      </c>
      <c r="E244" s="4">
        <v>35720915</v>
      </c>
      <c r="F244" s="4">
        <v>12221.2</v>
      </c>
      <c r="G244" s="4">
        <v>1222120</v>
      </c>
      <c r="H244" s="4">
        <v>1222.1200000000001</v>
      </c>
      <c r="I244" s="4">
        <v>29.228647759630807</v>
      </c>
      <c r="J244" t="b">
        <v>0</v>
      </c>
      <c r="K244" t="b">
        <v>0</v>
      </c>
    </row>
    <row r="245" spans="1:11" x14ac:dyDescent="0.25">
      <c r="A245" t="s">
        <v>163</v>
      </c>
      <c r="B245" t="s">
        <v>164</v>
      </c>
      <c r="C245" t="s">
        <v>465</v>
      </c>
      <c r="D245" t="s">
        <v>478</v>
      </c>
      <c r="E245" s="4">
        <v>8600100</v>
      </c>
      <c r="F245" s="4">
        <v>17753.75</v>
      </c>
      <c r="G245" s="4">
        <v>1775375</v>
      </c>
      <c r="H245" s="4">
        <v>1775.375</v>
      </c>
      <c r="I245" s="4">
        <v>4.844103358445399</v>
      </c>
      <c r="J245" t="b">
        <v>0</v>
      </c>
      <c r="K245" t="b">
        <v>0</v>
      </c>
    </row>
    <row r="246" spans="1:11" x14ac:dyDescent="0.25">
      <c r="A246" t="s">
        <v>163</v>
      </c>
      <c r="B246" t="s">
        <v>164</v>
      </c>
      <c r="C246" t="s">
        <v>467</v>
      </c>
      <c r="D246" t="s">
        <v>468</v>
      </c>
      <c r="E246" s="4">
        <v>17310718</v>
      </c>
      <c r="F246" s="4">
        <v>9671.17</v>
      </c>
      <c r="G246" s="4">
        <v>967117</v>
      </c>
      <c r="H246" s="4">
        <v>967.1170000000001</v>
      </c>
      <c r="I246" s="4">
        <v>17.89930070508532</v>
      </c>
      <c r="J246" t="b">
        <v>0</v>
      </c>
      <c r="K246" t="b">
        <v>0</v>
      </c>
    </row>
    <row r="247" spans="1:11" x14ac:dyDescent="0.25">
      <c r="A247" t="s">
        <v>165</v>
      </c>
      <c r="B247" t="s">
        <v>166</v>
      </c>
      <c r="C247" t="s">
        <v>455</v>
      </c>
      <c r="D247" t="s">
        <v>477</v>
      </c>
      <c r="E247" s="4">
        <v>821042</v>
      </c>
      <c r="F247" s="4">
        <v>1487.23</v>
      </c>
      <c r="G247" s="4">
        <v>148723</v>
      </c>
      <c r="H247" s="4">
        <v>148.723</v>
      </c>
      <c r="I247" s="4">
        <v>5.520612144725429</v>
      </c>
      <c r="J247" t="b">
        <v>0</v>
      </c>
      <c r="K247" t="b">
        <v>0</v>
      </c>
    </row>
    <row r="248" spans="1:11" x14ac:dyDescent="0.25">
      <c r="A248" t="s">
        <v>165</v>
      </c>
      <c r="B248" t="s">
        <v>166</v>
      </c>
      <c r="C248" t="s">
        <v>461</v>
      </c>
      <c r="D248" t="s">
        <v>462</v>
      </c>
      <c r="E248" s="4">
        <v>34152518</v>
      </c>
      <c r="F248" s="4">
        <v>18618.49</v>
      </c>
      <c r="G248" s="4">
        <v>1861849.0000000002</v>
      </c>
      <c r="H248" s="4">
        <v>1861.8490000000002</v>
      </c>
      <c r="I248" s="4">
        <v>18.343333965321566</v>
      </c>
      <c r="J248" t="b">
        <v>0</v>
      </c>
      <c r="K248" t="b">
        <v>0</v>
      </c>
    </row>
    <row r="249" spans="1:11" x14ac:dyDescent="0.25">
      <c r="A249" t="s">
        <v>165</v>
      </c>
      <c r="B249" t="s">
        <v>166</v>
      </c>
      <c r="C249" t="s">
        <v>463</v>
      </c>
      <c r="D249" t="s">
        <v>464</v>
      </c>
      <c r="E249" s="4">
        <v>40558331</v>
      </c>
      <c r="F249" s="4">
        <v>14761.82</v>
      </c>
      <c r="G249" s="4">
        <v>1476182</v>
      </c>
      <c r="H249" s="4">
        <v>1476.182</v>
      </c>
      <c r="I249" s="4">
        <v>27.475156179929034</v>
      </c>
      <c r="J249" t="b">
        <v>0</v>
      </c>
      <c r="K249" t="b">
        <v>0</v>
      </c>
    </row>
    <row r="250" spans="1:11" x14ac:dyDescent="0.25">
      <c r="A250" t="s">
        <v>165</v>
      </c>
      <c r="B250" t="s">
        <v>166</v>
      </c>
      <c r="C250" t="s">
        <v>465</v>
      </c>
      <c r="D250" t="s">
        <v>478</v>
      </c>
      <c r="E250" s="4">
        <v>8033855</v>
      </c>
      <c r="F250" s="4">
        <v>17587.79</v>
      </c>
      <c r="G250" s="4">
        <v>1758779</v>
      </c>
      <c r="H250" s="4">
        <v>1758.7790000000002</v>
      </c>
      <c r="I250" s="4">
        <v>4.567859293293814</v>
      </c>
      <c r="J250" t="b">
        <v>0</v>
      </c>
      <c r="K250" t="b">
        <v>0</v>
      </c>
    </row>
    <row r="251" spans="1:11" x14ac:dyDescent="0.25">
      <c r="A251" t="s">
        <v>165</v>
      </c>
      <c r="B251" t="s">
        <v>166</v>
      </c>
      <c r="C251" t="s">
        <v>467</v>
      </c>
      <c r="D251" t="s">
        <v>468</v>
      </c>
      <c r="E251" s="4">
        <v>16359868</v>
      </c>
      <c r="F251" s="4">
        <v>9141.94</v>
      </c>
      <c r="G251" s="4">
        <v>914194</v>
      </c>
      <c r="H251" s="4">
        <v>914.1940000000001</v>
      </c>
      <c r="I251" s="4">
        <v>17.895400757388476</v>
      </c>
      <c r="J251" t="b">
        <v>0</v>
      </c>
      <c r="K251" t="b">
        <v>0</v>
      </c>
    </row>
    <row r="252" spans="1:11" x14ac:dyDescent="0.25">
      <c r="A252" t="s">
        <v>167</v>
      </c>
      <c r="B252" t="s">
        <v>168</v>
      </c>
      <c r="C252" t="s">
        <v>455</v>
      </c>
      <c r="D252" t="s">
        <v>477</v>
      </c>
      <c r="E252" s="4">
        <v>902239</v>
      </c>
      <c r="F252" s="4">
        <v>1674.66</v>
      </c>
      <c r="G252" s="4">
        <v>167466</v>
      </c>
      <c r="H252" s="4">
        <v>167.466</v>
      </c>
      <c r="I252" s="4">
        <v>5.387595093929514</v>
      </c>
      <c r="J252" t="b">
        <v>0</v>
      </c>
      <c r="K252" t="b">
        <v>0</v>
      </c>
    </row>
    <row r="253" spans="1:11" x14ac:dyDescent="0.25">
      <c r="A253" t="s">
        <v>167</v>
      </c>
      <c r="B253" t="s">
        <v>168</v>
      </c>
      <c r="C253" t="s">
        <v>461</v>
      </c>
      <c r="D253" t="s">
        <v>462</v>
      </c>
      <c r="E253" s="4">
        <v>40888949</v>
      </c>
      <c r="F253" s="4">
        <v>22608.23</v>
      </c>
      <c r="G253" s="4">
        <v>2260823</v>
      </c>
      <c r="H253" s="4">
        <v>2260.823</v>
      </c>
      <c r="I253" s="4">
        <v>18.08586917242084</v>
      </c>
      <c r="J253" t="b">
        <v>0</v>
      </c>
      <c r="K253" t="b">
        <v>0</v>
      </c>
    </row>
    <row r="254" spans="1:11" x14ac:dyDescent="0.25">
      <c r="A254" t="s">
        <v>167</v>
      </c>
      <c r="B254" t="s">
        <v>168</v>
      </c>
      <c r="C254" t="s">
        <v>463</v>
      </c>
      <c r="D254" t="s">
        <v>464</v>
      </c>
      <c r="E254" s="4">
        <v>44587019</v>
      </c>
      <c r="F254" s="4">
        <v>14769.73</v>
      </c>
      <c r="G254" s="4">
        <v>1476973</v>
      </c>
      <c r="H254" s="4">
        <v>1476.973</v>
      </c>
      <c r="I254" s="4">
        <v>30.188107027007263</v>
      </c>
      <c r="J254" t="b">
        <v>0</v>
      </c>
      <c r="K254" t="b">
        <v>0</v>
      </c>
    </row>
    <row r="255" spans="1:11" x14ac:dyDescent="0.25">
      <c r="A255" t="s">
        <v>167</v>
      </c>
      <c r="B255" t="s">
        <v>168</v>
      </c>
      <c r="C255" t="s">
        <v>465</v>
      </c>
      <c r="D255" t="s">
        <v>478</v>
      </c>
      <c r="E255" s="4">
        <v>9782610</v>
      </c>
      <c r="F255" s="4">
        <v>19381.79</v>
      </c>
      <c r="G255" s="4">
        <v>1938179</v>
      </c>
      <c r="H255" s="4">
        <v>1938.179</v>
      </c>
      <c r="I255" s="4">
        <v>5.047320190756375</v>
      </c>
      <c r="J255" t="b">
        <v>0</v>
      </c>
      <c r="K255" t="b">
        <v>0</v>
      </c>
    </row>
    <row r="256" spans="1:11" x14ac:dyDescent="0.25">
      <c r="A256" t="s">
        <v>167</v>
      </c>
      <c r="B256" t="s">
        <v>168</v>
      </c>
      <c r="C256" t="s">
        <v>467</v>
      </c>
      <c r="D256" t="s">
        <v>468</v>
      </c>
      <c r="E256" s="4">
        <v>17714210</v>
      </c>
      <c r="F256" s="4">
        <v>9307.34</v>
      </c>
      <c r="G256" s="4">
        <v>930734</v>
      </c>
      <c r="H256" s="4">
        <v>930.734</v>
      </c>
      <c r="I256" s="4">
        <v>19.03251627210352</v>
      </c>
      <c r="J256" t="b">
        <v>0</v>
      </c>
      <c r="K256" t="b">
        <v>0</v>
      </c>
    </row>
    <row r="257" spans="1:11" x14ac:dyDescent="0.25">
      <c r="A257" t="s">
        <v>169</v>
      </c>
      <c r="B257" t="s">
        <v>170</v>
      </c>
      <c r="C257" t="s">
        <v>455</v>
      </c>
      <c r="D257" t="s">
        <v>477</v>
      </c>
      <c r="E257" s="4">
        <v>1005665</v>
      </c>
      <c r="F257" s="4">
        <v>1958.39</v>
      </c>
      <c r="G257" s="4">
        <v>195839</v>
      </c>
      <c r="H257" s="4">
        <v>195.83900000000003</v>
      </c>
      <c r="I257" s="4">
        <v>5.135162046374829</v>
      </c>
      <c r="J257" t="b">
        <v>0</v>
      </c>
      <c r="K257" t="b">
        <v>0</v>
      </c>
    </row>
    <row r="258" spans="1:11" x14ac:dyDescent="0.25">
      <c r="A258" t="s">
        <v>169</v>
      </c>
      <c r="B258" t="s">
        <v>170</v>
      </c>
      <c r="C258" t="s">
        <v>461</v>
      </c>
      <c r="D258" t="s">
        <v>462</v>
      </c>
      <c r="E258" s="4">
        <v>35623741</v>
      </c>
      <c r="F258" s="4">
        <v>19181.39</v>
      </c>
      <c r="G258" s="4">
        <v>1918139</v>
      </c>
      <c r="H258" s="4">
        <v>1918.1390000000001</v>
      </c>
      <c r="I258" s="4">
        <v>18.57203310083367</v>
      </c>
      <c r="J258" t="b">
        <v>0</v>
      </c>
      <c r="K258" t="b">
        <v>0</v>
      </c>
    </row>
    <row r="259" spans="1:11" x14ac:dyDescent="0.25">
      <c r="A259" t="s">
        <v>169</v>
      </c>
      <c r="B259" t="s">
        <v>170</v>
      </c>
      <c r="C259" t="s">
        <v>463</v>
      </c>
      <c r="D259" t="s">
        <v>464</v>
      </c>
      <c r="E259" s="4">
        <v>38163955</v>
      </c>
      <c r="F259" s="4">
        <v>13266.6</v>
      </c>
      <c r="G259" s="4">
        <v>1326660</v>
      </c>
      <c r="H259" s="4">
        <v>1326.66</v>
      </c>
      <c r="I259" s="4">
        <v>28.76694480876788</v>
      </c>
      <c r="J259" t="b">
        <v>0</v>
      </c>
      <c r="K259" t="b">
        <v>0</v>
      </c>
    </row>
    <row r="260" spans="1:11" x14ac:dyDescent="0.25">
      <c r="A260" t="s">
        <v>169</v>
      </c>
      <c r="B260" t="s">
        <v>170</v>
      </c>
      <c r="C260" t="s">
        <v>465</v>
      </c>
      <c r="D260" t="s">
        <v>478</v>
      </c>
      <c r="E260" s="4">
        <v>9626204</v>
      </c>
      <c r="F260" s="4">
        <v>21036.37</v>
      </c>
      <c r="G260" s="4">
        <v>2103637</v>
      </c>
      <c r="H260" s="4">
        <v>2103.637</v>
      </c>
      <c r="I260" s="4">
        <v>4.575981502512078</v>
      </c>
      <c r="J260" t="b">
        <v>0</v>
      </c>
      <c r="K260" t="b">
        <v>0</v>
      </c>
    </row>
    <row r="261" spans="1:11" x14ac:dyDescent="0.25">
      <c r="A261" t="s">
        <v>169</v>
      </c>
      <c r="B261" t="s">
        <v>170</v>
      </c>
      <c r="C261" t="s">
        <v>467</v>
      </c>
      <c r="D261" t="s">
        <v>468</v>
      </c>
      <c r="E261" s="4">
        <v>14265248</v>
      </c>
      <c r="F261" s="4">
        <v>8185.45</v>
      </c>
      <c r="G261" s="4">
        <v>818545</v>
      </c>
      <c r="H261" s="4">
        <v>818.5450000000001</v>
      </c>
      <c r="I261" s="4">
        <v>17.427567207667263</v>
      </c>
      <c r="J261" t="b">
        <v>0</v>
      </c>
      <c r="K261" t="b">
        <v>0</v>
      </c>
    </row>
    <row r="262" spans="1:11" x14ac:dyDescent="0.25">
      <c r="A262" t="s">
        <v>171</v>
      </c>
      <c r="B262" t="s">
        <v>172</v>
      </c>
      <c r="C262" t="s">
        <v>455</v>
      </c>
      <c r="D262" t="s">
        <v>477</v>
      </c>
      <c r="E262" s="4">
        <v>623553</v>
      </c>
      <c r="F262" s="4">
        <v>929.52</v>
      </c>
      <c r="G262" s="4">
        <v>92952</v>
      </c>
      <c r="H262" s="4">
        <v>92.952</v>
      </c>
      <c r="I262" s="4">
        <v>6.708333333333333</v>
      </c>
      <c r="J262" t="b">
        <v>0</v>
      </c>
      <c r="K262" t="b">
        <v>0</v>
      </c>
    </row>
    <row r="263" spans="1:11" x14ac:dyDescent="0.25">
      <c r="A263" t="s">
        <v>171</v>
      </c>
      <c r="B263" t="s">
        <v>172</v>
      </c>
      <c r="C263" t="s">
        <v>461</v>
      </c>
      <c r="D263" t="s">
        <v>462</v>
      </c>
      <c r="E263" s="4">
        <v>27346274</v>
      </c>
      <c r="F263" s="4">
        <v>14898.38</v>
      </c>
      <c r="G263" s="4">
        <v>1489838</v>
      </c>
      <c r="H263" s="4">
        <v>1489.838</v>
      </c>
      <c r="I263" s="4">
        <v>18.355199692852512</v>
      </c>
      <c r="J263" t="b">
        <v>0</v>
      </c>
      <c r="K263" t="b">
        <v>0</v>
      </c>
    </row>
    <row r="264" spans="1:11" x14ac:dyDescent="0.25">
      <c r="A264" t="s">
        <v>171</v>
      </c>
      <c r="B264" t="s">
        <v>172</v>
      </c>
      <c r="C264" t="s">
        <v>463</v>
      </c>
      <c r="D264" t="s">
        <v>464</v>
      </c>
      <c r="E264" s="4">
        <v>23951796</v>
      </c>
      <c r="F264" s="4">
        <v>9044.48</v>
      </c>
      <c r="G264" s="4">
        <v>904448</v>
      </c>
      <c r="H264" s="4">
        <v>904.448</v>
      </c>
      <c r="I264" s="4">
        <v>26.482225622700255</v>
      </c>
      <c r="J264" t="b">
        <v>0</v>
      </c>
      <c r="K264" t="b">
        <v>0</v>
      </c>
    </row>
    <row r="265" spans="1:11" x14ac:dyDescent="0.25">
      <c r="A265" t="s">
        <v>171</v>
      </c>
      <c r="B265" t="s">
        <v>172</v>
      </c>
      <c r="C265" t="s">
        <v>465</v>
      </c>
      <c r="D265" t="s">
        <v>478</v>
      </c>
      <c r="E265" s="4">
        <v>7736486</v>
      </c>
      <c r="F265" s="4">
        <v>16121.25</v>
      </c>
      <c r="G265" s="4">
        <v>1612125</v>
      </c>
      <c r="H265" s="4">
        <v>1612.125</v>
      </c>
      <c r="I265" s="4">
        <v>4.798936807009382</v>
      </c>
      <c r="J265" t="b">
        <v>0</v>
      </c>
      <c r="K265" t="b">
        <v>0</v>
      </c>
    </row>
    <row r="266" spans="1:11" x14ac:dyDescent="0.25">
      <c r="A266" t="s">
        <v>171</v>
      </c>
      <c r="B266" t="s">
        <v>172</v>
      </c>
      <c r="C266" t="s">
        <v>467</v>
      </c>
      <c r="D266" t="s">
        <v>468</v>
      </c>
      <c r="E266" s="4">
        <v>10464125</v>
      </c>
      <c r="F266" s="4">
        <v>5452.62</v>
      </c>
      <c r="G266" s="4">
        <v>545262</v>
      </c>
      <c r="H266" s="4">
        <v>545.2620000000001</v>
      </c>
      <c r="I266" s="4">
        <v>19.191003590934265</v>
      </c>
      <c r="J266" t="b">
        <v>0</v>
      </c>
      <c r="K266" t="b">
        <v>0</v>
      </c>
    </row>
    <row r="267" spans="1:11" x14ac:dyDescent="0.25">
      <c r="A267" t="s">
        <v>173</v>
      </c>
      <c r="B267" t="s">
        <v>174</v>
      </c>
      <c r="C267" t="s">
        <v>455</v>
      </c>
      <c r="D267" t="s">
        <v>477</v>
      </c>
      <c r="E267" s="4">
        <v>719142</v>
      </c>
      <c r="F267" s="4">
        <v>1270.13</v>
      </c>
      <c r="G267" s="4">
        <v>127013.00000000001</v>
      </c>
      <c r="H267" s="4">
        <v>127.01300000000002</v>
      </c>
      <c r="I267" s="4">
        <v>5.661955862785699</v>
      </c>
      <c r="J267" t="b">
        <v>0</v>
      </c>
      <c r="K267" t="b">
        <v>0</v>
      </c>
    </row>
    <row r="268" spans="1:11" x14ac:dyDescent="0.25">
      <c r="A268" t="s">
        <v>173</v>
      </c>
      <c r="B268" t="s">
        <v>174</v>
      </c>
      <c r="C268" t="s">
        <v>461</v>
      </c>
      <c r="D268" t="s">
        <v>462</v>
      </c>
      <c r="E268" s="4">
        <v>34657008</v>
      </c>
      <c r="F268" s="4">
        <v>19350.53</v>
      </c>
      <c r="G268" s="4">
        <v>1935053</v>
      </c>
      <c r="H268" s="4">
        <v>1935.0529999999999</v>
      </c>
      <c r="I268" s="4">
        <v>17.910107888517782</v>
      </c>
      <c r="J268" t="b">
        <v>0</v>
      </c>
      <c r="K268" t="b">
        <v>0</v>
      </c>
    </row>
    <row r="269" spans="1:11" x14ac:dyDescent="0.25">
      <c r="A269" t="s">
        <v>173</v>
      </c>
      <c r="B269" t="s">
        <v>174</v>
      </c>
      <c r="C269" t="s">
        <v>463</v>
      </c>
      <c r="D269" t="s">
        <v>464</v>
      </c>
      <c r="E269" s="4">
        <v>25795317</v>
      </c>
      <c r="F269" s="4">
        <v>9256.03</v>
      </c>
      <c r="G269" s="4">
        <v>925603.0000000001</v>
      </c>
      <c r="H269" s="4">
        <v>925.6030000000001</v>
      </c>
      <c r="I269" s="4">
        <v>27.868661834501395</v>
      </c>
      <c r="J269" t="b">
        <v>0</v>
      </c>
      <c r="K269" t="b">
        <v>0</v>
      </c>
    </row>
    <row r="270" spans="1:11" x14ac:dyDescent="0.25">
      <c r="A270" t="s">
        <v>173</v>
      </c>
      <c r="B270" t="s">
        <v>174</v>
      </c>
      <c r="C270" t="s">
        <v>465</v>
      </c>
      <c r="D270" t="s">
        <v>478</v>
      </c>
      <c r="E270" s="4">
        <v>8370557</v>
      </c>
      <c r="F270" s="4">
        <v>17983.96</v>
      </c>
      <c r="G270" s="4">
        <v>1798396</v>
      </c>
      <c r="H270" s="4">
        <v>1798.396</v>
      </c>
      <c r="I270" s="4">
        <v>4.654457082867177</v>
      </c>
      <c r="J270" t="b">
        <v>0</v>
      </c>
      <c r="K270" t="b">
        <v>0</v>
      </c>
    </row>
    <row r="271" spans="1:11" x14ac:dyDescent="0.25">
      <c r="A271" t="s">
        <v>173</v>
      </c>
      <c r="B271" t="s">
        <v>174</v>
      </c>
      <c r="C271" t="s">
        <v>467</v>
      </c>
      <c r="D271" t="s">
        <v>468</v>
      </c>
      <c r="E271" s="4">
        <v>13596935</v>
      </c>
      <c r="F271" s="4">
        <v>7051.14</v>
      </c>
      <c r="G271" s="4">
        <v>705114</v>
      </c>
      <c r="H271" s="4">
        <v>705.114</v>
      </c>
      <c r="I271" s="4">
        <v>19.283314471135164</v>
      </c>
      <c r="J271" t="b">
        <v>0</v>
      </c>
      <c r="K271" t="b">
        <v>0</v>
      </c>
    </row>
    <row r="272" spans="1:11" x14ac:dyDescent="0.25">
      <c r="A272" t="s">
        <v>175</v>
      </c>
      <c r="B272" t="s">
        <v>176</v>
      </c>
      <c r="C272" t="s">
        <v>455</v>
      </c>
      <c r="D272" t="s">
        <v>477</v>
      </c>
      <c r="E272" s="4">
        <v>883247</v>
      </c>
      <c r="F272" s="4">
        <v>1810.8</v>
      </c>
      <c r="G272" s="4">
        <v>181080</v>
      </c>
      <c r="H272" s="4">
        <v>181.08</v>
      </c>
      <c r="I272" s="4">
        <v>4.877661806936161</v>
      </c>
      <c r="J272" t="b">
        <v>0</v>
      </c>
      <c r="K272" t="b">
        <v>0</v>
      </c>
    </row>
    <row r="273" spans="1:11" x14ac:dyDescent="0.25">
      <c r="A273" t="s">
        <v>175</v>
      </c>
      <c r="B273" t="s">
        <v>176</v>
      </c>
      <c r="C273" t="s">
        <v>461</v>
      </c>
      <c r="D273" t="s">
        <v>462</v>
      </c>
      <c r="E273" s="4">
        <v>34922910</v>
      </c>
      <c r="F273" s="4">
        <v>18918.6</v>
      </c>
      <c r="G273" s="4">
        <v>1891859.9999999998</v>
      </c>
      <c r="H273" s="4">
        <v>1891.86</v>
      </c>
      <c r="I273" s="4">
        <v>18.459563604072184</v>
      </c>
      <c r="J273" t="b">
        <v>0</v>
      </c>
      <c r="K273" t="b">
        <v>0</v>
      </c>
    </row>
    <row r="274" spans="1:11" x14ac:dyDescent="0.25">
      <c r="A274" t="s">
        <v>175</v>
      </c>
      <c r="B274" t="s">
        <v>176</v>
      </c>
      <c r="C274" t="s">
        <v>463</v>
      </c>
      <c r="D274" t="s">
        <v>464</v>
      </c>
      <c r="E274" s="4">
        <v>26401730</v>
      </c>
      <c r="F274" s="4">
        <v>9208.68</v>
      </c>
      <c r="G274" s="4">
        <v>920868</v>
      </c>
      <c r="H274" s="4">
        <v>920.868</v>
      </c>
      <c r="I274" s="4">
        <v>28.670482631604095</v>
      </c>
      <c r="J274" t="b">
        <v>0</v>
      </c>
      <c r="K274" t="b">
        <v>0</v>
      </c>
    </row>
    <row r="275" spans="1:11" x14ac:dyDescent="0.25">
      <c r="A275" t="s">
        <v>175</v>
      </c>
      <c r="B275" t="s">
        <v>176</v>
      </c>
      <c r="C275" t="s">
        <v>465</v>
      </c>
      <c r="D275" t="s">
        <v>478</v>
      </c>
      <c r="E275" s="4">
        <v>9627491</v>
      </c>
      <c r="F275" s="4">
        <v>21156.36</v>
      </c>
      <c r="G275" s="4">
        <v>2115636</v>
      </c>
      <c r="H275" s="4">
        <v>2115.636</v>
      </c>
      <c r="I275" s="4">
        <v>4.5506367825089</v>
      </c>
      <c r="J275" t="b">
        <v>0</v>
      </c>
      <c r="K275" t="b">
        <v>0</v>
      </c>
    </row>
    <row r="276" spans="1:11" x14ac:dyDescent="0.25">
      <c r="A276" t="s">
        <v>175</v>
      </c>
      <c r="B276" t="s">
        <v>176</v>
      </c>
      <c r="C276" t="s">
        <v>467</v>
      </c>
      <c r="D276" t="s">
        <v>468</v>
      </c>
      <c r="E276" s="4">
        <v>15902065</v>
      </c>
      <c r="F276" s="4">
        <v>8386.63</v>
      </c>
      <c r="G276" s="4">
        <v>838662.9999999999</v>
      </c>
      <c r="H276" s="4">
        <v>838.663</v>
      </c>
      <c r="I276" s="4">
        <v>18.961209687323755</v>
      </c>
      <c r="J276" t="b">
        <v>0</v>
      </c>
      <c r="K276" t="b">
        <v>0</v>
      </c>
    </row>
    <row r="277" spans="1:11" x14ac:dyDescent="0.25">
      <c r="A277" t="s">
        <v>177</v>
      </c>
      <c r="B277" t="s">
        <v>178</v>
      </c>
      <c r="C277" t="s">
        <v>455</v>
      </c>
      <c r="D277" t="s">
        <v>477</v>
      </c>
      <c r="E277" s="4">
        <v>600330</v>
      </c>
      <c r="F277" s="4">
        <v>2302.79</v>
      </c>
      <c r="G277" s="4">
        <v>230279</v>
      </c>
      <c r="H277" s="4">
        <v>230.279</v>
      </c>
      <c r="I277" s="4">
        <v>2.60696806916827</v>
      </c>
      <c r="J277" t="b">
        <v>0</v>
      </c>
      <c r="K277" t="b">
        <v>0</v>
      </c>
    </row>
    <row r="278" spans="1:11" x14ac:dyDescent="0.25">
      <c r="A278" t="s">
        <v>177</v>
      </c>
      <c r="B278" t="s">
        <v>178</v>
      </c>
      <c r="C278" t="s">
        <v>461</v>
      </c>
      <c r="D278" t="s">
        <v>462</v>
      </c>
      <c r="E278" s="4">
        <v>28270015</v>
      </c>
      <c r="F278" s="4">
        <v>15839.51</v>
      </c>
      <c r="G278" s="4">
        <v>1583951</v>
      </c>
      <c r="H278" s="4">
        <v>1583.951</v>
      </c>
      <c r="I278" s="4">
        <v>17.847783801392847</v>
      </c>
      <c r="J278" t="b">
        <v>0</v>
      </c>
      <c r="K278" t="b">
        <v>0</v>
      </c>
    </row>
    <row r="279" spans="1:11" x14ac:dyDescent="0.25">
      <c r="A279" t="s">
        <v>177</v>
      </c>
      <c r="B279" t="s">
        <v>178</v>
      </c>
      <c r="C279" t="s">
        <v>463</v>
      </c>
      <c r="D279" t="s">
        <v>464</v>
      </c>
      <c r="E279" s="4">
        <v>21289799</v>
      </c>
      <c r="F279" s="4">
        <v>7679.06</v>
      </c>
      <c r="G279" s="4">
        <v>767906</v>
      </c>
      <c r="H279" s="4">
        <v>767.9060000000001</v>
      </c>
      <c r="I279" s="4">
        <v>27.724485809461054</v>
      </c>
      <c r="J279" t="b">
        <v>0</v>
      </c>
      <c r="K279" t="b">
        <v>0</v>
      </c>
    </row>
    <row r="280" spans="1:11" x14ac:dyDescent="0.25">
      <c r="A280" t="s">
        <v>177</v>
      </c>
      <c r="B280" t="s">
        <v>178</v>
      </c>
      <c r="C280" t="s">
        <v>465</v>
      </c>
      <c r="D280" t="s">
        <v>478</v>
      </c>
      <c r="E280" s="4">
        <v>8952311</v>
      </c>
      <c r="F280" s="4">
        <v>21741.24</v>
      </c>
      <c r="G280" s="4">
        <v>2174124</v>
      </c>
      <c r="H280" s="4">
        <v>2174.1240000000003</v>
      </c>
      <c r="I280" s="4">
        <v>4.117663481935713</v>
      </c>
      <c r="J280" t="b">
        <v>0</v>
      </c>
      <c r="K280" t="b">
        <v>0</v>
      </c>
    </row>
    <row r="281" spans="1:11" x14ac:dyDescent="0.25">
      <c r="A281" t="s">
        <v>177</v>
      </c>
      <c r="B281" t="s">
        <v>178</v>
      </c>
      <c r="C281" t="s">
        <v>467</v>
      </c>
      <c r="D281" t="s">
        <v>468</v>
      </c>
      <c r="E281" s="4">
        <v>15180574</v>
      </c>
      <c r="F281" s="4">
        <v>8155.32</v>
      </c>
      <c r="G281" s="4">
        <v>815532</v>
      </c>
      <c r="H281" s="4">
        <v>815.532</v>
      </c>
      <c r="I281" s="4">
        <v>18.614320468111615</v>
      </c>
      <c r="J281" t="b">
        <v>0</v>
      </c>
      <c r="K281" t="b">
        <v>0</v>
      </c>
    </row>
    <row r="282" spans="1:11" x14ac:dyDescent="0.25">
      <c r="A282" t="s">
        <v>179</v>
      </c>
      <c r="B282" t="s">
        <v>180</v>
      </c>
      <c r="C282" t="s">
        <v>455</v>
      </c>
      <c r="D282" t="s">
        <v>477</v>
      </c>
      <c r="E282" s="4">
        <v>615642</v>
      </c>
      <c r="F282" s="4">
        <v>1363.43</v>
      </c>
      <c r="G282" s="4">
        <v>136343</v>
      </c>
      <c r="H282" s="4">
        <v>136.34300000000002</v>
      </c>
      <c r="I282" s="4">
        <v>4.515391329221155</v>
      </c>
      <c r="J282" t="b">
        <v>0</v>
      </c>
      <c r="K282" t="b">
        <v>0</v>
      </c>
    </row>
    <row r="283" spans="1:11" x14ac:dyDescent="0.25">
      <c r="A283" t="s">
        <v>179</v>
      </c>
      <c r="B283" t="s">
        <v>180</v>
      </c>
      <c r="C283" t="s">
        <v>461</v>
      </c>
      <c r="D283" t="s">
        <v>462</v>
      </c>
      <c r="E283" s="4">
        <v>20295407</v>
      </c>
      <c r="F283" s="4">
        <v>11409.51</v>
      </c>
      <c r="G283" s="4">
        <v>1140951</v>
      </c>
      <c r="H283" s="4">
        <v>1140.951</v>
      </c>
      <c r="I283" s="4">
        <v>17.788149534905532</v>
      </c>
      <c r="J283" t="b">
        <v>0</v>
      </c>
      <c r="K283" t="b">
        <v>0</v>
      </c>
    </row>
    <row r="284" spans="1:11" x14ac:dyDescent="0.25">
      <c r="A284" t="s">
        <v>179</v>
      </c>
      <c r="B284" t="s">
        <v>180</v>
      </c>
      <c r="C284" t="s">
        <v>463</v>
      </c>
      <c r="D284" t="s">
        <v>464</v>
      </c>
      <c r="E284" s="4">
        <v>16189183</v>
      </c>
      <c r="F284" s="4">
        <v>5897.2</v>
      </c>
      <c r="G284" s="4">
        <v>589720</v>
      </c>
      <c r="H284" s="4">
        <v>589.72</v>
      </c>
      <c r="I284" s="4">
        <v>27.452321440683715</v>
      </c>
      <c r="J284" t="b">
        <v>0</v>
      </c>
      <c r="K284" t="b">
        <v>0</v>
      </c>
    </row>
    <row r="285" spans="1:11" x14ac:dyDescent="0.25">
      <c r="A285" t="s">
        <v>179</v>
      </c>
      <c r="B285" t="s">
        <v>180</v>
      </c>
      <c r="C285" t="s">
        <v>465</v>
      </c>
      <c r="D285" t="s">
        <v>478</v>
      </c>
      <c r="E285" s="4">
        <v>9014468</v>
      </c>
      <c r="F285" s="4">
        <v>20693.61</v>
      </c>
      <c r="G285" s="4">
        <v>2069361</v>
      </c>
      <c r="H285" s="4">
        <v>2069.3610000000003</v>
      </c>
      <c r="I285" s="4">
        <v>4.3561601866469895</v>
      </c>
      <c r="J285" t="b">
        <v>0</v>
      </c>
      <c r="K285" t="b">
        <v>0</v>
      </c>
    </row>
    <row r="286" spans="1:11" x14ac:dyDescent="0.25">
      <c r="A286" t="s">
        <v>179</v>
      </c>
      <c r="B286" t="s">
        <v>180</v>
      </c>
      <c r="C286" t="s">
        <v>467</v>
      </c>
      <c r="D286" t="s">
        <v>468</v>
      </c>
      <c r="E286" s="4">
        <v>10609442</v>
      </c>
      <c r="F286" s="4">
        <v>5652.69</v>
      </c>
      <c r="G286" s="4">
        <v>565269</v>
      </c>
      <c r="H286" s="4">
        <v>565.269</v>
      </c>
      <c r="I286" s="4">
        <v>18.76883749153058</v>
      </c>
      <c r="J286" t="b">
        <v>0</v>
      </c>
      <c r="K286" t="b">
        <v>0</v>
      </c>
    </row>
    <row r="287" spans="1:11" x14ac:dyDescent="0.25">
      <c r="A287" t="s">
        <v>181</v>
      </c>
      <c r="B287" t="s">
        <v>182</v>
      </c>
      <c r="C287" t="s">
        <v>455</v>
      </c>
      <c r="D287" t="s">
        <v>477</v>
      </c>
      <c r="E287" s="4">
        <v>885218</v>
      </c>
      <c r="F287" s="4">
        <v>1798.91</v>
      </c>
      <c r="G287" s="4">
        <v>179891</v>
      </c>
      <c r="H287" s="4">
        <v>179.89100000000002</v>
      </c>
      <c r="I287" s="4">
        <v>4.920857630453997</v>
      </c>
      <c r="J287" t="b">
        <v>0</v>
      </c>
      <c r="K287" t="b">
        <v>0</v>
      </c>
    </row>
    <row r="288" spans="1:11" x14ac:dyDescent="0.25">
      <c r="A288" t="s">
        <v>181</v>
      </c>
      <c r="B288" t="s">
        <v>182</v>
      </c>
      <c r="C288" t="s">
        <v>461</v>
      </c>
      <c r="D288" t="s">
        <v>462</v>
      </c>
      <c r="E288" s="4">
        <v>19079376</v>
      </c>
      <c r="F288" s="4">
        <v>10889.43</v>
      </c>
      <c r="G288" s="4">
        <v>1088943</v>
      </c>
      <c r="H288" s="4">
        <v>1088.943</v>
      </c>
      <c r="I288" s="4">
        <v>17.521005231678792</v>
      </c>
      <c r="J288" t="b">
        <v>0</v>
      </c>
      <c r="K288" t="b">
        <v>0</v>
      </c>
    </row>
    <row r="289" spans="1:11" x14ac:dyDescent="0.25">
      <c r="A289" t="s">
        <v>181</v>
      </c>
      <c r="B289" t="s">
        <v>182</v>
      </c>
      <c r="C289" t="s">
        <v>463</v>
      </c>
      <c r="D289" t="s">
        <v>464</v>
      </c>
      <c r="E289" s="4">
        <v>15580189</v>
      </c>
      <c r="F289" s="4">
        <v>6469.09</v>
      </c>
      <c r="G289" s="4">
        <v>646909</v>
      </c>
      <c r="H289" s="4">
        <v>646.9090000000001</v>
      </c>
      <c r="I289" s="4">
        <v>24.084050461502315</v>
      </c>
      <c r="J289" t="b">
        <v>0</v>
      </c>
      <c r="K289" t="b">
        <v>0</v>
      </c>
    </row>
    <row r="290" spans="1:11" x14ac:dyDescent="0.25">
      <c r="A290" t="s">
        <v>181</v>
      </c>
      <c r="B290" t="s">
        <v>182</v>
      </c>
      <c r="C290" t="s">
        <v>465</v>
      </c>
      <c r="D290" t="s">
        <v>478</v>
      </c>
      <c r="E290" s="4">
        <v>12213664</v>
      </c>
      <c r="F290" s="4">
        <v>27513.18</v>
      </c>
      <c r="G290" s="4">
        <v>2751318</v>
      </c>
      <c r="H290" s="4">
        <v>2751.318</v>
      </c>
      <c r="I290" s="4">
        <v>4.439204773857475</v>
      </c>
      <c r="J290" t="b">
        <v>0</v>
      </c>
      <c r="K290" t="b">
        <v>0</v>
      </c>
    </row>
    <row r="291" spans="1:11" x14ac:dyDescent="0.25">
      <c r="A291" t="s">
        <v>181</v>
      </c>
      <c r="B291" t="s">
        <v>182</v>
      </c>
      <c r="C291" t="s">
        <v>467</v>
      </c>
      <c r="D291" t="s">
        <v>468</v>
      </c>
      <c r="E291" s="4">
        <v>8516440</v>
      </c>
      <c r="F291" s="4">
        <v>4759.11</v>
      </c>
      <c r="G291" s="4">
        <v>475910.99999999994</v>
      </c>
      <c r="H291" s="4">
        <v>475.911</v>
      </c>
      <c r="I291" s="4">
        <v>17.895026591106323</v>
      </c>
      <c r="J291" t="b">
        <v>0</v>
      </c>
      <c r="K291" t="b">
        <v>0</v>
      </c>
    </row>
    <row r="292" spans="1:11" x14ac:dyDescent="0.25">
      <c r="A292" t="s">
        <v>183</v>
      </c>
      <c r="B292" t="s">
        <v>184</v>
      </c>
      <c r="C292" t="s">
        <v>455</v>
      </c>
      <c r="D292" t="s">
        <v>477</v>
      </c>
      <c r="E292" s="4">
        <v>650832</v>
      </c>
      <c r="F292" s="4">
        <v>1324.22</v>
      </c>
      <c r="G292" s="4">
        <v>132422</v>
      </c>
      <c r="H292" s="4">
        <v>132.422</v>
      </c>
      <c r="I292" s="4">
        <v>4.914832882753621</v>
      </c>
      <c r="J292" t="b">
        <v>0</v>
      </c>
      <c r="K292" t="b">
        <v>0</v>
      </c>
    </row>
    <row r="293" spans="1:11" x14ac:dyDescent="0.25">
      <c r="A293" t="s">
        <v>183</v>
      </c>
      <c r="B293" t="s">
        <v>184</v>
      </c>
      <c r="C293" t="s">
        <v>461</v>
      </c>
      <c r="D293" t="s">
        <v>462</v>
      </c>
      <c r="E293" s="4">
        <v>18599668</v>
      </c>
      <c r="F293" s="4">
        <v>10685.78</v>
      </c>
      <c r="G293" s="4">
        <v>1068578</v>
      </c>
      <c r="H293" s="4">
        <v>1068.5780000000002</v>
      </c>
      <c r="I293" s="4">
        <v>17.405999374870156</v>
      </c>
      <c r="J293" t="b">
        <v>0</v>
      </c>
      <c r="K293" t="b">
        <v>0</v>
      </c>
    </row>
    <row r="294" spans="1:11" x14ac:dyDescent="0.25">
      <c r="A294" t="s">
        <v>183</v>
      </c>
      <c r="B294" t="s">
        <v>184</v>
      </c>
      <c r="C294" t="s">
        <v>463</v>
      </c>
      <c r="D294" t="s">
        <v>464</v>
      </c>
      <c r="E294" s="4">
        <v>16229866</v>
      </c>
      <c r="F294" s="4">
        <v>6250.93</v>
      </c>
      <c r="G294" s="4">
        <v>625093</v>
      </c>
      <c r="H294" s="4">
        <v>625.0930000000001</v>
      </c>
      <c r="I294" s="4">
        <v>25.963922168381345</v>
      </c>
      <c r="J294" t="b">
        <v>0</v>
      </c>
      <c r="K294" t="b">
        <v>0</v>
      </c>
    </row>
    <row r="295" spans="1:11" x14ac:dyDescent="0.25">
      <c r="A295" t="s">
        <v>183</v>
      </c>
      <c r="B295" t="s">
        <v>184</v>
      </c>
      <c r="C295" t="s">
        <v>465</v>
      </c>
      <c r="D295" t="s">
        <v>478</v>
      </c>
      <c r="E295" s="4">
        <v>8036548</v>
      </c>
      <c r="F295" s="4">
        <v>18565.69</v>
      </c>
      <c r="G295" s="4">
        <v>1856568.9999999998</v>
      </c>
      <c r="H295" s="4">
        <v>1856.569</v>
      </c>
      <c r="I295" s="4">
        <v>4.328709571257519</v>
      </c>
      <c r="J295" t="b">
        <v>0</v>
      </c>
      <c r="K295" t="b">
        <v>0</v>
      </c>
    </row>
    <row r="296" spans="1:11" x14ac:dyDescent="0.25">
      <c r="A296" t="s">
        <v>183</v>
      </c>
      <c r="B296" t="s">
        <v>184</v>
      </c>
      <c r="C296" t="s">
        <v>467</v>
      </c>
      <c r="D296" t="s">
        <v>468</v>
      </c>
      <c r="E296" s="4">
        <v>12491187</v>
      </c>
      <c r="F296" s="4">
        <v>5629.92</v>
      </c>
      <c r="G296" s="4">
        <v>562992</v>
      </c>
      <c r="H296" s="4">
        <v>562.9920000000001</v>
      </c>
      <c r="I296" s="4">
        <v>22.187148307613608</v>
      </c>
      <c r="J296" t="b">
        <v>0</v>
      </c>
      <c r="K296" t="b">
        <v>0</v>
      </c>
    </row>
    <row r="297" spans="1:11" x14ac:dyDescent="0.25">
      <c r="A297" t="s">
        <v>185</v>
      </c>
      <c r="B297" t="s">
        <v>186</v>
      </c>
      <c r="C297" t="s">
        <v>455</v>
      </c>
      <c r="D297" t="s">
        <v>477</v>
      </c>
      <c r="E297" s="4">
        <v>605989</v>
      </c>
      <c r="F297" s="4">
        <v>997.85</v>
      </c>
      <c r="G297" s="4">
        <v>99785</v>
      </c>
      <c r="H297" s="4">
        <v>99.78500000000001</v>
      </c>
      <c r="I297" s="4">
        <v>6.072946835696748</v>
      </c>
      <c r="J297" t="b">
        <v>0</v>
      </c>
      <c r="K297" t="b">
        <v>0</v>
      </c>
    </row>
    <row r="298" spans="1:11" x14ac:dyDescent="0.25">
      <c r="A298" t="s">
        <v>185</v>
      </c>
      <c r="B298" t="s">
        <v>186</v>
      </c>
      <c r="C298" t="s">
        <v>461</v>
      </c>
      <c r="D298" t="s">
        <v>462</v>
      </c>
      <c r="E298" s="4">
        <v>26967839</v>
      </c>
      <c r="F298" s="4">
        <v>14905.36</v>
      </c>
      <c r="G298" s="4">
        <v>1490536</v>
      </c>
      <c r="H298" s="4">
        <v>1490.536</v>
      </c>
      <c r="I298" s="4">
        <v>18.09271228605012</v>
      </c>
      <c r="J298" t="b">
        <v>0</v>
      </c>
      <c r="K298" t="b">
        <v>0</v>
      </c>
    </row>
    <row r="299" spans="1:11" x14ac:dyDescent="0.25">
      <c r="A299" t="s">
        <v>185</v>
      </c>
      <c r="B299" t="s">
        <v>186</v>
      </c>
      <c r="C299" t="s">
        <v>463</v>
      </c>
      <c r="D299" t="s">
        <v>464</v>
      </c>
      <c r="E299" s="4">
        <v>25140269</v>
      </c>
      <c r="F299" s="4">
        <v>8984.32</v>
      </c>
      <c r="G299" s="4">
        <v>898432</v>
      </c>
      <c r="H299" s="4">
        <v>898.432</v>
      </c>
      <c r="I299" s="4">
        <v>27.982383753027495</v>
      </c>
      <c r="J299" t="b">
        <v>0</v>
      </c>
      <c r="K299" t="b">
        <v>0</v>
      </c>
    </row>
    <row r="300" spans="1:11" x14ac:dyDescent="0.25">
      <c r="A300" t="s">
        <v>185</v>
      </c>
      <c r="B300" t="s">
        <v>186</v>
      </c>
      <c r="C300" t="s">
        <v>465</v>
      </c>
      <c r="D300" t="s">
        <v>478</v>
      </c>
      <c r="E300" s="4">
        <v>7642455</v>
      </c>
      <c r="F300" s="4">
        <v>15595.23</v>
      </c>
      <c r="G300" s="4">
        <v>1559523</v>
      </c>
      <c r="H300" s="4">
        <v>1559.5230000000001</v>
      </c>
      <c r="I300" s="4">
        <v>4.900508039958372</v>
      </c>
      <c r="J300" t="b">
        <v>0</v>
      </c>
      <c r="K300" t="b">
        <v>0</v>
      </c>
    </row>
    <row r="301" spans="1:11" x14ac:dyDescent="0.25">
      <c r="A301" t="s">
        <v>185</v>
      </c>
      <c r="B301" t="s">
        <v>186</v>
      </c>
      <c r="C301" t="s">
        <v>467</v>
      </c>
      <c r="D301" t="s">
        <v>468</v>
      </c>
      <c r="E301" s="4">
        <v>12267293</v>
      </c>
      <c r="F301" s="4">
        <v>6071.53</v>
      </c>
      <c r="G301" s="4">
        <v>607153</v>
      </c>
      <c r="H301" s="4">
        <v>607.153</v>
      </c>
      <c r="I301" s="4">
        <v>20.204615640538712</v>
      </c>
      <c r="J301" t="b">
        <v>0</v>
      </c>
      <c r="K301" t="b">
        <v>0</v>
      </c>
    </row>
    <row r="302" spans="1:11" x14ac:dyDescent="0.25">
      <c r="A302" t="s">
        <v>187</v>
      </c>
      <c r="B302" t="s">
        <v>188</v>
      </c>
      <c r="C302" t="s">
        <v>455</v>
      </c>
      <c r="D302" t="s">
        <v>477</v>
      </c>
      <c r="E302" s="4">
        <v>950367</v>
      </c>
      <c r="F302" s="4">
        <v>3710.35</v>
      </c>
      <c r="G302" s="4">
        <v>371035</v>
      </c>
      <c r="H302" s="4">
        <v>371.035</v>
      </c>
      <c r="I302" s="4">
        <v>2.561394477609929</v>
      </c>
      <c r="J302" t="b">
        <v>0</v>
      </c>
      <c r="K302" t="b">
        <v>0</v>
      </c>
    </row>
    <row r="303" spans="1:11" x14ac:dyDescent="0.25">
      <c r="A303" t="s">
        <v>187</v>
      </c>
      <c r="B303" t="s">
        <v>188</v>
      </c>
      <c r="C303" t="s">
        <v>461</v>
      </c>
      <c r="D303" t="s">
        <v>462</v>
      </c>
      <c r="E303" s="4">
        <v>28313979</v>
      </c>
      <c r="F303" s="4">
        <v>14977.61</v>
      </c>
      <c r="G303" s="4">
        <v>1497761</v>
      </c>
      <c r="H303" s="4">
        <v>1497.7610000000002</v>
      </c>
      <c r="I303" s="4">
        <v>18.90420367468508</v>
      </c>
      <c r="J303" t="b">
        <v>0</v>
      </c>
      <c r="K303" t="b">
        <v>0</v>
      </c>
    </row>
    <row r="304" spans="1:11" x14ac:dyDescent="0.25">
      <c r="A304" t="s">
        <v>187</v>
      </c>
      <c r="B304" t="s">
        <v>188</v>
      </c>
      <c r="C304" t="s">
        <v>463</v>
      </c>
      <c r="D304" t="s">
        <v>464</v>
      </c>
      <c r="E304" s="4">
        <v>30389929</v>
      </c>
      <c r="F304" s="4">
        <v>9544.92</v>
      </c>
      <c r="G304" s="4">
        <v>954492</v>
      </c>
      <c r="H304" s="4">
        <v>954.4920000000001</v>
      </c>
      <c r="I304" s="4">
        <v>31.838851451871783</v>
      </c>
      <c r="J304" t="b">
        <v>0</v>
      </c>
      <c r="K304" t="b">
        <v>0</v>
      </c>
    </row>
    <row r="305" spans="1:11" x14ac:dyDescent="0.25">
      <c r="A305" t="s">
        <v>187</v>
      </c>
      <c r="B305" t="s">
        <v>188</v>
      </c>
      <c r="C305" t="s">
        <v>465</v>
      </c>
      <c r="D305" t="s">
        <v>478</v>
      </c>
      <c r="E305" s="4">
        <v>7675511</v>
      </c>
      <c r="F305" s="4">
        <v>16899.73</v>
      </c>
      <c r="G305" s="4">
        <v>1689973</v>
      </c>
      <c r="H305" s="4">
        <v>1689.973</v>
      </c>
      <c r="I305" s="4">
        <v>4.541795046429736</v>
      </c>
      <c r="J305" t="b">
        <v>0</v>
      </c>
      <c r="K305" t="b">
        <v>0</v>
      </c>
    </row>
    <row r="306" spans="1:11" x14ac:dyDescent="0.25">
      <c r="A306" t="s">
        <v>187</v>
      </c>
      <c r="B306" t="s">
        <v>188</v>
      </c>
      <c r="C306" t="s">
        <v>467</v>
      </c>
      <c r="D306" t="s">
        <v>468</v>
      </c>
      <c r="E306" s="4">
        <v>14824004</v>
      </c>
      <c r="F306" s="4">
        <v>7073.28</v>
      </c>
      <c r="G306" s="4">
        <v>707328</v>
      </c>
      <c r="H306" s="4">
        <v>707.328</v>
      </c>
      <c r="I306" s="4">
        <v>20.95775085957293</v>
      </c>
      <c r="J306" t="b">
        <v>0</v>
      </c>
      <c r="K306" t="b">
        <v>0</v>
      </c>
    </row>
    <row r="307" spans="1:11" x14ac:dyDescent="0.25">
      <c r="A307" t="s">
        <v>189</v>
      </c>
      <c r="B307" t="s">
        <v>190</v>
      </c>
      <c r="C307" t="s">
        <v>455</v>
      </c>
      <c r="D307" t="s">
        <v>477</v>
      </c>
      <c r="E307" s="4">
        <v>1041511</v>
      </c>
      <c r="F307" s="4">
        <v>2716.33</v>
      </c>
      <c r="G307" s="4">
        <v>271633</v>
      </c>
      <c r="H307" s="4">
        <v>271.633</v>
      </c>
      <c r="I307" s="4">
        <v>3.834257987799715</v>
      </c>
      <c r="J307" t="b">
        <v>0</v>
      </c>
      <c r="K307" t="b">
        <v>0</v>
      </c>
    </row>
    <row r="308" spans="1:11" x14ac:dyDescent="0.25">
      <c r="A308" t="s">
        <v>189</v>
      </c>
      <c r="B308" t="s">
        <v>190</v>
      </c>
      <c r="C308" t="s">
        <v>461</v>
      </c>
      <c r="D308" t="s">
        <v>462</v>
      </c>
      <c r="E308" s="4">
        <v>30645578</v>
      </c>
      <c r="F308" s="4">
        <v>16041.08</v>
      </c>
      <c r="G308" s="4">
        <v>1604108</v>
      </c>
      <c r="H308" s="4">
        <v>1604.1080000000002</v>
      </c>
      <c r="I308" s="4">
        <v>19.1044356115673</v>
      </c>
      <c r="J308" t="b">
        <v>0</v>
      </c>
      <c r="K308" t="b">
        <v>0</v>
      </c>
    </row>
    <row r="309" spans="1:11" x14ac:dyDescent="0.25">
      <c r="A309" t="s">
        <v>189</v>
      </c>
      <c r="B309" t="s">
        <v>190</v>
      </c>
      <c r="C309" t="s">
        <v>463</v>
      </c>
      <c r="D309" t="s">
        <v>464</v>
      </c>
      <c r="E309" s="4">
        <v>40741067</v>
      </c>
      <c r="F309" s="4">
        <v>13055.12</v>
      </c>
      <c r="G309" s="4">
        <v>1305512</v>
      </c>
      <c r="H309" s="4">
        <v>1305.5120000000002</v>
      </c>
      <c r="I309" s="4">
        <v>31.20696477703767</v>
      </c>
      <c r="J309" t="b">
        <v>0</v>
      </c>
      <c r="K309" t="b">
        <v>0</v>
      </c>
    </row>
    <row r="310" spans="1:11" x14ac:dyDescent="0.25">
      <c r="A310" t="s">
        <v>189</v>
      </c>
      <c r="B310" t="s">
        <v>190</v>
      </c>
      <c r="C310" t="s">
        <v>465</v>
      </c>
      <c r="D310" t="s">
        <v>478</v>
      </c>
      <c r="E310" s="4">
        <v>8742031</v>
      </c>
      <c r="F310" s="4">
        <v>17096.14</v>
      </c>
      <c r="G310" s="4">
        <v>1709614</v>
      </c>
      <c r="H310" s="4">
        <v>1709.614</v>
      </c>
      <c r="I310" s="4">
        <v>5.1134530952601</v>
      </c>
      <c r="J310" t="b">
        <v>0</v>
      </c>
      <c r="K310" t="b">
        <v>0</v>
      </c>
    </row>
    <row r="311" spans="1:11" x14ac:dyDescent="0.25">
      <c r="A311" t="s">
        <v>189</v>
      </c>
      <c r="B311" t="s">
        <v>190</v>
      </c>
      <c r="C311" t="s">
        <v>467</v>
      </c>
      <c r="D311" t="s">
        <v>468</v>
      </c>
      <c r="E311" s="4">
        <v>18914742</v>
      </c>
      <c r="F311" s="4">
        <v>8768.61</v>
      </c>
      <c r="G311" s="4">
        <v>876861</v>
      </c>
      <c r="H311" s="4">
        <v>876.8610000000001</v>
      </c>
      <c r="I311" s="4">
        <v>21.570969629165855</v>
      </c>
      <c r="J311" t="b">
        <v>0</v>
      </c>
      <c r="K311" t="b">
        <v>0</v>
      </c>
    </row>
    <row r="312" spans="1:11" x14ac:dyDescent="0.25">
      <c r="A312" t="s">
        <v>191</v>
      </c>
      <c r="B312" t="s">
        <v>192</v>
      </c>
      <c r="C312" t="s">
        <v>455</v>
      </c>
      <c r="D312" t="s">
        <v>477</v>
      </c>
      <c r="E312" s="4">
        <v>1114308</v>
      </c>
      <c r="F312" s="4">
        <v>3033.99</v>
      </c>
      <c r="G312" s="4">
        <v>303399</v>
      </c>
      <c r="H312" s="4">
        <v>303.399</v>
      </c>
      <c r="I312" s="4">
        <v>3.672747767790929</v>
      </c>
      <c r="J312" t="b">
        <v>0</v>
      </c>
      <c r="K312" t="b">
        <v>0</v>
      </c>
    </row>
    <row r="313" spans="1:11" x14ac:dyDescent="0.25">
      <c r="A313" t="s">
        <v>191</v>
      </c>
      <c r="B313" t="s">
        <v>192</v>
      </c>
      <c r="C313" t="s">
        <v>461</v>
      </c>
      <c r="D313" t="s">
        <v>462</v>
      </c>
      <c r="E313" s="4">
        <v>31174602</v>
      </c>
      <c r="F313" s="4">
        <v>16065.3</v>
      </c>
      <c r="G313" s="4">
        <v>1606530</v>
      </c>
      <c r="H313" s="4">
        <v>1606.53</v>
      </c>
      <c r="I313" s="4">
        <v>19.404929879927547</v>
      </c>
      <c r="J313" t="b">
        <v>0</v>
      </c>
      <c r="K313" t="b">
        <v>0</v>
      </c>
    </row>
    <row r="314" spans="1:11" x14ac:dyDescent="0.25">
      <c r="A314" t="s">
        <v>191</v>
      </c>
      <c r="B314" t="s">
        <v>192</v>
      </c>
      <c r="C314" t="s">
        <v>463</v>
      </c>
      <c r="D314" t="s">
        <v>464</v>
      </c>
      <c r="E314" s="4">
        <v>40844730</v>
      </c>
      <c r="F314" s="4">
        <v>13795.81</v>
      </c>
      <c r="G314" s="4">
        <v>1379581</v>
      </c>
      <c r="H314" s="4">
        <v>1379.5810000000001</v>
      </c>
      <c r="I314" s="4">
        <v>29.606619691051122</v>
      </c>
      <c r="J314" t="b">
        <v>0</v>
      </c>
      <c r="K314" t="b">
        <v>0</v>
      </c>
    </row>
    <row r="315" spans="1:11" x14ac:dyDescent="0.25">
      <c r="A315" t="s">
        <v>191</v>
      </c>
      <c r="B315" t="s">
        <v>192</v>
      </c>
      <c r="C315" t="s">
        <v>465</v>
      </c>
      <c r="D315" t="s">
        <v>478</v>
      </c>
      <c r="E315" s="4">
        <v>10485187</v>
      </c>
      <c r="F315" s="4">
        <v>26075.19</v>
      </c>
      <c r="G315" s="4">
        <v>2607519</v>
      </c>
      <c r="H315" s="4">
        <v>2607.5190000000002</v>
      </c>
      <c r="I315" s="4">
        <v>4.021135416462929</v>
      </c>
      <c r="J315" t="b">
        <v>0</v>
      </c>
      <c r="K315" t="b">
        <v>0</v>
      </c>
    </row>
    <row r="316" spans="1:11" x14ac:dyDescent="0.25">
      <c r="A316" t="s">
        <v>191</v>
      </c>
      <c r="B316" t="s">
        <v>192</v>
      </c>
      <c r="C316" t="s">
        <v>467</v>
      </c>
      <c r="D316" t="s">
        <v>468</v>
      </c>
      <c r="E316" s="4">
        <v>18899457</v>
      </c>
      <c r="F316" s="4">
        <v>8777.62</v>
      </c>
      <c r="G316" s="4">
        <v>877762.0000000001</v>
      </c>
      <c r="H316" s="4">
        <v>877.7620000000002</v>
      </c>
      <c r="I316" s="4">
        <v>21.53141398237791</v>
      </c>
      <c r="J316" t="b">
        <v>0</v>
      </c>
      <c r="K316" t="b">
        <v>0</v>
      </c>
    </row>
    <row r="317" spans="1:11" x14ac:dyDescent="0.25">
      <c r="A317" t="s">
        <v>193</v>
      </c>
      <c r="B317" t="s">
        <v>194</v>
      </c>
      <c r="C317" t="s">
        <v>455</v>
      </c>
      <c r="D317" t="s">
        <v>477</v>
      </c>
      <c r="E317" s="4">
        <v>992252</v>
      </c>
      <c r="F317" s="4">
        <v>2972.29</v>
      </c>
      <c r="G317" s="4">
        <v>297229</v>
      </c>
      <c r="H317" s="4">
        <v>297.229</v>
      </c>
      <c r="I317" s="4">
        <v>3.338341817252018</v>
      </c>
      <c r="J317" t="b">
        <v>0</v>
      </c>
      <c r="K317" t="b">
        <v>0</v>
      </c>
    </row>
    <row r="318" spans="1:11" x14ac:dyDescent="0.25">
      <c r="A318" t="s">
        <v>193</v>
      </c>
      <c r="B318" t="s">
        <v>194</v>
      </c>
      <c r="C318" t="s">
        <v>461</v>
      </c>
      <c r="D318" t="s">
        <v>462</v>
      </c>
      <c r="E318" s="4">
        <v>26695692</v>
      </c>
      <c r="F318" s="4">
        <v>14552.33</v>
      </c>
      <c r="G318" s="4">
        <v>1455233</v>
      </c>
      <c r="H318" s="4">
        <v>1455.2330000000002</v>
      </c>
      <c r="I318" s="4">
        <v>18.344616978861804</v>
      </c>
      <c r="J318" t="b">
        <v>0</v>
      </c>
      <c r="K318" t="b">
        <v>0</v>
      </c>
    </row>
    <row r="319" spans="1:11" x14ac:dyDescent="0.25">
      <c r="A319" t="s">
        <v>193</v>
      </c>
      <c r="B319" t="s">
        <v>194</v>
      </c>
      <c r="C319" t="s">
        <v>463</v>
      </c>
      <c r="D319" t="s">
        <v>464</v>
      </c>
      <c r="E319" s="4">
        <v>31905493</v>
      </c>
      <c r="F319" s="4">
        <v>10998.98</v>
      </c>
      <c r="G319" s="4">
        <v>1099898</v>
      </c>
      <c r="H319" s="4">
        <v>1099.898</v>
      </c>
      <c r="I319" s="4">
        <v>29.00768343973714</v>
      </c>
      <c r="J319" t="b">
        <v>0</v>
      </c>
      <c r="K319" t="b">
        <v>0</v>
      </c>
    </row>
    <row r="320" spans="1:11" x14ac:dyDescent="0.25">
      <c r="A320" t="s">
        <v>193</v>
      </c>
      <c r="B320" t="s">
        <v>194</v>
      </c>
      <c r="C320" t="s">
        <v>465</v>
      </c>
      <c r="D320" t="s">
        <v>478</v>
      </c>
      <c r="E320" s="4">
        <v>8932229</v>
      </c>
      <c r="F320" s="4">
        <v>21304.33</v>
      </c>
      <c r="G320" s="4">
        <v>2130433</v>
      </c>
      <c r="H320" s="4">
        <v>2130.4330000000004</v>
      </c>
      <c r="I320" s="4">
        <v>4.192682426530194</v>
      </c>
      <c r="J320" t="b">
        <v>0</v>
      </c>
      <c r="K320" t="b">
        <v>0</v>
      </c>
    </row>
    <row r="321" spans="1:11" x14ac:dyDescent="0.25">
      <c r="A321" t="s">
        <v>193</v>
      </c>
      <c r="B321" t="s">
        <v>194</v>
      </c>
      <c r="C321" t="s">
        <v>467</v>
      </c>
      <c r="D321" t="s">
        <v>468</v>
      </c>
      <c r="E321" s="4">
        <v>13000382</v>
      </c>
      <c r="F321" s="4">
        <v>6503</v>
      </c>
      <c r="G321" s="4">
        <v>650300</v>
      </c>
      <c r="H321" s="4">
        <v>650.3000000000001</v>
      </c>
      <c r="I321" s="4">
        <v>19.99136091034907</v>
      </c>
      <c r="J321" t="b">
        <v>0</v>
      </c>
      <c r="K321" t="b">
        <v>0</v>
      </c>
    </row>
    <row r="322" spans="1:11" x14ac:dyDescent="0.25">
      <c r="A322" t="s">
        <v>195</v>
      </c>
      <c r="B322" t="s">
        <v>196</v>
      </c>
      <c r="C322" t="s">
        <v>455</v>
      </c>
      <c r="D322" t="s">
        <v>477</v>
      </c>
      <c r="E322" s="4">
        <v>789779</v>
      </c>
      <c r="F322" s="4">
        <v>2638.39</v>
      </c>
      <c r="G322" s="4">
        <v>263839</v>
      </c>
      <c r="H322" s="4">
        <v>263.839</v>
      </c>
      <c r="I322" s="4">
        <v>2.9934126493808724</v>
      </c>
      <c r="J322" t="b">
        <v>0</v>
      </c>
      <c r="K322" t="b">
        <v>0</v>
      </c>
    </row>
    <row r="323" spans="1:11" x14ac:dyDescent="0.25">
      <c r="A323" t="s">
        <v>195</v>
      </c>
      <c r="B323" t="s">
        <v>196</v>
      </c>
      <c r="C323" t="s">
        <v>461</v>
      </c>
      <c r="D323" t="s">
        <v>462</v>
      </c>
      <c r="E323" s="4">
        <v>27402948</v>
      </c>
      <c r="F323" s="4">
        <v>15345.32</v>
      </c>
      <c r="G323" s="4">
        <v>1534532</v>
      </c>
      <c r="H323" s="4">
        <v>1534.5320000000002</v>
      </c>
      <c r="I323" s="4">
        <v>17.857527897756448</v>
      </c>
      <c r="J323" t="b">
        <v>0</v>
      </c>
      <c r="K323" t="b">
        <v>0</v>
      </c>
    </row>
    <row r="324" spans="1:11" x14ac:dyDescent="0.25">
      <c r="A324" t="s">
        <v>195</v>
      </c>
      <c r="B324" t="s">
        <v>196</v>
      </c>
      <c r="C324" t="s">
        <v>463</v>
      </c>
      <c r="D324" t="s">
        <v>464</v>
      </c>
      <c r="E324" s="4">
        <v>26022414</v>
      </c>
      <c r="F324" s="4">
        <v>9560.25</v>
      </c>
      <c r="G324" s="4">
        <v>956025</v>
      </c>
      <c r="H324" s="4">
        <v>956.0250000000001</v>
      </c>
      <c r="I324" s="4">
        <v>27.219386522318977</v>
      </c>
      <c r="J324" t="b">
        <v>0</v>
      </c>
      <c r="K324" t="b">
        <v>0</v>
      </c>
    </row>
    <row r="325" spans="1:11" x14ac:dyDescent="0.25">
      <c r="A325" t="s">
        <v>195</v>
      </c>
      <c r="B325" t="s">
        <v>196</v>
      </c>
      <c r="C325" t="s">
        <v>465</v>
      </c>
      <c r="D325" t="s">
        <v>478</v>
      </c>
      <c r="E325" s="4">
        <v>8663545</v>
      </c>
      <c r="F325" s="4">
        <v>21519.78</v>
      </c>
      <c r="G325" s="4">
        <v>2151978</v>
      </c>
      <c r="H325" s="4">
        <v>2151.978</v>
      </c>
      <c r="I325" s="4">
        <v>4.02585203008581</v>
      </c>
      <c r="J325" t="b">
        <v>0</v>
      </c>
      <c r="K325" t="b">
        <v>0</v>
      </c>
    </row>
    <row r="326" spans="1:11" x14ac:dyDescent="0.25">
      <c r="A326" t="s">
        <v>195</v>
      </c>
      <c r="B326" t="s">
        <v>196</v>
      </c>
      <c r="C326" t="s">
        <v>467</v>
      </c>
      <c r="D326" t="s">
        <v>468</v>
      </c>
      <c r="E326" s="4">
        <v>9507921</v>
      </c>
      <c r="F326" s="4">
        <v>4568.12</v>
      </c>
      <c r="G326" s="4">
        <v>456812</v>
      </c>
      <c r="H326" s="4">
        <v>456.812</v>
      </c>
      <c r="I326" s="4">
        <v>20.813641060217332</v>
      </c>
      <c r="J326" t="b">
        <v>0</v>
      </c>
      <c r="K326" t="b">
        <v>0</v>
      </c>
    </row>
    <row r="327" spans="1:11" x14ac:dyDescent="0.25">
      <c r="A327" t="s">
        <v>197</v>
      </c>
      <c r="B327" t="s">
        <v>198</v>
      </c>
      <c r="C327" t="s">
        <v>455</v>
      </c>
      <c r="D327" t="s">
        <v>477</v>
      </c>
      <c r="E327" s="4">
        <v>1407626</v>
      </c>
      <c r="F327" s="4">
        <v>1771.04</v>
      </c>
      <c r="G327" s="4">
        <v>177104</v>
      </c>
      <c r="H327" s="4">
        <v>177.104</v>
      </c>
      <c r="I327" s="4">
        <v>7.948019242930707</v>
      </c>
      <c r="J327" t="b">
        <v>0</v>
      </c>
      <c r="K327" t="b">
        <v>0</v>
      </c>
    </row>
    <row r="328" spans="1:11" x14ac:dyDescent="0.25">
      <c r="A328" t="s">
        <v>197</v>
      </c>
      <c r="B328" t="s">
        <v>198</v>
      </c>
      <c r="C328" t="s">
        <v>461</v>
      </c>
      <c r="D328" t="s">
        <v>462</v>
      </c>
      <c r="E328" s="4">
        <v>37254921</v>
      </c>
      <c r="F328" s="4">
        <v>21506.78</v>
      </c>
      <c r="G328" s="4">
        <v>2150678</v>
      </c>
      <c r="H328" s="4">
        <v>2150.678</v>
      </c>
      <c r="I328" s="4">
        <v>17.322407631453896</v>
      </c>
      <c r="J328" t="b">
        <v>0</v>
      </c>
      <c r="K328" t="b">
        <v>0</v>
      </c>
    </row>
    <row r="329" spans="1:11" x14ac:dyDescent="0.25">
      <c r="A329" t="s">
        <v>197</v>
      </c>
      <c r="B329" t="s">
        <v>198</v>
      </c>
      <c r="C329" t="s">
        <v>463</v>
      </c>
      <c r="D329" t="s">
        <v>464</v>
      </c>
      <c r="E329" s="4">
        <v>40075385</v>
      </c>
      <c r="F329" s="4">
        <v>12374.77</v>
      </c>
      <c r="G329" s="4">
        <v>1237477</v>
      </c>
      <c r="H329" s="4">
        <v>1237.477</v>
      </c>
      <c r="I329" s="4">
        <v>32.38475139335923</v>
      </c>
      <c r="J329" t="b">
        <v>0</v>
      </c>
      <c r="K329" t="b">
        <v>0</v>
      </c>
    </row>
    <row r="330" spans="1:11" x14ac:dyDescent="0.25">
      <c r="A330" t="s">
        <v>197</v>
      </c>
      <c r="B330" t="s">
        <v>198</v>
      </c>
      <c r="C330" t="s">
        <v>465</v>
      </c>
      <c r="D330" t="s">
        <v>478</v>
      </c>
      <c r="E330" s="4">
        <v>9717362</v>
      </c>
      <c r="F330" s="4">
        <v>21073.3</v>
      </c>
      <c r="G330" s="4">
        <v>2107330</v>
      </c>
      <c r="H330" s="4">
        <v>2107.33</v>
      </c>
      <c r="I330" s="4">
        <v>4.611219884878021</v>
      </c>
      <c r="J330" t="b">
        <v>0</v>
      </c>
      <c r="K330" t="b">
        <v>0</v>
      </c>
    </row>
    <row r="331" spans="1:11" x14ac:dyDescent="0.25">
      <c r="A331" t="s">
        <v>197</v>
      </c>
      <c r="B331" t="s">
        <v>198</v>
      </c>
      <c r="C331" t="s">
        <v>467</v>
      </c>
      <c r="D331" t="s">
        <v>468</v>
      </c>
      <c r="E331" s="4">
        <v>11945295</v>
      </c>
      <c r="F331" s="4">
        <v>5992.29</v>
      </c>
      <c r="G331" s="4">
        <v>599229</v>
      </c>
      <c r="H331" s="4">
        <v>599.229</v>
      </c>
      <c r="I331" s="4">
        <v>19.934440756371938</v>
      </c>
      <c r="J331" t="b">
        <v>0</v>
      </c>
      <c r="K331" t="b">
        <v>0</v>
      </c>
    </row>
    <row r="332" spans="1:11" x14ac:dyDescent="0.25">
      <c r="A332" t="s">
        <v>199</v>
      </c>
      <c r="B332" t="s">
        <v>200</v>
      </c>
      <c r="C332" t="s">
        <v>455</v>
      </c>
      <c r="D332" t="s">
        <v>477</v>
      </c>
      <c r="E332" s="4">
        <v>665321</v>
      </c>
      <c r="F332" s="4">
        <v>1281.67</v>
      </c>
      <c r="G332" s="4">
        <v>128167</v>
      </c>
      <c r="H332" s="4">
        <v>128.167</v>
      </c>
      <c r="I332" s="4">
        <v>5.191047617561463</v>
      </c>
      <c r="J332" t="b">
        <v>0</v>
      </c>
      <c r="K332" t="b">
        <v>0</v>
      </c>
    </row>
    <row r="333" spans="1:11" x14ac:dyDescent="0.25">
      <c r="A333" t="s">
        <v>199</v>
      </c>
      <c r="B333" t="s">
        <v>200</v>
      </c>
      <c r="C333" t="s">
        <v>461</v>
      </c>
      <c r="D333" t="s">
        <v>462</v>
      </c>
      <c r="E333" s="4">
        <v>30447569</v>
      </c>
      <c r="F333" s="4">
        <v>17382.63</v>
      </c>
      <c r="G333" s="4">
        <v>1738263</v>
      </c>
      <c r="H333" s="4">
        <v>1738.2630000000001</v>
      </c>
      <c r="I333" s="4">
        <v>17.516088762172352</v>
      </c>
      <c r="J333" t="b">
        <v>0</v>
      </c>
      <c r="K333" t="b">
        <v>0</v>
      </c>
    </row>
    <row r="334" spans="1:11" x14ac:dyDescent="0.25">
      <c r="A334" t="s">
        <v>199</v>
      </c>
      <c r="B334" t="s">
        <v>200</v>
      </c>
      <c r="C334" t="s">
        <v>463</v>
      </c>
      <c r="D334" t="s">
        <v>464</v>
      </c>
      <c r="E334" s="4">
        <v>29351565</v>
      </c>
      <c r="F334" s="4">
        <v>11260.27</v>
      </c>
      <c r="G334" s="4">
        <v>1126027</v>
      </c>
      <c r="H334" s="4">
        <v>1126.027</v>
      </c>
      <c r="I334" s="4">
        <v>26.066484196204886</v>
      </c>
      <c r="J334" t="b">
        <v>0</v>
      </c>
      <c r="K334" t="b">
        <v>0</v>
      </c>
    </row>
    <row r="335" spans="1:11" x14ac:dyDescent="0.25">
      <c r="A335" t="s">
        <v>199</v>
      </c>
      <c r="B335" t="s">
        <v>200</v>
      </c>
      <c r="C335" t="s">
        <v>465</v>
      </c>
      <c r="D335" t="s">
        <v>478</v>
      </c>
      <c r="E335" s="4">
        <v>8646604</v>
      </c>
      <c r="F335" s="4">
        <v>20336.69</v>
      </c>
      <c r="G335" s="4">
        <v>2033668.9999999998</v>
      </c>
      <c r="H335" s="4">
        <v>2033.6689999999999</v>
      </c>
      <c r="I335" s="4">
        <v>4.251726313377448</v>
      </c>
      <c r="J335" t="b">
        <v>0</v>
      </c>
      <c r="K335" t="b">
        <v>0</v>
      </c>
    </row>
    <row r="336" spans="1:11" x14ac:dyDescent="0.25">
      <c r="A336" t="s">
        <v>199</v>
      </c>
      <c r="B336" t="s">
        <v>200</v>
      </c>
      <c r="C336" t="s">
        <v>467</v>
      </c>
      <c r="D336" t="s">
        <v>468</v>
      </c>
      <c r="E336" s="4">
        <v>14379474</v>
      </c>
      <c r="F336" s="4">
        <v>7432.37</v>
      </c>
      <c r="G336" s="4">
        <v>743237</v>
      </c>
      <c r="H336" s="4">
        <v>743.2370000000001</v>
      </c>
      <c r="I336" s="4">
        <v>19.347091170111284</v>
      </c>
      <c r="J336" t="b">
        <v>0</v>
      </c>
      <c r="K336" t="b">
        <v>0</v>
      </c>
    </row>
    <row r="337" spans="1:11" x14ac:dyDescent="0.25">
      <c r="A337" t="s">
        <v>201</v>
      </c>
      <c r="B337" t="s">
        <v>202</v>
      </c>
      <c r="C337" t="s">
        <v>455</v>
      </c>
      <c r="D337" t="s">
        <v>477</v>
      </c>
      <c r="E337" s="4">
        <v>373970</v>
      </c>
      <c r="F337" s="4">
        <v>448.44</v>
      </c>
      <c r="G337" s="4">
        <v>44844</v>
      </c>
      <c r="H337" s="4">
        <v>44.844</v>
      </c>
      <c r="I337" s="4">
        <v>8.339354205690839</v>
      </c>
      <c r="J337" t="b">
        <v>0</v>
      </c>
      <c r="K337" t="b">
        <v>0</v>
      </c>
    </row>
    <row r="338" spans="1:11" x14ac:dyDescent="0.25">
      <c r="A338" t="s">
        <v>201</v>
      </c>
      <c r="B338" t="s">
        <v>202</v>
      </c>
      <c r="C338" t="s">
        <v>461</v>
      </c>
      <c r="D338" t="s">
        <v>462</v>
      </c>
      <c r="E338" s="4">
        <v>32752870</v>
      </c>
      <c r="F338" s="4">
        <v>19672.29</v>
      </c>
      <c r="G338" s="4">
        <v>1967229</v>
      </c>
      <c r="H338" s="4">
        <v>1967.2290000000003</v>
      </c>
      <c r="I338" s="4">
        <v>16.649241140711123</v>
      </c>
      <c r="J338" t="b">
        <v>0</v>
      </c>
      <c r="K338" t="b">
        <v>0</v>
      </c>
    </row>
    <row r="339" spans="1:11" x14ac:dyDescent="0.25">
      <c r="A339" t="s">
        <v>201</v>
      </c>
      <c r="B339" t="s">
        <v>202</v>
      </c>
      <c r="C339" t="s">
        <v>463</v>
      </c>
      <c r="D339" t="s">
        <v>464</v>
      </c>
      <c r="E339" s="4">
        <v>23736986</v>
      </c>
      <c r="F339" s="4">
        <v>9512.51</v>
      </c>
      <c r="G339" s="4">
        <v>951251</v>
      </c>
      <c r="H339" s="4">
        <v>951.2510000000001</v>
      </c>
      <c r="I339" s="4">
        <v>24.953441310442773</v>
      </c>
      <c r="J339" t="b">
        <v>0</v>
      </c>
      <c r="K339" t="b">
        <v>0</v>
      </c>
    </row>
    <row r="340" spans="1:11" x14ac:dyDescent="0.25">
      <c r="A340" t="s">
        <v>201</v>
      </c>
      <c r="B340" t="s">
        <v>202</v>
      </c>
      <c r="C340" t="s">
        <v>465</v>
      </c>
      <c r="D340" t="s">
        <v>478</v>
      </c>
      <c r="E340" s="4">
        <v>9850297</v>
      </c>
      <c r="F340" s="4">
        <v>25114.15</v>
      </c>
      <c r="G340" s="4">
        <v>2511415</v>
      </c>
      <c r="H340" s="4">
        <v>2511.4150000000004</v>
      </c>
      <c r="I340" s="4">
        <v>3.9222099891893616</v>
      </c>
      <c r="J340" t="b">
        <v>0</v>
      </c>
      <c r="K340" t="b">
        <v>0</v>
      </c>
    </row>
    <row r="341" spans="1:11" x14ac:dyDescent="0.25">
      <c r="A341" t="s">
        <v>201</v>
      </c>
      <c r="B341" t="s">
        <v>202</v>
      </c>
      <c r="C341" t="s">
        <v>467</v>
      </c>
      <c r="D341" t="s">
        <v>468</v>
      </c>
      <c r="E341" s="4">
        <v>14643020</v>
      </c>
      <c r="F341" s="4">
        <v>7484.56</v>
      </c>
      <c r="G341" s="4">
        <v>748456</v>
      </c>
      <c r="H341" s="4">
        <v>748.4560000000001</v>
      </c>
      <c r="I341" s="4">
        <v>19.56430304520239</v>
      </c>
      <c r="J341" t="b">
        <v>0</v>
      </c>
      <c r="K341" t="b">
        <v>0</v>
      </c>
    </row>
    <row r="342" spans="1:11" x14ac:dyDescent="0.25">
      <c r="A342" t="s">
        <v>203</v>
      </c>
      <c r="B342" t="s">
        <v>204</v>
      </c>
      <c r="C342" t="s">
        <v>455</v>
      </c>
      <c r="D342" t="s">
        <v>477</v>
      </c>
      <c r="E342" s="4">
        <v>763644</v>
      </c>
      <c r="F342" s="4">
        <v>1194.91</v>
      </c>
      <c r="G342" s="4">
        <v>119491.00000000001</v>
      </c>
      <c r="H342" s="4">
        <v>119.49100000000001</v>
      </c>
      <c r="I342" s="4">
        <v>6.3908076758919075</v>
      </c>
      <c r="J342" t="b">
        <v>0</v>
      </c>
      <c r="K342" t="b">
        <v>0</v>
      </c>
    </row>
    <row r="343" spans="1:11" x14ac:dyDescent="0.25">
      <c r="A343" t="s">
        <v>203</v>
      </c>
      <c r="B343" t="s">
        <v>204</v>
      </c>
      <c r="C343" t="s">
        <v>461</v>
      </c>
      <c r="D343" t="s">
        <v>462</v>
      </c>
      <c r="E343" s="4">
        <v>20793310</v>
      </c>
      <c r="F343" s="4">
        <v>12102.85</v>
      </c>
      <c r="G343" s="4">
        <v>1210285</v>
      </c>
      <c r="H343" s="4">
        <v>1210.285</v>
      </c>
      <c r="I343" s="4">
        <v>17.18050707064865</v>
      </c>
      <c r="J343" t="b">
        <v>0</v>
      </c>
      <c r="K343" t="b">
        <v>0</v>
      </c>
    </row>
    <row r="344" spans="1:11" x14ac:dyDescent="0.25">
      <c r="A344" t="s">
        <v>203</v>
      </c>
      <c r="B344" t="s">
        <v>204</v>
      </c>
      <c r="C344" t="s">
        <v>463</v>
      </c>
      <c r="D344" t="s">
        <v>464</v>
      </c>
      <c r="E344" s="4">
        <v>16661879</v>
      </c>
      <c r="F344" s="4">
        <v>7265.33</v>
      </c>
      <c r="G344" s="4">
        <v>726533</v>
      </c>
      <c r="H344" s="4">
        <v>726.533</v>
      </c>
      <c r="I344" s="4">
        <v>22.933409769411714</v>
      </c>
      <c r="J344" t="b">
        <v>0</v>
      </c>
      <c r="K344" t="b">
        <v>0</v>
      </c>
    </row>
    <row r="345" spans="1:11" x14ac:dyDescent="0.25">
      <c r="A345" t="s">
        <v>203</v>
      </c>
      <c r="B345" t="s">
        <v>204</v>
      </c>
      <c r="C345" t="s">
        <v>465</v>
      </c>
      <c r="D345" t="s">
        <v>478</v>
      </c>
      <c r="E345" s="4">
        <v>9702074</v>
      </c>
      <c r="F345" s="4">
        <v>22981.94</v>
      </c>
      <c r="G345" s="4">
        <v>2298194</v>
      </c>
      <c r="H345" s="4">
        <v>2298.194</v>
      </c>
      <c r="I345" s="4">
        <v>4.221607923439014</v>
      </c>
      <c r="J345" t="b">
        <v>0</v>
      </c>
      <c r="K345" t="b">
        <v>0</v>
      </c>
    </row>
    <row r="346" spans="1:11" x14ac:dyDescent="0.25">
      <c r="A346" t="s">
        <v>203</v>
      </c>
      <c r="B346" t="s">
        <v>204</v>
      </c>
      <c r="C346" t="s">
        <v>467</v>
      </c>
      <c r="D346" t="s">
        <v>468</v>
      </c>
      <c r="E346" s="4">
        <v>15258284</v>
      </c>
      <c r="F346" s="4">
        <v>7955.34</v>
      </c>
      <c r="G346" s="4">
        <v>795534</v>
      </c>
      <c r="H346" s="4">
        <v>795.5340000000001</v>
      </c>
      <c r="I346" s="4">
        <v>19.179926942154577</v>
      </c>
      <c r="J346" t="b">
        <v>0</v>
      </c>
      <c r="K346" t="b">
        <v>0</v>
      </c>
    </row>
    <row r="347" spans="1:11" x14ac:dyDescent="0.25">
      <c r="A347" t="s">
        <v>205</v>
      </c>
      <c r="B347" t="s">
        <v>206</v>
      </c>
      <c r="C347" t="s">
        <v>455</v>
      </c>
      <c r="D347" t="s">
        <v>477</v>
      </c>
      <c r="E347" s="4">
        <v>812095</v>
      </c>
      <c r="F347" s="4">
        <v>1371.26</v>
      </c>
      <c r="G347" s="4">
        <v>137126</v>
      </c>
      <c r="H347" s="4">
        <v>137.126</v>
      </c>
      <c r="I347" s="4">
        <v>5.922253985385703</v>
      </c>
      <c r="J347" t="b">
        <v>0</v>
      </c>
      <c r="K347" t="b">
        <v>0</v>
      </c>
    </row>
    <row r="348" spans="1:11" x14ac:dyDescent="0.25">
      <c r="A348" t="s">
        <v>205</v>
      </c>
      <c r="B348" t="s">
        <v>206</v>
      </c>
      <c r="C348" t="s">
        <v>461</v>
      </c>
      <c r="D348" t="s">
        <v>462</v>
      </c>
      <c r="E348" s="4">
        <v>18297842</v>
      </c>
      <c r="F348" s="4">
        <v>10922.81</v>
      </c>
      <c r="G348" s="4">
        <v>1092281</v>
      </c>
      <c r="H348" s="4">
        <v>1092.281</v>
      </c>
      <c r="I348" s="4">
        <v>16.751954854108053</v>
      </c>
      <c r="J348" t="b">
        <v>0</v>
      </c>
      <c r="K348" t="b">
        <v>0</v>
      </c>
    </row>
    <row r="349" spans="1:11" x14ac:dyDescent="0.25">
      <c r="A349" t="s">
        <v>205</v>
      </c>
      <c r="B349" t="s">
        <v>206</v>
      </c>
      <c r="C349" t="s">
        <v>463</v>
      </c>
      <c r="D349" t="s">
        <v>464</v>
      </c>
      <c r="E349" s="4">
        <v>12329381</v>
      </c>
      <c r="F349" s="4">
        <v>5147.84</v>
      </c>
      <c r="G349" s="4">
        <v>514784</v>
      </c>
      <c r="H349" s="4">
        <v>514.784</v>
      </c>
      <c r="I349" s="4">
        <v>23.950590927456954</v>
      </c>
      <c r="J349" t="b">
        <v>0</v>
      </c>
      <c r="K349" t="b">
        <v>0</v>
      </c>
    </row>
    <row r="350" spans="1:11" x14ac:dyDescent="0.25">
      <c r="A350" t="s">
        <v>205</v>
      </c>
      <c r="B350" t="s">
        <v>206</v>
      </c>
      <c r="C350" t="s">
        <v>465</v>
      </c>
      <c r="D350" t="s">
        <v>478</v>
      </c>
      <c r="E350" s="4">
        <v>8707923</v>
      </c>
      <c r="F350" s="4">
        <v>17630.63</v>
      </c>
      <c r="G350" s="4">
        <v>1763063</v>
      </c>
      <c r="H350" s="4">
        <v>1763.063</v>
      </c>
      <c r="I350" s="4">
        <v>4.939087826129866</v>
      </c>
      <c r="J350" t="b">
        <v>0</v>
      </c>
      <c r="K350" t="b">
        <v>0</v>
      </c>
    </row>
    <row r="351" spans="1:11" x14ac:dyDescent="0.25">
      <c r="A351" t="s">
        <v>205</v>
      </c>
      <c r="B351" t="s">
        <v>206</v>
      </c>
      <c r="C351" t="s">
        <v>467</v>
      </c>
      <c r="D351" t="s">
        <v>468</v>
      </c>
      <c r="E351" s="4">
        <v>8160143</v>
      </c>
      <c r="F351" s="4">
        <v>4466.43</v>
      </c>
      <c r="G351" s="4">
        <v>446643</v>
      </c>
      <c r="H351" s="4">
        <v>446.64300000000003</v>
      </c>
      <c r="I351" s="4">
        <v>18.2699449000656</v>
      </c>
      <c r="J351" t="b">
        <v>0</v>
      </c>
      <c r="K351" t="b">
        <v>0</v>
      </c>
    </row>
    <row r="352" spans="1:11" x14ac:dyDescent="0.25">
      <c r="A352" t="s">
        <v>207</v>
      </c>
      <c r="B352" t="s">
        <v>208</v>
      </c>
      <c r="C352" t="s">
        <v>455</v>
      </c>
      <c r="D352" t="s">
        <v>477</v>
      </c>
      <c r="E352" s="4">
        <v>1045756</v>
      </c>
      <c r="F352" s="4">
        <v>1687.94</v>
      </c>
      <c r="G352" s="4">
        <v>168794</v>
      </c>
      <c r="H352" s="4">
        <v>168.794</v>
      </c>
      <c r="I352" s="4">
        <v>6.195457184497079</v>
      </c>
      <c r="J352" t="b">
        <v>0</v>
      </c>
      <c r="K352" t="b">
        <v>0</v>
      </c>
    </row>
    <row r="353" spans="1:11" x14ac:dyDescent="0.25">
      <c r="A353" t="s">
        <v>207</v>
      </c>
      <c r="B353" t="s">
        <v>208</v>
      </c>
      <c r="C353" t="s">
        <v>461</v>
      </c>
      <c r="D353" t="s">
        <v>462</v>
      </c>
      <c r="E353" s="4">
        <v>21572026</v>
      </c>
      <c r="F353" s="4">
        <v>12511.29</v>
      </c>
      <c r="G353" s="4">
        <v>1251129</v>
      </c>
      <c r="H353" s="4">
        <v>1251.1290000000001</v>
      </c>
      <c r="I353" s="4">
        <v>17.2420477824429</v>
      </c>
      <c r="J353" t="b">
        <v>0</v>
      </c>
      <c r="K353" t="b">
        <v>0</v>
      </c>
    </row>
    <row r="354" spans="1:11" x14ac:dyDescent="0.25">
      <c r="A354" t="s">
        <v>207</v>
      </c>
      <c r="B354" t="s">
        <v>208</v>
      </c>
      <c r="C354" t="s">
        <v>463</v>
      </c>
      <c r="D354" t="s">
        <v>464</v>
      </c>
      <c r="E354" s="4">
        <v>15000037</v>
      </c>
      <c r="F354" s="4">
        <v>5980.65</v>
      </c>
      <c r="G354" s="4">
        <v>598065</v>
      </c>
      <c r="H354" s="4">
        <v>598.0649999999999</v>
      </c>
      <c r="I354" s="4">
        <v>25.080947723073578</v>
      </c>
      <c r="J354" t="b">
        <v>0</v>
      </c>
      <c r="K354" t="b">
        <v>0</v>
      </c>
    </row>
    <row r="355" spans="1:11" x14ac:dyDescent="0.25">
      <c r="A355" t="s">
        <v>207</v>
      </c>
      <c r="B355" t="s">
        <v>208</v>
      </c>
      <c r="C355" t="s">
        <v>465</v>
      </c>
      <c r="D355" t="s">
        <v>478</v>
      </c>
      <c r="E355" s="4">
        <v>8206023</v>
      </c>
      <c r="F355" s="4">
        <v>18528.74</v>
      </c>
      <c r="G355" s="4">
        <v>1852874.0000000002</v>
      </c>
      <c r="H355" s="4">
        <v>1852.8740000000003</v>
      </c>
      <c r="I355" s="4">
        <v>4.4288078951941685</v>
      </c>
      <c r="J355" t="b">
        <v>0</v>
      </c>
      <c r="K355" t="b">
        <v>0</v>
      </c>
    </row>
    <row r="356" spans="1:11" x14ac:dyDescent="0.25">
      <c r="A356" t="s">
        <v>207</v>
      </c>
      <c r="B356" t="s">
        <v>208</v>
      </c>
      <c r="C356" t="s">
        <v>467</v>
      </c>
      <c r="D356" t="s">
        <v>468</v>
      </c>
      <c r="E356" s="4">
        <v>8394372</v>
      </c>
      <c r="F356" s="4">
        <v>4582.72</v>
      </c>
      <c r="G356" s="4">
        <v>458272</v>
      </c>
      <c r="H356" s="4">
        <v>458.27200000000005</v>
      </c>
      <c r="I356" s="4">
        <v>18.317444661685638</v>
      </c>
      <c r="J356" t="b">
        <v>0</v>
      </c>
      <c r="K356" t="b">
        <v>0</v>
      </c>
    </row>
    <row r="357" spans="1:11" x14ac:dyDescent="0.25">
      <c r="A357" t="s">
        <v>209</v>
      </c>
      <c r="B357" t="s">
        <v>210</v>
      </c>
      <c r="C357" t="s">
        <v>455</v>
      </c>
      <c r="D357" t="s">
        <v>477</v>
      </c>
      <c r="E357" s="4">
        <v>847222</v>
      </c>
      <c r="F357" s="4">
        <v>1923.71</v>
      </c>
      <c r="G357" s="4">
        <v>192371</v>
      </c>
      <c r="H357" s="4">
        <v>192.371</v>
      </c>
      <c r="I357" s="4">
        <v>4.404104568775959</v>
      </c>
      <c r="J357" t="b">
        <v>0</v>
      </c>
      <c r="K357" t="b">
        <v>0</v>
      </c>
    </row>
    <row r="358" spans="1:11" x14ac:dyDescent="0.25">
      <c r="A358" t="s">
        <v>209</v>
      </c>
      <c r="B358" t="s">
        <v>210</v>
      </c>
      <c r="C358" t="s">
        <v>461</v>
      </c>
      <c r="D358" t="s">
        <v>462</v>
      </c>
      <c r="E358" s="4">
        <v>25383301</v>
      </c>
      <c r="F358" s="4">
        <v>14255.03</v>
      </c>
      <c r="G358" s="4">
        <v>1425503</v>
      </c>
      <c r="H358" s="4">
        <v>1425.5030000000002</v>
      </c>
      <c r="I358" s="4">
        <v>17.806557404649446</v>
      </c>
      <c r="J358" t="b">
        <v>0</v>
      </c>
      <c r="K358" t="b">
        <v>0</v>
      </c>
    </row>
    <row r="359" spans="1:11" x14ac:dyDescent="0.25">
      <c r="A359" t="s">
        <v>209</v>
      </c>
      <c r="B359" t="s">
        <v>210</v>
      </c>
      <c r="C359" t="s">
        <v>463</v>
      </c>
      <c r="D359" t="s">
        <v>464</v>
      </c>
      <c r="E359" s="4">
        <v>24298007</v>
      </c>
      <c r="F359" s="4">
        <v>8998.39</v>
      </c>
      <c r="G359" s="4">
        <v>899839</v>
      </c>
      <c r="H359" s="4">
        <v>899.8389999999999</v>
      </c>
      <c r="I359" s="4">
        <v>27.002616023533097</v>
      </c>
      <c r="J359" t="b">
        <v>0</v>
      </c>
      <c r="K359" t="b">
        <v>0</v>
      </c>
    </row>
    <row r="360" spans="1:11" x14ac:dyDescent="0.25">
      <c r="A360" t="s">
        <v>209</v>
      </c>
      <c r="B360" t="s">
        <v>210</v>
      </c>
      <c r="C360" t="s">
        <v>465</v>
      </c>
      <c r="D360" t="s">
        <v>478</v>
      </c>
      <c r="E360" s="4">
        <v>8212267</v>
      </c>
      <c r="F360" s="4">
        <v>17960.48</v>
      </c>
      <c r="G360" s="4">
        <v>1796048</v>
      </c>
      <c r="H360" s="4">
        <v>1796.048</v>
      </c>
      <c r="I360" s="4">
        <v>4.572409534711767</v>
      </c>
      <c r="J360" t="b">
        <v>0</v>
      </c>
      <c r="K360" t="b">
        <v>0</v>
      </c>
    </row>
    <row r="361" spans="1:11" x14ac:dyDescent="0.25">
      <c r="A361" t="s">
        <v>209</v>
      </c>
      <c r="B361" t="s">
        <v>210</v>
      </c>
      <c r="C361" t="s">
        <v>467</v>
      </c>
      <c r="D361" t="s">
        <v>468</v>
      </c>
      <c r="E361" s="4">
        <v>9841326</v>
      </c>
      <c r="F361" s="4">
        <v>5458.12</v>
      </c>
      <c r="G361" s="4">
        <v>545812</v>
      </c>
      <c r="H361" s="4">
        <v>545.812</v>
      </c>
      <c r="I361" s="4">
        <v>18.03061493701128</v>
      </c>
      <c r="J361" t="b">
        <v>0</v>
      </c>
      <c r="K361" t="b">
        <v>0</v>
      </c>
    </row>
    <row r="362" spans="1:11" x14ac:dyDescent="0.25">
      <c r="A362" t="s">
        <v>211</v>
      </c>
      <c r="B362" t="s">
        <v>212</v>
      </c>
      <c r="C362" t="s">
        <v>455</v>
      </c>
      <c r="D362" t="s">
        <v>477</v>
      </c>
      <c r="E362" s="4">
        <v>770936</v>
      </c>
      <c r="F362" s="4">
        <v>1688.57</v>
      </c>
      <c r="G362" s="4">
        <v>168857</v>
      </c>
      <c r="H362" s="4">
        <v>168.857</v>
      </c>
      <c r="I362" s="4">
        <v>4.5656146917213976</v>
      </c>
      <c r="J362" t="b">
        <v>0</v>
      </c>
      <c r="K362" t="b">
        <v>0</v>
      </c>
    </row>
    <row r="363" spans="1:11" x14ac:dyDescent="0.25">
      <c r="A363" t="s">
        <v>211</v>
      </c>
      <c r="B363" t="s">
        <v>212</v>
      </c>
      <c r="C363" t="s">
        <v>461</v>
      </c>
      <c r="D363" t="s">
        <v>462</v>
      </c>
      <c r="E363" s="4">
        <v>26153482</v>
      </c>
      <c r="F363" s="4">
        <v>13642.33</v>
      </c>
      <c r="G363" s="4">
        <v>1364233</v>
      </c>
      <c r="H363" s="4">
        <v>1364.2330000000002</v>
      </c>
      <c r="I363" s="4">
        <v>19.170832255193943</v>
      </c>
      <c r="J363" t="b">
        <v>0</v>
      </c>
      <c r="K363" t="b">
        <v>0</v>
      </c>
    </row>
    <row r="364" spans="1:11" x14ac:dyDescent="0.25">
      <c r="A364" t="s">
        <v>211</v>
      </c>
      <c r="B364" t="s">
        <v>212</v>
      </c>
      <c r="C364" t="s">
        <v>463</v>
      </c>
      <c r="D364" t="s">
        <v>464</v>
      </c>
      <c r="E364" s="4">
        <v>31768646</v>
      </c>
      <c r="F364" s="4">
        <v>10564.26</v>
      </c>
      <c r="G364" s="4">
        <v>1056426</v>
      </c>
      <c r="H364" s="4">
        <v>1056.4260000000002</v>
      </c>
      <c r="I364" s="4">
        <v>30.071813832677346</v>
      </c>
      <c r="J364" t="b">
        <v>0</v>
      </c>
      <c r="K364" t="b">
        <v>0</v>
      </c>
    </row>
    <row r="365" spans="1:11" x14ac:dyDescent="0.25">
      <c r="A365" t="s">
        <v>211</v>
      </c>
      <c r="B365" t="s">
        <v>212</v>
      </c>
      <c r="C365" t="s">
        <v>465</v>
      </c>
      <c r="D365" t="s">
        <v>478</v>
      </c>
      <c r="E365" s="4">
        <v>9481996</v>
      </c>
      <c r="F365" s="4">
        <v>20030.32</v>
      </c>
      <c r="G365" s="4">
        <v>2003032</v>
      </c>
      <c r="H365" s="4">
        <v>2003.0320000000002</v>
      </c>
      <c r="I365" s="4">
        <v>4.733821526565726</v>
      </c>
      <c r="J365" t="b">
        <v>0</v>
      </c>
      <c r="K365" t="b">
        <v>0</v>
      </c>
    </row>
    <row r="366" spans="1:11" x14ac:dyDescent="0.25">
      <c r="A366" t="s">
        <v>211</v>
      </c>
      <c r="B366" t="s">
        <v>212</v>
      </c>
      <c r="C366" t="s">
        <v>467</v>
      </c>
      <c r="D366" t="s">
        <v>468</v>
      </c>
      <c r="E366" s="4">
        <v>13222585</v>
      </c>
      <c r="F366" s="4">
        <v>6068.97</v>
      </c>
      <c r="G366" s="4">
        <v>606897</v>
      </c>
      <c r="H366" s="4">
        <v>606.897</v>
      </c>
      <c r="I366" s="4">
        <v>21.787197827637968</v>
      </c>
      <c r="J366" t="b">
        <v>0</v>
      </c>
      <c r="K366" t="b">
        <v>0</v>
      </c>
    </row>
    <row r="367" spans="1:11" x14ac:dyDescent="0.25">
      <c r="A367" t="s">
        <v>213</v>
      </c>
      <c r="B367" t="s">
        <v>214</v>
      </c>
      <c r="C367" t="s">
        <v>455</v>
      </c>
      <c r="D367" t="s">
        <v>477</v>
      </c>
      <c r="E367" s="4">
        <v>639678</v>
      </c>
      <c r="F367" s="4">
        <v>1328.97</v>
      </c>
      <c r="G367" s="4">
        <v>132897</v>
      </c>
      <c r="H367" s="4">
        <v>132.89700000000002</v>
      </c>
      <c r="I367" s="4">
        <v>4.81333664416804</v>
      </c>
      <c r="J367" t="b">
        <v>0</v>
      </c>
      <c r="K367" t="b">
        <v>0</v>
      </c>
    </row>
    <row r="368" spans="1:11" x14ac:dyDescent="0.25">
      <c r="A368" t="s">
        <v>213</v>
      </c>
      <c r="B368" t="s">
        <v>214</v>
      </c>
      <c r="C368" t="s">
        <v>461</v>
      </c>
      <c r="D368" t="s">
        <v>462</v>
      </c>
      <c r="E368" s="4">
        <v>27900569</v>
      </c>
      <c r="F368" s="4">
        <v>14448.88</v>
      </c>
      <c r="G368" s="4">
        <v>1444888</v>
      </c>
      <c r="H368" s="4">
        <v>1444.888</v>
      </c>
      <c r="I368" s="4">
        <v>19.309848929467197</v>
      </c>
      <c r="J368" t="b">
        <v>0</v>
      </c>
      <c r="K368" t="b">
        <v>0</v>
      </c>
    </row>
    <row r="369" spans="1:11" x14ac:dyDescent="0.25">
      <c r="A369" t="s">
        <v>213</v>
      </c>
      <c r="B369" t="s">
        <v>214</v>
      </c>
      <c r="C369" t="s">
        <v>463</v>
      </c>
      <c r="D369" t="s">
        <v>464</v>
      </c>
      <c r="E369" s="4">
        <v>35094596</v>
      </c>
      <c r="F369" s="4">
        <v>11005.78</v>
      </c>
      <c r="G369" s="4">
        <v>1100578</v>
      </c>
      <c r="H369" s="4">
        <v>1100.5780000000002</v>
      </c>
      <c r="I369" s="4">
        <v>31.887422790570046</v>
      </c>
      <c r="J369" t="b">
        <v>0</v>
      </c>
      <c r="K369" t="b">
        <v>0</v>
      </c>
    </row>
    <row r="370" spans="1:11" x14ac:dyDescent="0.25">
      <c r="A370" t="s">
        <v>213</v>
      </c>
      <c r="B370" t="s">
        <v>214</v>
      </c>
      <c r="C370" t="s">
        <v>465</v>
      </c>
      <c r="D370" t="s">
        <v>478</v>
      </c>
      <c r="E370" s="4">
        <v>8393683</v>
      </c>
      <c r="F370" s="4">
        <v>17600.64</v>
      </c>
      <c r="G370" s="4">
        <v>1760064</v>
      </c>
      <c r="H370" s="4">
        <v>1760.064</v>
      </c>
      <c r="I370" s="4">
        <v>4.768964651285407</v>
      </c>
      <c r="J370" t="b">
        <v>0</v>
      </c>
      <c r="K370" t="b">
        <v>0</v>
      </c>
    </row>
    <row r="371" spans="1:11" x14ac:dyDescent="0.25">
      <c r="A371" t="s">
        <v>213</v>
      </c>
      <c r="B371" t="s">
        <v>214</v>
      </c>
      <c r="C371" t="s">
        <v>467</v>
      </c>
      <c r="D371" t="s">
        <v>468</v>
      </c>
      <c r="E371" s="4">
        <v>19304303</v>
      </c>
      <c r="F371" s="4">
        <v>9077.79</v>
      </c>
      <c r="G371" s="4">
        <v>907779.0000000001</v>
      </c>
      <c r="H371" s="4">
        <v>907.7790000000001</v>
      </c>
      <c r="I371" s="4">
        <v>21.265421429665146</v>
      </c>
      <c r="J371" t="b">
        <v>0</v>
      </c>
      <c r="K371" t="b">
        <v>0</v>
      </c>
    </row>
    <row r="372" spans="1:11" x14ac:dyDescent="0.25">
      <c r="A372" t="s">
        <v>215</v>
      </c>
      <c r="B372" t="s">
        <v>216</v>
      </c>
      <c r="C372" t="s">
        <v>455</v>
      </c>
      <c r="D372" t="s">
        <v>477</v>
      </c>
      <c r="E372" s="4">
        <v>886099</v>
      </c>
      <c r="F372" s="4">
        <v>1809.22</v>
      </c>
      <c r="G372" s="4">
        <v>180922</v>
      </c>
      <c r="H372" s="4">
        <v>180.92200000000003</v>
      </c>
      <c r="I372" s="4">
        <v>4.897685190303004</v>
      </c>
      <c r="J372" t="b">
        <v>0</v>
      </c>
      <c r="K372" t="b">
        <v>0</v>
      </c>
    </row>
    <row r="373" spans="1:11" x14ac:dyDescent="0.25">
      <c r="A373" t="s">
        <v>215</v>
      </c>
      <c r="B373" t="s">
        <v>216</v>
      </c>
      <c r="C373" t="s">
        <v>461</v>
      </c>
      <c r="D373" t="s">
        <v>462</v>
      </c>
      <c r="E373" s="4">
        <v>34200510</v>
      </c>
      <c r="F373" s="4">
        <v>17570.13</v>
      </c>
      <c r="G373" s="4">
        <v>1757013</v>
      </c>
      <c r="H373" s="4">
        <v>1757.0130000000001</v>
      </c>
      <c r="I373" s="4">
        <v>19.465143399621972</v>
      </c>
      <c r="J373" t="b">
        <v>0</v>
      </c>
      <c r="K373" t="b">
        <v>0</v>
      </c>
    </row>
    <row r="374" spans="1:11" x14ac:dyDescent="0.25">
      <c r="A374" t="s">
        <v>215</v>
      </c>
      <c r="B374" t="s">
        <v>216</v>
      </c>
      <c r="C374" t="s">
        <v>463</v>
      </c>
      <c r="D374" t="s">
        <v>464</v>
      </c>
      <c r="E374" s="4">
        <v>44417082</v>
      </c>
      <c r="F374" s="4">
        <v>14705.56</v>
      </c>
      <c r="G374" s="4">
        <v>1470556</v>
      </c>
      <c r="H374" s="4">
        <v>1470.556</v>
      </c>
      <c r="I374" s="4">
        <v>30.204277837770203</v>
      </c>
      <c r="J374" t="b">
        <v>0</v>
      </c>
      <c r="K374" t="b">
        <v>0</v>
      </c>
    </row>
    <row r="375" spans="1:11" x14ac:dyDescent="0.25">
      <c r="A375" t="s">
        <v>215</v>
      </c>
      <c r="B375" t="s">
        <v>216</v>
      </c>
      <c r="C375" t="s">
        <v>465</v>
      </c>
      <c r="D375" t="s">
        <v>478</v>
      </c>
      <c r="E375" s="4">
        <v>11467584</v>
      </c>
      <c r="F375" s="4">
        <v>26391.3</v>
      </c>
      <c r="G375" s="4">
        <v>2639130</v>
      </c>
      <c r="H375" s="4">
        <v>2639.13</v>
      </c>
      <c r="I375" s="4">
        <v>4.34521376362665</v>
      </c>
      <c r="J375" t="b">
        <v>0</v>
      </c>
      <c r="K375" t="b">
        <v>0</v>
      </c>
    </row>
    <row r="376" spans="1:11" x14ac:dyDescent="0.25">
      <c r="A376" t="s">
        <v>215</v>
      </c>
      <c r="B376" t="s">
        <v>216</v>
      </c>
      <c r="C376" t="s">
        <v>467</v>
      </c>
      <c r="D376" t="s">
        <v>468</v>
      </c>
      <c r="E376" s="4">
        <v>17153217</v>
      </c>
      <c r="F376" s="4">
        <v>8575.55</v>
      </c>
      <c r="G376" s="4">
        <v>857554.9999999999</v>
      </c>
      <c r="H376" s="4">
        <v>857.555</v>
      </c>
      <c r="I376" s="4">
        <v>20.002468646325894</v>
      </c>
      <c r="J376" t="b">
        <v>0</v>
      </c>
      <c r="K376" t="b">
        <v>0</v>
      </c>
    </row>
    <row r="377" spans="1:11" x14ac:dyDescent="0.25">
      <c r="A377" t="s">
        <v>217</v>
      </c>
      <c r="B377" t="s">
        <v>218</v>
      </c>
      <c r="C377" t="s">
        <v>455</v>
      </c>
      <c r="D377" t="s">
        <v>477</v>
      </c>
      <c r="E377" s="4">
        <v>560969</v>
      </c>
      <c r="F377" s="4">
        <v>1708.73</v>
      </c>
      <c r="G377" s="4">
        <v>170873</v>
      </c>
      <c r="H377" s="4">
        <v>170.87300000000002</v>
      </c>
      <c r="I377" s="4">
        <v>3.282958688616692</v>
      </c>
      <c r="J377" t="b">
        <v>0</v>
      </c>
      <c r="K377" t="b">
        <v>0</v>
      </c>
    </row>
    <row r="378" spans="1:11" x14ac:dyDescent="0.25">
      <c r="A378" t="s">
        <v>217</v>
      </c>
      <c r="B378" t="s">
        <v>218</v>
      </c>
      <c r="C378" t="s">
        <v>461</v>
      </c>
      <c r="D378" t="s">
        <v>462</v>
      </c>
      <c r="E378" s="4">
        <v>28212026</v>
      </c>
      <c r="F378" s="4">
        <v>14566.39</v>
      </c>
      <c r="G378" s="4">
        <v>1456639</v>
      </c>
      <c r="H378" s="4">
        <v>1456.6390000000001</v>
      </c>
      <c r="I378" s="4">
        <v>19.367891426770807</v>
      </c>
      <c r="J378" t="b">
        <v>0</v>
      </c>
      <c r="K378" t="b">
        <v>0</v>
      </c>
    </row>
    <row r="379" spans="1:11" x14ac:dyDescent="0.25">
      <c r="A379" t="s">
        <v>217</v>
      </c>
      <c r="B379" t="s">
        <v>218</v>
      </c>
      <c r="C379" t="s">
        <v>463</v>
      </c>
      <c r="D379" t="s">
        <v>464</v>
      </c>
      <c r="E379" s="4">
        <v>34140407</v>
      </c>
      <c r="F379" s="4">
        <v>12255.63</v>
      </c>
      <c r="G379" s="4">
        <v>1225563</v>
      </c>
      <c r="H379" s="4">
        <v>1225.5629999999999</v>
      </c>
      <c r="I379" s="4">
        <v>27.85691718826368</v>
      </c>
      <c r="J379" t="b">
        <v>0</v>
      </c>
      <c r="K379" t="b">
        <v>0</v>
      </c>
    </row>
    <row r="380" spans="1:11" x14ac:dyDescent="0.25">
      <c r="A380" t="s">
        <v>217</v>
      </c>
      <c r="B380" t="s">
        <v>218</v>
      </c>
      <c r="C380" t="s">
        <v>465</v>
      </c>
      <c r="D380" t="s">
        <v>478</v>
      </c>
      <c r="E380" s="4">
        <v>8980068</v>
      </c>
      <c r="F380" s="4">
        <v>21681.82</v>
      </c>
      <c r="G380" s="4">
        <v>2168182</v>
      </c>
      <c r="H380" s="4">
        <v>2168.1820000000002</v>
      </c>
      <c r="I380" s="4">
        <v>4.141750092935003</v>
      </c>
      <c r="J380" t="b">
        <v>0</v>
      </c>
      <c r="K380" t="b">
        <v>0</v>
      </c>
    </row>
    <row r="381" spans="1:11" x14ac:dyDescent="0.25">
      <c r="A381" t="s">
        <v>217</v>
      </c>
      <c r="B381" t="s">
        <v>218</v>
      </c>
      <c r="C381" t="s">
        <v>467</v>
      </c>
      <c r="D381" t="s">
        <v>468</v>
      </c>
      <c r="E381" s="4">
        <v>12824456</v>
      </c>
      <c r="F381" s="4">
        <v>6570.81</v>
      </c>
      <c r="G381" s="4">
        <v>657081</v>
      </c>
      <c r="H381" s="4">
        <v>657.0810000000001</v>
      </c>
      <c r="I381" s="4">
        <v>19.517313694963025</v>
      </c>
      <c r="J381" t="b">
        <v>0</v>
      </c>
      <c r="K381" t="b">
        <v>0</v>
      </c>
    </row>
    <row r="382" spans="1:11" x14ac:dyDescent="0.25">
      <c r="A382" t="s">
        <v>219</v>
      </c>
      <c r="B382" t="s">
        <v>220</v>
      </c>
      <c r="C382" t="s">
        <v>455</v>
      </c>
      <c r="D382" t="s">
        <v>477</v>
      </c>
      <c r="E382" s="4">
        <v>785194</v>
      </c>
      <c r="F382" s="4">
        <v>1727.4</v>
      </c>
      <c r="G382" s="4">
        <v>172740</v>
      </c>
      <c r="H382" s="4">
        <v>172.74</v>
      </c>
      <c r="I382" s="4">
        <v>4.545525066574042</v>
      </c>
      <c r="J382" t="b">
        <v>0</v>
      </c>
      <c r="K382" t="b">
        <v>0</v>
      </c>
    </row>
    <row r="383" spans="1:11" x14ac:dyDescent="0.25">
      <c r="A383" t="s">
        <v>219</v>
      </c>
      <c r="B383" t="s">
        <v>220</v>
      </c>
      <c r="C383" t="s">
        <v>461</v>
      </c>
      <c r="D383" t="s">
        <v>462</v>
      </c>
      <c r="E383" s="4">
        <v>28954173</v>
      </c>
      <c r="F383" s="4">
        <v>14953.08</v>
      </c>
      <c r="G383" s="4">
        <v>1495308</v>
      </c>
      <c r="H383" s="4">
        <v>1495.308</v>
      </c>
      <c r="I383" s="4">
        <v>19.36335056055341</v>
      </c>
      <c r="J383" t="b">
        <v>0</v>
      </c>
      <c r="K383" t="b">
        <v>0</v>
      </c>
    </row>
    <row r="384" spans="1:11" x14ac:dyDescent="0.25">
      <c r="A384" t="s">
        <v>219</v>
      </c>
      <c r="B384" t="s">
        <v>220</v>
      </c>
      <c r="C384" t="s">
        <v>463</v>
      </c>
      <c r="D384" t="s">
        <v>464</v>
      </c>
      <c r="E384" s="4">
        <v>29554764</v>
      </c>
      <c r="F384" s="4">
        <v>10469.66</v>
      </c>
      <c r="G384" s="4">
        <v>1046966</v>
      </c>
      <c r="H384" s="4">
        <v>1046.9660000000001</v>
      </c>
      <c r="I384" s="4">
        <v>28.228962545106526</v>
      </c>
      <c r="J384" t="b">
        <v>0</v>
      </c>
      <c r="K384" t="b">
        <v>0</v>
      </c>
    </row>
    <row r="385" spans="1:11" x14ac:dyDescent="0.25">
      <c r="A385" t="s">
        <v>219</v>
      </c>
      <c r="B385" t="s">
        <v>220</v>
      </c>
      <c r="C385" t="s">
        <v>465</v>
      </c>
      <c r="D385" t="s">
        <v>478</v>
      </c>
      <c r="E385" s="4">
        <v>10340767</v>
      </c>
      <c r="F385" s="4">
        <v>24541.68</v>
      </c>
      <c r="G385" s="4">
        <v>2454168</v>
      </c>
      <c r="H385" s="4">
        <v>2454.168</v>
      </c>
      <c r="I385" s="4">
        <v>4.213553024894791</v>
      </c>
      <c r="J385" t="b">
        <v>0</v>
      </c>
      <c r="K385" t="b">
        <v>0</v>
      </c>
    </row>
    <row r="386" spans="1:11" x14ac:dyDescent="0.25">
      <c r="A386" t="s">
        <v>219</v>
      </c>
      <c r="B386" t="s">
        <v>220</v>
      </c>
      <c r="C386" t="s">
        <v>467</v>
      </c>
      <c r="D386" t="s">
        <v>468</v>
      </c>
      <c r="E386" s="4">
        <v>12045460</v>
      </c>
      <c r="F386" s="4">
        <v>6421.51</v>
      </c>
      <c r="G386" s="4">
        <v>642151</v>
      </c>
      <c r="H386" s="4">
        <v>642.1510000000001</v>
      </c>
      <c r="I386" s="4">
        <v>18.75798682864311</v>
      </c>
      <c r="J386" t="b">
        <v>0</v>
      </c>
      <c r="K386" t="b">
        <v>0</v>
      </c>
    </row>
    <row r="387" spans="1:11" x14ac:dyDescent="0.25">
      <c r="A387" t="s">
        <v>221</v>
      </c>
      <c r="B387" t="s">
        <v>222</v>
      </c>
      <c r="C387" t="s">
        <v>455</v>
      </c>
      <c r="D387" t="s">
        <v>477</v>
      </c>
      <c r="E387" s="4">
        <v>864482</v>
      </c>
      <c r="F387" s="4">
        <v>2340.12</v>
      </c>
      <c r="G387" s="4">
        <v>234012</v>
      </c>
      <c r="H387" s="4">
        <v>234.012</v>
      </c>
      <c r="I387" s="4">
        <v>3.6941780763379657</v>
      </c>
      <c r="J387" t="b">
        <v>0</v>
      </c>
      <c r="K387" t="b">
        <v>0</v>
      </c>
    </row>
    <row r="388" spans="1:11" x14ac:dyDescent="0.25">
      <c r="A388" t="s">
        <v>221</v>
      </c>
      <c r="B388" t="s">
        <v>222</v>
      </c>
      <c r="C388" t="s">
        <v>461</v>
      </c>
      <c r="D388" t="s">
        <v>462</v>
      </c>
      <c r="E388" s="4">
        <v>35352870</v>
      </c>
      <c r="F388" s="4">
        <v>19665.19</v>
      </c>
      <c r="G388" s="4">
        <v>1966518.9999999998</v>
      </c>
      <c r="H388" s="4">
        <v>1966.519</v>
      </c>
      <c r="I388" s="4">
        <v>17.97738542063413</v>
      </c>
      <c r="J388" t="b">
        <v>0</v>
      </c>
      <c r="K388" t="b">
        <v>0</v>
      </c>
    </row>
    <row r="389" spans="1:11" x14ac:dyDescent="0.25">
      <c r="A389" t="s">
        <v>221</v>
      </c>
      <c r="B389" t="s">
        <v>222</v>
      </c>
      <c r="C389" t="s">
        <v>463</v>
      </c>
      <c r="D389" t="s">
        <v>464</v>
      </c>
      <c r="E389" s="4">
        <v>34592981</v>
      </c>
      <c r="F389" s="4">
        <v>12687.74</v>
      </c>
      <c r="G389" s="4">
        <v>1268774</v>
      </c>
      <c r="H389" s="4">
        <v>1268.7740000000001</v>
      </c>
      <c r="I389" s="4">
        <v>27.264887994236958</v>
      </c>
      <c r="J389" t="b">
        <v>0</v>
      </c>
      <c r="K389" t="b">
        <v>0</v>
      </c>
    </row>
    <row r="390" spans="1:11" x14ac:dyDescent="0.25">
      <c r="A390" t="s">
        <v>221</v>
      </c>
      <c r="B390" t="s">
        <v>222</v>
      </c>
      <c r="C390" t="s">
        <v>465</v>
      </c>
      <c r="D390" t="s">
        <v>478</v>
      </c>
      <c r="E390" s="4">
        <v>10000886</v>
      </c>
      <c r="F390" s="4">
        <v>24013.07</v>
      </c>
      <c r="G390" s="4">
        <v>2401307</v>
      </c>
      <c r="H390" s="4">
        <v>2401.3070000000002</v>
      </c>
      <c r="I390" s="4">
        <v>4.164767770218469</v>
      </c>
      <c r="J390" t="b">
        <v>0</v>
      </c>
      <c r="K390" t="b">
        <v>0</v>
      </c>
    </row>
    <row r="391" spans="1:11" x14ac:dyDescent="0.25">
      <c r="A391" t="s">
        <v>221</v>
      </c>
      <c r="B391" t="s">
        <v>222</v>
      </c>
      <c r="C391" t="s">
        <v>467</v>
      </c>
      <c r="D391" t="s">
        <v>468</v>
      </c>
      <c r="E391" s="4">
        <v>13782501</v>
      </c>
      <c r="F391" s="4">
        <v>6548.23</v>
      </c>
      <c r="G391" s="4">
        <v>654823</v>
      </c>
      <c r="H391" s="4">
        <v>654.823</v>
      </c>
      <c r="I391" s="4">
        <v>21.04767395158692</v>
      </c>
      <c r="J391" t="b">
        <v>0</v>
      </c>
      <c r="K391" t="b">
        <v>0</v>
      </c>
    </row>
    <row r="392" spans="1:11" x14ac:dyDescent="0.25">
      <c r="A392" t="s">
        <v>223</v>
      </c>
      <c r="B392" t="s">
        <v>224</v>
      </c>
      <c r="C392" t="s">
        <v>455</v>
      </c>
      <c r="D392" t="s">
        <v>477</v>
      </c>
      <c r="E392" s="4">
        <v>675371</v>
      </c>
      <c r="F392" s="4">
        <v>1651.35</v>
      </c>
      <c r="G392" s="4">
        <v>165135</v>
      </c>
      <c r="H392" s="4">
        <v>165.135</v>
      </c>
      <c r="I392" s="4">
        <v>4.089811366457747</v>
      </c>
      <c r="J392" t="b">
        <v>0</v>
      </c>
      <c r="K392" t="b">
        <v>0</v>
      </c>
    </row>
    <row r="393" spans="1:11" x14ac:dyDescent="0.25">
      <c r="A393" t="s">
        <v>223</v>
      </c>
      <c r="B393" t="s">
        <v>224</v>
      </c>
      <c r="C393" t="s">
        <v>461</v>
      </c>
      <c r="D393" t="s">
        <v>462</v>
      </c>
      <c r="E393" s="4">
        <v>32958798</v>
      </c>
      <c r="F393" s="4">
        <v>18265.26</v>
      </c>
      <c r="G393" s="4">
        <v>1826525.9999999998</v>
      </c>
      <c r="H393" s="4">
        <v>1826.5259999999998</v>
      </c>
      <c r="I393" s="4">
        <v>18.044527151543424</v>
      </c>
      <c r="J393" t="b">
        <v>0</v>
      </c>
      <c r="K393" t="b">
        <v>0</v>
      </c>
    </row>
    <row r="394" spans="1:11" x14ac:dyDescent="0.25">
      <c r="A394" t="s">
        <v>223</v>
      </c>
      <c r="B394" t="s">
        <v>224</v>
      </c>
      <c r="C394" t="s">
        <v>463</v>
      </c>
      <c r="D394" t="s">
        <v>464</v>
      </c>
      <c r="E394" s="4">
        <v>27669325</v>
      </c>
      <c r="F394" s="4">
        <v>10026.53</v>
      </c>
      <c r="G394" s="4">
        <v>1002653.0000000001</v>
      </c>
      <c r="H394" s="4">
        <v>1002.6530000000001</v>
      </c>
      <c r="I394" s="4">
        <v>27.596112513501676</v>
      </c>
      <c r="J394" t="b">
        <v>0</v>
      </c>
      <c r="K394" t="b">
        <v>0</v>
      </c>
    </row>
    <row r="395" spans="1:11" x14ac:dyDescent="0.25">
      <c r="A395" t="s">
        <v>223</v>
      </c>
      <c r="B395" t="s">
        <v>224</v>
      </c>
      <c r="C395" t="s">
        <v>465</v>
      </c>
      <c r="D395" t="s">
        <v>478</v>
      </c>
      <c r="E395" s="4">
        <v>8230311</v>
      </c>
      <c r="F395" s="4">
        <v>20363.48</v>
      </c>
      <c r="G395" s="4">
        <v>2036348</v>
      </c>
      <c r="H395" s="4">
        <v>2036.348</v>
      </c>
      <c r="I395" s="4">
        <v>4.041701614851686</v>
      </c>
      <c r="J395" t="b">
        <v>0</v>
      </c>
      <c r="K395" t="b">
        <v>0</v>
      </c>
    </row>
    <row r="396" spans="1:11" x14ac:dyDescent="0.25">
      <c r="A396" t="s">
        <v>223</v>
      </c>
      <c r="B396" t="s">
        <v>224</v>
      </c>
      <c r="C396" t="s">
        <v>467</v>
      </c>
      <c r="D396" t="s">
        <v>468</v>
      </c>
      <c r="E396" s="4">
        <v>16154795</v>
      </c>
      <c r="F396" s="4">
        <v>8333.07</v>
      </c>
      <c r="G396" s="4">
        <v>833307</v>
      </c>
      <c r="H396" s="4">
        <v>833.307</v>
      </c>
      <c r="I396" s="4">
        <v>19.38636660918485</v>
      </c>
      <c r="J396" t="b">
        <v>0</v>
      </c>
      <c r="K396" t="b">
        <v>0</v>
      </c>
    </row>
    <row r="397" spans="1:11" x14ac:dyDescent="0.25">
      <c r="A397" t="s">
        <v>225</v>
      </c>
      <c r="B397" t="s">
        <v>226</v>
      </c>
      <c r="C397" t="s">
        <v>455</v>
      </c>
      <c r="D397" t="s">
        <v>477</v>
      </c>
      <c r="E397" s="4">
        <v>414948</v>
      </c>
      <c r="F397" s="4">
        <v>1023.05</v>
      </c>
      <c r="G397" s="4">
        <v>102305</v>
      </c>
      <c r="H397" s="4">
        <v>102.305</v>
      </c>
      <c r="I397" s="4">
        <v>4.055989443331216</v>
      </c>
      <c r="J397" t="b">
        <v>0</v>
      </c>
      <c r="K397" t="b">
        <v>0</v>
      </c>
    </row>
    <row r="398" spans="1:11" x14ac:dyDescent="0.25">
      <c r="A398" t="s">
        <v>225</v>
      </c>
      <c r="B398" t="s">
        <v>226</v>
      </c>
      <c r="C398" t="s">
        <v>461</v>
      </c>
      <c r="D398" t="s">
        <v>462</v>
      </c>
      <c r="E398" s="4">
        <v>30074020</v>
      </c>
      <c r="F398" s="4">
        <v>18060.21</v>
      </c>
      <c r="G398" s="4">
        <v>1806021</v>
      </c>
      <c r="H398" s="4">
        <v>1806.021</v>
      </c>
      <c r="I398" s="4">
        <v>16.65208765568064</v>
      </c>
      <c r="J398" t="b">
        <v>0</v>
      </c>
      <c r="K398" t="b">
        <v>0</v>
      </c>
    </row>
    <row r="399" spans="1:11" x14ac:dyDescent="0.25">
      <c r="A399" t="s">
        <v>225</v>
      </c>
      <c r="B399" t="s">
        <v>226</v>
      </c>
      <c r="C399" t="s">
        <v>463</v>
      </c>
      <c r="D399" t="s">
        <v>464</v>
      </c>
      <c r="E399" s="4">
        <v>24690782</v>
      </c>
      <c r="F399" s="4">
        <v>9831.23</v>
      </c>
      <c r="G399" s="4">
        <v>983123</v>
      </c>
      <c r="H399" s="4">
        <v>983.123</v>
      </c>
      <c r="I399" s="4">
        <v>25.114641809824406</v>
      </c>
      <c r="J399" t="b">
        <v>0</v>
      </c>
      <c r="K399" t="b">
        <v>0</v>
      </c>
    </row>
    <row r="400" spans="1:11" x14ac:dyDescent="0.25">
      <c r="A400" t="s">
        <v>225</v>
      </c>
      <c r="B400" t="s">
        <v>226</v>
      </c>
      <c r="C400" t="s">
        <v>465</v>
      </c>
      <c r="D400" t="s">
        <v>478</v>
      </c>
      <c r="E400" s="4">
        <v>10109798</v>
      </c>
      <c r="F400" s="4">
        <v>25740.39</v>
      </c>
      <c r="G400" s="4">
        <v>2574039</v>
      </c>
      <c r="H400" s="4">
        <v>2574.039</v>
      </c>
      <c r="I400" s="4">
        <v>3.9276009415552755</v>
      </c>
      <c r="J400" t="b">
        <v>0</v>
      </c>
      <c r="K400" t="b">
        <v>0</v>
      </c>
    </row>
    <row r="401" spans="1:11" x14ac:dyDescent="0.25">
      <c r="A401" t="s">
        <v>225</v>
      </c>
      <c r="B401" t="s">
        <v>226</v>
      </c>
      <c r="C401" t="s">
        <v>467</v>
      </c>
      <c r="D401" t="s">
        <v>468</v>
      </c>
      <c r="E401" s="4">
        <v>15012612</v>
      </c>
      <c r="F401" s="4">
        <v>7579.94</v>
      </c>
      <c r="G401" s="4">
        <v>757994</v>
      </c>
      <c r="H401" s="4">
        <v>757.994</v>
      </c>
      <c r="I401" s="4">
        <v>19.805713501689986</v>
      </c>
      <c r="J401" t="b">
        <v>0</v>
      </c>
      <c r="K401" t="b">
        <v>0</v>
      </c>
    </row>
    <row r="402" spans="1:11" x14ac:dyDescent="0.25">
      <c r="A402" t="s">
        <v>227</v>
      </c>
      <c r="B402" t="s">
        <v>228</v>
      </c>
      <c r="C402" t="s">
        <v>455</v>
      </c>
      <c r="D402" t="s">
        <v>477</v>
      </c>
      <c r="E402" s="4">
        <v>578172</v>
      </c>
      <c r="F402" s="4">
        <v>1061.34</v>
      </c>
      <c r="G402" s="4">
        <v>106133.99999999999</v>
      </c>
      <c r="H402" s="4">
        <v>106.134</v>
      </c>
      <c r="I402" s="4">
        <v>5.447566284131382</v>
      </c>
      <c r="J402" t="b">
        <v>0</v>
      </c>
      <c r="K402" t="b">
        <v>0</v>
      </c>
    </row>
    <row r="403" spans="1:11" x14ac:dyDescent="0.25">
      <c r="A403" t="s">
        <v>227</v>
      </c>
      <c r="B403" t="s">
        <v>228</v>
      </c>
      <c r="C403" t="s">
        <v>461</v>
      </c>
      <c r="D403" t="s">
        <v>462</v>
      </c>
      <c r="E403" s="4">
        <v>22076773</v>
      </c>
      <c r="F403" s="4">
        <v>13799.96</v>
      </c>
      <c r="G403" s="4">
        <v>1379996</v>
      </c>
      <c r="H403" s="4">
        <v>1379.996</v>
      </c>
      <c r="I403" s="4">
        <v>15.99770796437091</v>
      </c>
      <c r="J403" t="b">
        <v>0</v>
      </c>
      <c r="K403" t="b">
        <v>0</v>
      </c>
    </row>
    <row r="404" spans="1:11" x14ac:dyDescent="0.25">
      <c r="A404" t="s">
        <v>227</v>
      </c>
      <c r="B404" t="s">
        <v>228</v>
      </c>
      <c r="C404" t="s">
        <v>463</v>
      </c>
      <c r="D404" t="s">
        <v>464</v>
      </c>
      <c r="E404" s="4">
        <v>15375352</v>
      </c>
      <c r="F404" s="4">
        <v>6589.07</v>
      </c>
      <c r="G404" s="4">
        <v>658907</v>
      </c>
      <c r="H404" s="4">
        <v>658.907</v>
      </c>
      <c r="I404" s="4">
        <v>23.33463144267704</v>
      </c>
      <c r="J404" t="b">
        <v>0</v>
      </c>
      <c r="K404" t="b">
        <v>0</v>
      </c>
    </row>
    <row r="405" spans="1:11" x14ac:dyDescent="0.25">
      <c r="A405" t="s">
        <v>227</v>
      </c>
      <c r="B405" t="s">
        <v>228</v>
      </c>
      <c r="C405" t="s">
        <v>465</v>
      </c>
      <c r="D405" t="s">
        <v>478</v>
      </c>
      <c r="E405" s="4">
        <v>12128443</v>
      </c>
      <c r="F405" s="4">
        <v>33588.34</v>
      </c>
      <c r="G405" s="4">
        <v>3358833.9999999995</v>
      </c>
      <c r="H405" s="4">
        <v>3358.834</v>
      </c>
      <c r="I405" s="4">
        <v>3.6109087260638666</v>
      </c>
      <c r="J405" t="b">
        <v>0</v>
      </c>
      <c r="K405" t="b">
        <v>0</v>
      </c>
    </row>
    <row r="406" spans="1:11" x14ac:dyDescent="0.25">
      <c r="A406" t="s">
        <v>227</v>
      </c>
      <c r="B406" t="s">
        <v>228</v>
      </c>
      <c r="C406" t="s">
        <v>467</v>
      </c>
      <c r="D406" t="s">
        <v>468</v>
      </c>
      <c r="E406" s="4">
        <v>12568269</v>
      </c>
      <c r="F406" s="4">
        <v>6728.23</v>
      </c>
      <c r="G406" s="4">
        <v>672823</v>
      </c>
      <c r="H406" s="4">
        <v>672.823</v>
      </c>
      <c r="I406" s="4">
        <v>18.679903927184416</v>
      </c>
      <c r="J406" t="b">
        <v>0</v>
      </c>
      <c r="K406" t="b">
        <v>0</v>
      </c>
    </row>
    <row r="407" spans="1:11" x14ac:dyDescent="0.25">
      <c r="A407" t="s">
        <v>229</v>
      </c>
      <c r="B407" t="s">
        <v>230</v>
      </c>
      <c r="C407" t="s">
        <v>455</v>
      </c>
      <c r="D407" t="s">
        <v>477</v>
      </c>
      <c r="E407" s="4">
        <v>752074</v>
      </c>
      <c r="F407" s="4">
        <v>1627.94</v>
      </c>
      <c r="G407" s="4">
        <v>162794</v>
      </c>
      <c r="H407" s="4">
        <v>162.794</v>
      </c>
      <c r="I407" s="4">
        <v>4.619789427128764</v>
      </c>
      <c r="J407" t="b">
        <v>0</v>
      </c>
      <c r="K407" t="b">
        <v>0</v>
      </c>
    </row>
    <row r="408" spans="1:11" x14ac:dyDescent="0.25">
      <c r="A408" t="s">
        <v>229</v>
      </c>
      <c r="B408" t="s">
        <v>230</v>
      </c>
      <c r="C408" t="s">
        <v>461</v>
      </c>
      <c r="D408" t="s">
        <v>462</v>
      </c>
      <c r="E408" s="4">
        <v>16408492</v>
      </c>
      <c r="F408" s="4">
        <v>10331.69</v>
      </c>
      <c r="G408" s="4">
        <v>1033169</v>
      </c>
      <c r="H408" s="4">
        <v>1033.169</v>
      </c>
      <c r="I408" s="4">
        <v>15.88171151089512</v>
      </c>
      <c r="J408" t="b">
        <v>0</v>
      </c>
      <c r="K408" t="b">
        <v>0</v>
      </c>
    </row>
    <row r="409" spans="1:11" x14ac:dyDescent="0.25">
      <c r="A409" t="s">
        <v>229</v>
      </c>
      <c r="B409" t="s">
        <v>230</v>
      </c>
      <c r="C409" t="s">
        <v>463</v>
      </c>
      <c r="D409" t="s">
        <v>464</v>
      </c>
      <c r="E409" s="4">
        <v>12582627</v>
      </c>
      <c r="F409" s="4">
        <v>5185.29</v>
      </c>
      <c r="G409" s="4">
        <v>518529</v>
      </c>
      <c r="H409" s="4">
        <v>518.529</v>
      </c>
      <c r="I409" s="4">
        <v>24.266004408625168</v>
      </c>
      <c r="J409" t="b">
        <v>0</v>
      </c>
      <c r="K409" t="b">
        <v>0</v>
      </c>
    </row>
    <row r="410" spans="1:11" x14ac:dyDescent="0.25">
      <c r="A410" t="s">
        <v>229</v>
      </c>
      <c r="B410" t="s">
        <v>230</v>
      </c>
      <c r="C410" t="s">
        <v>465</v>
      </c>
      <c r="D410" t="s">
        <v>478</v>
      </c>
      <c r="E410" s="4">
        <v>11711244</v>
      </c>
      <c r="F410" s="4">
        <v>29987.96</v>
      </c>
      <c r="G410" s="4">
        <v>2998796</v>
      </c>
      <c r="H410" s="4">
        <v>2998.7960000000003</v>
      </c>
      <c r="I410" s="4">
        <v>3.905315333220399</v>
      </c>
      <c r="J410" t="b">
        <v>0</v>
      </c>
      <c r="K410" t="b">
        <v>0</v>
      </c>
    </row>
    <row r="411" spans="1:11" x14ac:dyDescent="0.25">
      <c r="A411" t="s">
        <v>229</v>
      </c>
      <c r="B411" t="s">
        <v>230</v>
      </c>
      <c r="C411" t="s">
        <v>467</v>
      </c>
      <c r="D411" t="s">
        <v>468</v>
      </c>
      <c r="E411" s="4">
        <v>8992643</v>
      </c>
      <c r="F411" s="4">
        <v>5001.6</v>
      </c>
      <c r="G411" s="4">
        <v>500160.00000000006</v>
      </c>
      <c r="H411" s="4">
        <v>500.1600000000001</v>
      </c>
      <c r="I411" s="4">
        <v>17.979532549584132</v>
      </c>
      <c r="J411" t="b">
        <v>0</v>
      </c>
      <c r="K411" t="b">
        <v>0</v>
      </c>
    </row>
    <row r="412" spans="1:11" x14ac:dyDescent="0.25">
      <c r="A412" t="s">
        <v>231</v>
      </c>
      <c r="B412" t="s">
        <v>232</v>
      </c>
      <c r="C412" t="s">
        <v>455</v>
      </c>
      <c r="D412" t="s">
        <v>477</v>
      </c>
      <c r="E412" s="4">
        <v>712380</v>
      </c>
      <c r="F412" s="4">
        <v>1218.73</v>
      </c>
      <c r="G412" s="4">
        <v>121873</v>
      </c>
      <c r="H412" s="4">
        <v>121.873</v>
      </c>
      <c r="I412" s="4">
        <v>5.845265153069178</v>
      </c>
      <c r="J412" t="b">
        <v>0</v>
      </c>
      <c r="K412" t="b">
        <v>0</v>
      </c>
    </row>
    <row r="413" spans="1:11" x14ac:dyDescent="0.25">
      <c r="A413" t="s">
        <v>231</v>
      </c>
      <c r="B413" t="s">
        <v>232</v>
      </c>
      <c r="C413" t="s">
        <v>461</v>
      </c>
      <c r="D413" t="s">
        <v>462</v>
      </c>
      <c r="E413" s="4">
        <v>23212368</v>
      </c>
      <c r="F413" s="4">
        <v>14411.89</v>
      </c>
      <c r="G413" s="4">
        <v>1441189</v>
      </c>
      <c r="H413" s="4">
        <v>1441.189</v>
      </c>
      <c r="I413" s="4">
        <v>16.10640103414611</v>
      </c>
      <c r="J413" t="b">
        <v>0</v>
      </c>
      <c r="K413" t="b">
        <v>0</v>
      </c>
    </row>
    <row r="414" spans="1:11" x14ac:dyDescent="0.25">
      <c r="A414" t="s">
        <v>231</v>
      </c>
      <c r="B414" t="s">
        <v>232</v>
      </c>
      <c r="C414" t="s">
        <v>463</v>
      </c>
      <c r="D414" t="s">
        <v>464</v>
      </c>
      <c r="E414" s="4">
        <v>16402554</v>
      </c>
      <c r="F414" s="4">
        <v>6907.67</v>
      </c>
      <c r="G414" s="4">
        <v>690767</v>
      </c>
      <c r="H414" s="4">
        <v>690.767</v>
      </c>
      <c r="I414" s="4">
        <v>23.745422117732897</v>
      </c>
      <c r="J414" t="b">
        <v>0</v>
      </c>
      <c r="K414" t="b">
        <v>0</v>
      </c>
    </row>
    <row r="415" spans="1:11" x14ac:dyDescent="0.25">
      <c r="A415" t="s">
        <v>231</v>
      </c>
      <c r="B415" t="s">
        <v>232</v>
      </c>
      <c r="C415" t="s">
        <v>465</v>
      </c>
      <c r="D415" t="s">
        <v>478</v>
      </c>
      <c r="E415" s="4">
        <v>10089277</v>
      </c>
      <c r="F415" s="4">
        <v>26335.19</v>
      </c>
      <c r="G415" s="4">
        <v>2633519</v>
      </c>
      <c r="H415" s="4">
        <v>2633.5190000000002</v>
      </c>
      <c r="I415" s="4">
        <v>3.8311008957976003</v>
      </c>
      <c r="J415" t="b">
        <v>0</v>
      </c>
      <c r="K415" t="b">
        <v>0</v>
      </c>
    </row>
    <row r="416" spans="1:11" x14ac:dyDescent="0.25">
      <c r="A416" t="s">
        <v>231</v>
      </c>
      <c r="B416" t="s">
        <v>232</v>
      </c>
      <c r="C416" t="s">
        <v>467</v>
      </c>
      <c r="D416" t="s">
        <v>468</v>
      </c>
      <c r="E416" s="4">
        <v>8123095</v>
      </c>
      <c r="F416" s="4">
        <v>4019.26</v>
      </c>
      <c r="G416" s="4">
        <v>401926</v>
      </c>
      <c r="H416" s="4">
        <v>401.92600000000004</v>
      </c>
      <c r="I416" s="4">
        <v>20.21042430696198</v>
      </c>
      <c r="J416" t="b">
        <v>0</v>
      </c>
      <c r="K416" t="b">
        <v>0</v>
      </c>
    </row>
    <row r="417" spans="1:11" x14ac:dyDescent="0.25">
      <c r="A417" t="s">
        <v>233</v>
      </c>
      <c r="B417" t="s">
        <v>234</v>
      </c>
      <c r="C417" t="s">
        <v>455</v>
      </c>
      <c r="D417" t="s">
        <v>477</v>
      </c>
      <c r="E417" s="4">
        <v>538658</v>
      </c>
      <c r="F417" s="4">
        <v>1118.5</v>
      </c>
      <c r="G417" s="4">
        <v>111850</v>
      </c>
      <c r="H417" s="4">
        <v>111.85000000000001</v>
      </c>
      <c r="I417" s="4">
        <v>4.81589628967367</v>
      </c>
      <c r="J417" t="b">
        <v>0</v>
      </c>
      <c r="K417" t="b">
        <v>0</v>
      </c>
    </row>
    <row r="418" spans="1:11" x14ac:dyDescent="0.25">
      <c r="A418" t="s">
        <v>233</v>
      </c>
      <c r="B418" t="s">
        <v>234</v>
      </c>
      <c r="C418" t="s">
        <v>461</v>
      </c>
      <c r="D418" t="s">
        <v>462</v>
      </c>
      <c r="E418" s="4">
        <v>25258681</v>
      </c>
      <c r="F418" s="4">
        <v>14452.62</v>
      </c>
      <c r="G418" s="4">
        <v>1445262</v>
      </c>
      <c r="H418" s="4">
        <v>1445.2620000000002</v>
      </c>
      <c r="I418" s="4">
        <v>17.476887235670763</v>
      </c>
      <c r="J418" t="b">
        <v>0</v>
      </c>
      <c r="K418" t="b">
        <v>0</v>
      </c>
    </row>
    <row r="419" spans="1:11" x14ac:dyDescent="0.25">
      <c r="A419" t="s">
        <v>233</v>
      </c>
      <c r="B419" t="s">
        <v>234</v>
      </c>
      <c r="C419" t="s">
        <v>463</v>
      </c>
      <c r="D419" t="s">
        <v>464</v>
      </c>
      <c r="E419" s="4">
        <v>21583839</v>
      </c>
      <c r="F419" s="4">
        <v>7979.96</v>
      </c>
      <c r="G419" s="4">
        <v>797996</v>
      </c>
      <c r="H419" s="4">
        <v>797.9960000000001</v>
      </c>
      <c r="I419" s="4">
        <v>27.0475528699392</v>
      </c>
      <c r="J419" t="b">
        <v>0</v>
      </c>
      <c r="K419" t="b">
        <v>0</v>
      </c>
    </row>
    <row r="420" spans="1:11" x14ac:dyDescent="0.25">
      <c r="A420" t="s">
        <v>233</v>
      </c>
      <c r="B420" t="s">
        <v>234</v>
      </c>
      <c r="C420" t="s">
        <v>465</v>
      </c>
      <c r="D420" t="s">
        <v>478</v>
      </c>
      <c r="E420" s="4">
        <v>8253389</v>
      </c>
      <c r="F420" s="4">
        <v>19493.71</v>
      </c>
      <c r="G420" s="4">
        <v>1949371</v>
      </c>
      <c r="H420" s="4">
        <v>1949.371</v>
      </c>
      <c r="I420" s="4">
        <v>4.233872874891439</v>
      </c>
      <c r="J420" t="b">
        <v>0</v>
      </c>
      <c r="K420" t="b">
        <v>0</v>
      </c>
    </row>
    <row r="421" spans="1:11" x14ac:dyDescent="0.25">
      <c r="A421" t="s">
        <v>233</v>
      </c>
      <c r="B421" t="s">
        <v>234</v>
      </c>
      <c r="C421" t="s">
        <v>467</v>
      </c>
      <c r="D421" t="s">
        <v>468</v>
      </c>
      <c r="E421" s="4">
        <v>9819787</v>
      </c>
      <c r="F421" s="4">
        <v>5466.89</v>
      </c>
      <c r="G421" s="4">
        <v>546689</v>
      </c>
      <c r="H421" s="4">
        <v>546.6890000000001</v>
      </c>
      <c r="I421" s="4">
        <v>17.962291174689813</v>
      </c>
      <c r="J421" t="b">
        <v>0</v>
      </c>
      <c r="K421" t="b">
        <v>0</v>
      </c>
    </row>
    <row r="422" spans="1:11" x14ac:dyDescent="0.25">
      <c r="A422" t="s">
        <v>235</v>
      </c>
      <c r="B422" t="s">
        <v>236</v>
      </c>
      <c r="C422" t="s">
        <v>455</v>
      </c>
      <c r="D422" t="s">
        <v>477</v>
      </c>
      <c r="E422" s="4">
        <v>1062459</v>
      </c>
      <c r="F422" s="4">
        <v>1991.23</v>
      </c>
      <c r="G422" s="4">
        <v>199123</v>
      </c>
      <c r="H422" s="4">
        <v>199.12300000000002</v>
      </c>
      <c r="I422" s="4">
        <v>5.335692009461488</v>
      </c>
      <c r="J422" t="b">
        <v>0</v>
      </c>
      <c r="K422" t="b">
        <v>0</v>
      </c>
    </row>
    <row r="423" spans="1:11" x14ac:dyDescent="0.25">
      <c r="A423" t="s">
        <v>235</v>
      </c>
      <c r="B423" t="s">
        <v>236</v>
      </c>
      <c r="C423" t="s">
        <v>461</v>
      </c>
      <c r="D423" t="s">
        <v>462</v>
      </c>
      <c r="E423" s="4">
        <v>29293099</v>
      </c>
      <c r="F423" s="4">
        <v>15505.18</v>
      </c>
      <c r="G423" s="4">
        <v>1550518</v>
      </c>
      <c r="H423" s="4">
        <v>1550.518</v>
      </c>
      <c r="I423" s="4">
        <v>18.892459810205363</v>
      </c>
      <c r="J423" t="b">
        <v>0</v>
      </c>
      <c r="K423" t="b">
        <v>0</v>
      </c>
    </row>
    <row r="424" spans="1:11" x14ac:dyDescent="0.25">
      <c r="A424" t="s">
        <v>235</v>
      </c>
      <c r="B424" t="s">
        <v>236</v>
      </c>
      <c r="C424" t="s">
        <v>463</v>
      </c>
      <c r="D424" t="s">
        <v>464</v>
      </c>
      <c r="E424" s="4">
        <v>33624275</v>
      </c>
      <c r="F424" s="4">
        <v>11158.96</v>
      </c>
      <c r="G424" s="4">
        <v>1115896</v>
      </c>
      <c r="H424" s="4">
        <v>1115.896</v>
      </c>
      <c r="I424" s="4">
        <v>30.13208668191301</v>
      </c>
      <c r="J424" t="b">
        <v>0</v>
      </c>
      <c r="K424" t="b">
        <v>0</v>
      </c>
    </row>
    <row r="425" spans="1:11" x14ac:dyDescent="0.25">
      <c r="A425" t="s">
        <v>235</v>
      </c>
      <c r="B425" t="s">
        <v>236</v>
      </c>
      <c r="C425" t="s">
        <v>465</v>
      </c>
      <c r="D425" t="s">
        <v>478</v>
      </c>
      <c r="E425" s="4">
        <v>11435259</v>
      </c>
      <c r="F425" s="4">
        <v>29999.08</v>
      </c>
      <c r="G425" s="4">
        <v>2999908</v>
      </c>
      <c r="H425" s="4">
        <v>2999.9080000000004</v>
      </c>
      <c r="I425" s="4">
        <v>3.8118698973435183</v>
      </c>
      <c r="J425" t="b">
        <v>0</v>
      </c>
      <c r="K425" t="b">
        <v>0</v>
      </c>
    </row>
    <row r="426" spans="1:11" x14ac:dyDescent="0.25">
      <c r="A426" t="s">
        <v>235</v>
      </c>
      <c r="B426" t="s">
        <v>236</v>
      </c>
      <c r="C426" t="s">
        <v>467</v>
      </c>
      <c r="D426" t="s">
        <v>468</v>
      </c>
      <c r="E426" s="4">
        <v>17780005</v>
      </c>
      <c r="F426" s="4">
        <v>8339.42</v>
      </c>
      <c r="G426" s="4">
        <v>833942</v>
      </c>
      <c r="H426" s="4">
        <v>833.942</v>
      </c>
      <c r="I426" s="4">
        <v>21.320433555331185</v>
      </c>
      <c r="J426" t="b">
        <v>0</v>
      </c>
      <c r="K426" t="b">
        <v>0</v>
      </c>
    </row>
    <row r="427" spans="1:11" x14ac:dyDescent="0.25">
      <c r="A427" t="s">
        <v>237</v>
      </c>
      <c r="B427" t="s">
        <v>238</v>
      </c>
      <c r="C427" t="s">
        <v>455</v>
      </c>
      <c r="D427" t="s">
        <v>477</v>
      </c>
      <c r="E427" s="4">
        <v>343332</v>
      </c>
      <c r="F427" s="4">
        <v>590.93</v>
      </c>
      <c r="G427" s="4">
        <v>59092.99999999999</v>
      </c>
      <c r="H427" s="4">
        <v>59.092999999999996</v>
      </c>
      <c r="I427" s="4">
        <v>5.810028260538474</v>
      </c>
      <c r="J427" t="b">
        <v>0</v>
      </c>
      <c r="K427" t="b">
        <v>0</v>
      </c>
    </row>
    <row r="428" spans="1:11" x14ac:dyDescent="0.25">
      <c r="A428" t="s">
        <v>237</v>
      </c>
      <c r="B428" t="s">
        <v>238</v>
      </c>
      <c r="C428" t="s">
        <v>461</v>
      </c>
      <c r="D428" t="s">
        <v>462</v>
      </c>
      <c r="E428" s="4">
        <v>29909778</v>
      </c>
      <c r="F428" s="4">
        <v>16073.82</v>
      </c>
      <c r="G428" s="4">
        <v>1607382</v>
      </c>
      <c r="H428" s="4">
        <v>1607.382</v>
      </c>
      <c r="I428" s="4">
        <v>18.607759698690167</v>
      </c>
      <c r="J428" t="b">
        <v>0</v>
      </c>
      <c r="K428" t="b">
        <v>0</v>
      </c>
    </row>
    <row r="429" spans="1:11" x14ac:dyDescent="0.25">
      <c r="A429" t="s">
        <v>237</v>
      </c>
      <c r="B429" t="s">
        <v>238</v>
      </c>
      <c r="C429" t="s">
        <v>463</v>
      </c>
      <c r="D429" t="s">
        <v>464</v>
      </c>
      <c r="E429" s="4">
        <v>36135958</v>
      </c>
      <c r="F429" s="4">
        <v>12340.36</v>
      </c>
      <c r="G429" s="4">
        <v>1234036</v>
      </c>
      <c r="H429" s="4">
        <v>1234.036</v>
      </c>
      <c r="I429" s="4">
        <v>29.282742156630764</v>
      </c>
      <c r="J429" t="b">
        <v>0</v>
      </c>
      <c r="K429" t="b">
        <v>0</v>
      </c>
    </row>
    <row r="430" spans="1:11" x14ac:dyDescent="0.25">
      <c r="A430" t="s">
        <v>237</v>
      </c>
      <c r="B430" t="s">
        <v>238</v>
      </c>
      <c r="C430" t="s">
        <v>465</v>
      </c>
      <c r="D430" t="s">
        <v>478</v>
      </c>
      <c r="E430" s="4">
        <v>11169811</v>
      </c>
      <c r="F430" s="4">
        <v>27715.91</v>
      </c>
      <c r="G430" s="4">
        <v>2771591</v>
      </c>
      <c r="H430" s="4">
        <v>2771.5910000000003</v>
      </c>
      <c r="I430" s="4">
        <v>4.030107977692235</v>
      </c>
      <c r="J430" t="b">
        <v>0</v>
      </c>
      <c r="K430" t="b">
        <v>0</v>
      </c>
    </row>
    <row r="431" spans="1:11" x14ac:dyDescent="0.25">
      <c r="A431" t="s">
        <v>237</v>
      </c>
      <c r="B431" t="s">
        <v>238</v>
      </c>
      <c r="C431" t="s">
        <v>467</v>
      </c>
      <c r="D431" t="s">
        <v>468</v>
      </c>
      <c r="E431" s="4">
        <v>17708550</v>
      </c>
      <c r="F431" s="4">
        <v>8198.12</v>
      </c>
      <c r="G431" s="4">
        <v>819812.0000000001</v>
      </c>
      <c r="H431" s="4">
        <v>819.8120000000001</v>
      </c>
      <c r="I431" s="4">
        <v>21.60074504886486</v>
      </c>
      <c r="J431" t="b">
        <v>0</v>
      </c>
      <c r="K431" t="b">
        <v>0</v>
      </c>
    </row>
    <row r="432" spans="1:11" x14ac:dyDescent="0.25">
      <c r="A432" t="s">
        <v>239</v>
      </c>
      <c r="B432" t="s">
        <v>240</v>
      </c>
      <c r="C432" t="s">
        <v>455</v>
      </c>
      <c r="D432" t="s">
        <v>477</v>
      </c>
      <c r="E432" s="4">
        <v>623545</v>
      </c>
      <c r="F432" s="4">
        <v>1193.04</v>
      </c>
      <c r="G432" s="4">
        <v>119304</v>
      </c>
      <c r="H432" s="4">
        <v>119.304</v>
      </c>
      <c r="I432" s="4">
        <v>5.226522161872192</v>
      </c>
      <c r="J432" t="b">
        <v>0</v>
      </c>
      <c r="K432" t="b">
        <v>0</v>
      </c>
    </row>
    <row r="433" spans="1:11" x14ac:dyDescent="0.25">
      <c r="A433" t="s">
        <v>239</v>
      </c>
      <c r="B433" t="s">
        <v>240</v>
      </c>
      <c r="C433" t="s">
        <v>461</v>
      </c>
      <c r="D433" t="s">
        <v>462</v>
      </c>
      <c r="E433" s="4">
        <v>29080056</v>
      </c>
      <c r="F433" s="4">
        <v>15263.56</v>
      </c>
      <c r="G433" s="4">
        <v>1526356</v>
      </c>
      <c r="H433" s="4">
        <v>1526.356</v>
      </c>
      <c r="I433" s="4">
        <v>19.051948562458563</v>
      </c>
      <c r="J433" t="b">
        <v>0</v>
      </c>
      <c r="K433" t="b">
        <v>0</v>
      </c>
    </row>
    <row r="434" spans="1:11" x14ac:dyDescent="0.25">
      <c r="A434" t="s">
        <v>239</v>
      </c>
      <c r="B434" t="s">
        <v>240</v>
      </c>
      <c r="C434" t="s">
        <v>463</v>
      </c>
      <c r="D434" t="s">
        <v>464</v>
      </c>
      <c r="E434" s="4">
        <v>40477406</v>
      </c>
      <c r="F434" s="4">
        <v>13596.3</v>
      </c>
      <c r="G434" s="4">
        <v>1359630</v>
      </c>
      <c r="H434" s="4">
        <v>1359.63</v>
      </c>
      <c r="I434" s="4">
        <v>29.770897964887507</v>
      </c>
      <c r="J434" t="b">
        <v>0</v>
      </c>
      <c r="K434" t="b">
        <v>0</v>
      </c>
    </row>
    <row r="435" spans="1:11" x14ac:dyDescent="0.25">
      <c r="A435" t="s">
        <v>239</v>
      </c>
      <c r="B435" t="s">
        <v>240</v>
      </c>
      <c r="C435" t="s">
        <v>465</v>
      </c>
      <c r="D435" t="s">
        <v>478</v>
      </c>
      <c r="E435" s="4">
        <v>11791968</v>
      </c>
      <c r="F435" s="4">
        <v>30850.45</v>
      </c>
      <c r="G435" s="4">
        <v>3085045</v>
      </c>
      <c r="H435" s="4">
        <v>3085.045</v>
      </c>
      <c r="I435" s="4">
        <v>3.8223001609376848</v>
      </c>
      <c r="J435" t="b">
        <v>0</v>
      </c>
      <c r="K435" t="b">
        <v>0</v>
      </c>
    </row>
    <row r="436" spans="1:11" x14ac:dyDescent="0.25">
      <c r="A436" t="s">
        <v>239</v>
      </c>
      <c r="B436" t="s">
        <v>240</v>
      </c>
      <c r="C436" t="s">
        <v>467</v>
      </c>
      <c r="D436" t="s">
        <v>468</v>
      </c>
      <c r="E436" s="4">
        <v>20721621</v>
      </c>
      <c r="F436" s="4">
        <v>10451.38</v>
      </c>
      <c r="G436" s="4">
        <v>1045137.9999999999</v>
      </c>
      <c r="H436" s="4">
        <v>1045.138</v>
      </c>
      <c r="I436" s="4">
        <v>19.826684131664912</v>
      </c>
      <c r="J436" t="b">
        <v>0</v>
      </c>
      <c r="K436" t="b">
        <v>0</v>
      </c>
    </row>
    <row r="437" spans="1:11" x14ac:dyDescent="0.25">
      <c r="A437" t="s">
        <v>241</v>
      </c>
      <c r="B437" t="s">
        <v>242</v>
      </c>
      <c r="C437" t="s">
        <v>455</v>
      </c>
      <c r="D437" t="s">
        <v>477</v>
      </c>
      <c r="E437" s="4">
        <v>711700</v>
      </c>
      <c r="F437" s="4">
        <v>1459.08</v>
      </c>
      <c r="G437" s="4">
        <v>145908</v>
      </c>
      <c r="H437" s="4">
        <v>145.908</v>
      </c>
      <c r="I437" s="4">
        <v>4.877731173067961</v>
      </c>
      <c r="J437" t="b">
        <v>0</v>
      </c>
      <c r="K437" t="b">
        <v>0</v>
      </c>
    </row>
    <row r="438" spans="1:11" x14ac:dyDescent="0.25">
      <c r="A438" t="s">
        <v>241</v>
      </c>
      <c r="B438" t="s">
        <v>242</v>
      </c>
      <c r="C438" t="s">
        <v>461</v>
      </c>
      <c r="D438" t="s">
        <v>462</v>
      </c>
      <c r="E438" s="4">
        <v>27324565</v>
      </c>
      <c r="F438" s="4">
        <v>14687.1</v>
      </c>
      <c r="G438" s="4">
        <v>1468710</v>
      </c>
      <c r="H438" s="4">
        <v>1468.71</v>
      </c>
      <c r="I438" s="4">
        <v>18.604465823750093</v>
      </c>
      <c r="J438" t="b">
        <v>0</v>
      </c>
      <c r="K438" t="b">
        <v>0</v>
      </c>
    </row>
    <row r="439" spans="1:11" x14ac:dyDescent="0.25">
      <c r="A439" t="s">
        <v>241</v>
      </c>
      <c r="B439" t="s">
        <v>242</v>
      </c>
      <c r="C439" t="s">
        <v>463</v>
      </c>
      <c r="D439" t="s">
        <v>464</v>
      </c>
      <c r="E439" s="4">
        <v>34301975</v>
      </c>
      <c r="F439" s="4">
        <v>12215.45</v>
      </c>
      <c r="G439" s="4">
        <v>1221545</v>
      </c>
      <c r="H439" s="4">
        <v>1221.545</v>
      </c>
      <c r="I439" s="4">
        <v>28.080811595152042</v>
      </c>
      <c r="J439" t="b">
        <v>0</v>
      </c>
      <c r="K439" t="b">
        <v>0</v>
      </c>
    </row>
    <row r="440" spans="1:11" x14ac:dyDescent="0.25">
      <c r="A440" t="s">
        <v>241</v>
      </c>
      <c r="B440" t="s">
        <v>242</v>
      </c>
      <c r="C440" t="s">
        <v>465</v>
      </c>
      <c r="D440" t="s">
        <v>478</v>
      </c>
      <c r="E440" s="4">
        <v>10571032</v>
      </c>
      <c r="F440" s="4">
        <v>28240.52</v>
      </c>
      <c r="G440" s="4">
        <v>2824052</v>
      </c>
      <c r="H440" s="4">
        <v>2824.052</v>
      </c>
      <c r="I440" s="4">
        <v>3.7432143600755228</v>
      </c>
      <c r="J440" t="b">
        <v>0</v>
      </c>
      <c r="K440" t="b">
        <v>0</v>
      </c>
    </row>
    <row r="441" spans="1:11" x14ac:dyDescent="0.25">
      <c r="A441" t="s">
        <v>241</v>
      </c>
      <c r="B441" t="s">
        <v>242</v>
      </c>
      <c r="C441" t="s">
        <v>467</v>
      </c>
      <c r="D441" t="s">
        <v>468</v>
      </c>
      <c r="E441" s="4">
        <v>13213748</v>
      </c>
      <c r="F441" s="4">
        <v>7065.84</v>
      </c>
      <c r="G441" s="4">
        <v>706584</v>
      </c>
      <c r="H441" s="4">
        <v>706.5840000000001</v>
      </c>
      <c r="I441" s="4">
        <v>18.70088765100823</v>
      </c>
      <c r="J441" t="b">
        <v>0</v>
      </c>
      <c r="K441" t="b">
        <v>0</v>
      </c>
    </row>
    <row r="442" spans="1:11" x14ac:dyDescent="0.25">
      <c r="A442" t="s">
        <v>243</v>
      </c>
      <c r="B442" t="s">
        <v>244</v>
      </c>
      <c r="C442" t="s">
        <v>455</v>
      </c>
      <c r="D442" t="s">
        <v>477</v>
      </c>
      <c r="E442" s="4">
        <v>649307</v>
      </c>
      <c r="F442" s="4">
        <v>2398.74</v>
      </c>
      <c r="G442" s="4">
        <v>239873.99999999997</v>
      </c>
      <c r="H442" s="4">
        <v>239.874</v>
      </c>
      <c r="I442" s="4">
        <v>2.7068669384760335</v>
      </c>
      <c r="J442" t="b">
        <v>0</v>
      </c>
      <c r="K442" t="b">
        <v>0</v>
      </c>
    </row>
    <row r="443" spans="1:11" x14ac:dyDescent="0.25">
      <c r="A443" t="s">
        <v>243</v>
      </c>
      <c r="B443" t="s">
        <v>244</v>
      </c>
      <c r="C443" t="s">
        <v>461</v>
      </c>
      <c r="D443" t="s">
        <v>462</v>
      </c>
      <c r="E443" s="4">
        <v>29269057</v>
      </c>
      <c r="F443" s="4">
        <v>16460.41</v>
      </c>
      <c r="G443" s="4">
        <v>1646041</v>
      </c>
      <c r="H443" s="4">
        <v>1646.0410000000002</v>
      </c>
      <c r="I443" s="4">
        <v>17.781487216904075</v>
      </c>
      <c r="J443" t="b">
        <v>0</v>
      </c>
      <c r="K443" t="b">
        <v>0</v>
      </c>
    </row>
    <row r="444" spans="1:11" x14ac:dyDescent="0.25">
      <c r="A444" t="s">
        <v>243</v>
      </c>
      <c r="B444" t="s">
        <v>244</v>
      </c>
      <c r="C444" t="s">
        <v>463</v>
      </c>
      <c r="D444" t="s">
        <v>464</v>
      </c>
      <c r="E444" s="4">
        <v>27594916</v>
      </c>
      <c r="F444" s="4">
        <v>10878.21</v>
      </c>
      <c r="G444" s="4">
        <v>1087821</v>
      </c>
      <c r="H444" s="4">
        <v>1087.821</v>
      </c>
      <c r="I444" s="4">
        <v>25.36714772007527</v>
      </c>
      <c r="J444" t="b">
        <v>0</v>
      </c>
      <c r="K444" t="b">
        <v>0</v>
      </c>
    </row>
    <row r="445" spans="1:11" x14ac:dyDescent="0.25">
      <c r="A445" t="s">
        <v>243</v>
      </c>
      <c r="B445" t="s">
        <v>244</v>
      </c>
      <c r="C445" t="s">
        <v>465</v>
      </c>
      <c r="D445" t="s">
        <v>478</v>
      </c>
      <c r="E445" s="4">
        <v>11214299</v>
      </c>
      <c r="F445" s="4">
        <v>33679.51</v>
      </c>
      <c r="G445" s="4">
        <v>3367951</v>
      </c>
      <c r="H445" s="4">
        <v>3367.9510000000005</v>
      </c>
      <c r="I445" s="4">
        <v>3.329709666203576</v>
      </c>
      <c r="J445" t="b">
        <v>0</v>
      </c>
      <c r="K445" t="b">
        <v>0</v>
      </c>
    </row>
    <row r="446" spans="1:11" x14ac:dyDescent="0.25">
      <c r="A446" t="s">
        <v>243</v>
      </c>
      <c r="B446" t="s">
        <v>244</v>
      </c>
      <c r="C446" t="s">
        <v>467</v>
      </c>
      <c r="D446" t="s">
        <v>468</v>
      </c>
      <c r="E446" s="4">
        <v>11972722</v>
      </c>
      <c r="F446" s="4">
        <v>6472.62</v>
      </c>
      <c r="G446" s="4">
        <v>647262</v>
      </c>
      <c r="H446" s="4">
        <v>647.2620000000001</v>
      </c>
      <c r="I446" s="4">
        <v>18.497489424684286</v>
      </c>
      <c r="J446" t="b">
        <v>0</v>
      </c>
      <c r="K446" t="b">
        <v>0</v>
      </c>
    </row>
    <row r="447" spans="1:11" x14ac:dyDescent="0.25">
      <c r="A447" t="s">
        <v>245</v>
      </c>
      <c r="B447" t="s">
        <v>246</v>
      </c>
      <c r="C447" t="s">
        <v>455</v>
      </c>
      <c r="D447" t="s">
        <v>477</v>
      </c>
      <c r="E447" s="4">
        <v>715510</v>
      </c>
      <c r="F447" s="4">
        <v>1230.61</v>
      </c>
      <c r="G447" s="4">
        <v>123060.99999999999</v>
      </c>
      <c r="H447" s="4">
        <v>123.06099999999999</v>
      </c>
      <c r="I447" s="4">
        <v>5.814270971306914</v>
      </c>
      <c r="J447" t="b">
        <v>0</v>
      </c>
      <c r="K447" t="b">
        <v>0</v>
      </c>
    </row>
    <row r="448" spans="1:11" x14ac:dyDescent="0.25">
      <c r="A448" t="s">
        <v>245</v>
      </c>
      <c r="B448" t="s">
        <v>246</v>
      </c>
      <c r="C448" t="s">
        <v>461</v>
      </c>
      <c r="D448" t="s">
        <v>462</v>
      </c>
      <c r="E448" s="4">
        <v>34917863</v>
      </c>
      <c r="F448" s="4">
        <v>19128.68</v>
      </c>
      <c r="G448" s="4">
        <v>1912868</v>
      </c>
      <c r="H448" s="4">
        <v>1912.8680000000002</v>
      </c>
      <c r="I448" s="4">
        <v>18.254193702858743</v>
      </c>
      <c r="J448" t="b">
        <v>0</v>
      </c>
      <c r="K448" t="b">
        <v>0</v>
      </c>
    </row>
    <row r="449" spans="1:11" x14ac:dyDescent="0.25">
      <c r="A449" t="s">
        <v>245</v>
      </c>
      <c r="B449" t="s">
        <v>246</v>
      </c>
      <c r="C449" t="s">
        <v>463</v>
      </c>
      <c r="D449" t="s">
        <v>464</v>
      </c>
      <c r="E449" s="4">
        <v>29871876</v>
      </c>
      <c r="F449" s="4">
        <v>10971.31</v>
      </c>
      <c r="G449" s="4">
        <v>1097131</v>
      </c>
      <c r="H449" s="4">
        <v>1097.131</v>
      </c>
      <c r="I449" s="4">
        <v>27.227264565489445</v>
      </c>
      <c r="J449" t="b">
        <v>0</v>
      </c>
      <c r="K449" t="b">
        <v>0</v>
      </c>
    </row>
    <row r="450" spans="1:11" x14ac:dyDescent="0.25">
      <c r="A450" t="s">
        <v>245</v>
      </c>
      <c r="B450" t="s">
        <v>246</v>
      </c>
      <c r="C450" t="s">
        <v>465</v>
      </c>
      <c r="D450" t="s">
        <v>478</v>
      </c>
      <c r="E450" s="4">
        <v>8824243</v>
      </c>
      <c r="F450" s="4">
        <v>21485.32</v>
      </c>
      <c r="G450" s="4">
        <v>2148532</v>
      </c>
      <c r="H450" s="4">
        <v>2148.532</v>
      </c>
      <c r="I450" s="4">
        <v>4.107103361737224</v>
      </c>
      <c r="J450" t="b">
        <v>0</v>
      </c>
      <c r="K450" t="b">
        <v>0</v>
      </c>
    </row>
    <row r="451" spans="1:11" x14ac:dyDescent="0.25">
      <c r="A451" t="s">
        <v>245</v>
      </c>
      <c r="B451" t="s">
        <v>246</v>
      </c>
      <c r="C451" t="s">
        <v>467</v>
      </c>
      <c r="D451" t="s">
        <v>468</v>
      </c>
      <c r="E451" s="4">
        <v>9970115</v>
      </c>
      <c r="F451" s="4">
        <v>5096.67</v>
      </c>
      <c r="G451" s="4">
        <v>509667</v>
      </c>
      <c r="H451" s="4">
        <v>509.66700000000003</v>
      </c>
      <c r="I451" s="4">
        <v>19.562017945050396</v>
      </c>
      <c r="J451" t="b">
        <v>0</v>
      </c>
      <c r="K451" t="b">
        <v>0</v>
      </c>
    </row>
    <row r="452" spans="1:11" x14ac:dyDescent="0.25">
      <c r="A452" t="s">
        <v>247</v>
      </c>
      <c r="B452" t="s">
        <v>248</v>
      </c>
      <c r="C452" t="s">
        <v>455</v>
      </c>
      <c r="D452" t="s">
        <v>477</v>
      </c>
      <c r="E452" s="4">
        <v>438943</v>
      </c>
      <c r="F452" s="4">
        <v>829.24</v>
      </c>
      <c r="G452" s="4">
        <v>82924</v>
      </c>
      <c r="H452" s="4">
        <v>82.924</v>
      </c>
      <c r="I452" s="4">
        <v>5.293316771983985</v>
      </c>
      <c r="J452" t="b">
        <v>0</v>
      </c>
      <c r="K452" t="b">
        <v>0</v>
      </c>
    </row>
    <row r="453" spans="1:11" x14ac:dyDescent="0.25">
      <c r="A453" t="s">
        <v>247</v>
      </c>
      <c r="B453" t="s">
        <v>248</v>
      </c>
      <c r="C453" t="s">
        <v>461</v>
      </c>
      <c r="D453" t="s">
        <v>462</v>
      </c>
      <c r="E453" s="4">
        <v>33456438</v>
      </c>
      <c r="F453" s="4">
        <v>18613.4</v>
      </c>
      <c r="G453" s="4">
        <v>1861340.0000000002</v>
      </c>
      <c r="H453" s="4">
        <v>1861.3400000000001</v>
      </c>
      <c r="I453" s="4">
        <v>17.974382971407692</v>
      </c>
      <c r="J453" t="b">
        <v>0</v>
      </c>
      <c r="K453" t="b">
        <v>0</v>
      </c>
    </row>
    <row r="454" spans="1:11" x14ac:dyDescent="0.25">
      <c r="A454" t="s">
        <v>247</v>
      </c>
      <c r="B454" t="s">
        <v>248</v>
      </c>
      <c r="C454" t="s">
        <v>463</v>
      </c>
      <c r="D454" t="s">
        <v>464</v>
      </c>
      <c r="E454" s="4">
        <v>29668648</v>
      </c>
      <c r="F454" s="4">
        <v>9981.87</v>
      </c>
      <c r="G454" s="4">
        <v>998187.0000000001</v>
      </c>
      <c r="H454" s="4">
        <v>998.1870000000001</v>
      </c>
      <c r="I454" s="4">
        <v>29.722534955875</v>
      </c>
      <c r="J454" t="b">
        <v>0</v>
      </c>
      <c r="K454" t="b">
        <v>0</v>
      </c>
    </row>
    <row r="455" spans="1:11" x14ac:dyDescent="0.25">
      <c r="A455" t="s">
        <v>247</v>
      </c>
      <c r="B455" t="s">
        <v>248</v>
      </c>
      <c r="C455" t="s">
        <v>465</v>
      </c>
      <c r="D455" t="s">
        <v>478</v>
      </c>
      <c r="E455" s="4">
        <v>12086438</v>
      </c>
      <c r="F455" s="4">
        <v>31697.23</v>
      </c>
      <c r="G455" s="4">
        <v>3169723</v>
      </c>
      <c r="H455" s="4">
        <v>3169.723</v>
      </c>
      <c r="I455" s="4">
        <v>3.8130896611470466</v>
      </c>
      <c r="J455" t="b">
        <v>0</v>
      </c>
      <c r="K455" t="b">
        <v>0</v>
      </c>
    </row>
    <row r="456" spans="1:11" x14ac:dyDescent="0.25">
      <c r="A456" t="s">
        <v>247</v>
      </c>
      <c r="B456" t="s">
        <v>248</v>
      </c>
      <c r="C456" t="s">
        <v>467</v>
      </c>
      <c r="D456" t="s">
        <v>468</v>
      </c>
      <c r="E456" s="4">
        <v>16998562</v>
      </c>
      <c r="F456" s="4">
        <v>8611.76</v>
      </c>
      <c r="G456" s="4">
        <v>861176</v>
      </c>
      <c r="H456" s="4">
        <v>861.176</v>
      </c>
      <c r="I456" s="4">
        <v>19.738778135944337</v>
      </c>
      <c r="J456" t="b">
        <v>0</v>
      </c>
      <c r="K456" t="b">
        <v>0</v>
      </c>
    </row>
    <row r="457" spans="1:11" x14ac:dyDescent="0.25">
      <c r="A457" t="s">
        <v>249</v>
      </c>
      <c r="B457" t="s">
        <v>250</v>
      </c>
      <c r="C457" t="s">
        <v>455</v>
      </c>
      <c r="D457" t="s">
        <v>477</v>
      </c>
      <c r="E457" s="4">
        <v>368660</v>
      </c>
      <c r="F457" s="4">
        <v>375.88</v>
      </c>
      <c r="G457" s="4">
        <v>37588</v>
      </c>
      <c r="H457" s="4">
        <v>37.588</v>
      </c>
      <c r="I457" s="4">
        <v>9.807917420453336</v>
      </c>
      <c r="J457" t="b">
        <v>0</v>
      </c>
      <c r="K457" t="b">
        <v>0</v>
      </c>
    </row>
    <row r="458" spans="1:11" x14ac:dyDescent="0.25">
      <c r="A458" t="s">
        <v>249</v>
      </c>
      <c r="B458" t="s">
        <v>250</v>
      </c>
      <c r="C458" t="s">
        <v>461</v>
      </c>
      <c r="D458" t="s">
        <v>462</v>
      </c>
      <c r="E458" s="4">
        <v>28941839</v>
      </c>
      <c r="F458" s="4">
        <v>16490.92</v>
      </c>
      <c r="G458" s="4">
        <v>1649091.9999999998</v>
      </c>
      <c r="H458" s="4">
        <v>1649.0919999999999</v>
      </c>
      <c r="I458" s="4">
        <v>17.550166394597756</v>
      </c>
      <c r="J458" t="b">
        <v>0</v>
      </c>
      <c r="K458" t="b">
        <v>0</v>
      </c>
    </row>
    <row r="459" spans="1:11" x14ac:dyDescent="0.25">
      <c r="A459" t="s">
        <v>249</v>
      </c>
      <c r="B459" t="s">
        <v>250</v>
      </c>
      <c r="C459" t="s">
        <v>463</v>
      </c>
      <c r="D459" t="s">
        <v>464</v>
      </c>
      <c r="E459" s="4">
        <v>21688024</v>
      </c>
      <c r="F459" s="4">
        <v>8014.06</v>
      </c>
      <c r="G459" s="4">
        <v>801406</v>
      </c>
      <c r="H459" s="4">
        <v>801.4060000000001</v>
      </c>
      <c r="I459" s="4">
        <v>27.062467712994412</v>
      </c>
      <c r="J459" t="b">
        <v>0</v>
      </c>
      <c r="K459" t="b">
        <v>0</v>
      </c>
    </row>
    <row r="460" spans="1:11" x14ac:dyDescent="0.25">
      <c r="A460" t="s">
        <v>249</v>
      </c>
      <c r="B460" t="s">
        <v>250</v>
      </c>
      <c r="C460" t="s">
        <v>465</v>
      </c>
      <c r="D460" t="s">
        <v>478</v>
      </c>
      <c r="E460" s="4">
        <v>9803090</v>
      </c>
      <c r="F460" s="4">
        <v>22357.43</v>
      </c>
      <c r="G460" s="4">
        <v>2235743</v>
      </c>
      <c r="H460" s="4">
        <v>2235.743</v>
      </c>
      <c r="I460" s="4">
        <v>4.384712375259589</v>
      </c>
      <c r="J460" t="b">
        <v>0</v>
      </c>
      <c r="K460" t="b">
        <v>0</v>
      </c>
    </row>
    <row r="461" spans="1:11" x14ac:dyDescent="0.25">
      <c r="A461" t="s">
        <v>249</v>
      </c>
      <c r="B461" t="s">
        <v>250</v>
      </c>
      <c r="C461" t="s">
        <v>467</v>
      </c>
      <c r="D461" t="s">
        <v>468</v>
      </c>
      <c r="E461" s="4">
        <v>16786700</v>
      </c>
      <c r="F461" s="4">
        <v>8553.58</v>
      </c>
      <c r="G461" s="4">
        <v>855358</v>
      </c>
      <c r="H461" s="4">
        <v>855.3580000000001</v>
      </c>
      <c r="I461" s="4">
        <v>19.62534985351163</v>
      </c>
      <c r="J461" t="b">
        <v>0</v>
      </c>
      <c r="K461" t="b">
        <v>0</v>
      </c>
    </row>
    <row r="462" spans="1:11" x14ac:dyDescent="0.25">
      <c r="A462" t="s">
        <v>251</v>
      </c>
      <c r="B462" t="s">
        <v>252</v>
      </c>
      <c r="C462" t="s">
        <v>455</v>
      </c>
      <c r="D462" t="s">
        <v>477</v>
      </c>
      <c r="E462" s="4">
        <v>663727</v>
      </c>
      <c r="F462" s="4">
        <v>1632.36</v>
      </c>
      <c r="G462" s="4">
        <v>163236</v>
      </c>
      <c r="H462" s="4">
        <v>163.236</v>
      </c>
      <c r="I462" s="4">
        <v>4.066057732362959</v>
      </c>
      <c r="J462" t="b">
        <v>0</v>
      </c>
      <c r="K462" t="b">
        <v>0</v>
      </c>
    </row>
    <row r="463" spans="1:11" x14ac:dyDescent="0.25">
      <c r="A463" t="s">
        <v>251</v>
      </c>
      <c r="B463" t="s">
        <v>252</v>
      </c>
      <c r="C463" t="s">
        <v>461</v>
      </c>
      <c r="D463" t="s">
        <v>462</v>
      </c>
      <c r="E463" s="4">
        <v>20432583</v>
      </c>
      <c r="F463" s="4">
        <v>11978.39</v>
      </c>
      <c r="G463" s="4">
        <v>1197839</v>
      </c>
      <c r="H463" s="4">
        <v>1197.839</v>
      </c>
      <c r="I463" s="4">
        <v>17.057870882480866</v>
      </c>
      <c r="J463" t="b">
        <v>0</v>
      </c>
      <c r="K463" t="b">
        <v>0</v>
      </c>
    </row>
    <row r="464" spans="1:11" x14ac:dyDescent="0.25">
      <c r="A464" t="s">
        <v>251</v>
      </c>
      <c r="B464" t="s">
        <v>252</v>
      </c>
      <c r="C464" t="s">
        <v>463</v>
      </c>
      <c r="D464" t="s">
        <v>464</v>
      </c>
      <c r="E464" s="4">
        <v>14457212</v>
      </c>
      <c r="F464" s="4">
        <v>5016.06</v>
      </c>
      <c r="G464" s="4">
        <v>501606.00000000006</v>
      </c>
      <c r="H464" s="4">
        <v>501.60600000000005</v>
      </c>
      <c r="I464" s="4">
        <v>28.821848223506095</v>
      </c>
      <c r="J464" t="b">
        <v>0</v>
      </c>
      <c r="K464" t="b">
        <v>0</v>
      </c>
    </row>
    <row r="465" spans="1:11" x14ac:dyDescent="0.25">
      <c r="A465" t="s">
        <v>251</v>
      </c>
      <c r="B465" t="s">
        <v>252</v>
      </c>
      <c r="C465" t="s">
        <v>465</v>
      </c>
      <c r="D465" t="s">
        <v>478</v>
      </c>
      <c r="E465" s="4">
        <v>12850525</v>
      </c>
      <c r="F465" s="4">
        <v>33273.23</v>
      </c>
      <c r="G465" s="4">
        <v>3327323.0000000005</v>
      </c>
      <c r="H465" s="4">
        <v>3327.3230000000003</v>
      </c>
      <c r="I465" s="4">
        <v>3.8621212908996205</v>
      </c>
      <c r="J465" t="b">
        <v>0</v>
      </c>
      <c r="K465" t="b">
        <v>0</v>
      </c>
    </row>
    <row r="466" spans="1:11" x14ac:dyDescent="0.25">
      <c r="A466" t="s">
        <v>251</v>
      </c>
      <c r="B466" t="s">
        <v>252</v>
      </c>
      <c r="C466" t="s">
        <v>467</v>
      </c>
      <c r="D466" t="s">
        <v>468</v>
      </c>
      <c r="E466" s="4">
        <v>11874752</v>
      </c>
      <c r="F466" s="4">
        <v>6679.68</v>
      </c>
      <c r="G466" s="4">
        <v>667968</v>
      </c>
      <c r="H466" s="4">
        <v>667.9680000000001</v>
      </c>
      <c r="I466" s="4">
        <v>17.777426463543165</v>
      </c>
      <c r="J466" t="b">
        <v>0</v>
      </c>
      <c r="K466" t="b">
        <v>0</v>
      </c>
    </row>
    <row r="467" spans="1:11" x14ac:dyDescent="0.25">
      <c r="A467" t="s">
        <v>253</v>
      </c>
      <c r="B467" t="s">
        <v>254</v>
      </c>
      <c r="C467" t="s">
        <v>455</v>
      </c>
      <c r="D467" t="s">
        <v>477</v>
      </c>
      <c r="E467" s="4">
        <v>1030423</v>
      </c>
      <c r="F467" s="4">
        <v>2383.44</v>
      </c>
      <c r="G467" s="4">
        <v>238344</v>
      </c>
      <c r="H467" s="4">
        <v>238.34400000000002</v>
      </c>
      <c r="I467" s="4">
        <v>4.323259658308999</v>
      </c>
      <c r="J467" t="b">
        <v>0</v>
      </c>
      <c r="K467" t="b">
        <v>0</v>
      </c>
    </row>
    <row r="468" spans="1:11" x14ac:dyDescent="0.25">
      <c r="A468" t="s">
        <v>253</v>
      </c>
      <c r="B468" t="s">
        <v>254</v>
      </c>
      <c r="C468" t="s">
        <v>461</v>
      </c>
      <c r="D468" t="s">
        <v>462</v>
      </c>
      <c r="E468" s="4">
        <v>19278302</v>
      </c>
      <c r="F468" s="4">
        <v>11585.78</v>
      </c>
      <c r="G468" s="4">
        <v>1158578</v>
      </c>
      <c r="H468" s="4">
        <v>1158.5780000000002</v>
      </c>
      <c r="I468" s="4">
        <v>16.63962374566063</v>
      </c>
      <c r="J468" t="b">
        <v>0</v>
      </c>
      <c r="K468" t="b">
        <v>0</v>
      </c>
    </row>
    <row r="469" spans="1:11" x14ac:dyDescent="0.25">
      <c r="A469" t="s">
        <v>253</v>
      </c>
      <c r="B469" t="s">
        <v>254</v>
      </c>
      <c r="C469" t="s">
        <v>463</v>
      </c>
      <c r="D469" t="s">
        <v>464</v>
      </c>
      <c r="E469" s="4">
        <v>11858489</v>
      </c>
      <c r="F469" s="4">
        <v>4261.19</v>
      </c>
      <c r="G469" s="4">
        <v>426118.99999999994</v>
      </c>
      <c r="H469" s="4">
        <v>426.11899999999997</v>
      </c>
      <c r="I469" s="4">
        <v>27.8290547945527</v>
      </c>
      <c r="J469" t="b">
        <v>0</v>
      </c>
      <c r="K469" t="b">
        <v>0</v>
      </c>
    </row>
    <row r="470" spans="1:11" x14ac:dyDescent="0.25">
      <c r="A470" t="s">
        <v>253</v>
      </c>
      <c r="B470" t="s">
        <v>254</v>
      </c>
      <c r="C470" t="s">
        <v>465</v>
      </c>
      <c r="D470" t="s">
        <v>478</v>
      </c>
      <c r="E470" s="4">
        <v>11856299</v>
      </c>
      <c r="F470" s="4">
        <v>29235.85</v>
      </c>
      <c r="G470" s="4">
        <v>2923585</v>
      </c>
      <c r="H470" s="4">
        <v>2923.585</v>
      </c>
      <c r="I470" s="4">
        <v>4.05539739737343</v>
      </c>
      <c r="J470" t="b">
        <v>0</v>
      </c>
      <c r="K470" t="b">
        <v>0</v>
      </c>
    </row>
    <row r="471" spans="1:11" x14ac:dyDescent="0.25">
      <c r="A471" t="s">
        <v>253</v>
      </c>
      <c r="B471" t="s">
        <v>254</v>
      </c>
      <c r="C471" t="s">
        <v>467</v>
      </c>
      <c r="D471" t="s">
        <v>468</v>
      </c>
      <c r="E471" s="4">
        <v>9214300</v>
      </c>
      <c r="F471" s="4">
        <v>5000.29</v>
      </c>
      <c r="G471" s="4">
        <v>500029</v>
      </c>
      <c r="H471" s="4">
        <v>500.029</v>
      </c>
      <c r="I471" s="4">
        <v>18.427531203190213</v>
      </c>
      <c r="J471" t="b">
        <v>0</v>
      </c>
      <c r="K471" t="b">
        <v>0</v>
      </c>
    </row>
    <row r="472" spans="1:11" x14ac:dyDescent="0.25">
      <c r="A472" t="s">
        <v>255</v>
      </c>
      <c r="B472" t="s">
        <v>256</v>
      </c>
      <c r="C472" t="s">
        <v>455</v>
      </c>
      <c r="D472" t="s">
        <v>477</v>
      </c>
      <c r="E472" s="4">
        <v>705830</v>
      </c>
      <c r="F472" s="4">
        <v>1187.21</v>
      </c>
      <c r="G472" s="4">
        <v>118721</v>
      </c>
      <c r="H472" s="4">
        <v>118.721</v>
      </c>
      <c r="I472" s="4">
        <v>5.945283479755056</v>
      </c>
      <c r="J472" t="b">
        <v>0</v>
      </c>
      <c r="K472" t="b">
        <v>0</v>
      </c>
    </row>
    <row r="473" spans="1:11" x14ac:dyDescent="0.25">
      <c r="A473" t="s">
        <v>255</v>
      </c>
      <c r="B473" t="s">
        <v>256</v>
      </c>
      <c r="C473" t="s">
        <v>461</v>
      </c>
      <c r="D473" t="s">
        <v>462</v>
      </c>
      <c r="E473" s="4">
        <v>24901449</v>
      </c>
      <c r="F473" s="4">
        <v>15096.91</v>
      </c>
      <c r="G473" s="4">
        <v>1509691</v>
      </c>
      <c r="H473" s="4">
        <v>1509.691</v>
      </c>
      <c r="I473" s="4">
        <v>16.494401172160394</v>
      </c>
      <c r="J473" t="b">
        <v>0</v>
      </c>
      <c r="K473" t="b">
        <v>0</v>
      </c>
    </row>
    <row r="474" spans="1:11" x14ac:dyDescent="0.25">
      <c r="A474" t="s">
        <v>255</v>
      </c>
      <c r="B474" t="s">
        <v>256</v>
      </c>
      <c r="C474" t="s">
        <v>463</v>
      </c>
      <c r="D474" t="s">
        <v>464</v>
      </c>
      <c r="E474" s="4">
        <v>14881492</v>
      </c>
      <c r="F474" s="4">
        <v>5885.43</v>
      </c>
      <c r="G474" s="4">
        <v>588543</v>
      </c>
      <c r="H474" s="4">
        <v>588.543</v>
      </c>
      <c r="I474" s="4">
        <v>25.285309654519722</v>
      </c>
      <c r="J474" t="b">
        <v>0</v>
      </c>
      <c r="K474" t="b">
        <v>0</v>
      </c>
    </row>
    <row r="475" spans="1:11" x14ac:dyDescent="0.25">
      <c r="A475" t="s">
        <v>255</v>
      </c>
      <c r="B475" t="s">
        <v>256</v>
      </c>
      <c r="C475" t="s">
        <v>465</v>
      </c>
      <c r="D475" t="s">
        <v>478</v>
      </c>
      <c r="E475" s="4">
        <v>10562896</v>
      </c>
      <c r="F475" s="4">
        <v>26558.44</v>
      </c>
      <c r="G475" s="4">
        <v>2655844</v>
      </c>
      <c r="H475" s="4">
        <v>2655.844</v>
      </c>
      <c r="I475" s="4">
        <v>3.9772275781258237</v>
      </c>
      <c r="J475" t="b">
        <v>0</v>
      </c>
      <c r="K475" t="b">
        <v>0</v>
      </c>
    </row>
    <row r="476" spans="1:11" x14ac:dyDescent="0.25">
      <c r="A476" t="s">
        <v>255</v>
      </c>
      <c r="B476" t="s">
        <v>256</v>
      </c>
      <c r="C476" t="s">
        <v>467</v>
      </c>
      <c r="D476" t="s">
        <v>468</v>
      </c>
      <c r="E476" s="4">
        <v>6661929</v>
      </c>
      <c r="F476" s="4">
        <v>3667.83</v>
      </c>
      <c r="G476" s="4">
        <v>366783</v>
      </c>
      <c r="H476" s="4">
        <v>366.783</v>
      </c>
      <c r="I476" s="4">
        <v>18.16313460547517</v>
      </c>
      <c r="J476" t="b">
        <v>0</v>
      </c>
      <c r="K476" t="b">
        <v>0</v>
      </c>
    </row>
    <row r="477" spans="1:11" x14ac:dyDescent="0.25">
      <c r="A477" t="s">
        <v>257</v>
      </c>
      <c r="B477" t="s">
        <v>258</v>
      </c>
      <c r="C477" t="s">
        <v>455</v>
      </c>
      <c r="D477" t="s">
        <v>477</v>
      </c>
      <c r="E477" s="4">
        <v>697441</v>
      </c>
      <c r="F477" s="4">
        <v>1324.56</v>
      </c>
      <c r="G477" s="4">
        <v>132456</v>
      </c>
      <c r="H477" s="4">
        <v>132.456</v>
      </c>
      <c r="I477" s="4">
        <v>5.26545418856073</v>
      </c>
      <c r="J477" t="b">
        <v>0</v>
      </c>
      <c r="K477" t="b">
        <v>0</v>
      </c>
    </row>
    <row r="478" spans="1:11" x14ac:dyDescent="0.25">
      <c r="A478" t="s">
        <v>257</v>
      </c>
      <c r="B478" t="s">
        <v>258</v>
      </c>
      <c r="C478" t="s">
        <v>461</v>
      </c>
      <c r="D478" t="s">
        <v>462</v>
      </c>
      <c r="E478" s="4">
        <v>26455601</v>
      </c>
      <c r="F478" s="4">
        <v>15073.99</v>
      </c>
      <c r="G478" s="4">
        <v>1507399</v>
      </c>
      <c r="H478" s="4">
        <v>1507.3990000000001</v>
      </c>
      <c r="I478" s="4">
        <v>17.550496583850727</v>
      </c>
      <c r="J478" t="b">
        <v>0</v>
      </c>
      <c r="K478" t="b">
        <v>0</v>
      </c>
    </row>
    <row r="479" spans="1:11" x14ac:dyDescent="0.25">
      <c r="A479" t="s">
        <v>257</v>
      </c>
      <c r="B479" t="s">
        <v>258</v>
      </c>
      <c r="C479" t="s">
        <v>463</v>
      </c>
      <c r="D479" t="s">
        <v>464</v>
      </c>
      <c r="E479" s="4">
        <v>20264124</v>
      </c>
      <c r="F479" s="4">
        <v>7056.27</v>
      </c>
      <c r="G479" s="4">
        <v>705627</v>
      </c>
      <c r="H479" s="4">
        <v>705.6270000000001</v>
      </c>
      <c r="I479" s="4">
        <v>28.71789769949279</v>
      </c>
      <c r="J479" t="b">
        <v>0</v>
      </c>
      <c r="K479" t="b">
        <v>0</v>
      </c>
    </row>
    <row r="480" spans="1:11" x14ac:dyDescent="0.25">
      <c r="A480" t="s">
        <v>257</v>
      </c>
      <c r="B480" t="s">
        <v>258</v>
      </c>
      <c r="C480" t="s">
        <v>465</v>
      </c>
      <c r="D480" t="s">
        <v>478</v>
      </c>
      <c r="E480" s="4">
        <v>7742483</v>
      </c>
      <c r="F480" s="4">
        <v>18040.9</v>
      </c>
      <c r="G480" s="4">
        <v>1804090.0000000002</v>
      </c>
      <c r="H480" s="4">
        <v>1804.0900000000001</v>
      </c>
      <c r="I480" s="4">
        <v>4.291627912132986</v>
      </c>
      <c r="J480" t="b">
        <v>0</v>
      </c>
      <c r="K480" t="b">
        <v>0</v>
      </c>
    </row>
    <row r="481" spans="1:11" x14ac:dyDescent="0.25">
      <c r="A481" t="s">
        <v>257</v>
      </c>
      <c r="B481" t="s">
        <v>258</v>
      </c>
      <c r="C481" t="s">
        <v>467</v>
      </c>
      <c r="D481" t="s">
        <v>468</v>
      </c>
      <c r="E481" s="4">
        <v>7197224</v>
      </c>
      <c r="F481" s="4">
        <v>3608.25</v>
      </c>
      <c r="G481" s="4">
        <v>360825</v>
      </c>
      <c r="H481" s="4">
        <v>360.82500000000005</v>
      </c>
      <c r="I481" s="4">
        <v>19.94657798101573</v>
      </c>
      <c r="J481" t="b">
        <v>0</v>
      </c>
      <c r="K481" t="b">
        <v>0</v>
      </c>
    </row>
    <row r="482" spans="1:11" x14ac:dyDescent="0.25">
      <c r="A482" t="s">
        <v>259</v>
      </c>
      <c r="B482" t="s">
        <v>260</v>
      </c>
      <c r="C482" t="s">
        <v>455</v>
      </c>
      <c r="D482" t="s">
        <v>477</v>
      </c>
      <c r="E482" s="4">
        <v>529614</v>
      </c>
      <c r="F482" s="4">
        <v>652.02</v>
      </c>
      <c r="G482" s="4">
        <v>65202</v>
      </c>
      <c r="H482" s="4">
        <v>65.202</v>
      </c>
      <c r="I482" s="4">
        <v>8.122664948927946</v>
      </c>
      <c r="J482" t="b">
        <v>0</v>
      </c>
      <c r="K482" t="b">
        <v>0</v>
      </c>
    </row>
    <row r="483" spans="1:11" x14ac:dyDescent="0.25">
      <c r="A483" t="s">
        <v>259</v>
      </c>
      <c r="B483" t="s">
        <v>260</v>
      </c>
      <c r="C483" t="s">
        <v>461</v>
      </c>
      <c r="D483" t="s">
        <v>462</v>
      </c>
      <c r="E483" s="4">
        <v>33233388</v>
      </c>
      <c r="F483" s="4">
        <v>17434.89</v>
      </c>
      <c r="G483" s="4">
        <v>1743489</v>
      </c>
      <c r="H483" s="4">
        <v>1743.489</v>
      </c>
      <c r="I483" s="4">
        <v>19.06142682861779</v>
      </c>
      <c r="J483" t="b">
        <v>0</v>
      </c>
      <c r="K483" t="b">
        <v>0</v>
      </c>
    </row>
    <row r="484" spans="1:11" x14ac:dyDescent="0.25">
      <c r="A484" t="s">
        <v>259</v>
      </c>
      <c r="B484" t="s">
        <v>260</v>
      </c>
      <c r="C484" t="s">
        <v>463</v>
      </c>
      <c r="D484" t="s">
        <v>464</v>
      </c>
      <c r="E484" s="4">
        <v>32997501</v>
      </c>
      <c r="F484" s="4">
        <v>10372.57</v>
      </c>
      <c r="G484" s="4">
        <v>1037257</v>
      </c>
      <c r="H484" s="4">
        <v>1037.257</v>
      </c>
      <c r="I484" s="4">
        <v>31.81227121147411</v>
      </c>
      <c r="J484" t="b">
        <v>0</v>
      </c>
      <c r="K484" t="b">
        <v>0</v>
      </c>
    </row>
    <row r="485" spans="1:11" x14ac:dyDescent="0.25">
      <c r="A485" t="s">
        <v>259</v>
      </c>
      <c r="B485" t="s">
        <v>260</v>
      </c>
      <c r="C485" t="s">
        <v>465</v>
      </c>
      <c r="D485" t="s">
        <v>478</v>
      </c>
      <c r="E485" s="4">
        <v>12583145</v>
      </c>
      <c r="F485" s="4">
        <v>30651.04</v>
      </c>
      <c r="G485" s="4">
        <v>3065104</v>
      </c>
      <c r="H485" s="4">
        <v>3065.1040000000003</v>
      </c>
      <c r="I485" s="4">
        <v>4.105291370211256</v>
      </c>
      <c r="J485" t="b">
        <v>0</v>
      </c>
      <c r="K485" t="b">
        <v>0</v>
      </c>
    </row>
    <row r="486" spans="1:11" x14ac:dyDescent="0.25">
      <c r="A486" t="s">
        <v>259</v>
      </c>
      <c r="B486" t="s">
        <v>260</v>
      </c>
      <c r="C486" t="s">
        <v>467</v>
      </c>
      <c r="D486" t="s">
        <v>468</v>
      </c>
      <c r="E486" s="4">
        <v>18045138</v>
      </c>
      <c r="F486" s="4">
        <v>9191.3</v>
      </c>
      <c r="G486" s="4">
        <v>919129.9999999999</v>
      </c>
      <c r="H486" s="4">
        <v>919.13</v>
      </c>
      <c r="I486" s="4">
        <v>19.63284627854602</v>
      </c>
      <c r="J486" t="b">
        <v>0</v>
      </c>
      <c r="K486" t="b">
        <v>0</v>
      </c>
    </row>
    <row r="487" spans="1:11" x14ac:dyDescent="0.25">
      <c r="A487" t="s">
        <v>261</v>
      </c>
      <c r="B487" t="s">
        <v>262</v>
      </c>
      <c r="C487" t="s">
        <v>455</v>
      </c>
      <c r="D487" t="s">
        <v>477</v>
      </c>
      <c r="E487" s="4">
        <v>574221</v>
      </c>
      <c r="F487" s="4">
        <v>706.73</v>
      </c>
      <c r="G487" s="4">
        <v>70673</v>
      </c>
      <c r="H487" s="4">
        <v>70.673</v>
      </c>
      <c r="I487" s="4">
        <v>8.125040680316387</v>
      </c>
      <c r="J487" t="b">
        <v>0</v>
      </c>
      <c r="K487" t="b">
        <v>0</v>
      </c>
    </row>
    <row r="488" spans="1:11" x14ac:dyDescent="0.25">
      <c r="A488" t="s">
        <v>261</v>
      </c>
      <c r="B488" t="s">
        <v>262</v>
      </c>
      <c r="C488" t="s">
        <v>461</v>
      </c>
      <c r="D488" t="s">
        <v>462</v>
      </c>
      <c r="E488" s="4">
        <v>29509810</v>
      </c>
      <c r="F488" s="4">
        <v>15321.19</v>
      </c>
      <c r="G488" s="4">
        <v>1532119</v>
      </c>
      <c r="H488" s="4">
        <v>1532.1190000000001</v>
      </c>
      <c r="I488" s="4">
        <v>19.260781962758767</v>
      </c>
      <c r="J488" t="b">
        <v>0</v>
      </c>
      <c r="K488" t="b">
        <v>0</v>
      </c>
    </row>
    <row r="489" spans="1:11" x14ac:dyDescent="0.25">
      <c r="A489" t="s">
        <v>261</v>
      </c>
      <c r="B489" t="s">
        <v>262</v>
      </c>
      <c r="C489" t="s">
        <v>463</v>
      </c>
      <c r="D489" t="s">
        <v>464</v>
      </c>
      <c r="E489" s="4">
        <v>38609917</v>
      </c>
      <c r="F489" s="4">
        <v>11643.3</v>
      </c>
      <c r="G489" s="4">
        <v>1164330</v>
      </c>
      <c r="H489" s="4">
        <v>1164.33</v>
      </c>
      <c r="I489" s="4">
        <v>33.16063057724185</v>
      </c>
      <c r="J489" t="b">
        <v>0</v>
      </c>
      <c r="K489" t="b">
        <v>0</v>
      </c>
    </row>
    <row r="490" spans="1:11" x14ac:dyDescent="0.25">
      <c r="A490" t="s">
        <v>261</v>
      </c>
      <c r="B490" t="s">
        <v>262</v>
      </c>
      <c r="C490" t="s">
        <v>465</v>
      </c>
      <c r="D490" t="s">
        <v>478</v>
      </c>
      <c r="E490" s="4">
        <v>10402786</v>
      </c>
      <c r="F490" s="4">
        <v>24450.85</v>
      </c>
      <c r="G490" s="4">
        <v>2445085</v>
      </c>
      <c r="H490" s="4">
        <v>2445.085</v>
      </c>
      <c r="I490" s="4">
        <v>4.254570291012378</v>
      </c>
      <c r="J490" t="b">
        <v>0</v>
      </c>
      <c r="K490" t="b">
        <v>0</v>
      </c>
    </row>
    <row r="491" spans="1:11" x14ac:dyDescent="0.25">
      <c r="A491" t="s">
        <v>261</v>
      </c>
      <c r="B491" t="s">
        <v>262</v>
      </c>
      <c r="C491" t="s">
        <v>467</v>
      </c>
      <c r="D491" t="s">
        <v>468</v>
      </c>
      <c r="E491" s="4">
        <v>17360096</v>
      </c>
      <c r="F491" s="4">
        <v>8384.66</v>
      </c>
      <c r="G491" s="4">
        <v>838466</v>
      </c>
      <c r="H491" s="4">
        <v>838.466</v>
      </c>
      <c r="I491" s="4">
        <v>20.704591480155425</v>
      </c>
      <c r="J491" t="b">
        <v>0</v>
      </c>
      <c r="K491" t="b">
        <v>0</v>
      </c>
    </row>
    <row r="492" spans="1:11" x14ac:dyDescent="0.25">
      <c r="A492" t="s">
        <v>263</v>
      </c>
      <c r="B492" t="s">
        <v>264</v>
      </c>
      <c r="C492" t="s">
        <v>455</v>
      </c>
      <c r="D492" t="s">
        <v>477</v>
      </c>
      <c r="E492" s="4">
        <v>316190</v>
      </c>
      <c r="F492" s="4">
        <v>483.17</v>
      </c>
      <c r="G492" s="4">
        <v>48317</v>
      </c>
      <c r="H492" s="4">
        <v>48.31700000000001</v>
      </c>
      <c r="I492" s="4">
        <v>6.5440735144980025</v>
      </c>
      <c r="J492" t="b">
        <v>0</v>
      </c>
      <c r="K492" t="b">
        <v>0</v>
      </c>
    </row>
    <row r="493" spans="1:11" x14ac:dyDescent="0.25">
      <c r="A493" t="s">
        <v>263</v>
      </c>
      <c r="B493" t="s">
        <v>264</v>
      </c>
      <c r="C493" t="s">
        <v>461</v>
      </c>
      <c r="D493" t="s">
        <v>462</v>
      </c>
      <c r="E493" s="4">
        <v>29415399</v>
      </c>
      <c r="F493" s="4">
        <v>14989.23</v>
      </c>
      <c r="G493" s="4">
        <v>1498923</v>
      </c>
      <c r="H493" s="4">
        <v>1498.923</v>
      </c>
      <c r="I493" s="4">
        <v>19.624356287814653</v>
      </c>
      <c r="J493" t="b">
        <v>0</v>
      </c>
      <c r="K493" t="b">
        <v>0</v>
      </c>
    </row>
    <row r="494" spans="1:11" x14ac:dyDescent="0.25">
      <c r="A494" t="s">
        <v>263</v>
      </c>
      <c r="B494" t="s">
        <v>264</v>
      </c>
      <c r="C494" t="s">
        <v>463</v>
      </c>
      <c r="D494" t="s">
        <v>464</v>
      </c>
      <c r="E494" s="4">
        <v>35405354</v>
      </c>
      <c r="F494" s="4">
        <v>11941.38</v>
      </c>
      <c r="G494" s="4">
        <v>1194138</v>
      </c>
      <c r="H494" s="4">
        <v>1194.138</v>
      </c>
      <c r="I494" s="4">
        <v>29.649298489789288</v>
      </c>
      <c r="J494" t="b">
        <v>0</v>
      </c>
      <c r="K494" t="b">
        <v>0</v>
      </c>
    </row>
    <row r="495" spans="1:11" x14ac:dyDescent="0.25">
      <c r="A495" t="s">
        <v>263</v>
      </c>
      <c r="B495" t="s">
        <v>264</v>
      </c>
      <c r="C495" t="s">
        <v>465</v>
      </c>
      <c r="D495" t="s">
        <v>478</v>
      </c>
      <c r="E495" s="4">
        <v>9432801</v>
      </c>
      <c r="F495" s="4">
        <v>24821.57</v>
      </c>
      <c r="G495" s="4">
        <v>2482157</v>
      </c>
      <c r="H495" s="4">
        <v>2482.157</v>
      </c>
      <c r="I495" s="4">
        <v>3.800243497893163</v>
      </c>
      <c r="J495" t="b">
        <v>0</v>
      </c>
      <c r="K495" t="b">
        <v>0</v>
      </c>
    </row>
    <row r="496" spans="1:11" x14ac:dyDescent="0.25">
      <c r="A496" t="s">
        <v>263</v>
      </c>
      <c r="B496" t="s">
        <v>264</v>
      </c>
      <c r="C496" t="s">
        <v>467</v>
      </c>
      <c r="D496" t="s">
        <v>468</v>
      </c>
      <c r="E496" s="4">
        <v>15979147</v>
      </c>
      <c r="F496" s="4">
        <v>7568.1</v>
      </c>
      <c r="G496" s="4">
        <v>756810</v>
      </c>
      <c r="H496" s="4">
        <v>756.8100000000001</v>
      </c>
      <c r="I496" s="4">
        <v>21.113815885096656</v>
      </c>
      <c r="J496" t="b">
        <v>0</v>
      </c>
      <c r="K496" t="b">
        <v>0</v>
      </c>
    </row>
    <row r="497" spans="1:11" x14ac:dyDescent="0.25">
      <c r="A497" t="s">
        <v>265</v>
      </c>
      <c r="B497" t="s">
        <v>266</v>
      </c>
      <c r="C497" t="s">
        <v>455</v>
      </c>
      <c r="D497" t="s">
        <v>477</v>
      </c>
      <c r="E497" s="4">
        <v>765546</v>
      </c>
      <c r="F497" s="4">
        <v>1278.71</v>
      </c>
      <c r="G497" s="4">
        <v>127871</v>
      </c>
      <c r="H497" s="4">
        <v>127.87100000000001</v>
      </c>
      <c r="I497" s="4">
        <v>5.98686175911661</v>
      </c>
      <c r="J497" t="b">
        <v>0</v>
      </c>
      <c r="K497" t="b">
        <v>0</v>
      </c>
    </row>
    <row r="498" spans="1:11" x14ac:dyDescent="0.25">
      <c r="A498" t="s">
        <v>265</v>
      </c>
      <c r="B498" t="s">
        <v>266</v>
      </c>
      <c r="C498" t="s">
        <v>461</v>
      </c>
      <c r="D498" t="s">
        <v>462</v>
      </c>
      <c r="E498" s="4">
        <v>30550204</v>
      </c>
      <c r="F498" s="4">
        <v>16062.3</v>
      </c>
      <c r="G498" s="4">
        <v>1606230</v>
      </c>
      <c r="H498" s="4">
        <v>1606.23</v>
      </c>
      <c r="I498" s="4">
        <v>19.019819079459356</v>
      </c>
      <c r="J498" t="b">
        <v>0</v>
      </c>
      <c r="K498" t="b">
        <v>0</v>
      </c>
    </row>
    <row r="499" spans="1:11" x14ac:dyDescent="0.25">
      <c r="A499" t="s">
        <v>265</v>
      </c>
      <c r="B499" t="s">
        <v>266</v>
      </c>
      <c r="C499" t="s">
        <v>463</v>
      </c>
      <c r="D499" t="s">
        <v>464</v>
      </c>
      <c r="E499" s="4">
        <v>37664687</v>
      </c>
      <c r="F499" s="4">
        <v>13678.06</v>
      </c>
      <c r="G499" s="4">
        <v>1367806</v>
      </c>
      <c r="H499" s="4">
        <v>1367.806</v>
      </c>
      <c r="I499" s="4">
        <v>27.536570975708543</v>
      </c>
      <c r="J499" t="b">
        <v>0</v>
      </c>
      <c r="K499" t="b">
        <v>0</v>
      </c>
    </row>
    <row r="500" spans="1:11" x14ac:dyDescent="0.25">
      <c r="A500" t="s">
        <v>265</v>
      </c>
      <c r="B500" t="s">
        <v>266</v>
      </c>
      <c r="C500" t="s">
        <v>465</v>
      </c>
      <c r="D500" t="s">
        <v>478</v>
      </c>
      <c r="E500" s="4">
        <v>12220227</v>
      </c>
      <c r="F500" s="4">
        <v>31224.93</v>
      </c>
      <c r="G500" s="4">
        <v>3122493</v>
      </c>
      <c r="H500" s="4">
        <v>3122.4930000000004</v>
      </c>
      <c r="I500" s="4">
        <v>3.9136122963286066</v>
      </c>
      <c r="J500" t="b">
        <v>0</v>
      </c>
      <c r="K500" t="b">
        <v>0</v>
      </c>
    </row>
    <row r="501" spans="1:11" x14ac:dyDescent="0.25">
      <c r="A501" t="s">
        <v>265</v>
      </c>
      <c r="B501" t="s">
        <v>266</v>
      </c>
      <c r="C501" t="s">
        <v>467</v>
      </c>
      <c r="D501" t="s">
        <v>468</v>
      </c>
      <c r="E501" s="4">
        <v>14882707</v>
      </c>
      <c r="F501" s="4">
        <v>7599.61</v>
      </c>
      <c r="G501" s="4">
        <v>759961</v>
      </c>
      <c r="H501" s="4">
        <v>759.961</v>
      </c>
      <c r="I501" s="4">
        <v>19.5835141540158</v>
      </c>
      <c r="J501" t="b">
        <v>0</v>
      </c>
      <c r="K501" t="b">
        <v>0</v>
      </c>
    </row>
    <row r="502" spans="1:11" x14ac:dyDescent="0.25">
      <c r="A502" t="s">
        <v>267</v>
      </c>
      <c r="B502" t="s">
        <v>268</v>
      </c>
      <c r="C502" t="s">
        <v>455</v>
      </c>
      <c r="D502" t="s">
        <v>477</v>
      </c>
      <c r="E502" s="4">
        <v>733105</v>
      </c>
      <c r="F502" s="4">
        <v>1454.87</v>
      </c>
      <c r="G502" s="4">
        <v>145487</v>
      </c>
      <c r="H502" s="4">
        <v>145.487</v>
      </c>
      <c r="I502" s="4">
        <v>5.038972554248833</v>
      </c>
      <c r="J502" t="b">
        <v>0</v>
      </c>
      <c r="K502" t="b">
        <v>0</v>
      </c>
    </row>
    <row r="503" spans="1:11" x14ac:dyDescent="0.25">
      <c r="A503" t="s">
        <v>267</v>
      </c>
      <c r="B503" t="s">
        <v>268</v>
      </c>
      <c r="C503" t="s">
        <v>461</v>
      </c>
      <c r="D503" t="s">
        <v>462</v>
      </c>
      <c r="E503" s="4">
        <v>27971242</v>
      </c>
      <c r="F503" s="4">
        <v>14916.45</v>
      </c>
      <c r="G503" s="4">
        <v>1491645</v>
      </c>
      <c r="H503" s="4">
        <v>1491.6450000000002</v>
      </c>
      <c r="I503" s="4">
        <v>18.751942989116042</v>
      </c>
      <c r="J503" t="b">
        <v>0</v>
      </c>
      <c r="K503" t="b">
        <v>0</v>
      </c>
    </row>
    <row r="504" spans="1:11" x14ac:dyDescent="0.25">
      <c r="A504" t="s">
        <v>267</v>
      </c>
      <c r="B504" t="s">
        <v>268</v>
      </c>
      <c r="C504" t="s">
        <v>463</v>
      </c>
      <c r="D504" t="s">
        <v>464</v>
      </c>
      <c r="E504" s="4">
        <v>28579419</v>
      </c>
      <c r="F504" s="4">
        <v>10614.03</v>
      </c>
      <c r="G504" s="4">
        <v>1061403</v>
      </c>
      <c r="H504" s="4">
        <v>1061.403</v>
      </c>
      <c r="I504" s="4">
        <v>26.926077088532818</v>
      </c>
      <c r="J504" t="b">
        <v>0</v>
      </c>
      <c r="K504" t="b">
        <v>0</v>
      </c>
    </row>
    <row r="505" spans="1:11" x14ac:dyDescent="0.25">
      <c r="A505" t="s">
        <v>267</v>
      </c>
      <c r="B505" t="s">
        <v>268</v>
      </c>
      <c r="C505" t="s">
        <v>465</v>
      </c>
      <c r="D505" t="s">
        <v>478</v>
      </c>
      <c r="E505" s="4">
        <v>11693010</v>
      </c>
      <c r="F505" s="4">
        <v>31034.31</v>
      </c>
      <c r="G505" s="4">
        <v>3103431</v>
      </c>
      <c r="H505" s="4">
        <v>3103.4310000000005</v>
      </c>
      <c r="I505" s="4">
        <v>3.767768640578766</v>
      </c>
      <c r="J505" t="b">
        <v>0</v>
      </c>
      <c r="K505" t="b">
        <v>0</v>
      </c>
    </row>
    <row r="506" spans="1:11" x14ac:dyDescent="0.25">
      <c r="A506" t="s">
        <v>267</v>
      </c>
      <c r="B506" t="s">
        <v>268</v>
      </c>
      <c r="C506" t="s">
        <v>467</v>
      </c>
      <c r="D506" t="s">
        <v>468</v>
      </c>
      <c r="E506" s="4">
        <v>9740628</v>
      </c>
      <c r="F506" s="4">
        <v>5221.26</v>
      </c>
      <c r="G506" s="4">
        <v>522126</v>
      </c>
      <c r="H506" s="4">
        <v>522.1260000000001</v>
      </c>
      <c r="I506" s="4">
        <v>18.655703795635535</v>
      </c>
      <c r="J506" t="b">
        <v>0</v>
      </c>
      <c r="K506" t="b">
        <v>0</v>
      </c>
    </row>
    <row r="507" spans="1:11" x14ac:dyDescent="0.25">
      <c r="A507" t="s">
        <v>269</v>
      </c>
      <c r="B507" t="s">
        <v>270</v>
      </c>
      <c r="C507" t="s">
        <v>455</v>
      </c>
      <c r="D507" t="s">
        <v>477</v>
      </c>
      <c r="E507" s="4">
        <v>579284</v>
      </c>
      <c r="F507" s="4">
        <v>808.87</v>
      </c>
      <c r="G507" s="4">
        <v>80887</v>
      </c>
      <c r="H507" s="4">
        <v>80.887</v>
      </c>
      <c r="I507" s="4">
        <v>7.1616452581997105</v>
      </c>
      <c r="J507" t="b">
        <v>0</v>
      </c>
      <c r="K507" t="b">
        <v>0</v>
      </c>
    </row>
    <row r="508" spans="1:11" x14ac:dyDescent="0.25">
      <c r="A508" t="s">
        <v>269</v>
      </c>
      <c r="B508" t="s">
        <v>270</v>
      </c>
      <c r="C508" t="s">
        <v>461</v>
      </c>
      <c r="D508" t="s">
        <v>462</v>
      </c>
      <c r="E508" s="4">
        <v>35880377</v>
      </c>
      <c r="F508" s="4">
        <v>19606.63</v>
      </c>
      <c r="G508" s="4">
        <v>1960663</v>
      </c>
      <c r="H508" s="4">
        <v>1960.6630000000002</v>
      </c>
      <c r="I508" s="4">
        <v>18.300124498702736</v>
      </c>
      <c r="J508" t="b">
        <v>0</v>
      </c>
      <c r="K508" t="b">
        <v>0</v>
      </c>
    </row>
    <row r="509" spans="1:11" x14ac:dyDescent="0.25">
      <c r="A509" t="s">
        <v>269</v>
      </c>
      <c r="B509" t="s">
        <v>270</v>
      </c>
      <c r="C509" t="s">
        <v>463</v>
      </c>
      <c r="D509" t="s">
        <v>464</v>
      </c>
      <c r="E509" s="4">
        <v>30836778</v>
      </c>
      <c r="F509" s="4">
        <v>12549.04</v>
      </c>
      <c r="G509" s="4">
        <v>1254904</v>
      </c>
      <c r="H509" s="4">
        <v>1254.9040000000002</v>
      </c>
      <c r="I509" s="4">
        <v>24.573017537596503</v>
      </c>
      <c r="J509" t="b">
        <v>0</v>
      </c>
      <c r="K509" t="b">
        <v>0</v>
      </c>
    </row>
    <row r="510" spans="1:11" x14ac:dyDescent="0.25">
      <c r="A510" t="s">
        <v>269</v>
      </c>
      <c r="B510" t="s">
        <v>270</v>
      </c>
      <c r="C510" t="s">
        <v>465</v>
      </c>
      <c r="D510" t="s">
        <v>478</v>
      </c>
      <c r="E510" s="4">
        <v>9785199</v>
      </c>
      <c r="F510" s="4">
        <v>23514.5</v>
      </c>
      <c r="G510" s="4">
        <v>2351450</v>
      </c>
      <c r="H510" s="4">
        <v>2351.4500000000003</v>
      </c>
      <c r="I510" s="4">
        <v>4.161346828552595</v>
      </c>
      <c r="J510" t="b">
        <v>0</v>
      </c>
      <c r="K510" t="b">
        <v>0</v>
      </c>
    </row>
    <row r="511" spans="1:11" x14ac:dyDescent="0.25">
      <c r="A511" t="s">
        <v>269</v>
      </c>
      <c r="B511" t="s">
        <v>270</v>
      </c>
      <c r="C511" t="s">
        <v>467</v>
      </c>
      <c r="D511" t="s">
        <v>468</v>
      </c>
      <c r="E511" s="4">
        <v>9944685</v>
      </c>
      <c r="F511" s="4">
        <v>5049.15</v>
      </c>
      <c r="G511" s="4">
        <v>504914.99999999994</v>
      </c>
      <c r="H511" s="4">
        <v>504.91499999999996</v>
      </c>
      <c r="I511" s="4">
        <v>19.69576067258846</v>
      </c>
      <c r="J511" t="b">
        <v>0</v>
      </c>
      <c r="K511" t="b">
        <v>0</v>
      </c>
    </row>
    <row r="512" spans="1:11" x14ac:dyDescent="0.25">
      <c r="A512" t="s">
        <v>271</v>
      </c>
      <c r="B512" t="s">
        <v>272</v>
      </c>
      <c r="C512" t="s">
        <v>455</v>
      </c>
      <c r="D512" t="s">
        <v>477</v>
      </c>
      <c r="E512" s="4">
        <v>962342</v>
      </c>
      <c r="F512" s="4">
        <v>1760.71</v>
      </c>
      <c r="G512" s="4">
        <v>176071</v>
      </c>
      <c r="H512" s="4">
        <v>176.07100000000003</v>
      </c>
      <c r="I512" s="4">
        <v>5.46564738088612</v>
      </c>
      <c r="J512" t="b">
        <v>0</v>
      </c>
      <c r="K512" t="b">
        <v>0</v>
      </c>
    </row>
    <row r="513" spans="1:11" x14ac:dyDescent="0.25">
      <c r="A513" t="s">
        <v>271</v>
      </c>
      <c r="B513" t="s">
        <v>272</v>
      </c>
      <c r="C513" t="s">
        <v>461</v>
      </c>
      <c r="D513" t="s">
        <v>462</v>
      </c>
      <c r="E513" s="4">
        <v>37367819</v>
      </c>
      <c r="F513" s="4">
        <v>21324.44</v>
      </c>
      <c r="G513" s="4">
        <v>2132444</v>
      </c>
      <c r="H513" s="4">
        <v>2132.444</v>
      </c>
      <c r="I513" s="4">
        <v>17.523470252911682</v>
      </c>
      <c r="J513" t="b">
        <v>0</v>
      </c>
      <c r="K513" t="b">
        <v>0</v>
      </c>
    </row>
    <row r="514" spans="1:11" x14ac:dyDescent="0.25">
      <c r="A514" t="s">
        <v>271</v>
      </c>
      <c r="B514" t="s">
        <v>272</v>
      </c>
      <c r="C514" t="s">
        <v>463</v>
      </c>
      <c r="D514" t="s">
        <v>464</v>
      </c>
      <c r="E514" s="4">
        <v>33553313</v>
      </c>
      <c r="F514" s="4">
        <v>11020.67</v>
      </c>
      <c r="G514" s="4">
        <v>1102067</v>
      </c>
      <c r="H514" s="4">
        <v>1102.067</v>
      </c>
      <c r="I514" s="4">
        <v>30.44580138957069</v>
      </c>
      <c r="J514" t="b">
        <v>0</v>
      </c>
      <c r="K514" t="b">
        <v>0</v>
      </c>
    </row>
    <row r="515" spans="1:11" x14ac:dyDescent="0.25">
      <c r="A515" t="s">
        <v>271</v>
      </c>
      <c r="B515" t="s">
        <v>272</v>
      </c>
      <c r="C515" t="s">
        <v>465</v>
      </c>
      <c r="D515" t="s">
        <v>478</v>
      </c>
      <c r="E515" s="4">
        <v>12152727</v>
      </c>
      <c r="F515" s="4">
        <v>27577.21</v>
      </c>
      <c r="G515" s="4">
        <v>2757721</v>
      </c>
      <c r="H515" s="4">
        <v>2757.721</v>
      </c>
      <c r="I515" s="4">
        <v>4.406800760483022</v>
      </c>
      <c r="J515" t="b">
        <v>0</v>
      </c>
      <c r="K515" t="b">
        <v>0</v>
      </c>
    </row>
    <row r="516" spans="1:11" x14ac:dyDescent="0.25">
      <c r="A516" t="s">
        <v>271</v>
      </c>
      <c r="B516" t="s">
        <v>272</v>
      </c>
      <c r="C516" t="s">
        <v>467</v>
      </c>
      <c r="D516" t="s">
        <v>468</v>
      </c>
      <c r="E516" s="4">
        <v>15485449</v>
      </c>
      <c r="F516" s="4">
        <v>7655.31</v>
      </c>
      <c r="G516" s="4">
        <v>765531</v>
      </c>
      <c r="H516" s="4">
        <v>765.5310000000001</v>
      </c>
      <c r="I516" s="4">
        <v>20.22837612062738</v>
      </c>
      <c r="J516" t="b">
        <v>0</v>
      </c>
      <c r="K516" t="b">
        <v>0</v>
      </c>
    </row>
    <row r="517" spans="1:11" x14ac:dyDescent="0.25">
      <c r="A517" t="s">
        <v>273</v>
      </c>
      <c r="B517" t="s">
        <v>274</v>
      </c>
      <c r="C517" t="s">
        <v>455</v>
      </c>
      <c r="D517" t="s">
        <v>477</v>
      </c>
      <c r="E517" s="4">
        <v>550255</v>
      </c>
      <c r="F517" s="4">
        <v>763.07</v>
      </c>
      <c r="G517" s="4">
        <v>76307</v>
      </c>
      <c r="H517" s="4">
        <v>76.307</v>
      </c>
      <c r="I517" s="4">
        <v>7.211068447193574</v>
      </c>
      <c r="J517" t="b">
        <v>0</v>
      </c>
      <c r="K517" t="b">
        <v>0</v>
      </c>
    </row>
    <row r="518" spans="1:11" x14ac:dyDescent="0.25">
      <c r="A518" t="s">
        <v>273</v>
      </c>
      <c r="B518" t="s">
        <v>274</v>
      </c>
      <c r="C518" t="s">
        <v>461</v>
      </c>
      <c r="D518" t="s">
        <v>462</v>
      </c>
      <c r="E518" s="4">
        <v>26663933</v>
      </c>
      <c r="F518" s="4">
        <v>14856.84</v>
      </c>
      <c r="G518" s="4">
        <v>1485684</v>
      </c>
      <c r="H518" s="4">
        <v>1485.6840000000002</v>
      </c>
      <c r="I518" s="4">
        <v>17.947243828431887</v>
      </c>
      <c r="J518" t="b">
        <v>0</v>
      </c>
      <c r="K518" t="b">
        <v>0</v>
      </c>
    </row>
    <row r="519" spans="1:11" x14ac:dyDescent="0.25">
      <c r="A519" t="s">
        <v>273</v>
      </c>
      <c r="B519" t="s">
        <v>274</v>
      </c>
      <c r="C519" t="s">
        <v>463</v>
      </c>
      <c r="D519" t="s">
        <v>464</v>
      </c>
      <c r="E519" s="4">
        <v>22496804</v>
      </c>
      <c r="F519" s="4">
        <v>8487.27</v>
      </c>
      <c r="G519" s="4">
        <v>848727</v>
      </c>
      <c r="H519" s="4">
        <v>848.7270000000001</v>
      </c>
      <c r="I519" s="4">
        <v>26.50652565548168</v>
      </c>
      <c r="J519" t="b">
        <v>0</v>
      </c>
      <c r="K519" t="b">
        <v>0</v>
      </c>
    </row>
    <row r="520" spans="1:11" x14ac:dyDescent="0.25">
      <c r="A520" t="s">
        <v>273</v>
      </c>
      <c r="B520" t="s">
        <v>274</v>
      </c>
      <c r="C520" t="s">
        <v>465</v>
      </c>
      <c r="D520" t="s">
        <v>478</v>
      </c>
      <c r="E520" s="4">
        <v>10455112</v>
      </c>
      <c r="F520" s="4">
        <v>25429.62</v>
      </c>
      <c r="G520" s="4">
        <v>2542962</v>
      </c>
      <c r="H520" s="4">
        <v>2542.962</v>
      </c>
      <c r="I520" s="4">
        <v>4.111391361726994</v>
      </c>
      <c r="J520" t="b">
        <v>0</v>
      </c>
      <c r="K520" t="b">
        <v>0</v>
      </c>
    </row>
    <row r="521" spans="1:11" x14ac:dyDescent="0.25">
      <c r="A521" t="s">
        <v>273</v>
      </c>
      <c r="B521" t="s">
        <v>274</v>
      </c>
      <c r="C521" t="s">
        <v>467</v>
      </c>
      <c r="D521" t="s">
        <v>468</v>
      </c>
      <c r="E521" s="4">
        <v>15344547</v>
      </c>
      <c r="F521" s="4">
        <v>8387.22</v>
      </c>
      <c r="G521" s="4">
        <v>838721.9999999999</v>
      </c>
      <c r="H521" s="4">
        <v>838.722</v>
      </c>
      <c r="I521" s="4">
        <v>18.29515262506528</v>
      </c>
      <c r="J521" t="b">
        <v>0</v>
      </c>
      <c r="K521" t="b">
        <v>0</v>
      </c>
    </row>
    <row r="522" spans="1:11" x14ac:dyDescent="0.25">
      <c r="A522" t="s">
        <v>275</v>
      </c>
      <c r="B522" t="s">
        <v>276</v>
      </c>
      <c r="C522" t="s">
        <v>455</v>
      </c>
      <c r="D522" t="s">
        <v>477</v>
      </c>
      <c r="E522" s="4">
        <v>633880</v>
      </c>
      <c r="F522" s="4">
        <v>1344.25</v>
      </c>
      <c r="G522" s="4">
        <v>134425</v>
      </c>
      <c r="H522" s="4">
        <v>134.425</v>
      </c>
      <c r="I522" s="4">
        <v>4.715491909986982</v>
      </c>
      <c r="J522" t="b">
        <v>0</v>
      </c>
      <c r="K522" t="b">
        <v>0</v>
      </c>
    </row>
    <row r="523" spans="1:11" x14ac:dyDescent="0.25">
      <c r="A523" t="s">
        <v>275</v>
      </c>
      <c r="B523" t="s">
        <v>276</v>
      </c>
      <c r="C523" t="s">
        <v>461</v>
      </c>
      <c r="D523" t="s">
        <v>462</v>
      </c>
      <c r="E523" s="4">
        <v>20672713</v>
      </c>
      <c r="F523" s="4">
        <v>11563.15</v>
      </c>
      <c r="G523" s="4">
        <v>1156315</v>
      </c>
      <c r="H523" s="4">
        <v>1156.315</v>
      </c>
      <c r="I523" s="4">
        <v>17.87809809610703</v>
      </c>
      <c r="J523" t="b">
        <v>0</v>
      </c>
      <c r="K523" t="b">
        <v>0</v>
      </c>
    </row>
    <row r="524" spans="1:11" x14ac:dyDescent="0.25">
      <c r="A524" t="s">
        <v>275</v>
      </c>
      <c r="B524" t="s">
        <v>276</v>
      </c>
      <c r="C524" t="s">
        <v>463</v>
      </c>
      <c r="D524" t="s">
        <v>464</v>
      </c>
      <c r="E524" s="4">
        <v>14792310</v>
      </c>
      <c r="F524" s="4">
        <v>6034.4</v>
      </c>
      <c r="G524" s="4">
        <v>603440</v>
      </c>
      <c r="H524" s="4">
        <v>603.4399999999999</v>
      </c>
      <c r="I524" s="4">
        <v>24.5133070396394</v>
      </c>
      <c r="J524" t="b">
        <v>0</v>
      </c>
      <c r="K524" t="b">
        <v>0</v>
      </c>
    </row>
    <row r="525" spans="1:11" x14ac:dyDescent="0.25">
      <c r="A525" t="s">
        <v>275</v>
      </c>
      <c r="B525" t="s">
        <v>276</v>
      </c>
      <c r="C525" t="s">
        <v>465</v>
      </c>
      <c r="D525" t="s">
        <v>478</v>
      </c>
      <c r="E525" s="4">
        <v>10485906</v>
      </c>
      <c r="F525" s="4">
        <v>26457.63</v>
      </c>
      <c r="G525" s="4">
        <v>2645763</v>
      </c>
      <c r="H525" s="4">
        <v>2645.7630000000004</v>
      </c>
      <c r="I525" s="4">
        <v>3.9632824255233747</v>
      </c>
      <c r="J525" t="b">
        <v>0</v>
      </c>
      <c r="K525" t="b">
        <v>0</v>
      </c>
    </row>
    <row r="526" spans="1:11" x14ac:dyDescent="0.25">
      <c r="A526" t="s">
        <v>275</v>
      </c>
      <c r="B526" t="s">
        <v>276</v>
      </c>
      <c r="C526" t="s">
        <v>467</v>
      </c>
      <c r="D526" t="s">
        <v>468</v>
      </c>
      <c r="E526" s="4">
        <v>11064559</v>
      </c>
      <c r="F526" s="4">
        <v>5727.55</v>
      </c>
      <c r="G526" s="4">
        <v>572755</v>
      </c>
      <c r="H526" s="4">
        <v>572.755</v>
      </c>
      <c r="I526" s="4">
        <v>19.31813602674791</v>
      </c>
      <c r="J526" t="b">
        <v>0</v>
      </c>
      <c r="K526" t="b">
        <v>0</v>
      </c>
    </row>
    <row r="527" spans="1:11" x14ac:dyDescent="0.25">
      <c r="A527" t="s">
        <v>277</v>
      </c>
      <c r="B527" t="s">
        <v>278</v>
      </c>
      <c r="C527" t="s">
        <v>455</v>
      </c>
      <c r="D527" t="s">
        <v>477</v>
      </c>
      <c r="E527" s="4">
        <v>568979</v>
      </c>
      <c r="F527" s="4">
        <v>839.48</v>
      </c>
      <c r="G527" s="4">
        <v>83948</v>
      </c>
      <c r="H527" s="4">
        <v>83.94800000000001</v>
      </c>
      <c r="I527" s="4">
        <v>6.7777552770762854</v>
      </c>
      <c r="J527" t="b">
        <v>0</v>
      </c>
      <c r="K527" t="b">
        <v>0</v>
      </c>
    </row>
    <row r="528" spans="1:11" x14ac:dyDescent="0.25">
      <c r="A528" t="s">
        <v>277</v>
      </c>
      <c r="B528" t="s">
        <v>278</v>
      </c>
      <c r="C528" t="s">
        <v>461</v>
      </c>
      <c r="D528" t="s">
        <v>462</v>
      </c>
      <c r="E528" s="4">
        <v>17111402</v>
      </c>
      <c r="F528" s="4">
        <v>9552.07</v>
      </c>
      <c r="G528" s="4">
        <v>955207</v>
      </c>
      <c r="H528" s="4">
        <v>955.207</v>
      </c>
      <c r="I528" s="4">
        <v>17.913815539458987</v>
      </c>
      <c r="J528" t="b">
        <v>0</v>
      </c>
      <c r="K528" t="b">
        <v>0</v>
      </c>
    </row>
    <row r="529" spans="1:11" x14ac:dyDescent="0.25">
      <c r="A529" t="s">
        <v>277</v>
      </c>
      <c r="B529" t="s">
        <v>278</v>
      </c>
      <c r="C529" t="s">
        <v>463</v>
      </c>
      <c r="D529" t="s">
        <v>464</v>
      </c>
      <c r="E529" s="4">
        <v>13033846</v>
      </c>
      <c r="F529" s="4">
        <v>4763.43</v>
      </c>
      <c r="G529" s="4">
        <v>476343</v>
      </c>
      <c r="H529" s="4">
        <v>476.3430000000001</v>
      </c>
      <c r="I529" s="4">
        <v>27.36231245132184</v>
      </c>
      <c r="J529" t="b">
        <v>0</v>
      </c>
      <c r="K529" t="b">
        <v>0</v>
      </c>
    </row>
    <row r="530" spans="1:11" x14ac:dyDescent="0.25">
      <c r="A530" t="s">
        <v>277</v>
      </c>
      <c r="B530" t="s">
        <v>278</v>
      </c>
      <c r="C530" t="s">
        <v>465</v>
      </c>
      <c r="D530" t="s">
        <v>478</v>
      </c>
      <c r="E530" s="4">
        <v>10760034</v>
      </c>
      <c r="F530" s="4">
        <v>27677.5</v>
      </c>
      <c r="G530" s="4">
        <v>2767750</v>
      </c>
      <c r="H530" s="4">
        <v>2767.75</v>
      </c>
      <c r="I530" s="4">
        <v>3.8876466443862343</v>
      </c>
      <c r="J530" t="b">
        <v>0</v>
      </c>
      <c r="K530" t="b">
        <v>0</v>
      </c>
    </row>
    <row r="531" spans="1:11" x14ac:dyDescent="0.25">
      <c r="A531" t="s">
        <v>277</v>
      </c>
      <c r="B531" t="s">
        <v>278</v>
      </c>
      <c r="C531" t="s">
        <v>467</v>
      </c>
      <c r="D531" t="s">
        <v>468</v>
      </c>
      <c r="E531" s="4">
        <v>8186021</v>
      </c>
      <c r="F531" s="4">
        <v>5360.2</v>
      </c>
      <c r="G531" s="4">
        <v>536020</v>
      </c>
      <c r="H531" s="4">
        <v>536.02</v>
      </c>
      <c r="I531" s="4">
        <v>15.271857393380843</v>
      </c>
      <c r="J531" t="b">
        <v>0</v>
      </c>
      <c r="K531" t="b">
        <v>0</v>
      </c>
    </row>
    <row r="532" spans="1:11" x14ac:dyDescent="0.25">
      <c r="A532" t="s">
        <v>279</v>
      </c>
      <c r="B532" t="s">
        <v>280</v>
      </c>
      <c r="C532" t="s">
        <v>455</v>
      </c>
      <c r="D532" t="s">
        <v>477</v>
      </c>
      <c r="E532" s="4">
        <v>864702</v>
      </c>
      <c r="F532" s="4">
        <v>1127.23</v>
      </c>
      <c r="G532" s="4">
        <v>112723</v>
      </c>
      <c r="H532" s="4">
        <v>112.72300000000001</v>
      </c>
      <c r="I532" s="4">
        <v>7.671034305332541</v>
      </c>
      <c r="J532" t="b">
        <v>0</v>
      </c>
      <c r="K532" t="b">
        <v>0</v>
      </c>
    </row>
    <row r="533" spans="1:11" x14ac:dyDescent="0.25">
      <c r="A533" t="s">
        <v>279</v>
      </c>
      <c r="B533" t="s">
        <v>280</v>
      </c>
      <c r="C533" t="s">
        <v>461</v>
      </c>
      <c r="D533" t="s">
        <v>462</v>
      </c>
      <c r="E533" s="4">
        <v>18642354</v>
      </c>
      <c r="F533" s="4">
        <v>10485.1</v>
      </c>
      <c r="G533" s="4">
        <v>1048510</v>
      </c>
      <c r="H533" s="4">
        <v>1048.51</v>
      </c>
      <c r="I533" s="4">
        <v>17.77985331565746</v>
      </c>
      <c r="J533" t="b">
        <v>0</v>
      </c>
      <c r="K533" t="b">
        <v>0</v>
      </c>
    </row>
    <row r="534" spans="1:11" x14ac:dyDescent="0.25">
      <c r="A534" t="s">
        <v>279</v>
      </c>
      <c r="B534" t="s">
        <v>280</v>
      </c>
      <c r="C534" t="s">
        <v>463</v>
      </c>
      <c r="D534" t="s">
        <v>464</v>
      </c>
      <c r="E534" s="4">
        <v>14593570</v>
      </c>
      <c r="F534" s="4">
        <v>5702.58</v>
      </c>
      <c r="G534" s="4">
        <v>570258</v>
      </c>
      <c r="H534" s="4">
        <v>570.258</v>
      </c>
      <c r="I534" s="4">
        <v>25.591171013821814</v>
      </c>
      <c r="J534" t="b">
        <v>0</v>
      </c>
      <c r="K534" t="b">
        <v>0</v>
      </c>
    </row>
    <row r="535" spans="1:11" x14ac:dyDescent="0.25">
      <c r="A535" t="s">
        <v>279</v>
      </c>
      <c r="B535" t="s">
        <v>280</v>
      </c>
      <c r="C535" t="s">
        <v>465</v>
      </c>
      <c r="D535" t="s">
        <v>478</v>
      </c>
      <c r="E535" s="4">
        <v>9418047</v>
      </c>
      <c r="F535" s="4">
        <v>25211.62</v>
      </c>
      <c r="G535" s="4">
        <v>2521162</v>
      </c>
      <c r="H535" s="4">
        <v>2521.1620000000003</v>
      </c>
      <c r="I535" s="4">
        <v>3.735597712483371</v>
      </c>
      <c r="J535" t="b">
        <v>0</v>
      </c>
      <c r="K535" t="b">
        <v>0</v>
      </c>
    </row>
    <row r="536" spans="1:11" x14ac:dyDescent="0.25">
      <c r="A536" t="s">
        <v>279</v>
      </c>
      <c r="B536" t="s">
        <v>280</v>
      </c>
      <c r="C536" t="s">
        <v>467</v>
      </c>
      <c r="D536" t="s">
        <v>468</v>
      </c>
      <c r="E536" s="4">
        <v>7337567</v>
      </c>
      <c r="F536" s="4">
        <v>3795.23</v>
      </c>
      <c r="G536" s="4">
        <v>379523</v>
      </c>
      <c r="H536" s="4">
        <v>379.523</v>
      </c>
      <c r="I536" s="4">
        <v>19.33365566777244</v>
      </c>
      <c r="J536" t="b">
        <v>0</v>
      </c>
      <c r="K536" t="b">
        <v>0</v>
      </c>
    </row>
    <row r="537" spans="1:11" x14ac:dyDescent="0.25">
      <c r="A537" t="s">
        <v>281</v>
      </c>
      <c r="B537" t="s">
        <v>282</v>
      </c>
      <c r="C537" t="s">
        <v>455</v>
      </c>
      <c r="D537" t="s">
        <v>477</v>
      </c>
      <c r="E537" s="4">
        <v>537793</v>
      </c>
      <c r="F537" s="4">
        <v>623.45</v>
      </c>
      <c r="G537" s="4">
        <v>62345.00000000001</v>
      </c>
      <c r="H537" s="4">
        <v>62.345000000000006</v>
      </c>
      <c r="I537" s="4">
        <v>8.626080680086615</v>
      </c>
      <c r="J537" t="b">
        <v>0</v>
      </c>
      <c r="K537" t="b">
        <v>0</v>
      </c>
    </row>
    <row r="538" spans="1:11" x14ac:dyDescent="0.25">
      <c r="A538" t="s">
        <v>281</v>
      </c>
      <c r="B538" t="s">
        <v>282</v>
      </c>
      <c r="C538" t="s">
        <v>461</v>
      </c>
      <c r="D538" t="s">
        <v>462</v>
      </c>
      <c r="E538" s="4">
        <v>23880978</v>
      </c>
      <c r="F538" s="4">
        <v>13764.32</v>
      </c>
      <c r="G538" s="4">
        <v>1376432</v>
      </c>
      <c r="H538" s="4">
        <v>1376.432</v>
      </c>
      <c r="I538" s="4">
        <v>17.34991485231381</v>
      </c>
      <c r="J538" t="b">
        <v>0</v>
      </c>
      <c r="K538" t="b">
        <v>0</v>
      </c>
    </row>
    <row r="539" spans="1:11" x14ac:dyDescent="0.25">
      <c r="A539" t="s">
        <v>281</v>
      </c>
      <c r="B539" t="s">
        <v>282</v>
      </c>
      <c r="C539" t="s">
        <v>463</v>
      </c>
      <c r="D539" t="s">
        <v>464</v>
      </c>
      <c r="E539" s="4">
        <v>19350796</v>
      </c>
      <c r="F539" s="4">
        <v>6785.51</v>
      </c>
      <c r="G539" s="4">
        <v>678551</v>
      </c>
      <c r="H539" s="4">
        <v>678.551</v>
      </c>
      <c r="I539" s="4">
        <v>28.517821062823575</v>
      </c>
      <c r="J539" t="b">
        <v>0</v>
      </c>
      <c r="K539" t="b">
        <v>0</v>
      </c>
    </row>
    <row r="540" spans="1:11" x14ac:dyDescent="0.25">
      <c r="A540" t="s">
        <v>281</v>
      </c>
      <c r="B540" t="s">
        <v>282</v>
      </c>
      <c r="C540" t="s">
        <v>465</v>
      </c>
      <c r="D540" t="s">
        <v>478</v>
      </c>
      <c r="E540" s="4">
        <v>7318809</v>
      </c>
      <c r="F540" s="4">
        <v>17169.35</v>
      </c>
      <c r="G540" s="4">
        <v>1716934.9999999998</v>
      </c>
      <c r="H540" s="4">
        <v>1716.935</v>
      </c>
      <c r="I540" s="4">
        <v>4.262717575213972</v>
      </c>
      <c r="J540" t="b">
        <v>0</v>
      </c>
      <c r="K540" t="b">
        <v>0</v>
      </c>
    </row>
    <row r="541" spans="1:11" x14ac:dyDescent="0.25">
      <c r="A541" t="s">
        <v>281</v>
      </c>
      <c r="B541" t="s">
        <v>282</v>
      </c>
      <c r="C541" t="s">
        <v>467</v>
      </c>
      <c r="D541" t="s">
        <v>468</v>
      </c>
      <c r="E541" s="4">
        <v>8527503</v>
      </c>
      <c r="F541" s="4">
        <v>3965.83</v>
      </c>
      <c r="G541" s="4">
        <v>396583</v>
      </c>
      <c r="H541" s="4">
        <v>396.583</v>
      </c>
      <c r="I541" s="4">
        <v>21.502442111739533</v>
      </c>
      <c r="J541" t="b">
        <v>0</v>
      </c>
      <c r="K541" t="b">
        <v>0</v>
      </c>
    </row>
    <row r="542" spans="1:11" x14ac:dyDescent="0.25">
      <c r="A542" t="s">
        <v>283</v>
      </c>
      <c r="B542" t="s">
        <v>284</v>
      </c>
      <c r="C542" t="s">
        <v>455</v>
      </c>
      <c r="D542" t="s">
        <v>477</v>
      </c>
      <c r="E542" s="4">
        <v>580132</v>
      </c>
      <c r="F542" s="4">
        <v>1033.13</v>
      </c>
      <c r="G542" s="4">
        <v>103313.00000000001</v>
      </c>
      <c r="H542" s="4">
        <v>103.31300000000002</v>
      </c>
      <c r="I542" s="4">
        <v>5.615285588454501</v>
      </c>
      <c r="J542" t="b">
        <v>0</v>
      </c>
      <c r="K542" t="b">
        <v>0</v>
      </c>
    </row>
    <row r="543" spans="1:11" x14ac:dyDescent="0.25">
      <c r="A543" t="s">
        <v>283</v>
      </c>
      <c r="B543" t="s">
        <v>284</v>
      </c>
      <c r="C543" t="s">
        <v>461</v>
      </c>
      <c r="D543" t="s">
        <v>462</v>
      </c>
      <c r="E543" s="4">
        <v>26235749</v>
      </c>
      <c r="F543" s="4">
        <v>13279.35</v>
      </c>
      <c r="G543" s="4">
        <v>1327935</v>
      </c>
      <c r="H543" s="4">
        <v>1327.9350000000002</v>
      </c>
      <c r="I543" s="4">
        <v>19.756802102512548</v>
      </c>
      <c r="J543" t="b">
        <v>0</v>
      </c>
      <c r="K543" t="b">
        <v>0</v>
      </c>
    </row>
    <row r="544" spans="1:11" x14ac:dyDescent="0.25">
      <c r="A544" t="s">
        <v>283</v>
      </c>
      <c r="B544" t="s">
        <v>284</v>
      </c>
      <c r="C544" t="s">
        <v>463</v>
      </c>
      <c r="D544" t="s">
        <v>464</v>
      </c>
      <c r="E544" s="4">
        <v>30077347</v>
      </c>
      <c r="F544" s="4">
        <v>9593.99</v>
      </c>
      <c r="G544" s="4">
        <v>959399</v>
      </c>
      <c r="H544" s="4">
        <v>959.399</v>
      </c>
      <c r="I544" s="4">
        <v>31.35019632082168</v>
      </c>
      <c r="J544" t="b">
        <v>0</v>
      </c>
      <c r="K544" t="b">
        <v>0</v>
      </c>
    </row>
    <row r="545" spans="1:11" x14ac:dyDescent="0.25">
      <c r="A545" t="s">
        <v>283</v>
      </c>
      <c r="B545" t="s">
        <v>284</v>
      </c>
      <c r="C545" t="s">
        <v>465</v>
      </c>
      <c r="D545" t="s">
        <v>478</v>
      </c>
      <c r="E545" s="4">
        <v>8874964</v>
      </c>
      <c r="F545" s="4">
        <v>18936.2</v>
      </c>
      <c r="G545" s="4">
        <v>1893620</v>
      </c>
      <c r="H545" s="4">
        <v>1893.6200000000001</v>
      </c>
      <c r="I545" s="4">
        <v>4.686771369123689</v>
      </c>
      <c r="J545" t="b">
        <v>0</v>
      </c>
      <c r="K545" t="b">
        <v>0</v>
      </c>
    </row>
    <row r="546" spans="1:11" x14ac:dyDescent="0.25">
      <c r="A546" t="s">
        <v>283</v>
      </c>
      <c r="B546" t="s">
        <v>284</v>
      </c>
      <c r="C546" t="s">
        <v>467</v>
      </c>
      <c r="D546" t="s">
        <v>468</v>
      </c>
      <c r="E546" s="4">
        <v>13349830</v>
      </c>
      <c r="F546" s="4">
        <v>6458.67</v>
      </c>
      <c r="G546" s="4">
        <v>645867</v>
      </c>
      <c r="H546" s="4">
        <v>645.8670000000001</v>
      </c>
      <c r="I546" s="4">
        <v>20.669627028474903</v>
      </c>
      <c r="J546" t="b">
        <v>0</v>
      </c>
      <c r="K546" t="b">
        <v>0</v>
      </c>
    </row>
    <row r="547" spans="1:11" x14ac:dyDescent="0.25">
      <c r="A547" t="s">
        <v>285</v>
      </c>
      <c r="B547" t="s">
        <v>286</v>
      </c>
      <c r="C547" t="s">
        <v>455</v>
      </c>
      <c r="D547" t="s">
        <v>477</v>
      </c>
      <c r="E547" s="4">
        <v>624779</v>
      </c>
      <c r="F547" s="4">
        <v>1006.61</v>
      </c>
      <c r="G547" s="4">
        <v>100661</v>
      </c>
      <c r="H547" s="4">
        <v>100.661</v>
      </c>
      <c r="I547" s="4">
        <v>6.206763294622545</v>
      </c>
      <c r="J547" t="b">
        <v>0</v>
      </c>
      <c r="K547" t="b">
        <v>0</v>
      </c>
    </row>
    <row r="548" spans="1:11" x14ac:dyDescent="0.25">
      <c r="A548" t="s">
        <v>285</v>
      </c>
      <c r="B548" t="s">
        <v>286</v>
      </c>
      <c r="C548" t="s">
        <v>461</v>
      </c>
      <c r="D548" t="s">
        <v>462</v>
      </c>
      <c r="E548" s="4">
        <v>28233242</v>
      </c>
      <c r="F548" s="4">
        <v>14437.64</v>
      </c>
      <c r="G548" s="4">
        <v>1443764</v>
      </c>
      <c r="H548" s="4">
        <v>1443.7640000000001</v>
      </c>
      <c r="I548" s="4">
        <v>19.555302667194916</v>
      </c>
      <c r="J548" t="b">
        <v>0</v>
      </c>
      <c r="K548" t="b">
        <v>0</v>
      </c>
    </row>
    <row r="549" spans="1:11" x14ac:dyDescent="0.25">
      <c r="A549" t="s">
        <v>285</v>
      </c>
      <c r="B549" t="s">
        <v>286</v>
      </c>
      <c r="C549" t="s">
        <v>463</v>
      </c>
      <c r="D549" t="s">
        <v>464</v>
      </c>
      <c r="E549" s="4">
        <v>36845943</v>
      </c>
      <c r="F549" s="4">
        <v>12012.8</v>
      </c>
      <c r="G549" s="4">
        <v>1201280</v>
      </c>
      <c r="H549" s="4">
        <v>1201.28</v>
      </c>
      <c r="I549" s="4">
        <v>30.672235448854554</v>
      </c>
      <c r="J549" t="b">
        <v>0</v>
      </c>
      <c r="K549" t="b">
        <v>0</v>
      </c>
    </row>
    <row r="550" spans="1:11" x14ac:dyDescent="0.25">
      <c r="A550" t="s">
        <v>285</v>
      </c>
      <c r="B550" t="s">
        <v>286</v>
      </c>
      <c r="C550" t="s">
        <v>465</v>
      </c>
      <c r="D550" t="s">
        <v>478</v>
      </c>
      <c r="E550" s="4">
        <v>14202329</v>
      </c>
      <c r="F550" s="4">
        <v>35472.42</v>
      </c>
      <c r="G550" s="4">
        <v>3547242</v>
      </c>
      <c r="H550" s="4">
        <v>3547.242</v>
      </c>
      <c r="I550" s="4">
        <v>4.0037665882395395</v>
      </c>
      <c r="J550" t="b">
        <v>0</v>
      </c>
      <c r="K550" t="b">
        <v>0</v>
      </c>
    </row>
    <row r="551" spans="1:11" x14ac:dyDescent="0.25">
      <c r="A551" t="s">
        <v>285</v>
      </c>
      <c r="B551" t="s">
        <v>286</v>
      </c>
      <c r="C551" t="s">
        <v>467</v>
      </c>
      <c r="D551" t="s">
        <v>468</v>
      </c>
      <c r="E551" s="4">
        <v>17490299</v>
      </c>
      <c r="F551" s="4">
        <v>8354</v>
      </c>
      <c r="G551" s="4">
        <v>835400</v>
      </c>
      <c r="H551" s="4">
        <v>835.4000000000001</v>
      </c>
      <c r="I551" s="4">
        <v>20.936436437634665</v>
      </c>
      <c r="J551" t="b">
        <v>0</v>
      </c>
      <c r="K551" t="b">
        <v>0</v>
      </c>
    </row>
    <row r="552" spans="1:11" x14ac:dyDescent="0.25">
      <c r="A552" t="s">
        <v>287</v>
      </c>
      <c r="B552" t="s">
        <v>288</v>
      </c>
      <c r="C552" t="s">
        <v>455</v>
      </c>
      <c r="D552" t="s">
        <v>477</v>
      </c>
      <c r="E552" s="4">
        <v>678094</v>
      </c>
      <c r="F552" s="4">
        <v>1243.3</v>
      </c>
      <c r="G552" s="4">
        <v>124330</v>
      </c>
      <c r="H552" s="4">
        <v>124.33</v>
      </c>
      <c r="I552" s="4">
        <v>5.453985361537843</v>
      </c>
      <c r="J552" t="b">
        <v>0</v>
      </c>
      <c r="K552" t="b">
        <v>0</v>
      </c>
    </row>
    <row r="553" spans="1:11" x14ac:dyDescent="0.25">
      <c r="A553" t="s">
        <v>287</v>
      </c>
      <c r="B553" t="s">
        <v>288</v>
      </c>
      <c r="C553" t="s">
        <v>461</v>
      </c>
      <c r="D553" t="s">
        <v>462</v>
      </c>
      <c r="E553" s="4">
        <v>17682829</v>
      </c>
      <c r="F553" s="4">
        <v>8788.85</v>
      </c>
      <c r="G553" s="4">
        <v>878885</v>
      </c>
      <c r="H553" s="4">
        <v>878.8850000000001</v>
      </c>
      <c r="I553" s="4">
        <v>20.119616332057095</v>
      </c>
      <c r="J553" t="b">
        <v>0</v>
      </c>
      <c r="K553" t="b">
        <v>0</v>
      </c>
    </row>
    <row r="554" spans="1:11" x14ac:dyDescent="0.25">
      <c r="A554" t="s">
        <v>287</v>
      </c>
      <c r="B554" t="s">
        <v>288</v>
      </c>
      <c r="C554" t="s">
        <v>463</v>
      </c>
      <c r="D554" t="s">
        <v>464</v>
      </c>
      <c r="E554" s="4">
        <v>26577933</v>
      </c>
      <c r="F554" s="4">
        <v>8881.21</v>
      </c>
      <c r="G554" s="4">
        <v>888120.9999999999</v>
      </c>
      <c r="H554" s="4">
        <v>888.121</v>
      </c>
      <c r="I554" s="4">
        <v>29.92602697155005</v>
      </c>
      <c r="J554" t="b">
        <v>0</v>
      </c>
      <c r="K554" t="b">
        <v>0</v>
      </c>
    </row>
    <row r="555" spans="1:11" x14ac:dyDescent="0.25">
      <c r="A555" t="s">
        <v>287</v>
      </c>
      <c r="B555" t="s">
        <v>288</v>
      </c>
      <c r="C555" t="s">
        <v>465</v>
      </c>
      <c r="D555" t="s">
        <v>478</v>
      </c>
      <c r="E555" s="4">
        <v>11740634</v>
      </c>
      <c r="F555" s="4">
        <v>29416.81</v>
      </c>
      <c r="G555" s="4">
        <v>2941681</v>
      </c>
      <c r="H555" s="4">
        <v>2941.6810000000005</v>
      </c>
      <c r="I555" s="4">
        <v>3.9911309214017425</v>
      </c>
      <c r="J555" t="b">
        <v>0</v>
      </c>
      <c r="K555" t="b">
        <v>0</v>
      </c>
    </row>
    <row r="556" spans="1:11" x14ac:dyDescent="0.25">
      <c r="A556" t="s">
        <v>287</v>
      </c>
      <c r="B556" t="s">
        <v>288</v>
      </c>
      <c r="C556" t="s">
        <v>467</v>
      </c>
      <c r="D556" t="s">
        <v>468</v>
      </c>
      <c r="E556" s="4">
        <v>15687718</v>
      </c>
      <c r="F556" s="4">
        <v>7413.5</v>
      </c>
      <c r="G556" s="4">
        <v>741350</v>
      </c>
      <c r="H556" s="4">
        <v>741.35</v>
      </c>
      <c r="I556" s="4">
        <v>21.161014365684224</v>
      </c>
      <c r="J556" t="b">
        <v>0</v>
      </c>
      <c r="K556" t="b">
        <v>0</v>
      </c>
    </row>
    <row r="557" spans="1:11" x14ac:dyDescent="0.25">
      <c r="A557" t="s">
        <v>289</v>
      </c>
      <c r="B557" t="s">
        <v>290</v>
      </c>
      <c r="C557" t="s">
        <v>455</v>
      </c>
      <c r="D557" t="s">
        <v>477</v>
      </c>
      <c r="E557" s="4">
        <v>370131</v>
      </c>
      <c r="F557" s="4">
        <v>732.49</v>
      </c>
      <c r="G557" s="4">
        <v>73249</v>
      </c>
      <c r="H557" s="4">
        <v>73.24900000000001</v>
      </c>
      <c r="I557" s="4">
        <v>5.053051918797526</v>
      </c>
      <c r="J557" t="b">
        <v>0</v>
      </c>
      <c r="K557" t="b">
        <v>0</v>
      </c>
    </row>
    <row r="558" spans="1:11" x14ac:dyDescent="0.25">
      <c r="A558" t="s">
        <v>289</v>
      </c>
      <c r="B558" t="s">
        <v>290</v>
      </c>
      <c r="C558" t="s">
        <v>461</v>
      </c>
      <c r="D558" t="s">
        <v>462</v>
      </c>
      <c r="E558" s="4">
        <v>13533384</v>
      </c>
      <c r="F558" s="4">
        <v>7943.63</v>
      </c>
      <c r="G558" s="4">
        <v>794363</v>
      </c>
      <c r="H558" s="4">
        <v>794.363</v>
      </c>
      <c r="I558" s="4">
        <v>17.036775378510832</v>
      </c>
      <c r="J558" t="b">
        <v>0</v>
      </c>
      <c r="K558" t="b">
        <v>0</v>
      </c>
    </row>
    <row r="559" spans="1:11" x14ac:dyDescent="0.25">
      <c r="A559" t="s">
        <v>289</v>
      </c>
      <c r="B559" t="s">
        <v>290</v>
      </c>
      <c r="C559" t="s">
        <v>463</v>
      </c>
      <c r="D559" t="s">
        <v>464</v>
      </c>
      <c r="E559" s="4">
        <v>16271811</v>
      </c>
      <c r="F559" s="4">
        <v>6877.94</v>
      </c>
      <c r="G559" s="4">
        <v>687794</v>
      </c>
      <c r="H559" s="4">
        <v>687.794</v>
      </c>
      <c r="I559" s="4">
        <v>23.657971718276112</v>
      </c>
      <c r="J559" t="b">
        <v>0</v>
      </c>
      <c r="K559" t="b">
        <v>0</v>
      </c>
    </row>
    <row r="560" spans="1:11" x14ac:dyDescent="0.25">
      <c r="A560" t="s">
        <v>289</v>
      </c>
      <c r="B560" t="s">
        <v>290</v>
      </c>
      <c r="C560" t="s">
        <v>465</v>
      </c>
      <c r="D560" t="s">
        <v>478</v>
      </c>
      <c r="E560" s="4">
        <v>8718535</v>
      </c>
      <c r="F560" s="4">
        <v>22840.73</v>
      </c>
      <c r="G560" s="4">
        <v>2284073</v>
      </c>
      <c r="H560" s="4">
        <v>2284.073</v>
      </c>
      <c r="I560" s="4">
        <v>3.8170999788535656</v>
      </c>
      <c r="J560" t="b">
        <v>0</v>
      </c>
      <c r="K560" t="b">
        <v>0</v>
      </c>
    </row>
    <row r="561" spans="1:11" x14ac:dyDescent="0.25">
      <c r="A561" t="s">
        <v>289</v>
      </c>
      <c r="B561" t="s">
        <v>290</v>
      </c>
      <c r="C561" t="s">
        <v>467</v>
      </c>
      <c r="D561" t="s">
        <v>468</v>
      </c>
      <c r="E561" s="4">
        <v>9416824</v>
      </c>
      <c r="F561" s="4">
        <v>5527</v>
      </c>
      <c r="G561" s="4">
        <v>552700</v>
      </c>
      <c r="H561" s="4">
        <v>552.7</v>
      </c>
      <c r="I561" s="4">
        <v>17.037857789035645</v>
      </c>
      <c r="J561" t="b">
        <v>0</v>
      </c>
      <c r="K561" t="b">
        <v>0</v>
      </c>
    </row>
    <row r="562" spans="1:11" x14ac:dyDescent="0.25">
      <c r="A562" t="s">
        <v>291</v>
      </c>
      <c r="B562" t="s">
        <v>292</v>
      </c>
      <c r="C562" t="s">
        <v>455</v>
      </c>
      <c r="D562" t="s">
        <v>477</v>
      </c>
      <c r="E562" s="4">
        <v>169403</v>
      </c>
      <c r="F562" s="4">
        <v>310.75</v>
      </c>
      <c r="G562" s="4">
        <v>31075</v>
      </c>
      <c r="H562" s="4">
        <v>31.075000000000003</v>
      </c>
      <c r="I562" s="4">
        <v>5.451423974255833</v>
      </c>
      <c r="J562" t="b">
        <v>0</v>
      </c>
      <c r="K562" t="b">
        <v>0</v>
      </c>
    </row>
    <row r="563" spans="1:11" x14ac:dyDescent="0.25">
      <c r="A563" t="s">
        <v>291</v>
      </c>
      <c r="B563" t="s">
        <v>292</v>
      </c>
      <c r="C563" t="s">
        <v>461</v>
      </c>
      <c r="D563" t="s">
        <v>462</v>
      </c>
      <c r="E563" s="4">
        <v>13149950</v>
      </c>
      <c r="F563" s="4">
        <v>5569.18</v>
      </c>
      <c r="G563" s="4">
        <v>556918</v>
      </c>
      <c r="H563" s="4">
        <v>556.918</v>
      </c>
      <c r="I563" s="4">
        <v>23.612003921582712</v>
      </c>
      <c r="J563" t="b">
        <v>0</v>
      </c>
      <c r="K563" t="b">
        <v>0</v>
      </c>
    </row>
    <row r="564" spans="1:11" x14ac:dyDescent="0.25">
      <c r="A564" t="s">
        <v>291</v>
      </c>
      <c r="B564" t="s">
        <v>292</v>
      </c>
      <c r="C564" t="s">
        <v>463</v>
      </c>
      <c r="D564" t="s">
        <v>464</v>
      </c>
      <c r="E564" s="4">
        <v>12932543</v>
      </c>
      <c r="F564" s="4">
        <v>4422.73</v>
      </c>
      <c r="G564" s="4">
        <v>442272.99999999994</v>
      </c>
      <c r="H564" s="4">
        <v>442.27299999999997</v>
      </c>
      <c r="I564" s="4">
        <v>29.24108638781929</v>
      </c>
      <c r="J564" t="b">
        <v>0</v>
      </c>
      <c r="K564" t="b">
        <v>0</v>
      </c>
    </row>
    <row r="565" spans="1:11" x14ac:dyDescent="0.25">
      <c r="A565" t="s">
        <v>291</v>
      </c>
      <c r="B565" t="s">
        <v>292</v>
      </c>
      <c r="C565" t="s">
        <v>465</v>
      </c>
      <c r="D565" t="s">
        <v>478</v>
      </c>
      <c r="E565" s="4">
        <v>3262029</v>
      </c>
      <c r="F565" s="4">
        <v>7387.25</v>
      </c>
      <c r="G565" s="4">
        <v>738725</v>
      </c>
      <c r="H565" s="4">
        <v>738.725</v>
      </c>
      <c r="I565" s="4">
        <v>4.415755524721649</v>
      </c>
      <c r="J565" t="b">
        <v>0</v>
      </c>
      <c r="K565" t="b">
        <v>0</v>
      </c>
    </row>
    <row r="566" spans="1:11" x14ac:dyDescent="0.25">
      <c r="A566" t="s">
        <v>291</v>
      </c>
      <c r="B566" t="s">
        <v>292</v>
      </c>
      <c r="C566" t="s">
        <v>467</v>
      </c>
      <c r="D566" t="s">
        <v>468</v>
      </c>
      <c r="E566" s="4">
        <v>4424245</v>
      </c>
      <c r="F566" s="4">
        <v>2298.39</v>
      </c>
      <c r="G566" s="4">
        <v>229839</v>
      </c>
      <c r="H566" s="4">
        <v>229.839</v>
      </c>
      <c r="I566" s="4">
        <v>19.24932235173317</v>
      </c>
      <c r="J566" t="b">
        <v>0</v>
      </c>
      <c r="K566" t="b">
        <v>0</v>
      </c>
    </row>
    <row r="567" spans="1:11" x14ac:dyDescent="0.25">
      <c r="A567" t="s">
        <v>293</v>
      </c>
      <c r="B567" t="s">
        <v>294</v>
      </c>
      <c r="C567" t="s">
        <v>455</v>
      </c>
      <c r="D567" t="s">
        <v>477</v>
      </c>
      <c r="E567" s="4">
        <v>367287</v>
      </c>
      <c r="F567" s="4">
        <v>1017.92</v>
      </c>
      <c r="G567" s="4">
        <v>101792</v>
      </c>
      <c r="H567" s="4">
        <v>101.792</v>
      </c>
      <c r="I567" s="4">
        <v>3.6082108613643507</v>
      </c>
      <c r="J567" t="b">
        <v>0</v>
      </c>
      <c r="K567" t="b">
        <v>0</v>
      </c>
    </row>
    <row r="568" spans="1:11" x14ac:dyDescent="0.25">
      <c r="A568" t="s">
        <v>293</v>
      </c>
      <c r="B568" t="s">
        <v>294</v>
      </c>
      <c r="C568" t="s">
        <v>461</v>
      </c>
      <c r="D568" t="s">
        <v>462</v>
      </c>
      <c r="E568" s="4">
        <v>18334669</v>
      </c>
      <c r="F568" s="4">
        <v>8982.6</v>
      </c>
      <c r="G568" s="4">
        <v>898260</v>
      </c>
      <c r="H568" s="4">
        <v>898.2600000000001</v>
      </c>
      <c r="I568" s="4">
        <v>20.41131632266827</v>
      </c>
      <c r="J568" t="b">
        <v>0</v>
      </c>
      <c r="K568" t="b">
        <v>0</v>
      </c>
    </row>
    <row r="569" spans="1:11" x14ac:dyDescent="0.25">
      <c r="A569" t="s">
        <v>293</v>
      </c>
      <c r="B569" t="s">
        <v>294</v>
      </c>
      <c r="C569" t="s">
        <v>463</v>
      </c>
      <c r="D569" t="s">
        <v>464</v>
      </c>
      <c r="E569" s="4">
        <v>17567955</v>
      </c>
      <c r="F569" s="4">
        <v>5480.64</v>
      </c>
      <c r="G569" s="4">
        <v>548064</v>
      </c>
      <c r="H569" s="4">
        <v>548.0640000000001</v>
      </c>
      <c r="I569" s="4">
        <v>32.05456844456122</v>
      </c>
      <c r="J569" t="b">
        <v>0</v>
      </c>
      <c r="K569" t="b">
        <v>0</v>
      </c>
    </row>
    <row r="570" spans="1:11" x14ac:dyDescent="0.25">
      <c r="A570" t="s">
        <v>293</v>
      </c>
      <c r="B570" t="s">
        <v>294</v>
      </c>
      <c r="C570" t="s">
        <v>465</v>
      </c>
      <c r="D570" t="s">
        <v>478</v>
      </c>
      <c r="E570" s="4">
        <v>5588319</v>
      </c>
      <c r="F570" s="4">
        <v>14127.18</v>
      </c>
      <c r="G570" s="4">
        <v>1412718</v>
      </c>
      <c r="H570" s="4">
        <v>1412.718</v>
      </c>
      <c r="I570" s="4">
        <v>3.955721524040891</v>
      </c>
      <c r="J570" t="b">
        <v>0</v>
      </c>
      <c r="K570" t="b">
        <v>0</v>
      </c>
    </row>
    <row r="571" spans="1:11" x14ac:dyDescent="0.25">
      <c r="A571" t="s">
        <v>293</v>
      </c>
      <c r="B571" t="s">
        <v>294</v>
      </c>
      <c r="C571" t="s">
        <v>467</v>
      </c>
      <c r="D571" t="s">
        <v>468</v>
      </c>
      <c r="E571" s="4">
        <v>7180349</v>
      </c>
      <c r="F571" s="4">
        <v>3082.33</v>
      </c>
      <c r="G571" s="4">
        <v>308233</v>
      </c>
      <c r="H571" s="4">
        <v>308.233</v>
      </c>
      <c r="I571" s="4">
        <v>23.29519876197552</v>
      </c>
      <c r="J571" t="b">
        <v>0</v>
      </c>
      <c r="K571" t="b">
        <v>0</v>
      </c>
    </row>
    <row r="572" spans="1:11" x14ac:dyDescent="0.25">
      <c r="A572" t="s">
        <v>295</v>
      </c>
      <c r="B572" t="s">
        <v>296</v>
      </c>
      <c r="C572" t="s">
        <v>455</v>
      </c>
      <c r="D572" t="s">
        <v>477</v>
      </c>
      <c r="E572" s="4">
        <v>818958</v>
      </c>
      <c r="F572" s="4">
        <v>3495.11</v>
      </c>
      <c r="G572" s="4">
        <v>349511</v>
      </c>
      <c r="H572" s="4">
        <v>349.511</v>
      </c>
      <c r="I572" s="4">
        <v>2.3431537204837616</v>
      </c>
      <c r="J572" t="b">
        <v>0</v>
      </c>
      <c r="K572" t="b">
        <v>0</v>
      </c>
    </row>
    <row r="573" spans="1:11" x14ac:dyDescent="0.25">
      <c r="A573" t="s">
        <v>295</v>
      </c>
      <c r="B573" t="s">
        <v>296</v>
      </c>
      <c r="C573" t="s">
        <v>461</v>
      </c>
      <c r="D573" t="s">
        <v>462</v>
      </c>
      <c r="E573" s="4">
        <v>24049930</v>
      </c>
      <c r="F573" s="4">
        <v>13652.46</v>
      </c>
      <c r="G573" s="4">
        <v>1365246</v>
      </c>
      <c r="H573" s="4">
        <v>1365.246</v>
      </c>
      <c r="I573" s="4">
        <v>17.615821617496042</v>
      </c>
      <c r="J573" t="b">
        <v>0</v>
      </c>
      <c r="K573" t="b">
        <v>0</v>
      </c>
    </row>
    <row r="574" spans="1:11" x14ac:dyDescent="0.25">
      <c r="A574" t="s">
        <v>295</v>
      </c>
      <c r="B574" t="s">
        <v>296</v>
      </c>
      <c r="C574" t="s">
        <v>463</v>
      </c>
      <c r="D574" t="s">
        <v>464</v>
      </c>
      <c r="E574" s="4">
        <v>23148775</v>
      </c>
      <c r="F574" s="4">
        <v>8238.15</v>
      </c>
      <c r="G574" s="4">
        <v>823815</v>
      </c>
      <c r="H574" s="4">
        <v>823.815</v>
      </c>
      <c r="I574" s="4">
        <v>28.09948228667844</v>
      </c>
      <c r="J574" t="b">
        <v>0</v>
      </c>
      <c r="K574" t="b">
        <v>0</v>
      </c>
    </row>
    <row r="575" spans="1:11" x14ac:dyDescent="0.25">
      <c r="A575" t="s">
        <v>295</v>
      </c>
      <c r="B575" t="s">
        <v>296</v>
      </c>
      <c r="C575" t="s">
        <v>465</v>
      </c>
      <c r="D575" t="s">
        <v>478</v>
      </c>
      <c r="E575" s="4">
        <v>8160399</v>
      </c>
      <c r="F575" s="4">
        <v>21973.94</v>
      </c>
      <c r="G575" s="4">
        <v>2197394</v>
      </c>
      <c r="H575" s="4">
        <v>2197.394</v>
      </c>
      <c r="I575" s="4">
        <v>3.7136712851677944</v>
      </c>
      <c r="J575" t="b">
        <v>0</v>
      </c>
      <c r="K575" t="b">
        <v>0</v>
      </c>
    </row>
    <row r="576" spans="1:11" x14ac:dyDescent="0.25">
      <c r="A576" t="s">
        <v>295</v>
      </c>
      <c r="B576" t="s">
        <v>296</v>
      </c>
      <c r="C576" t="s">
        <v>467</v>
      </c>
      <c r="D576" t="s">
        <v>468</v>
      </c>
      <c r="E576" s="4">
        <v>9535634</v>
      </c>
      <c r="F576" s="4">
        <v>4492.25</v>
      </c>
      <c r="G576" s="4">
        <v>449225</v>
      </c>
      <c r="H576" s="4">
        <v>449.225</v>
      </c>
      <c r="I576" s="4">
        <v>21.226855139406755</v>
      </c>
      <c r="J576" t="b">
        <v>0</v>
      </c>
      <c r="K576" t="b">
        <v>0</v>
      </c>
    </row>
    <row r="577" spans="1:11" x14ac:dyDescent="0.25">
      <c r="A577" t="s">
        <v>297</v>
      </c>
      <c r="B577" t="s">
        <v>298</v>
      </c>
      <c r="C577" t="s">
        <v>455</v>
      </c>
      <c r="D577" t="s">
        <v>477</v>
      </c>
      <c r="E577" s="4">
        <v>709891</v>
      </c>
      <c r="F577" s="4">
        <v>2481.94</v>
      </c>
      <c r="G577" s="4">
        <v>248194</v>
      </c>
      <c r="H577" s="4">
        <v>248.19400000000002</v>
      </c>
      <c r="I577" s="4">
        <v>2.8602262746077667</v>
      </c>
      <c r="J577" t="b">
        <v>0</v>
      </c>
      <c r="K577" t="b">
        <v>0</v>
      </c>
    </row>
    <row r="578" spans="1:11" x14ac:dyDescent="0.25">
      <c r="A578" t="s">
        <v>297</v>
      </c>
      <c r="B578" t="s">
        <v>298</v>
      </c>
      <c r="C578" t="s">
        <v>461</v>
      </c>
      <c r="D578" t="s">
        <v>462</v>
      </c>
      <c r="E578" s="4">
        <v>24384501</v>
      </c>
      <c r="F578" s="4">
        <v>13453.33</v>
      </c>
      <c r="G578" s="4">
        <v>1345333</v>
      </c>
      <c r="H578" s="4">
        <v>1345.333</v>
      </c>
      <c r="I578" s="4">
        <v>18.12525300427478</v>
      </c>
      <c r="J578" t="b">
        <v>0</v>
      </c>
      <c r="K578" t="b">
        <v>0</v>
      </c>
    </row>
    <row r="579" spans="1:11" x14ac:dyDescent="0.25">
      <c r="A579" t="s">
        <v>297</v>
      </c>
      <c r="B579" t="s">
        <v>298</v>
      </c>
      <c r="C579" t="s">
        <v>463</v>
      </c>
      <c r="D579" t="s">
        <v>464</v>
      </c>
      <c r="E579" s="4">
        <v>20643894</v>
      </c>
      <c r="F579" s="4">
        <v>7702.06</v>
      </c>
      <c r="G579" s="4">
        <v>770206</v>
      </c>
      <c r="H579" s="4">
        <v>770.2060000000001</v>
      </c>
      <c r="I579" s="4">
        <v>26.803081253586704</v>
      </c>
      <c r="J579" t="b">
        <v>0</v>
      </c>
      <c r="K579" t="b">
        <v>0</v>
      </c>
    </row>
    <row r="580" spans="1:11" x14ac:dyDescent="0.25">
      <c r="A580" t="s">
        <v>297</v>
      </c>
      <c r="B580" t="s">
        <v>298</v>
      </c>
      <c r="C580" t="s">
        <v>465</v>
      </c>
      <c r="D580" t="s">
        <v>478</v>
      </c>
      <c r="E580" s="4">
        <v>9894926</v>
      </c>
      <c r="F580" s="4">
        <v>24380.08</v>
      </c>
      <c r="G580" s="4">
        <v>2438008</v>
      </c>
      <c r="H580" s="4">
        <v>2438.0080000000003</v>
      </c>
      <c r="I580" s="4">
        <v>4.058610964361068</v>
      </c>
      <c r="J580" t="b">
        <v>0</v>
      </c>
      <c r="K580" t="b">
        <v>0</v>
      </c>
    </row>
    <row r="581" spans="1:11" x14ac:dyDescent="0.25">
      <c r="A581" t="s">
        <v>297</v>
      </c>
      <c r="B581" t="s">
        <v>298</v>
      </c>
      <c r="C581" t="s">
        <v>467</v>
      </c>
      <c r="D581" t="s">
        <v>468</v>
      </c>
      <c r="E581" s="4">
        <v>11129644</v>
      </c>
      <c r="F581" s="4">
        <v>5546.43</v>
      </c>
      <c r="G581" s="4">
        <v>554643</v>
      </c>
      <c r="H581" s="4">
        <v>554.643</v>
      </c>
      <c r="I581" s="4">
        <v>20.066320137457787</v>
      </c>
      <c r="J581" t="b">
        <v>0</v>
      </c>
      <c r="K581" t="b">
        <v>0</v>
      </c>
    </row>
    <row r="582" spans="1:11" x14ac:dyDescent="0.25">
      <c r="A582" t="s">
        <v>299</v>
      </c>
      <c r="B582" t="s">
        <v>300</v>
      </c>
      <c r="C582" t="s">
        <v>455</v>
      </c>
      <c r="D582" t="s">
        <v>477</v>
      </c>
      <c r="E582" s="4">
        <v>756342</v>
      </c>
      <c r="F582" s="4">
        <v>2629.15</v>
      </c>
      <c r="G582" s="4">
        <v>262915</v>
      </c>
      <c r="H582" s="4">
        <v>262.915</v>
      </c>
      <c r="I582" s="4">
        <v>2.876754844721678</v>
      </c>
      <c r="J582" t="b">
        <v>0</v>
      </c>
      <c r="K582" t="b">
        <v>0</v>
      </c>
    </row>
    <row r="583" spans="1:11" x14ac:dyDescent="0.25">
      <c r="A583" t="s">
        <v>299</v>
      </c>
      <c r="B583" t="s">
        <v>300</v>
      </c>
      <c r="C583" t="s">
        <v>461</v>
      </c>
      <c r="D583" t="s">
        <v>462</v>
      </c>
      <c r="E583" s="4">
        <v>20879302</v>
      </c>
      <c r="F583" s="4">
        <v>11472.49</v>
      </c>
      <c r="G583" s="4">
        <v>1147249</v>
      </c>
      <c r="H583" s="4">
        <v>1147.249</v>
      </c>
      <c r="I583" s="4">
        <v>18.199451034605392</v>
      </c>
      <c r="J583" t="b">
        <v>0</v>
      </c>
      <c r="K583" t="b">
        <v>0</v>
      </c>
    </row>
    <row r="584" spans="1:11" x14ac:dyDescent="0.25">
      <c r="A584" t="s">
        <v>299</v>
      </c>
      <c r="B584" t="s">
        <v>300</v>
      </c>
      <c r="C584" t="s">
        <v>463</v>
      </c>
      <c r="D584" t="s">
        <v>464</v>
      </c>
      <c r="E584" s="4">
        <v>20312439</v>
      </c>
      <c r="F584" s="4">
        <v>6625.39</v>
      </c>
      <c r="G584" s="4">
        <v>662539</v>
      </c>
      <c r="H584" s="4">
        <v>662.5390000000001</v>
      </c>
      <c r="I584" s="4">
        <v>30.658480481903705</v>
      </c>
      <c r="J584" t="b">
        <v>0</v>
      </c>
      <c r="K584" t="b">
        <v>0</v>
      </c>
    </row>
    <row r="585" spans="1:11" x14ac:dyDescent="0.25">
      <c r="A585" t="s">
        <v>299</v>
      </c>
      <c r="B585" t="s">
        <v>300</v>
      </c>
      <c r="C585" t="s">
        <v>465</v>
      </c>
      <c r="D585" t="s">
        <v>478</v>
      </c>
      <c r="E585" s="4">
        <v>9032028</v>
      </c>
      <c r="F585" s="4">
        <v>22103.84</v>
      </c>
      <c r="G585" s="4">
        <v>2210384</v>
      </c>
      <c r="H585" s="4">
        <v>2210.384</v>
      </c>
      <c r="I585" s="4">
        <v>4.0861805007636685</v>
      </c>
      <c r="J585" t="b">
        <v>0</v>
      </c>
      <c r="K585" t="b">
        <v>0</v>
      </c>
    </row>
    <row r="586" spans="1:11" x14ac:dyDescent="0.25">
      <c r="A586" t="s">
        <v>299</v>
      </c>
      <c r="B586" t="s">
        <v>300</v>
      </c>
      <c r="C586" t="s">
        <v>467</v>
      </c>
      <c r="D586" t="s">
        <v>468</v>
      </c>
      <c r="E586" s="4">
        <v>15558898</v>
      </c>
      <c r="F586" s="4">
        <v>7939.02</v>
      </c>
      <c r="G586" s="4">
        <v>793902</v>
      </c>
      <c r="H586" s="4">
        <v>793.902</v>
      </c>
      <c r="I586" s="4">
        <v>19.598008318407057</v>
      </c>
      <c r="J586" t="b">
        <v>0</v>
      </c>
      <c r="K586" t="b">
        <v>0</v>
      </c>
    </row>
    <row r="587" spans="1:11" x14ac:dyDescent="0.25">
      <c r="A587" t="s">
        <v>301</v>
      </c>
      <c r="B587" t="s">
        <v>302</v>
      </c>
      <c r="C587" t="s">
        <v>455</v>
      </c>
      <c r="D587" t="s">
        <v>477</v>
      </c>
      <c r="E587" s="4">
        <v>582463</v>
      </c>
      <c r="F587" s="4">
        <v>2423.62</v>
      </c>
      <c r="G587" s="4">
        <v>242362</v>
      </c>
      <c r="H587" s="4">
        <v>242.362</v>
      </c>
      <c r="I587" s="4">
        <v>2.4032769163482723</v>
      </c>
      <c r="J587" t="b">
        <v>0</v>
      </c>
      <c r="K587" t="b">
        <v>0</v>
      </c>
    </row>
    <row r="588" spans="1:11" x14ac:dyDescent="0.25">
      <c r="A588" t="s">
        <v>301</v>
      </c>
      <c r="B588" t="s">
        <v>302</v>
      </c>
      <c r="C588" t="s">
        <v>461</v>
      </c>
      <c r="D588" t="s">
        <v>462</v>
      </c>
      <c r="E588" s="4">
        <v>17471720</v>
      </c>
      <c r="F588" s="4">
        <v>9628.13</v>
      </c>
      <c r="G588" s="4">
        <v>962812.9999999999</v>
      </c>
      <c r="H588" s="4">
        <v>962.813</v>
      </c>
      <c r="I588" s="4">
        <v>18.146535204655528</v>
      </c>
      <c r="J588" t="b">
        <v>0</v>
      </c>
      <c r="K588" t="b">
        <v>0</v>
      </c>
    </row>
    <row r="589" spans="1:11" x14ac:dyDescent="0.25">
      <c r="A589" t="s">
        <v>301</v>
      </c>
      <c r="B589" t="s">
        <v>302</v>
      </c>
      <c r="C589" t="s">
        <v>463</v>
      </c>
      <c r="D589" t="s">
        <v>464</v>
      </c>
      <c r="E589" s="4">
        <v>14112768</v>
      </c>
      <c r="F589" s="4">
        <v>5436.67</v>
      </c>
      <c r="G589" s="4">
        <v>543667</v>
      </c>
      <c r="H589" s="4">
        <v>543.667</v>
      </c>
      <c r="I589" s="4">
        <v>25.95847825966998</v>
      </c>
      <c r="J589" t="b">
        <v>0</v>
      </c>
      <c r="K589" t="b">
        <v>0</v>
      </c>
    </row>
    <row r="590" spans="1:11" x14ac:dyDescent="0.25">
      <c r="A590" t="s">
        <v>301</v>
      </c>
      <c r="B590" t="s">
        <v>302</v>
      </c>
      <c r="C590" t="s">
        <v>465</v>
      </c>
      <c r="D590" t="s">
        <v>478</v>
      </c>
      <c r="E590" s="4">
        <v>11752905</v>
      </c>
      <c r="F590" s="4">
        <v>29470.76</v>
      </c>
      <c r="G590" s="4">
        <v>2947076</v>
      </c>
      <c r="H590" s="4">
        <v>2947.076</v>
      </c>
      <c r="I590" s="4">
        <v>3.9879884332809876</v>
      </c>
      <c r="J590" t="b">
        <v>0</v>
      </c>
      <c r="K590" t="b">
        <v>0</v>
      </c>
    </row>
    <row r="591" spans="1:11" x14ac:dyDescent="0.25">
      <c r="A591" t="s">
        <v>301</v>
      </c>
      <c r="B591" t="s">
        <v>302</v>
      </c>
      <c r="C591" t="s">
        <v>467</v>
      </c>
      <c r="D591" t="s">
        <v>468</v>
      </c>
      <c r="E591" s="4">
        <v>9973500</v>
      </c>
      <c r="F591" s="4">
        <v>5949.54</v>
      </c>
      <c r="G591" s="4">
        <v>594954</v>
      </c>
      <c r="H591" s="4">
        <v>594.9540000000001</v>
      </c>
      <c r="I591" s="4">
        <v>16.763480874151615</v>
      </c>
      <c r="J591" t="b">
        <v>0</v>
      </c>
      <c r="K591" t="b">
        <v>0</v>
      </c>
    </row>
    <row r="592" spans="1:11" x14ac:dyDescent="0.25">
      <c r="A592" t="s">
        <v>303</v>
      </c>
      <c r="B592" t="s">
        <v>304</v>
      </c>
      <c r="C592" t="s">
        <v>455</v>
      </c>
      <c r="D592" t="s">
        <v>477</v>
      </c>
      <c r="E592" s="4">
        <v>602459</v>
      </c>
      <c r="F592" s="4">
        <v>1903.09</v>
      </c>
      <c r="G592" s="4">
        <v>190309</v>
      </c>
      <c r="H592" s="4">
        <v>190.309</v>
      </c>
      <c r="I592" s="4">
        <v>3.165688433022085</v>
      </c>
      <c r="J592" t="b">
        <v>0</v>
      </c>
      <c r="K592" t="b">
        <v>0</v>
      </c>
    </row>
    <row r="593" spans="1:11" x14ac:dyDescent="0.25">
      <c r="A593" t="s">
        <v>303</v>
      </c>
      <c r="B593" t="s">
        <v>304</v>
      </c>
      <c r="C593" t="s">
        <v>461</v>
      </c>
      <c r="D593" t="s">
        <v>462</v>
      </c>
      <c r="E593" s="4">
        <v>14053892</v>
      </c>
      <c r="F593" s="4">
        <v>8344.45</v>
      </c>
      <c r="G593" s="4">
        <v>834445.0000000001</v>
      </c>
      <c r="H593" s="4">
        <v>834.4450000000002</v>
      </c>
      <c r="I593" s="4">
        <v>16.842202901329625</v>
      </c>
      <c r="J593" t="b">
        <v>0</v>
      </c>
      <c r="K593" t="b">
        <v>0</v>
      </c>
    </row>
    <row r="594" spans="1:11" x14ac:dyDescent="0.25">
      <c r="A594" t="s">
        <v>303</v>
      </c>
      <c r="B594" t="s">
        <v>304</v>
      </c>
      <c r="C594" t="s">
        <v>463</v>
      </c>
      <c r="D594" t="s">
        <v>464</v>
      </c>
      <c r="E594" s="4">
        <v>9983037</v>
      </c>
      <c r="F594" s="4">
        <v>4113.44</v>
      </c>
      <c r="G594" s="4">
        <v>411343.99999999994</v>
      </c>
      <c r="H594" s="4">
        <v>411.344</v>
      </c>
      <c r="I594" s="4">
        <v>24.269314734139797</v>
      </c>
      <c r="J594" t="b">
        <v>0</v>
      </c>
      <c r="K594" t="b">
        <v>0</v>
      </c>
    </row>
    <row r="595" spans="1:11" x14ac:dyDescent="0.25">
      <c r="A595" t="s">
        <v>303</v>
      </c>
      <c r="B595" t="s">
        <v>304</v>
      </c>
      <c r="C595" t="s">
        <v>465</v>
      </c>
      <c r="D595" t="s">
        <v>478</v>
      </c>
      <c r="E595" s="4">
        <v>9757710</v>
      </c>
      <c r="F595" s="4">
        <v>26426.34</v>
      </c>
      <c r="G595" s="4">
        <v>2642634</v>
      </c>
      <c r="H595" s="4">
        <v>2642.634</v>
      </c>
      <c r="I595" s="4">
        <v>3.692418246340583</v>
      </c>
      <c r="J595" t="b">
        <v>0</v>
      </c>
      <c r="K595" t="b">
        <v>0</v>
      </c>
    </row>
    <row r="596" spans="1:11" x14ac:dyDescent="0.25">
      <c r="A596" t="s">
        <v>303</v>
      </c>
      <c r="B596" t="s">
        <v>304</v>
      </c>
      <c r="C596" t="s">
        <v>467</v>
      </c>
      <c r="D596" t="s">
        <v>468</v>
      </c>
      <c r="E596" s="4">
        <v>5654078</v>
      </c>
      <c r="F596" s="4">
        <v>3467.23</v>
      </c>
      <c r="G596" s="4">
        <v>346723</v>
      </c>
      <c r="H596" s="4">
        <v>346.723</v>
      </c>
      <c r="I596" s="4">
        <v>16.307190466164634</v>
      </c>
      <c r="J596" t="b">
        <v>0</v>
      </c>
      <c r="K596" t="b">
        <v>0</v>
      </c>
    </row>
    <row r="597" spans="1:11" x14ac:dyDescent="0.25">
      <c r="A597" t="s">
        <v>305</v>
      </c>
      <c r="B597" t="s">
        <v>306</v>
      </c>
      <c r="C597" t="s">
        <v>455</v>
      </c>
      <c r="D597" t="s">
        <v>477</v>
      </c>
      <c r="E597" s="4">
        <v>539227</v>
      </c>
      <c r="F597" s="4">
        <v>1045.84</v>
      </c>
      <c r="G597" s="4">
        <v>104583.99999999999</v>
      </c>
      <c r="H597" s="4">
        <v>104.584</v>
      </c>
      <c r="I597" s="4">
        <v>5.1559225120477326</v>
      </c>
      <c r="J597" t="b">
        <v>0</v>
      </c>
      <c r="K597" t="b">
        <v>0</v>
      </c>
    </row>
    <row r="598" spans="1:11" x14ac:dyDescent="0.25">
      <c r="A598" t="s">
        <v>305</v>
      </c>
      <c r="B598" t="s">
        <v>306</v>
      </c>
      <c r="C598" t="s">
        <v>461</v>
      </c>
      <c r="D598" t="s">
        <v>462</v>
      </c>
      <c r="E598" s="4">
        <v>16968763</v>
      </c>
      <c r="F598" s="4">
        <v>10132.84</v>
      </c>
      <c r="G598" s="4">
        <v>1013284</v>
      </c>
      <c r="H598" s="4">
        <v>1013.2840000000001</v>
      </c>
      <c r="I598" s="4">
        <v>16.74630508327379</v>
      </c>
      <c r="J598" t="b">
        <v>0</v>
      </c>
      <c r="K598" t="b">
        <v>0</v>
      </c>
    </row>
    <row r="599" spans="1:11" x14ac:dyDescent="0.25">
      <c r="A599" t="s">
        <v>305</v>
      </c>
      <c r="B599" t="s">
        <v>306</v>
      </c>
      <c r="C599" t="s">
        <v>463</v>
      </c>
      <c r="D599" t="s">
        <v>464</v>
      </c>
      <c r="E599" s="4">
        <v>14972997</v>
      </c>
      <c r="F599" s="4">
        <v>6405.62</v>
      </c>
      <c r="G599" s="4">
        <v>640562</v>
      </c>
      <c r="H599" s="4">
        <v>640.562</v>
      </c>
      <c r="I599" s="4">
        <v>23.374781832203595</v>
      </c>
      <c r="J599" t="b">
        <v>0</v>
      </c>
      <c r="K599" t="b">
        <v>0</v>
      </c>
    </row>
    <row r="600" spans="1:11" x14ac:dyDescent="0.25">
      <c r="A600" t="s">
        <v>305</v>
      </c>
      <c r="B600" t="s">
        <v>306</v>
      </c>
      <c r="C600" t="s">
        <v>465</v>
      </c>
      <c r="D600" t="s">
        <v>478</v>
      </c>
      <c r="E600" s="4">
        <v>10236878</v>
      </c>
      <c r="F600" s="4">
        <v>26237.89</v>
      </c>
      <c r="G600" s="4">
        <v>2623789</v>
      </c>
      <c r="H600" s="4">
        <v>2623.789</v>
      </c>
      <c r="I600" s="4">
        <v>3.9015629686685935</v>
      </c>
      <c r="J600" t="b">
        <v>0</v>
      </c>
      <c r="K600" t="b">
        <v>0</v>
      </c>
    </row>
    <row r="601" spans="1:11" x14ac:dyDescent="0.25">
      <c r="A601" t="s">
        <v>305</v>
      </c>
      <c r="B601" t="s">
        <v>306</v>
      </c>
      <c r="C601" t="s">
        <v>467</v>
      </c>
      <c r="D601" t="s">
        <v>468</v>
      </c>
      <c r="E601" s="4">
        <v>6257184</v>
      </c>
      <c r="F601" s="4">
        <v>3523.19</v>
      </c>
      <c r="G601" s="4">
        <v>352319</v>
      </c>
      <c r="H601" s="4">
        <v>352.319</v>
      </c>
      <c r="I601" s="4">
        <v>17.75999591279494</v>
      </c>
      <c r="J601" t="b">
        <v>0</v>
      </c>
      <c r="K601" t="b">
        <v>0</v>
      </c>
    </row>
    <row r="602" spans="1:11" x14ac:dyDescent="0.25">
      <c r="A602" t="s">
        <v>307</v>
      </c>
      <c r="B602" t="s">
        <v>308</v>
      </c>
      <c r="C602" t="s">
        <v>455</v>
      </c>
      <c r="D602" t="s">
        <v>477</v>
      </c>
      <c r="E602" s="4">
        <v>713069</v>
      </c>
      <c r="F602" s="4">
        <v>1487.15</v>
      </c>
      <c r="G602" s="4">
        <v>148715</v>
      </c>
      <c r="H602" s="4">
        <v>148.715</v>
      </c>
      <c r="I602" s="4">
        <v>4.794869381030831</v>
      </c>
      <c r="J602" t="b">
        <v>0</v>
      </c>
      <c r="K602" t="b">
        <v>0</v>
      </c>
    </row>
    <row r="603" spans="1:11" x14ac:dyDescent="0.25">
      <c r="A603" t="s">
        <v>307</v>
      </c>
      <c r="B603" t="s">
        <v>308</v>
      </c>
      <c r="C603" t="s">
        <v>461</v>
      </c>
      <c r="D603" t="s">
        <v>462</v>
      </c>
      <c r="E603" s="4">
        <v>21911616</v>
      </c>
      <c r="F603" s="4">
        <v>12391.76</v>
      </c>
      <c r="G603" s="4">
        <v>1239176</v>
      </c>
      <c r="H603" s="4">
        <v>1239.1760000000002</v>
      </c>
      <c r="I603" s="4">
        <v>17.682408310038284</v>
      </c>
      <c r="J603" t="b">
        <v>0</v>
      </c>
      <c r="K603" t="b">
        <v>0</v>
      </c>
    </row>
    <row r="604" spans="1:11" x14ac:dyDescent="0.25">
      <c r="A604" t="s">
        <v>307</v>
      </c>
      <c r="B604" t="s">
        <v>308</v>
      </c>
      <c r="C604" t="s">
        <v>463</v>
      </c>
      <c r="D604" t="s">
        <v>464</v>
      </c>
      <c r="E604" s="4">
        <v>23619740</v>
      </c>
      <c r="F604" s="4">
        <v>8269.92</v>
      </c>
      <c r="G604" s="4">
        <v>826992</v>
      </c>
      <c r="H604" s="4">
        <v>826.9920000000001</v>
      </c>
      <c r="I604" s="4">
        <v>28.561025983322693</v>
      </c>
      <c r="J604" t="b">
        <v>0</v>
      </c>
      <c r="K604" t="b">
        <v>0</v>
      </c>
    </row>
    <row r="605" spans="1:11" x14ac:dyDescent="0.25">
      <c r="A605" t="s">
        <v>307</v>
      </c>
      <c r="B605" t="s">
        <v>308</v>
      </c>
      <c r="C605" t="s">
        <v>465</v>
      </c>
      <c r="D605" t="s">
        <v>478</v>
      </c>
      <c r="E605" s="4">
        <v>10687554</v>
      </c>
      <c r="F605" s="4">
        <v>28309.78</v>
      </c>
      <c r="G605" s="4">
        <v>2830978</v>
      </c>
      <c r="H605" s="4">
        <v>2830.978</v>
      </c>
      <c r="I605" s="4">
        <v>3.7752161973706615</v>
      </c>
      <c r="J605" t="b">
        <v>0</v>
      </c>
      <c r="K605" t="b">
        <v>0</v>
      </c>
    </row>
    <row r="606" spans="1:11" x14ac:dyDescent="0.25">
      <c r="A606" t="s">
        <v>307</v>
      </c>
      <c r="B606" t="s">
        <v>308</v>
      </c>
      <c r="C606" t="s">
        <v>467</v>
      </c>
      <c r="D606" t="s">
        <v>468</v>
      </c>
      <c r="E606" s="4">
        <v>12532465</v>
      </c>
      <c r="F606" s="4">
        <v>6622.23</v>
      </c>
      <c r="G606" s="4">
        <v>662223</v>
      </c>
      <c r="H606" s="4">
        <v>662.223</v>
      </c>
      <c r="I606" s="4">
        <v>18.924841027871278</v>
      </c>
      <c r="J606" t="b">
        <v>0</v>
      </c>
      <c r="K606" t="b">
        <v>0</v>
      </c>
    </row>
    <row r="607" spans="1:11" x14ac:dyDescent="0.25">
      <c r="A607" t="s">
        <v>309</v>
      </c>
      <c r="B607" t="s">
        <v>310</v>
      </c>
      <c r="C607" t="s">
        <v>455</v>
      </c>
      <c r="D607" t="s">
        <v>477</v>
      </c>
      <c r="E607" s="4">
        <v>899134</v>
      </c>
      <c r="F607" s="4">
        <v>1654.69</v>
      </c>
      <c r="G607" s="4">
        <v>165469</v>
      </c>
      <c r="H607" s="4">
        <v>165.46900000000002</v>
      </c>
      <c r="I607" s="4">
        <v>5.433851658014492</v>
      </c>
      <c r="J607" t="b">
        <v>0</v>
      </c>
      <c r="K607" t="b">
        <v>0</v>
      </c>
    </row>
    <row r="608" spans="1:11" x14ac:dyDescent="0.25">
      <c r="A608" t="s">
        <v>309</v>
      </c>
      <c r="B608" t="s">
        <v>310</v>
      </c>
      <c r="C608" t="s">
        <v>461</v>
      </c>
      <c r="D608" t="s">
        <v>462</v>
      </c>
      <c r="E608" s="4">
        <v>28047148</v>
      </c>
      <c r="F608" s="4">
        <v>15214.75</v>
      </c>
      <c r="G608" s="4">
        <v>1521475</v>
      </c>
      <c r="H608" s="4">
        <v>1521.4750000000001</v>
      </c>
      <c r="I608" s="4">
        <v>18.43418261884027</v>
      </c>
      <c r="J608" t="b">
        <v>0</v>
      </c>
      <c r="K608" t="b">
        <v>0</v>
      </c>
    </row>
    <row r="609" spans="1:11" x14ac:dyDescent="0.25">
      <c r="A609" t="s">
        <v>309</v>
      </c>
      <c r="B609" t="s">
        <v>310</v>
      </c>
      <c r="C609" t="s">
        <v>463</v>
      </c>
      <c r="D609" t="s">
        <v>464</v>
      </c>
      <c r="E609" s="4">
        <v>30554394</v>
      </c>
      <c r="F609" s="4">
        <v>10451.83</v>
      </c>
      <c r="G609" s="4">
        <v>1045183</v>
      </c>
      <c r="H609" s="4">
        <v>1045.183</v>
      </c>
      <c r="I609" s="4">
        <v>29.2335351799637</v>
      </c>
      <c r="J609" t="b">
        <v>0</v>
      </c>
      <c r="K609" t="b">
        <v>0</v>
      </c>
    </row>
    <row r="610" spans="1:11" x14ac:dyDescent="0.25">
      <c r="A610" t="s">
        <v>309</v>
      </c>
      <c r="B610" t="s">
        <v>310</v>
      </c>
      <c r="C610" t="s">
        <v>465</v>
      </c>
      <c r="D610" t="s">
        <v>478</v>
      </c>
      <c r="E610" s="4">
        <v>11225412</v>
      </c>
      <c r="F610" s="4">
        <v>26221.2</v>
      </c>
      <c r="G610" s="4">
        <v>2622120</v>
      </c>
      <c r="H610" s="4">
        <v>2622.1200000000003</v>
      </c>
      <c r="I610" s="4">
        <v>4.2810443457965315</v>
      </c>
      <c r="J610" t="b">
        <v>0</v>
      </c>
      <c r="K610" t="b">
        <v>0</v>
      </c>
    </row>
    <row r="611" spans="1:11" x14ac:dyDescent="0.25">
      <c r="A611" t="s">
        <v>309</v>
      </c>
      <c r="B611" t="s">
        <v>310</v>
      </c>
      <c r="C611" t="s">
        <v>467</v>
      </c>
      <c r="D611" t="s">
        <v>468</v>
      </c>
      <c r="E611" s="4">
        <v>13022291</v>
      </c>
      <c r="F611" s="4">
        <v>6967.1</v>
      </c>
      <c r="G611" s="4">
        <v>696710</v>
      </c>
      <c r="H611" s="4">
        <v>696.71</v>
      </c>
      <c r="I611" s="4">
        <v>18.69112112643711</v>
      </c>
      <c r="J611" t="b">
        <v>0</v>
      </c>
      <c r="K611" t="b">
        <v>0</v>
      </c>
    </row>
    <row r="612" spans="1:11" x14ac:dyDescent="0.25">
      <c r="A612" t="s">
        <v>311</v>
      </c>
      <c r="B612" t="s">
        <v>312</v>
      </c>
      <c r="C612" t="s">
        <v>455</v>
      </c>
      <c r="D612" t="s">
        <v>477</v>
      </c>
      <c r="E612" s="4">
        <v>626773</v>
      </c>
      <c r="F612" s="4">
        <v>812.09</v>
      </c>
      <c r="G612" s="4">
        <v>81209</v>
      </c>
      <c r="H612" s="4">
        <v>81.209</v>
      </c>
      <c r="I612" s="4">
        <v>7.718023864350011</v>
      </c>
      <c r="J612" t="b">
        <v>0</v>
      </c>
      <c r="K612" t="b">
        <v>0</v>
      </c>
    </row>
    <row r="613" spans="1:11" x14ac:dyDescent="0.25">
      <c r="A613" t="s">
        <v>311</v>
      </c>
      <c r="B613" t="s">
        <v>312</v>
      </c>
      <c r="C613" t="s">
        <v>461</v>
      </c>
      <c r="D613" t="s">
        <v>462</v>
      </c>
      <c r="E613" s="4">
        <v>28244842</v>
      </c>
      <c r="F613" s="4">
        <v>15046.19</v>
      </c>
      <c r="G613" s="4">
        <v>1504619</v>
      </c>
      <c r="H613" s="4">
        <v>1504.6190000000001</v>
      </c>
      <c r="I613" s="4">
        <v>18.77208914682056</v>
      </c>
      <c r="J613" t="b">
        <v>0</v>
      </c>
      <c r="K613" t="b">
        <v>0</v>
      </c>
    </row>
    <row r="614" spans="1:11" x14ac:dyDescent="0.25">
      <c r="A614" t="s">
        <v>311</v>
      </c>
      <c r="B614" t="s">
        <v>312</v>
      </c>
      <c r="C614" t="s">
        <v>463</v>
      </c>
      <c r="D614" t="s">
        <v>464</v>
      </c>
      <c r="E614" s="4">
        <v>37813509</v>
      </c>
      <c r="F614" s="4">
        <v>13788.68</v>
      </c>
      <c r="G614" s="4">
        <v>1378868</v>
      </c>
      <c r="H614" s="4">
        <v>1378.8680000000002</v>
      </c>
      <c r="I614" s="4">
        <v>27.423588769918513</v>
      </c>
      <c r="J614" t="b">
        <v>0</v>
      </c>
      <c r="K614" t="b">
        <v>0</v>
      </c>
    </row>
    <row r="615" spans="1:11" x14ac:dyDescent="0.25">
      <c r="A615" t="s">
        <v>311</v>
      </c>
      <c r="B615" t="s">
        <v>312</v>
      </c>
      <c r="C615" t="s">
        <v>465</v>
      </c>
      <c r="D615" t="s">
        <v>478</v>
      </c>
      <c r="E615" s="4">
        <v>14436141</v>
      </c>
      <c r="F615" s="4">
        <v>38492.66</v>
      </c>
      <c r="G615" s="4">
        <v>3849266.0000000005</v>
      </c>
      <c r="H615" s="4">
        <v>3849.2660000000005</v>
      </c>
      <c r="I615" s="4">
        <v>3.750362017070267</v>
      </c>
      <c r="J615" t="b">
        <v>0</v>
      </c>
      <c r="K615" t="b">
        <v>0</v>
      </c>
    </row>
    <row r="616" spans="1:11" x14ac:dyDescent="0.25">
      <c r="A616" t="s">
        <v>311</v>
      </c>
      <c r="B616" t="s">
        <v>312</v>
      </c>
      <c r="C616" t="s">
        <v>467</v>
      </c>
      <c r="D616" t="s">
        <v>468</v>
      </c>
      <c r="E616" s="4">
        <v>18132668</v>
      </c>
      <c r="F616" s="4">
        <v>8972.2</v>
      </c>
      <c r="G616" s="4">
        <v>897220.0000000001</v>
      </c>
      <c r="H616" s="4">
        <v>897.2200000000001</v>
      </c>
      <c r="I616" s="4">
        <v>20.209834823120303</v>
      </c>
      <c r="J616" t="b">
        <v>0</v>
      </c>
      <c r="K616" t="b">
        <v>0</v>
      </c>
    </row>
    <row r="617" spans="1:11" x14ac:dyDescent="0.25">
      <c r="A617" t="s">
        <v>313</v>
      </c>
      <c r="B617" t="s">
        <v>314</v>
      </c>
      <c r="C617" t="s">
        <v>455</v>
      </c>
      <c r="D617" t="s">
        <v>477</v>
      </c>
      <c r="E617" s="4">
        <v>986799</v>
      </c>
      <c r="F617" s="4">
        <v>1696.2</v>
      </c>
      <c r="G617" s="4">
        <v>169620</v>
      </c>
      <c r="H617" s="4">
        <v>169.62</v>
      </c>
      <c r="I617" s="4">
        <v>5.817704280155642</v>
      </c>
      <c r="J617" t="b">
        <v>0</v>
      </c>
      <c r="K617" t="b">
        <v>0</v>
      </c>
    </row>
    <row r="618" spans="1:11" x14ac:dyDescent="0.25">
      <c r="A618" t="s">
        <v>313</v>
      </c>
      <c r="B618" t="s">
        <v>314</v>
      </c>
      <c r="C618" t="s">
        <v>461</v>
      </c>
      <c r="D618" t="s">
        <v>462</v>
      </c>
      <c r="E618" s="4">
        <v>20339380</v>
      </c>
      <c r="F618" s="4">
        <v>10439.39</v>
      </c>
      <c r="G618" s="4">
        <v>1043939</v>
      </c>
      <c r="H618" s="4">
        <v>1043.939</v>
      </c>
      <c r="I618" s="4">
        <v>19.483303143191318</v>
      </c>
      <c r="J618" t="b">
        <v>0</v>
      </c>
      <c r="K618" t="b">
        <v>0</v>
      </c>
    </row>
    <row r="619" spans="1:11" x14ac:dyDescent="0.25">
      <c r="A619" t="s">
        <v>313</v>
      </c>
      <c r="B619" t="s">
        <v>314</v>
      </c>
      <c r="C619" t="s">
        <v>463</v>
      </c>
      <c r="D619" t="s">
        <v>464</v>
      </c>
      <c r="E619" s="4">
        <v>26215502</v>
      </c>
      <c r="F619" s="4">
        <v>11100.83</v>
      </c>
      <c r="G619" s="4">
        <v>1110083</v>
      </c>
      <c r="H619" s="4">
        <v>1110.083</v>
      </c>
      <c r="I619" s="4">
        <v>23.615803502981308</v>
      </c>
      <c r="J619" t="b">
        <v>0</v>
      </c>
      <c r="K619" t="b">
        <v>0</v>
      </c>
    </row>
    <row r="620" spans="1:11" x14ac:dyDescent="0.25">
      <c r="A620" t="s">
        <v>313</v>
      </c>
      <c r="B620" t="s">
        <v>314</v>
      </c>
      <c r="C620" t="s">
        <v>465</v>
      </c>
      <c r="D620" t="s">
        <v>478</v>
      </c>
      <c r="E620" s="4">
        <v>15905831</v>
      </c>
      <c r="F620" s="4">
        <v>42505.21</v>
      </c>
      <c r="G620" s="4">
        <v>4250521</v>
      </c>
      <c r="H620" s="4">
        <v>4250.521</v>
      </c>
      <c r="I620" s="4">
        <v>3.7420897344113815</v>
      </c>
      <c r="J620" t="b">
        <v>0</v>
      </c>
      <c r="K620" t="b">
        <v>0</v>
      </c>
    </row>
    <row r="621" spans="1:11" x14ac:dyDescent="0.25">
      <c r="A621" t="s">
        <v>313</v>
      </c>
      <c r="B621" t="s">
        <v>314</v>
      </c>
      <c r="C621" t="s">
        <v>467</v>
      </c>
      <c r="D621" t="s">
        <v>468</v>
      </c>
      <c r="E621" s="4">
        <v>10779480</v>
      </c>
      <c r="F621" s="4">
        <v>5320.45</v>
      </c>
      <c r="G621" s="4">
        <v>532045</v>
      </c>
      <c r="H621" s="4">
        <v>532.045</v>
      </c>
      <c r="I621" s="4">
        <v>20.260466689847664</v>
      </c>
      <c r="J621" t="b">
        <v>0</v>
      </c>
      <c r="K621" t="b">
        <v>0</v>
      </c>
    </row>
    <row r="622" spans="1:11" x14ac:dyDescent="0.25">
      <c r="A622" t="s">
        <v>315</v>
      </c>
      <c r="B622" t="s">
        <v>316</v>
      </c>
      <c r="C622" t="s">
        <v>455</v>
      </c>
      <c r="D622" t="s">
        <v>477</v>
      </c>
      <c r="E622" s="4">
        <v>752768</v>
      </c>
      <c r="F622" s="4">
        <v>3457.61</v>
      </c>
      <c r="G622" s="4">
        <v>345761</v>
      </c>
      <c r="H622" s="4">
        <v>345.761</v>
      </c>
      <c r="I622" s="4">
        <v>2.1771339162022323</v>
      </c>
      <c r="J622" t="b">
        <v>0</v>
      </c>
      <c r="K622" t="b">
        <v>0</v>
      </c>
    </row>
    <row r="623" spans="1:11" x14ac:dyDescent="0.25">
      <c r="A623" t="s">
        <v>315</v>
      </c>
      <c r="B623" t="s">
        <v>316</v>
      </c>
      <c r="C623" t="s">
        <v>461</v>
      </c>
      <c r="D623" t="s">
        <v>462</v>
      </c>
      <c r="E623" s="4">
        <v>19442903</v>
      </c>
      <c r="F623" s="4">
        <v>10146.89</v>
      </c>
      <c r="G623" s="4">
        <v>1014689</v>
      </c>
      <c r="H623" s="4">
        <v>1014.689</v>
      </c>
      <c r="I623" s="4">
        <v>19.16144059904069</v>
      </c>
      <c r="J623" t="b">
        <v>0</v>
      </c>
      <c r="K623" t="b">
        <v>0</v>
      </c>
    </row>
    <row r="624" spans="1:11" x14ac:dyDescent="0.25">
      <c r="A624" t="s">
        <v>315</v>
      </c>
      <c r="B624" t="s">
        <v>316</v>
      </c>
      <c r="C624" t="s">
        <v>463</v>
      </c>
      <c r="D624" t="s">
        <v>464</v>
      </c>
      <c r="E624" s="4">
        <v>23911853</v>
      </c>
      <c r="F624" s="4">
        <v>9424.32</v>
      </c>
      <c r="G624" s="4">
        <v>942432</v>
      </c>
      <c r="H624" s="4">
        <v>942.432</v>
      </c>
      <c r="I624" s="4">
        <v>25.37249690163322</v>
      </c>
      <c r="J624" t="b">
        <v>0</v>
      </c>
      <c r="K624" t="b">
        <v>0</v>
      </c>
    </row>
    <row r="625" spans="1:11" x14ac:dyDescent="0.25">
      <c r="A625" t="s">
        <v>315</v>
      </c>
      <c r="B625" t="s">
        <v>316</v>
      </c>
      <c r="C625" t="s">
        <v>465</v>
      </c>
      <c r="D625" t="s">
        <v>478</v>
      </c>
      <c r="E625" s="4">
        <v>13034629</v>
      </c>
      <c r="F625" s="4">
        <v>31901.22</v>
      </c>
      <c r="G625" s="4">
        <v>3190122</v>
      </c>
      <c r="H625" s="4">
        <v>3190.1220000000003</v>
      </c>
      <c r="I625" s="4">
        <v>4.085934331038123</v>
      </c>
      <c r="J625" t="b">
        <v>0</v>
      </c>
      <c r="K625" t="b">
        <v>0</v>
      </c>
    </row>
    <row r="626" spans="1:11" x14ac:dyDescent="0.25">
      <c r="A626" t="s">
        <v>315</v>
      </c>
      <c r="B626" t="s">
        <v>316</v>
      </c>
      <c r="C626" t="s">
        <v>467</v>
      </c>
      <c r="D626" t="s">
        <v>468</v>
      </c>
      <c r="E626" s="4">
        <v>9843619</v>
      </c>
      <c r="F626" s="4">
        <v>5410.76</v>
      </c>
      <c r="G626" s="4">
        <v>541076</v>
      </c>
      <c r="H626" s="4">
        <v>541.076</v>
      </c>
      <c r="I626" s="4">
        <v>18.19267348764314</v>
      </c>
      <c r="J626" t="b">
        <v>0</v>
      </c>
      <c r="K626" t="b">
        <v>0</v>
      </c>
    </row>
    <row r="627" spans="1:11" x14ac:dyDescent="0.25">
      <c r="A627" t="s">
        <v>317</v>
      </c>
      <c r="B627" t="s">
        <v>318</v>
      </c>
      <c r="C627" t="s">
        <v>455</v>
      </c>
      <c r="D627" t="s">
        <v>477</v>
      </c>
      <c r="E627" s="4">
        <v>610306</v>
      </c>
      <c r="F627" s="4">
        <v>1181.15</v>
      </c>
      <c r="G627" s="4">
        <v>118115.00000000001</v>
      </c>
      <c r="H627" s="4">
        <v>118.11500000000001</v>
      </c>
      <c r="I627" s="4">
        <v>5.167049062354485</v>
      </c>
      <c r="J627" t="b">
        <v>0</v>
      </c>
      <c r="K627" t="b">
        <v>0</v>
      </c>
    </row>
    <row r="628" spans="1:11" x14ac:dyDescent="0.25">
      <c r="A628" t="s">
        <v>317</v>
      </c>
      <c r="B628" t="s">
        <v>318</v>
      </c>
      <c r="C628" t="s">
        <v>461</v>
      </c>
      <c r="D628" t="s">
        <v>462</v>
      </c>
      <c r="E628" s="4">
        <v>25309403</v>
      </c>
      <c r="F628" s="4">
        <v>14551.78</v>
      </c>
      <c r="G628" s="4">
        <v>1455178</v>
      </c>
      <c r="H628" s="4">
        <v>1455.178</v>
      </c>
      <c r="I628" s="4">
        <v>17.392650933425326</v>
      </c>
      <c r="J628" t="b">
        <v>0</v>
      </c>
      <c r="K628" t="b">
        <v>0</v>
      </c>
    </row>
    <row r="629" spans="1:11" x14ac:dyDescent="0.25">
      <c r="A629" t="s">
        <v>317</v>
      </c>
      <c r="B629" t="s">
        <v>318</v>
      </c>
      <c r="C629" t="s">
        <v>463</v>
      </c>
      <c r="D629" t="s">
        <v>464</v>
      </c>
      <c r="E629" s="4">
        <v>25449811</v>
      </c>
      <c r="F629" s="4">
        <v>9850.62</v>
      </c>
      <c r="G629" s="4">
        <v>985062.0000000001</v>
      </c>
      <c r="H629" s="4">
        <v>985.0620000000001</v>
      </c>
      <c r="I629" s="4">
        <v>25.83574536425118</v>
      </c>
      <c r="J629" t="b">
        <v>0</v>
      </c>
      <c r="K629" t="b">
        <v>0</v>
      </c>
    </row>
    <row r="630" spans="1:11" x14ac:dyDescent="0.25">
      <c r="A630" t="s">
        <v>317</v>
      </c>
      <c r="B630" t="s">
        <v>318</v>
      </c>
      <c r="C630" t="s">
        <v>465</v>
      </c>
      <c r="D630" t="s">
        <v>478</v>
      </c>
      <c r="E630" s="4">
        <v>13814712</v>
      </c>
      <c r="F630" s="4">
        <v>33274.26</v>
      </c>
      <c r="G630" s="4">
        <v>3327426</v>
      </c>
      <c r="H630" s="4">
        <v>3327.4260000000004</v>
      </c>
      <c r="I630" s="4">
        <v>4.1517713692205325</v>
      </c>
      <c r="J630" t="b">
        <v>0</v>
      </c>
      <c r="K630" t="b">
        <v>0</v>
      </c>
    </row>
    <row r="631" spans="1:11" x14ac:dyDescent="0.25">
      <c r="A631" t="s">
        <v>317</v>
      </c>
      <c r="B631" t="s">
        <v>318</v>
      </c>
      <c r="C631" t="s">
        <v>467</v>
      </c>
      <c r="D631" t="s">
        <v>468</v>
      </c>
      <c r="E631" s="4">
        <v>7552904</v>
      </c>
      <c r="F631" s="4">
        <v>3831.23</v>
      </c>
      <c r="G631" s="4">
        <v>383123</v>
      </c>
      <c r="H631" s="4">
        <v>383.12300000000005</v>
      </c>
      <c r="I631" s="4">
        <v>19.714044836775656</v>
      </c>
      <c r="J631" t="b">
        <v>0</v>
      </c>
      <c r="K631" t="b">
        <v>0</v>
      </c>
    </row>
    <row r="632" spans="1:11" x14ac:dyDescent="0.25">
      <c r="A632" t="s">
        <v>319</v>
      </c>
      <c r="B632" t="s">
        <v>320</v>
      </c>
      <c r="C632" t="s">
        <v>455</v>
      </c>
      <c r="D632" t="s">
        <v>477</v>
      </c>
      <c r="E632" s="4">
        <v>1065275</v>
      </c>
      <c r="F632" s="4">
        <v>2580.02</v>
      </c>
      <c r="G632" s="4">
        <v>258002</v>
      </c>
      <c r="H632" s="4">
        <v>258.002</v>
      </c>
      <c r="I632" s="4">
        <v>4.128940860923559</v>
      </c>
      <c r="J632" t="b">
        <v>0</v>
      </c>
      <c r="K632" t="b">
        <v>0</v>
      </c>
    </row>
    <row r="633" spans="1:11" x14ac:dyDescent="0.25">
      <c r="A633" t="s">
        <v>319</v>
      </c>
      <c r="B633" t="s">
        <v>320</v>
      </c>
      <c r="C633" t="s">
        <v>461</v>
      </c>
      <c r="D633" t="s">
        <v>462</v>
      </c>
      <c r="E633" s="4">
        <v>25629940</v>
      </c>
      <c r="F633" s="4">
        <v>13706.65</v>
      </c>
      <c r="G633" s="4">
        <v>1370665</v>
      </c>
      <c r="H633" s="4">
        <v>1370.665</v>
      </c>
      <c r="I633" s="4">
        <v>18.698908923770578</v>
      </c>
      <c r="J633" t="b">
        <v>0</v>
      </c>
      <c r="K633" t="b">
        <v>0</v>
      </c>
    </row>
    <row r="634" spans="1:11" x14ac:dyDescent="0.25">
      <c r="A634" t="s">
        <v>319</v>
      </c>
      <c r="B634" t="s">
        <v>320</v>
      </c>
      <c r="C634" t="s">
        <v>463</v>
      </c>
      <c r="D634" t="s">
        <v>464</v>
      </c>
      <c r="E634" s="4">
        <v>24121095</v>
      </c>
      <c r="F634" s="4">
        <v>8171.32</v>
      </c>
      <c r="G634" s="4">
        <v>817132</v>
      </c>
      <c r="H634" s="4">
        <v>817.1320000000001</v>
      </c>
      <c r="I634" s="4">
        <v>29.519214765790593</v>
      </c>
      <c r="J634" t="b">
        <v>0</v>
      </c>
      <c r="K634" t="b">
        <v>0</v>
      </c>
    </row>
    <row r="635" spans="1:11" x14ac:dyDescent="0.25">
      <c r="A635" t="s">
        <v>319</v>
      </c>
      <c r="B635" t="s">
        <v>320</v>
      </c>
      <c r="C635" t="s">
        <v>465</v>
      </c>
      <c r="D635" t="s">
        <v>478</v>
      </c>
      <c r="E635" s="4">
        <v>12783364</v>
      </c>
      <c r="F635" s="4">
        <v>30573.1</v>
      </c>
      <c r="G635" s="4">
        <v>3057310</v>
      </c>
      <c r="H635" s="4">
        <v>3057.31</v>
      </c>
      <c r="I635" s="4">
        <v>4.1812456047963735</v>
      </c>
      <c r="J635" t="b">
        <v>0</v>
      </c>
      <c r="K635" t="b">
        <v>0</v>
      </c>
    </row>
    <row r="636" spans="1:11" x14ac:dyDescent="0.25">
      <c r="A636" t="s">
        <v>319</v>
      </c>
      <c r="B636" t="s">
        <v>320</v>
      </c>
      <c r="C636" t="s">
        <v>467</v>
      </c>
      <c r="D636" t="s">
        <v>468</v>
      </c>
      <c r="E636" s="4">
        <v>10945750</v>
      </c>
      <c r="F636" s="4">
        <v>6119.83</v>
      </c>
      <c r="G636" s="4">
        <v>611983</v>
      </c>
      <c r="H636" s="4">
        <v>611.9830000000001</v>
      </c>
      <c r="I636" s="4">
        <v>17.885709243557418</v>
      </c>
      <c r="J636" t="b">
        <v>0</v>
      </c>
      <c r="K636" t="b">
        <v>0</v>
      </c>
    </row>
    <row r="637" spans="1:11" x14ac:dyDescent="0.25">
      <c r="A637" t="s">
        <v>321</v>
      </c>
      <c r="B637" t="s">
        <v>322</v>
      </c>
      <c r="C637" t="s">
        <v>455</v>
      </c>
      <c r="D637" t="s">
        <v>477</v>
      </c>
      <c r="E637" s="4">
        <v>541103</v>
      </c>
      <c r="F637" s="4">
        <v>895.63</v>
      </c>
      <c r="G637" s="4">
        <v>89563</v>
      </c>
      <c r="H637" s="4">
        <v>89.563</v>
      </c>
      <c r="I637" s="4">
        <v>6.0415908355012675</v>
      </c>
      <c r="J637" t="b">
        <v>0</v>
      </c>
      <c r="K637" t="b">
        <v>0</v>
      </c>
    </row>
    <row r="638" spans="1:11" x14ac:dyDescent="0.25">
      <c r="A638" t="s">
        <v>321</v>
      </c>
      <c r="B638" t="s">
        <v>322</v>
      </c>
      <c r="C638" t="s">
        <v>461</v>
      </c>
      <c r="D638" t="s">
        <v>462</v>
      </c>
      <c r="E638" s="4">
        <v>23473722</v>
      </c>
      <c r="F638" s="4">
        <v>12505.86</v>
      </c>
      <c r="G638" s="4">
        <v>1250586</v>
      </c>
      <c r="H638" s="4">
        <v>1250.5860000000002</v>
      </c>
      <c r="I638" s="4">
        <v>18.77017814048774</v>
      </c>
      <c r="J638" t="b">
        <v>0</v>
      </c>
      <c r="K638" t="b">
        <v>0</v>
      </c>
    </row>
    <row r="639" spans="1:11" x14ac:dyDescent="0.25">
      <c r="A639" t="s">
        <v>321</v>
      </c>
      <c r="B639" t="s">
        <v>322</v>
      </c>
      <c r="C639" t="s">
        <v>463</v>
      </c>
      <c r="D639" t="s">
        <v>464</v>
      </c>
      <c r="E639" s="4">
        <v>20913557</v>
      </c>
      <c r="F639" s="4">
        <v>7661.71</v>
      </c>
      <c r="G639" s="4">
        <v>766171</v>
      </c>
      <c r="H639" s="4">
        <v>766.171</v>
      </c>
      <c r="I639" s="4">
        <v>27.29620019551771</v>
      </c>
      <c r="J639" t="b">
        <v>0</v>
      </c>
      <c r="K639" t="b">
        <v>0</v>
      </c>
    </row>
    <row r="640" spans="1:11" x14ac:dyDescent="0.25">
      <c r="A640" t="s">
        <v>321</v>
      </c>
      <c r="B640" t="s">
        <v>322</v>
      </c>
      <c r="C640" t="s">
        <v>465</v>
      </c>
      <c r="D640" t="s">
        <v>478</v>
      </c>
      <c r="E640" s="4">
        <v>14140895</v>
      </c>
      <c r="F640" s="4">
        <v>34998.46</v>
      </c>
      <c r="G640" s="4">
        <v>3499846</v>
      </c>
      <c r="H640" s="4">
        <v>3499.846</v>
      </c>
      <c r="I640" s="4">
        <v>4.040433493359422</v>
      </c>
      <c r="J640" t="b">
        <v>0</v>
      </c>
      <c r="K640" t="b">
        <v>0</v>
      </c>
    </row>
    <row r="641" spans="1:11" x14ac:dyDescent="0.25">
      <c r="A641" t="s">
        <v>321</v>
      </c>
      <c r="B641" t="s">
        <v>322</v>
      </c>
      <c r="C641" t="s">
        <v>467</v>
      </c>
      <c r="D641" t="s">
        <v>468</v>
      </c>
      <c r="E641" s="4">
        <v>11731115</v>
      </c>
      <c r="F641" s="4">
        <v>5702.66</v>
      </c>
      <c r="G641" s="4">
        <v>570266</v>
      </c>
      <c r="H641" s="4">
        <v>570.266</v>
      </c>
      <c r="I641" s="4">
        <v>20.57130356710728</v>
      </c>
      <c r="J641" t="b">
        <v>0</v>
      </c>
      <c r="K641" t="b">
        <v>0</v>
      </c>
    </row>
    <row r="642" spans="1:11" x14ac:dyDescent="0.25">
      <c r="A642" t="s">
        <v>323</v>
      </c>
      <c r="B642" t="s">
        <v>324</v>
      </c>
      <c r="C642" t="s">
        <v>455</v>
      </c>
      <c r="D642" t="s">
        <v>477</v>
      </c>
      <c r="E642" s="4">
        <v>577470</v>
      </c>
      <c r="F642" s="4">
        <v>517.75</v>
      </c>
      <c r="G642" s="4">
        <v>51775</v>
      </c>
      <c r="H642" s="4">
        <v>51.775000000000006</v>
      </c>
      <c r="I642" s="4">
        <v>11.153452438435538</v>
      </c>
      <c r="J642" t="b">
        <v>0</v>
      </c>
      <c r="K642" t="b">
        <v>0</v>
      </c>
    </row>
    <row r="643" spans="1:11" x14ac:dyDescent="0.25">
      <c r="A643" t="s">
        <v>323</v>
      </c>
      <c r="B643" t="s">
        <v>324</v>
      </c>
      <c r="C643" t="s">
        <v>461</v>
      </c>
      <c r="D643" t="s">
        <v>462</v>
      </c>
      <c r="E643" s="4">
        <v>24750908</v>
      </c>
      <c r="F643" s="4">
        <v>14763.41</v>
      </c>
      <c r="G643" s="4">
        <v>1476341</v>
      </c>
      <c r="H643" s="4">
        <v>1476.3410000000001</v>
      </c>
      <c r="I643" s="4">
        <v>16.765034636306925</v>
      </c>
      <c r="J643" t="b">
        <v>0</v>
      </c>
      <c r="K643" t="b">
        <v>0</v>
      </c>
    </row>
    <row r="644" spans="1:11" x14ac:dyDescent="0.25">
      <c r="A644" t="s">
        <v>323</v>
      </c>
      <c r="B644" t="s">
        <v>324</v>
      </c>
      <c r="C644" t="s">
        <v>463</v>
      </c>
      <c r="D644" t="s">
        <v>464</v>
      </c>
      <c r="E644" s="4">
        <v>16160673</v>
      </c>
      <c r="F644" s="4">
        <v>6810.02</v>
      </c>
      <c r="G644" s="4">
        <v>681002</v>
      </c>
      <c r="H644" s="4">
        <v>681.0020000000001</v>
      </c>
      <c r="I644" s="4">
        <v>23.730727663061195</v>
      </c>
      <c r="J644" t="b">
        <v>0</v>
      </c>
      <c r="K644" t="b">
        <v>0</v>
      </c>
    </row>
    <row r="645" spans="1:11" x14ac:dyDescent="0.25">
      <c r="A645" t="s">
        <v>323</v>
      </c>
      <c r="B645" t="s">
        <v>324</v>
      </c>
      <c r="C645" t="s">
        <v>465</v>
      </c>
      <c r="D645" t="s">
        <v>478</v>
      </c>
      <c r="E645" s="4">
        <v>15550637</v>
      </c>
      <c r="F645" s="4">
        <v>33346.21</v>
      </c>
      <c r="G645" s="4">
        <v>3334621</v>
      </c>
      <c r="H645" s="4">
        <v>3334.621</v>
      </c>
      <c r="I645" s="4">
        <v>4.663389632584932</v>
      </c>
      <c r="J645" t="b">
        <v>0</v>
      </c>
      <c r="K645" t="b">
        <v>0</v>
      </c>
    </row>
    <row r="646" spans="1:11" x14ac:dyDescent="0.25">
      <c r="A646" t="s">
        <v>323</v>
      </c>
      <c r="B646" t="s">
        <v>324</v>
      </c>
      <c r="C646" t="s">
        <v>467</v>
      </c>
      <c r="D646" t="s">
        <v>468</v>
      </c>
      <c r="E646" s="4">
        <v>10883931</v>
      </c>
      <c r="F646" s="4">
        <v>5613.03</v>
      </c>
      <c r="G646" s="4">
        <v>561303</v>
      </c>
      <c r="H646" s="4">
        <v>561.303</v>
      </c>
      <c r="I646" s="4">
        <v>19.39047359447571</v>
      </c>
      <c r="J646" t="b">
        <v>0</v>
      </c>
      <c r="K646" t="b">
        <v>0</v>
      </c>
    </row>
    <row r="647" spans="1:11" x14ac:dyDescent="0.25">
      <c r="A647" t="s">
        <v>325</v>
      </c>
      <c r="B647" t="s">
        <v>326</v>
      </c>
      <c r="C647" t="s">
        <v>455</v>
      </c>
      <c r="D647" t="s">
        <v>477</v>
      </c>
      <c r="E647" s="4">
        <v>1003326</v>
      </c>
      <c r="F647" s="4">
        <v>1715.84</v>
      </c>
      <c r="G647" s="4">
        <v>171584</v>
      </c>
      <c r="H647" s="4">
        <v>171.584</v>
      </c>
      <c r="I647" s="4">
        <v>5.847433327116748</v>
      </c>
      <c r="J647" t="b">
        <v>0</v>
      </c>
      <c r="K647" t="b">
        <v>0</v>
      </c>
    </row>
    <row r="648" spans="1:11" x14ac:dyDescent="0.25">
      <c r="A648" t="s">
        <v>325</v>
      </c>
      <c r="B648" t="s">
        <v>326</v>
      </c>
      <c r="C648" t="s">
        <v>461</v>
      </c>
      <c r="D648" t="s">
        <v>462</v>
      </c>
      <c r="E648" s="4">
        <v>21246373</v>
      </c>
      <c r="F648" s="4">
        <v>12763</v>
      </c>
      <c r="G648" s="4">
        <v>1276300</v>
      </c>
      <c r="H648" s="4">
        <v>1276.3000000000002</v>
      </c>
      <c r="I648" s="4">
        <v>16.646848703282927</v>
      </c>
      <c r="J648" t="b">
        <v>0</v>
      </c>
      <c r="K648" t="b">
        <v>0</v>
      </c>
    </row>
    <row r="649" spans="1:11" x14ac:dyDescent="0.25">
      <c r="A649" t="s">
        <v>325</v>
      </c>
      <c r="B649" t="s">
        <v>326</v>
      </c>
      <c r="C649" t="s">
        <v>463</v>
      </c>
      <c r="D649" t="s">
        <v>464</v>
      </c>
      <c r="E649" s="4">
        <v>13606935</v>
      </c>
      <c r="F649" s="4">
        <v>5868.7</v>
      </c>
      <c r="G649" s="4">
        <v>586870</v>
      </c>
      <c r="H649" s="4">
        <v>586.87</v>
      </c>
      <c r="I649" s="4">
        <v>23.185603285225007</v>
      </c>
      <c r="J649" t="b">
        <v>0</v>
      </c>
      <c r="K649" t="b">
        <v>0</v>
      </c>
    </row>
    <row r="650" spans="1:11" x14ac:dyDescent="0.25">
      <c r="A650" t="s">
        <v>325</v>
      </c>
      <c r="B650" t="s">
        <v>326</v>
      </c>
      <c r="C650" t="s">
        <v>465</v>
      </c>
      <c r="D650" t="s">
        <v>478</v>
      </c>
      <c r="E650" s="4">
        <v>20302084</v>
      </c>
      <c r="F650" s="4">
        <v>47827.14</v>
      </c>
      <c r="G650" s="4">
        <v>4782714</v>
      </c>
      <c r="H650" s="4">
        <v>4782.714</v>
      </c>
      <c r="I650" s="4">
        <v>4.244887735290047</v>
      </c>
      <c r="J650" t="b">
        <v>0</v>
      </c>
      <c r="K650" t="b">
        <v>0</v>
      </c>
    </row>
    <row r="651" spans="1:11" x14ac:dyDescent="0.25">
      <c r="A651" t="s">
        <v>325</v>
      </c>
      <c r="B651" t="s">
        <v>326</v>
      </c>
      <c r="C651" t="s">
        <v>467</v>
      </c>
      <c r="D651" t="s">
        <v>468</v>
      </c>
      <c r="E651" s="4">
        <v>10678532</v>
      </c>
      <c r="F651" s="4">
        <v>5475.42</v>
      </c>
      <c r="G651" s="4">
        <v>547542</v>
      </c>
      <c r="H651" s="4">
        <v>547.542</v>
      </c>
      <c r="I651" s="4">
        <v>19.502671941147895</v>
      </c>
      <c r="J651" t="b">
        <v>0</v>
      </c>
      <c r="K651" t="b">
        <v>0</v>
      </c>
    </row>
    <row r="652" spans="1:11" x14ac:dyDescent="0.25">
      <c r="A652" t="s">
        <v>327</v>
      </c>
      <c r="B652" t="s">
        <v>328</v>
      </c>
      <c r="C652" t="s">
        <v>455</v>
      </c>
      <c r="D652" t="s">
        <v>477</v>
      </c>
      <c r="E652" s="4">
        <v>793950</v>
      </c>
      <c r="F652" s="4">
        <v>723.12</v>
      </c>
      <c r="G652" s="4">
        <v>72312</v>
      </c>
      <c r="H652" s="4">
        <v>72.312</v>
      </c>
      <c r="I652" s="4">
        <v>10.979505476269498</v>
      </c>
      <c r="J652" t="b">
        <v>0</v>
      </c>
      <c r="K652" t="b">
        <v>0</v>
      </c>
    </row>
    <row r="653" spans="1:11" x14ac:dyDescent="0.25">
      <c r="A653" t="s">
        <v>327</v>
      </c>
      <c r="B653" t="s">
        <v>328</v>
      </c>
      <c r="C653" t="s">
        <v>461</v>
      </c>
      <c r="D653" t="s">
        <v>462</v>
      </c>
      <c r="E653" s="4">
        <v>18540323</v>
      </c>
      <c r="F653" s="4">
        <v>10365.41</v>
      </c>
      <c r="G653" s="4">
        <v>1036541</v>
      </c>
      <c r="H653" s="4">
        <v>1036.541</v>
      </c>
      <c r="I653" s="4">
        <v>17.886724210619743</v>
      </c>
      <c r="J653" t="b">
        <v>0</v>
      </c>
      <c r="K653" t="b">
        <v>0</v>
      </c>
    </row>
    <row r="654" spans="1:11" x14ac:dyDescent="0.25">
      <c r="A654" t="s">
        <v>327</v>
      </c>
      <c r="B654" t="s">
        <v>328</v>
      </c>
      <c r="C654" t="s">
        <v>463</v>
      </c>
      <c r="D654" t="s">
        <v>464</v>
      </c>
      <c r="E654" s="4">
        <v>16552647</v>
      </c>
      <c r="F654" s="4">
        <v>6796.69</v>
      </c>
      <c r="G654" s="4">
        <v>679669</v>
      </c>
      <c r="H654" s="4">
        <v>679.669</v>
      </c>
      <c r="I654" s="4">
        <v>24.353982600353994</v>
      </c>
      <c r="J654" t="b">
        <v>0</v>
      </c>
      <c r="K654" t="b">
        <v>0</v>
      </c>
    </row>
    <row r="655" spans="1:11" x14ac:dyDescent="0.25">
      <c r="A655" t="s">
        <v>327</v>
      </c>
      <c r="B655" t="s">
        <v>328</v>
      </c>
      <c r="C655" t="s">
        <v>465</v>
      </c>
      <c r="D655" t="s">
        <v>478</v>
      </c>
      <c r="E655" s="4">
        <v>17626692</v>
      </c>
      <c r="F655" s="4">
        <v>35973.92</v>
      </c>
      <c r="G655" s="4">
        <v>3597392</v>
      </c>
      <c r="H655" s="4">
        <v>3597.392</v>
      </c>
      <c r="I655" s="4">
        <v>4.899853004621126</v>
      </c>
      <c r="J655" t="b">
        <v>0</v>
      </c>
      <c r="K655" t="b">
        <v>0</v>
      </c>
    </row>
    <row r="656" spans="1:11" x14ac:dyDescent="0.25">
      <c r="A656" t="s">
        <v>327</v>
      </c>
      <c r="B656" t="s">
        <v>328</v>
      </c>
      <c r="C656" t="s">
        <v>467</v>
      </c>
      <c r="D656" t="s">
        <v>468</v>
      </c>
      <c r="E656" s="4">
        <v>9661929</v>
      </c>
      <c r="F656" s="4">
        <v>4865.15</v>
      </c>
      <c r="G656" s="4">
        <v>486514.99999999994</v>
      </c>
      <c r="H656" s="4">
        <v>486.515</v>
      </c>
      <c r="I656" s="4">
        <v>19.8594678478567</v>
      </c>
      <c r="J656" t="b">
        <v>0</v>
      </c>
      <c r="K656" t="b">
        <v>0</v>
      </c>
    </row>
    <row r="657" spans="1:11" x14ac:dyDescent="0.25">
      <c r="A657" t="s">
        <v>329</v>
      </c>
      <c r="B657" t="s">
        <v>330</v>
      </c>
      <c r="C657" t="s">
        <v>455</v>
      </c>
      <c r="D657" t="s">
        <v>477</v>
      </c>
      <c r="E657" s="4">
        <v>1490042</v>
      </c>
      <c r="F657" s="4">
        <v>2865.96</v>
      </c>
      <c r="G657" s="4">
        <v>286596</v>
      </c>
      <c r="H657" s="4">
        <v>286.596</v>
      </c>
      <c r="I657" s="4">
        <v>5.199102569470614</v>
      </c>
      <c r="J657" t="b">
        <v>0</v>
      </c>
      <c r="K657" t="b">
        <v>0</v>
      </c>
    </row>
    <row r="658" spans="1:11" x14ac:dyDescent="0.25">
      <c r="A658" t="s">
        <v>329</v>
      </c>
      <c r="B658" t="s">
        <v>330</v>
      </c>
      <c r="C658" t="s">
        <v>461</v>
      </c>
      <c r="D658" t="s">
        <v>462</v>
      </c>
      <c r="E658" s="4">
        <v>26351435</v>
      </c>
      <c r="F658" s="4">
        <v>13837.39</v>
      </c>
      <c r="G658" s="4">
        <v>1383739</v>
      </c>
      <c r="H658" s="4">
        <v>1383.739</v>
      </c>
      <c r="I658" s="4">
        <v>19.043645514074548</v>
      </c>
      <c r="J658" t="b">
        <v>0</v>
      </c>
      <c r="K658" t="b">
        <v>0</v>
      </c>
    </row>
    <row r="659" spans="1:11" x14ac:dyDescent="0.25">
      <c r="A659" t="s">
        <v>329</v>
      </c>
      <c r="B659" t="s">
        <v>330</v>
      </c>
      <c r="C659" t="s">
        <v>463</v>
      </c>
      <c r="D659" t="s">
        <v>464</v>
      </c>
      <c r="E659" s="4">
        <v>19550371</v>
      </c>
      <c r="F659" s="4">
        <v>6966.52</v>
      </c>
      <c r="G659" s="4">
        <v>696652</v>
      </c>
      <c r="H659" s="4">
        <v>696.652</v>
      </c>
      <c r="I659" s="4">
        <v>28.06332429965033</v>
      </c>
      <c r="J659" t="b">
        <v>0</v>
      </c>
      <c r="K659" t="b">
        <v>0</v>
      </c>
    </row>
    <row r="660" spans="1:11" x14ac:dyDescent="0.25">
      <c r="A660" t="s">
        <v>329</v>
      </c>
      <c r="B660" t="s">
        <v>330</v>
      </c>
      <c r="C660" t="s">
        <v>465</v>
      </c>
      <c r="D660" t="s">
        <v>478</v>
      </c>
      <c r="E660" s="4">
        <v>12935627</v>
      </c>
      <c r="F660" s="4">
        <v>24436.54</v>
      </c>
      <c r="G660" s="4">
        <v>2443654</v>
      </c>
      <c r="H660" s="4">
        <v>2443.654</v>
      </c>
      <c r="I660" s="4">
        <v>5.293559153628133</v>
      </c>
      <c r="J660" t="b">
        <v>0</v>
      </c>
      <c r="K660" t="b">
        <v>0</v>
      </c>
    </row>
    <row r="661" spans="1:11" x14ac:dyDescent="0.25">
      <c r="A661" t="s">
        <v>329</v>
      </c>
      <c r="B661" t="s">
        <v>330</v>
      </c>
      <c r="C661" t="s">
        <v>467</v>
      </c>
      <c r="D661" t="s">
        <v>468</v>
      </c>
      <c r="E661" s="4">
        <v>8018441</v>
      </c>
      <c r="F661" s="4">
        <v>3789.1</v>
      </c>
      <c r="G661" s="4">
        <v>378910</v>
      </c>
      <c r="H661" s="4">
        <v>378.91</v>
      </c>
      <c r="I661" s="4">
        <v>21.16186165580217</v>
      </c>
      <c r="J661" t="b">
        <v>0</v>
      </c>
      <c r="K661" t="b">
        <v>0</v>
      </c>
    </row>
    <row r="662" spans="1:11" x14ac:dyDescent="0.25">
      <c r="A662" t="s">
        <v>331</v>
      </c>
      <c r="B662" t="s">
        <v>332</v>
      </c>
      <c r="C662" t="s">
        <v>455</v>
      </c>
      <c r="D662" t="s">
        <v>477</v>
      </c>
      <c r="E662" s="4">
        <v>1111851</v>
      </c>
      <c r="F662" s="4">
        <v>1888.11</v>
      </c>
      <c r="G662" s="4">
        <v>188811</v>
      </c>
      <c r="H662" s="4">
        <v>188.811</v>
      </c>
      <c r="I662" s="4">
        <v>5.888698222031556</v>
      </c>
      <c r="J662" t="b">
        <v>0</v>
      </c>
      <c r="K662" t="b">
        <v>0</v>
      </c>
    </row>
    <row r="663" spans="1:11" x14ac:dyDescent="0.25">
      <c r="A663" t="s">
        <v>331</v>
      </c>
      <c r="B663" t="s">
        <v>332</v>
      </c>
      <c r="C663" t="s">
        <v>461</v>
      </c>
      <c r="D663" t="s">
        <v>462</v>
      </c>
      <c r="E663" s="4">
        <v>33354052</v>
      </c>
      <c r="F663" s="4">
        <v>17049.1</v>
      </c>
      <c r="G663" s="4">
        <v>1704909.9999999998</v>
      </c>
      <c r="H663" s="4">
        <v>1704.9099999999999</v>
      </c>
      <c r="I663" s="4">
        <v>19.563526520461494</v>
      </c>
      <c r="J663" t="b">
        <v>0</v>
      </c>
      <c r="K663" t="b">
        <v>0</v>
      </c>
    </row>
    <row r="664" spans="1:11" x14ac:dyDescent="0.25">
      <c r="A664" t="s">
        <v>331</v>
      </c>
      <c r="B664" t="s">
        <v>332</v>
      </c>
      <c r="C664" t="s">
        <v>463</v>
      </c>
      <c r="D664" t="s">
        <v>464</v>
      </c>
      <c r="E664" s="4">
        <v>31838726</v>
      </c>
      <c r="F664" s="4">
        <v>10087.14</v>
      </c>
      <c r="G664" s="4">
        <v>1008714</v>
      </c>
      <c r="H664" s="4">
        <v>1008.7139999999999</v>
      </c>
      <c r="I664" s="4">
        <v>31.563680091681093</v>
      </c>
      <c r="J664" t="b">
        <v>0</v>
      </c>
      <c r="K664" t="b">
        <v>0</v>
      </c>
    </row>
    <row r="665" spans="1:11" x14ac:dyDescent="0.25">
      <c r="A665" t="s">
        <v>331</v>
      </c>
      <c r="B665" t="s">
        <v>332</v>
      </c>
      <c r="C665" t="s">
        <v>465</v>
      </c>
      <c r="D665" t="s">
        <v>478</v>
      </c>
      <c r="E665" s="4">
        <v>16469490</v>
      </c>
      <c r="F665" s="4">
        <v>34461.23</v>
      </c>
      <c r="G665" s="4">
        <v>3446123.0000000005</v>
      </c>
      <c r="H665" s="4">
        <v>3446.1230000000005</v>
      </c>
      <c r="I665" s="4">
        <v>4.7791358578901555</v>
      </c>
      <c r="J665" t="b">
        <v>0</v>
      </c>
      <c r="K665" t="b">
        <v>0</v>
      </c>
    </row>
    <row r="666" spans="1:11" x14ac:dyDescent="0.25">
      <c r="A666" t="s">
        <v>331</v>
      </c>
      <c r="B666" t="s">
        <v>332</v>
      </c>
      <c r="C666" t="s">
        <v>467</v>
      </c>
      <c r="D666" t="s">
        <v>468</v>
      </c>
      <c r="E666" s="4">
        <v>13584379</v>
      </c>
      <c r="F666" s="4">
        <v>6215.01</v>
      </c>
      <c r="G666" s="4">
        <v>621501</v>
      </c>
      <c r="H666" s="4">
        <v>621.5010000000001</v>
      </c>
      <c r="I666" s="4">
        <v>21.85737271540995</v>
      </c>
      <c r="J666" t="b">
        <v>0</v>
      </c>
      <c r="K666" t="b">
        <v>0</v>
      </c>
    </row>
    <row r="667" spans="1:11" x14ac:dyDescent="0.25">
      <c r="A667" t="s">
        <v>333</v>
      </c>
      <c r="B667" t="s">
        <v>334</v>
      </c>
      <c r="C667" t="s">
        <v>455</v>
      </c>
      <c r="D667" t="s">
        <v>477</v>
      </c>
      <c r="E667" s="4">
        <v>825819</v>
      </c>
      <c r="F667" s="4">
        <v>1220.06</v>
      </c>
      <c r="G667" s="4">
        <v>122006</v>
      </c>
      <c r="H667" s="4">
        <v>122.006</v>
      </c>
      <c r="I667" s="4">
        <v>6.768675311050276</v>
      </c>
      <c r="J667" t="b">
        <v>0</v>
      </c>
      <c r="K667" t="b">
        <v>0</v>
      </c>
    </row>
    <row r="668" spans="1:11" x14ac:dyDescent="0.25">
      <c r="A668" t="s">
        <v>333</v>
      </c>
      <c r="B668" t="s">
        <v>334</v>
      </c>
      <c r="C668" t="s">
        <v>461</v>
      </c>
      <c r="D668" t="s">
        <v>462</v>
      </c>
      <c r="E668" s="4">
        <v>25653379</v>
      </c>
      <c r="F668" s="4">
        <v>12408.25</v>
      </c>
      <c r="G668" s="4">
        <v>1240825</v>
      </c>
      <c r="H668" s="4">
        <v>1240.825</v>
      </c>
      <c r="I668" s="4">
        <v>20.674453690085226</v>
      </c>
      <c r="J668" t="b">
        <v>0</v>
      </c>
      <c r="K668" t="b">
        <v>0</v>
      </c>
    </row>
    <row r="669" spans="1:11" x14ac:dyDescent="0.25">
      <c r="A669" t="s">
        <v>333</v>
      </c>
      <c r="B669" t="s">
        <v>334</v>
      </c>
      <c r="C669" t="s">
        <v>463</v>
      </c>
      <c r="D669" t="s">
        <v>464</v>
      </c>
      <c r="E669" s="4">
        <v>39598630</v>
      </c>
      <c r="F669" s="4">
        <v>11665.93</v>
      </c>
      <c r="G669" s="4">
        <v>1166593</v>
      </c>
      <c r="H669" s="4">
        <v>1166.593</v>
      </c>
      <c r="I669" s="4">
        <v>33.943826167309425</v>
      </c>
      <c r="J669" t="b">
        <v>0</v>
      </c>
      <c r="K669" t="b">
        <v>0</v>
      </c>
    </row>
    <row r="670" spans="1:11" x14ac:dyDescent="0.25">
      <c r="A670" t="s">
        <v>333</v>
      </c>
      <c r="B670" t="s">
        <v>334</v>
      </c>
      <c r="C670" t="s">
        <v>465</v>
      </c>
      <c r="D670" t="s">
        <v>478</v>
      </c>
      <c r="E670" s="4">
        <v>13897325</v>
      </c>
      <c r="F670" s="4">
        <v>25343.54</v>
      </c>
      <c r="G670" s="4">
        <v>2534354</v>
      </c>
      <c r="H670" s="4">
        <v>2534.3540000000003</v>
      </c>
      <c r="I670" s="4">
        <v>5.4835768799465265</v>
      </c>
      <c r="J670" t="b">
        <v>0</v>
      </c>
      <c r="K670" t="b">
        <v>0</v>
      </c>
    </row>
    <row r="671" spans="1:11" x14ac:dyDescent="0.25">
      <c r="A671" t="s">
        <v>333</v>
      </c>
      <c r="B671" t="s">
        <v>334</v>
      </c>
      <c r="C671" t="s">
        <v>467</v>
      </c>
      <c r="D671" t="s">
        <v>468</v>
      </c>
      <c r="E671" s="4">
        <v>13814864</v>
      </c>
      <c r="F671" s="4">
        <v>6251.45</v>
      </c>
      <c r="G671" s="4">
        <v>625145</v>
      </c>
      <c r="H671" s="4">
        <v>625.145</v>
      </c>
      <c r="I671" s="4">
        <v>22.098655511921233</v>
      </c>
      <c r="J671" t="b">
        <v>0</v>
      </c>
      <c r="K671" t="b">
        <v>0</v>
      </c>
    </row>
    <row r="672" spans="1:11" x14ac:dyDescent="0.25">
      <c r="A672" t="s">
        <v>335</v>
      </c>
      <c r="B672" t="s">
        <v>336</v>
      </c>
      <c r="C672" t="s">
        <v>455</v>
      </c>
      <c r="D672" t="s">
        <v>477</v>
      </c>
      <c r="E672" s="4">
        <v>919337</v>
      </c>
      <c r="F672" s="4">
        <v>3011.41</v>
      </c>
      <c r="G672" s="4">
        <v>301141</v>
      </c>
      <c r="H672" s="4">
        <v>301.141</v>
      </c>
      <c r="I672" s="4">
        <v>3.0528456769420305</v>
      </c>
      <c r="J672" t="b">
        <v>0</v>
      </c>
      <c r="K672" t="b">
        <v>0</v>
      </c>
    </row>
    <row r="673" spans="1:11" x14ac:dyDescent="0.25">
      <c r="A673" t="s">
        <v>335</v>
      </c>
      <c r="B673" t="s">
        <v>336</v>
      </c>
      <c r="C673" t="s">
        <v>461</v>
      </c>
      <c r="D673" t="s">
        <v>462</v>
      </c>
      <c r="E673" s="4">
        <v>31519521</v>
      </c>
      <c r="F673" s="4">
        <v>14987.62</v>
      </c>
      <c r="G673" s="4">
        <v>1498762</v>
      </c>
      <c r="H673" s="4">
        <v>1498.7620000000002</v>
      </c>
      <c r="I673" s="4">
        <v>21.03037106625335</v>
      </c>
      <c r="J673" t="b">
        <v>0</v>
      </c>
      <c r="K673" t="b">
        <v>0</v>
      </c>
    </row>
    <row r="674" spans="1:11" x14ac:dyDescent="0.25">
      <c r="A674" t="s">
        <v>335</v>
      </c>
      <c r="B674" t="s">
        <v>336</v>
      </c>
      <c r="C674" t="s">
        <v>463</v>
      </c>
      <c r="D674" t="s">
        <v>464</v>
      </c>
      <c r="E674" s="4">
        <v>46310766</v>
      </c>
      <c r="F674" s="4">
        <v>14250.24</v>
      </c>
      <c r="G674" s="4">
        <v>1425024</v>
      </c>
      <c r="H674" s="4">
        <v>1425.0240000000001</v>
      </c>
      <c r="I674" s="4">
        <v>32.498235819186206</v>
      </c>
      <c r="J674" t="b">
        <v>0</v>
      </c>
      <c r="K674" t="b">
        <v>0</v>
      </c>
    </row>
    <row r="675" spans="1:11" x14ac:dyDescent="0.25">
      <c r="A675" t="s">
        <v>335</v>
      </c>
      <c r="B675" t="s">
        <v>336</v>
      </c>
      <c r="C675" t="s">
        <v>465</v>
      </c>
      <c r="D675" t="s">
        <v>478</v>
      </c>
      <c r="E675" s="4">
        <v>16537248</v>
      </c>
      <c r="F675" s="4">
        <v>33739.97</v>
      </c>
      <c r="G675" s="4">
        <v>3373997</v>
      </c>
      <c r="H675" s="4">
        <v>3373.9970000000003</v>
      </c>
      <c r="I675" s="4">
        <v>4.9013819514362345</v>
      </c>
      <c r="J675" t="b">
        <v>0</v>
      </c>
      <c r="K675" t="b">
        <v>0</v>
      </c>
    </row>
    <row r="676" spans="1:11" x14ac:dyDescent="0.25">
      <c r="A676" t="s">
        <v>335</v>
      </c>
      <c r="B676" t="s">
        <v>336</v>
      </c>
      <c r="C676" t="s">
        <v>467</v>
      </c>
      <c r="D676" t="s">
        <v>468</v>
      </c>
      <c r="E676" s="4">
        <v>18284858</v>
      </c>
      <c r="F676" s="4">
        <v>7952.59</v>
      </c>
      <c r="G676" s="4">
        <v>795259</v>
      </c>
      <c r="H676" s="4">
        <v>795.259</v>
      </c>
      <c r="I676" s="4">
        <v>22.992330800405906</v>
      </c>
      <c r="J676" t="b">
        <v>0</v>
      </c>
      <c r="K676" t="b">
        <v>0</v>
      </c>
    </row>
    <row r="677" spans="1:11" x14ac:dyDescent="0.25">
      <c r="A677" t="s">
        <v>337</v>
      </c>
      <c r="B677" t="s">
        <v>338</v>
      </c>
      <c r="C677" t="s">
        <v>455</v>
      </c>
      <c r="D677" t="s">
        <v>477</v>
      </c>
      <c r="E677" s="4">
        <v>1325483</v>
      </c>
      <c r="F677" s="4">
        <v>3268.77</v>
      </c>
      <c r="G677" s="4">
        <v>326877</v>
      </c>
      <c r="H677" s="4">
        <v>326.877</v>
      </c>
      <c r="I677" s="4">
        <v>4.054990103311031</v>
      </c>
      <c r="J677" t="b">
        <v>0</v>
      </c>
      <c r="K677" t="b">
        <v>0</v>
      </c>
    </row>
    <row r="678" spans="1:11" x14ac:dyDescent="0.25">
      <c r="A678" t="s">
        <v>337</v>
      </c>
      <c r="B678" t="s">
        <v>338</v>
      </c>
      <c r="C678" t="s">
        <v>461</v>
      </c>
      <c r="D678" t="s">
        <v>462</v>
      </c>
      <c r="E678" s="4">
        <v>29188664</v>
      </c>
      <c r="F678" s="4">
        <v>13616.11</v>
      </c>
      <c r="G678" s="4">
        <v>1361611</v>
      </c>
      <c r="H678" s="4">
        <v>1361.611</v>
      </c>
      <c r="I678" s="4">
        <v>21.436859719846563</v>
      </c>
      <c r="J678" t="b">
        <v>0</v>
      </c>
      <c r="K678" t="b">
        <v>0</v>
      </c>
    </row>
    <row r="679" spans="1:11" x14ac:dyDescent="0.25">
      <c r="A679" t="s">
        <v>337</v>
      </c>
      <c r="B679" t="s">
        <v>338</v>
      </c>
      <c r="C679" t="s">
        <v>463</v>
      </c>
      <c r="D679" t="s">
        <v>464</v>
      </c>
      <c r="E679" s="4">
        <v>42482284</v>
      </c>
      <c r="F679" s="4">
        <v>14603.7</v>
      </c>
      <c r="G679" s="4">
        <v>1460370</v>
      </c>
      <c r="H679" s="4">
        <v>1460.3700000000001</v>
      </c>
      <c r="I679" s="4">
        <v>29.090082650287258</v>
      </c>
      <c r="J679" t="b">
        <v>0</v>
      </c>
      <c r="K679" t="b">
        <v>0</v>
      </c>
    </row>
    <row r="680" spans="1:11" x14ac:dyDescent="0.25">
      <c r="A680" t="s">
        <v>337</v>
      </c>
      <c r="B680" t="s">
        <v>338</v>
      </c>
      <c r="C680" t="s">
        <v>465</v>
      </c>
      <c r="D680" t="s">
        <v>478</v>
      </c>
      <c r="E680" s="4">
        <v>14513852</v>
      </c>
      <c r="F680" s="4">
        <v>29305.68</v>
      </c>
      <c r="G680" s="4">
        <v>2930568</v>
      </c>
      <c r="H680" s="4">
        <v>2930.568</v>
      </c>
      <c r="I680" s="4">
        <v>4.952573016561977</v>
      </c>
      <c r="J680" t="b">
        <v>0</v>
      </c>
      <c r="K680" t="b">
        <v>0</v>
      </c>
    </row>
    <row r="681" spans="1:11" x14ac:dyDescent="0.25">
      <c r="A681" t="s">
        <v>337</v>
      </c>
      <c r="B681" t="s">
        <v>338</v>
      </c>
      <c r="C681" t="s">
        <v>467</v>
      </c>
      <c r="D681" t="s">
        <v>468</v>
      </c>
      <c r="E681" s="4">
        <v>15560396</v>
      </c>
      <c r="F681" s="4">
        <v>6831.48</v>
      </c>
      <c r="G681" s="4">
        <v>683148</v>
      </c>
      <c r="H681" s="4">
        <v>683.148</v>
      </c>
      <c r="I681" s="4">
        <v>22.77748891894582</v>
      </c>
      <c r="J681" t="b">
        <v>0</v>
      </c>
      <c r="K681" t="b">
        <v>0</v>
      </c>
    </row>
    <row r="682" spans="1:11" x14ac:dyDescent="0.25">
      <c r="A682" t="s">
        <v>339</v>
      </c>
      <c r="B682" t="s">
        <v>340</v>
      </c>
      <c r="C682" t="s">
        <v>455</v>
      </c>
      <c r="D682" t="s">
        <v>477</v>
      </c>
      <c r="E682" s="4">
        <v>2225443</v>
      </c>
      <c r="F682" s="4">
        <v>6292.49</v>
      </c>
      <c r="G682" s="4">
        <v>629249</v>
      </c>
      <c r="H682" s="4">
        <v>629.249</v>
      </c>
      <c r="I682" s="4">
        <v>3.536665135741177</v>
      </c>
      <c r="J682" t="b">
        <v>0</v>
      </c>
      <c r="K682" t="b">
        <v>0</v>
      </c>
    </row>
    <row r="683" spans="1:11" x14ac:dyDescent="0.25">
      <c r="A683" t="s">
        <v>339</v>
      </c>
      <c r="B683" t="s">
        <v>340</v>
      </c>
      <c r="C683" t="s">
        <v>461</v>
      </c>
      <c r="D683" t="s">
        <v>462</v>
      </c>
      <c r="E683" s="4">
        <v>28008482</v>
      </c>
      <c r="F683" s="4">
        <v>13619.29</v>
      </c>
      <c r="G683" s="4">
        <v>1361929</v>
      </c>
      <c r="H683" s="4">
        <v>1361.929</v>
      </c>
      <c r="I683" s="4">
        <v>20.565302596537705</v>
      </c>
      <c r="J683" t="b">
        <v>0</v>
      </c>
      <c r="K683" t="b">
        <v>0</v>
      </c>
    </row>
    <row r="684" spans="1:11" x14ac:dyDescent="0.25">
      <c r="A684" t="s">
        <v>339</v>
      </c>
      <c r="B684" t="s">
        <v>340</v>
      </c>
      <c r="C684" t="s">
        <v>463</v>
      </c>
      <c r="D684" t="s">
        <v>464</v>
      </c>
      <c r="E684" s="4">
        <v>43646821</v>
      </c>
      <c r="F684" s="4">
        <v>15620.53</v>
      </c>
      <c r="G684" s="4">
        <v>1562053</v>
      </c>
      <c r="H684" s="4">
        <v>1562.053</v>
      </c>
      <c r="I684" s="4">
        <v>27.941959075652363</v>
      </c>
      <c r="J684" t="b">
        <v>0</v>
      </c>
      <c r="K684" t="b">
        <v>0</v>
      </c>
    </row>
    <row r="685" spans="1:11" x14ac:dyDescent="0.25">
      <c r="A685" t="s">
        <v>339</v>
      </c>
      <c r="B685" t="s">
        <v>340</v>
      </c>
      <c r="C685" t="s">
        <v>465</v>
      </c>
      <c r="D685" t="s">
        <v>478</v>
      </c>
      <c r="E685" s="4">
        <v>15961584</v>
      </c>
      <c r="F685" s="4">
        <v>32853.71</v>
      </c>
      <c r="G685" s="4">
        <v>3285371</v>
      </c>
      <c r="H685" s="4">
        <v>3285.371</v>
      </c>
      <c r="I685" s="4">
        <v>4.8583809865004595</v>
      </c>
      <c r="J685" t="b">
        <v>0</v>
      </c>
      <c r="K685" t="b">
        <v>0</v>
      </c>
    </row>
    <row r="686" spans="1:11" x14ac:dyDescent="0.25">
      <c r="A686" t="s">
        <v>339</v>
      </c>
      <c r="B686" t="s">
        <v>340</v>
      </c>
      <c r="C686" t="s">
        <v>467</v>
      </c>
      <c r="D686" t="s">
        <v>468</v>
      </c>
      <c r="E686" s="4">
        <v>15499239</v>
      </c>
      <c r="F686" s="4">
        <v>7123.62</v>
      </c>
      <c r="G686" s="4">
        <v>712362</v>
      </c>
      <c r="H686" s="4">
        <v>712.3620000000001</v>
      </c>
      <c r="I686" s="4">
        <v>21.757531985142386</v>
      </c>
      <c r="J686" t="b">
        <v>0</v>
      </c>
      <c r="K686" t="b">
        <v>0</v>
      </c>
    </row>
    <row r="687" spans="1:11" x14ac:dyDescent="0.25">
      <c r="A687" t="s">
        <v>341</v>
      </c>
      <c r="B687" t="s">
        <v>342</v>
      </c>
      <c r="C687" t="s">
        <v>455</v>
      </c>
      <c r="D687" t="s">
        <v>477</v>
      </c>
      <c r="E687" s="4">
        <v>886640</v>
      </c>
      <c r="F687" s="4">
        <v>1166.48</v>
      </c>
      <c r="G687" s="4">
        <v>116648</v>
      </c>
      <c r="H687" s="4">
        <v>116.64800000000001</v>
      </c>
      <c r="I687" s="4">
        <v>7.6009875865852825</v>
      </c>
      <c r="J687" t="b">
        <v>0</v>
      </c>
      <c r="K687" t="b">
        <v>0</v>
      </c>
    </row>
    <row r="688" spans="1:11" x14ac:dyDescent="0.25">
      <c r="A688" t="s">
        <v>341</v>
      </c>
      <c r="B688" t="s">
        <v>342</v>
      </c>
      <c r="C688" t="s">
        <v>461</v>
      </c>
      <c r="D688" t="s">
        <v>462</v>
      </c>
      <c r="E688" s="4">
        <v>38344169</v>
      </c>
      <c r="F688" s="4">
        <v>18813.73</v>
      </c>
      <c r="G688" s="4">
        <v>1881373</v>
      </c>
      <c r="H688" s="4">
        <v>1881.373</v>
      </c>
      <c r="I688" s="4">
        <v>20.38094997642679</v>
      </c>
      <c r="J688" t="b">
        <v>0</v>
      </c>
      <c r="K688" t="b">
        <v>0</v>
      </c>
    </row>
    <row r="689" spans="1:11" x14ac:dyDescent="0.25">
      <c r="A689" t="s">
        <v>341</v>
      </c>
      <c r="B689" t="s">
        <v>342</v>
      </c>
      <c r="C689" t="s">
        <v>463</v>
      </c>
      <c r="D689" t="s">
        <v>464</v>
      </c>
      <c r="E689" s="4">
        <v>36154206</v>
      </c>
      <c r="F689" s="4">
        <v>11448.14</v>
      </c>
      <c r="G689" s="4">
        <v>1144814</v>
      </c>
      <c r="H689" s="4">
        <v>1144.814</v>
      </c>
      <c r="I689" s="4">
        <v>31.580855929434826</v>
      </c>
      <c r="J689" t="b">
        <v>0</v>
      </c>
      <c r="K689" t="b">
        <v>0</v>
      </c>
    </row>
    <row r="690" spans="1:11" x14ac:dyDescent="0.25">
      <c r="A690" t="s">
        <v>341</v>
      </c>
      <c r="B690" t="s">
        <v>342</v>
      </c>
      <c r="C690" t="s">
        <v>465</v>
      </c>
      <c r="D690" t="s">
        <v>478</v>
      </c>
      <c r="E690" s="4">
        <v>18807951</v>
      </c>
      <c r="F690" s="4">
        <v>38033.37</v>
      </c>
      <c r="G690" s="4">
        <v>3803337.0000000005</v>
      </c>
      <c r="H690" s="4">
        <v>3803.3370000000004</v>
      </c>
      <c r="I690" s="4">
        <v>4.9451181948904335</v>
      </c>
      <c r="J690" t="b">
        <v>0</v>
      </c>
      <c r="K690" t="b">
        <v>0</v>
      </c>
    </row>
    <row r="691" spans="1:11" x14ac:dyDescent="0.25">
      <c r="A691" t="s">
        <v>341</v>
      </c>
      <c r="B691" t="s">
        <v>342</v>
      </c>
      <c r="C691" t="s">
        <v>467</v>
      </c>
      <c r="D691" t="s">
        <v>468</v>
      </c>
      <c r="E691" s="4">
        <v>11213883</v>
      </c>
      <c r="F691" s="4">
        <v>4996.48</v>
      </c>
      <c r="G691" s="4">
        <v>499647.99999999994</v>
      </c>
      <c r="H691" s="4">
        <v>499.64799999999997</v>
      </c>
      <c r="I691" s="4">
        <v>22.443566270654543</v>
      </c>
      <c r="J691" t="b">
        <v>0</v>
      </c>
      <c r="K691" t="b">
        <v>0</v>
      </c>
    </row>
    <row r="692" spans="1:11" x14ac:dyDescent="0.25">
      <c r="A692" t="s">
        <v>343</v>
      </c>
      <c r="B692" t="s">
        <v>344</v>
      </c>
      <c r="C692" t="s">
        <v>455</v>
      </c>
      <c r="D692" t="s">
        <v>477</v>
      </c>
      <c r="E692" s="4">
        <v>1124323</v>
      </c>
      <c r="F692" s="4">
        <v>1764.23</v>
      </c>
      <c r="G692" s="4">
        <v>176423</v>
      </c>
      <c r="H692" s="4">
        <v>176.423</v>
      </c>
      <c r="I692" s="4">
        <v>6.372882220572148</v>
      </c>
      <c r="J692" t="b">
        <v>0</v>
      </c>
      <c r="K692" t="b">
        <v>0</v>
      </c>
    </row>
    <row r="693" spans="1:11" x14ac:dyDescent="0.25">
      <c r="A693" t="s">
        <v>343</v>
      </c>
      <c r="B693" t="s">
        <v>344</v>
      </c>
      <c r="C693" t="s">
        <v>461</v>
      </c>
      <c r="D693" t="s">
        <v>462</v>
      </c>
      <c r="E693" s="4">
        <v>32510049</v>
      </c>
      <c r="F693" s="4">
        <v>15671.82</v>
      </c>
      <c r="G693" s="4">
        <v>1567182</v>
      </c>
      <c r="H693" s="4">
        <v>1567.182</v>
      </c>
      <c r="I693" s="4">
        <v>20.744271565140487</v>
      </c>
      <c r="J693" t="b">
        <v>0</v>
      </c>
      <c r="K693" t="b">
        <v>0</v>
      </c>
    </row>
    <row r="694" spans="1:11" x14ac:dyDescent="0.25">
      <c r="A694" t="s">
        <v>343</v>
      </c>
      <c r="B694" t="s">
        <v>344</v>
      </c>
      <c r="C694" t="s">
        <v>463</v>
      </c>
      <c r="D694" t="s">
        <v>464</v>
      </c>
      <c r="E694" s="4">
        <v>30068655</v>
      </c>
      <c r="F694" s="4">
        <v>9132.29</v>
      </c>
      <c r="G694" s="4">
        <v>913229.0000000001</v>
      </c>
      <c r="H694" s="4">
        <v>913.2290000000002</v>
      </c>
      <c r="I694" s="4">
        <v>32.92564625083084</v>
      </c>
      <c r="J694" t="b">
        <v>0</v>
      </c>
      <c r="K694" t="b">
        <v>0</v>
      </c>
    </row>
    <row r="695" spans="1:11" x14ac:dyDescent="0.25">
      <c r="A695" t="s">
        <v>343</v>
      </c>
      <c r="B695" t="s">
        <v>344</v>
      </c>
      <c r="C695" t="s">
        <v>465</v>
      </c>
      <c r="D695" t="s">
        <v>478</v>
      </c>
      <c r="E695" s="4">
        <v>12953261</v>
      </c>
      <c r="F695" s="4">
        <v>24457.02</v>
      </c>
      <c r="G695" s="4">
        <v>2445702</v>
      </c>
      <c r="H695" s="4">
        <v>2445.702</v>
      </c>
      <c r="I695" s="4">
        <v>5.296336593746908</v>
      </c>
      <c r="J695" t="b">
        <v>0</v>
      </c>
      <c r="K695" t="b">
        <v>0</v>
      </c>
    </row>
    <row r="696" spans="1:11" x14ac:dyDescent="0.25">
      <c r="A696" t="s">
        <v>343</v>
      </c>
      <c r="B696" t="s">
        <v>344</v>
      </c>
      <c r="C696" t="s">
        <v>467</v>
      </c>
      <c r="D696" t="s">
        <v>468</v>
      </c>
      <c r="E696" s="4">
        <v>11443021</v>
      </c>
      <c r="F696" s="4">
        <v>4991.11</v>
      </c>
      <c r="G696" s="4">
        <v>499110.99999999994</v>
      </c>
      <c r="H696" s="4">
        <v>499.111</v>
      </c>
      <c r="I696" s="4">
        <v>22.92680586082054</v>
      </c>
      <c r="J696" t="b">
        <v>0</v>
      </c>
      <c r="K696" t="b">
        <v>0</v>
      </c>
    </row>
    <row r="697" spans="1:11" x14ac:dyDescent="0.25">
      <c r="A697" t="s">
        <v>345</v>
      </c>
      <c r="B697" t="s">
        <v>346</v>
      </c>
      <c r="C697" t="s">
        <v>455</v>
      </c>
      <c r="D697" t="s">
        <v>477</v>
      </c>
      <c r="E697" s="4">
        <v>764091</v>
      </c>
      <c r="F697" s="4">
        <v>727.19</v>
      </c>
      <c r="G697" s="4">
        <v>72719</v>
      </c>
      <c r="H697" s="4">
        <v>72.71900000000001</v>
      </c>
      <c r="I697" s="4">
        <v>10.507446472036195</v>
      </c>
      <c r="J697" t="b">
        <v>0</v>
      </c>
      <c r="K697" t="b">
        <v>0</v>
      </c>
    </row>
    <row r="698" spans="1:11" x14ac:dyDescent="0.25">
      <c r="A698" t="s">
        <v>345</v>
      </c>
      <c r="B698" t="s">
        <v>346</v>
      </c>
      <c r="C698" t="s">
        <v>461</v>
      </c>
      <c r="D698" t="s">
        <v>462</v>
      </c>
      <c r="E698" s="4">
        <v>31999541</v>
      </c>
      <c r="F698" s="4">
        <v>15384.32</v>
      </c>
      <c r="G698" s="4">
        <v>1538432</v>
      </c>
      <c r="H698" s="4">
        <v>1538.432</v>
      </c>
      <c r="I698" s="4">
        <v>20.80010101193943</v>
      </c>
      <c r="J698" t="b">
        <v>0</v>
      </c>
      <c r="K698" t="b">
        <v>0</v>
      </c>
    </row>
    <row r="699" spans="1:11" x14ac:dyDescent="0.25">
      <c r="A699" t="s">
        <v>345</v>
      </c>
      <c r="B699" t="s">
        <v>346</v>
      </c>
      <c r="C699" t="s">
        <v>463</v>
      </c>
      <c r="D699" t="s">
        <v>464</v>
      </c>
      <c r="E699" s="4">
        <v>28236122</v>
      </c>
      <c r="F699" s="4">
        <v>8927.37</v>
      </c>
      <c r="G699" s="4">
        <v>892737.0000000001</v>
      </c>
      <c r="H699" s="4">
        <v>892.7370000000001</v>
      </c>
      <c r="I699" s="4">
        <v>31.628712599567393</v>
      </c>
      <c r="J699" t="b">
        <v>0</v>
      </c>
      <c r="K699" t="b">
        <v>0</v>
      </c>
    </row>
    <row r="700" spans="1:11" x14ac:dyDescent="0.25">
      <c r="A700" t="s">
        <v>345</v>
      </c>
      <c r="B700" t="s">
        <v>346</v>
      </c>
      <c r="C700" t="s">
        <v>465</v>
      </c>
      <c r="D700" t="s">
        <v>478</v>
      </c>
      <c r="E700" s="4">
        <v>19284362</v>
      </c>
      <c r="F700" s="4">
        <v>36077.4</v>
      </c>
      <c r="G700" s="4">
        <v>3607740</v>
      </c>
      <c r="H700" s="4">
        <v>3607.7400000000002</v>
      </c>
      <c r="I700" s="4">
        <v>5.345274881227583</v>
      </c>
      <c r="J700" t="b">
        <v>0</v>
      </c>
      <c r="K700" t="b">
        <v>0</v>
      </c>
    </row>
    <row r="701" spans="1:11" x14ac:dyDescent="0.25">
      <c r="A701" t="s">
        <v>345</v>
      </c>
      <c r="B701" t="s">
        <v>346</v>
      </c>
      <c r="C701" t="s">
        <v>467</v>
      </c>
      <c r="D701" t="s">
        <v>468</v>
      </c>
      <c r="E701" s="4">
        <v>17202466</v>
      </c>
      <c r="F701" s="4">
        <v>7833.08</v>
      </c>
      <c r="G701" s="4">
        <v>783308</v>
      </c>
      <c r="H701" s="4">
        <v>783.308</v>
      </c>
      <c r="I701" s="4">
        <v>21.961305131570214</v>
      </c>
      <c r="J701" t="b">
        <v>0</v>
      </c>
      <c r="K701" t="b">
        <v>0</v>
      </c>
    </row>
    <row r="702" spans="1:11" x14ac:dyDescent="0.25">
      <c r="A702" t="s">
        <v>347</v>
      </c>
      <c r="B702" t="s">
        <v>348</v>
      </c>
      <c r="C702" t="s">
        <v>455</v>
      </c>
      <c r="D702" t="s">
        <v>477</v>
      </c>
      <c r="E702" s="4">
        <v>738102</v>
      </c>
      <c r="F702" s="4">
        <v>1819.61</v>
      </c>
      <c r="G702" s="4">
        <v>181961</v>
      </c>
      <c r="H702" s="4">
        <v>181.961</v>
      </c>
      <c r="I702" s="4">
        <v>4.056374717659279</v>
      </c>
      <c r="J702" t="b">
        <v>0</v>
      </c>
      <c r="K702" t="b">
        <v>0</v>
      </c>
    </row>
    <row r="703" spans="1:11" x14ac:dyDescent="0.25">
      <c r="A703" t="s">
        <v>347</v>
      </c>
      <c r="B703" t="s">
        <v>348</v>
      </c>
      <c r="C703" t="s">
        <v>461</v>
      </c>
      <c r="D703" t="s">
        <v>462</v>
      </c>
      <c r="E703" s="4">
        <v>21628639</v>
      </c>
      <c r="F703" s="4">
        <v>9388.14</v>
      </c>
      <c r="G703" s="4">
        <v>938814</v>
      </c>
      <c r="H703" s="4">
        <v>938.814</v>
      </c>
      <c r="I703" s="4">
        <v>23.038257844471854</v>
      </c>
      <c r="J703" t="b">
        <v>0</v>
      </c>
      <c r="K703" t="b">
        <v>0</v>
      </c>
    </row>
    <row r="704" spans="1:11" x14ac:dyDescent="0.25">
      <c r="A704" t="s">
        <v>347</v>
      </c>
      <c r="B704" t="s">
        <v>348</v>
      </c>
      <c r="C704" t="s">
        <v>463</v>
      </c>
      <c r="D704" t="s">
        <v>464</v>
      </c>
      <c r="E704" s="4">
        <v>23789224</v>
      </c>
      <c r="F704" s="4">
        <v>9172.48</v>
      </c>
      <c r="G704" s="4">
        <v>917248</v>
      </c>
      <c r="H704" s="4">
        <v>917.248</v>
      </c>
      <c r="I704" s="4">
        <v>25.935432947250906</v>
      </c>
      <c r="J704" t="b">
        <v>0</v>
      </c>
      <c r="K704" t="b">
        <v>0</v>
      </c>
    </row>
    <row r="705" spans="1:11" x14ac:dyDescent="0.25">
      <c r="A705" t="s">
        <v>347</v>
      </c>
      <c r="B705" t="s">
        <v>348</v>
      </c>
      <c r="C705" t="s">
        <v>465</v>
      </c>
      <c r="D705" t="s">
        <v>478</v>
      </c>
      <c r="E705" s="4">
        <v>17219291</v>
      </c>
      <c r="F705" s="4">
        <v>29028.36</v>
      </c>
      <c r="G705" s="4">
        <v>2902836</v>
      </c>
      <c r="H705" s="4">
        <v>2902.8360000000002</v>
      </c>
      <c r="I705" s="4">
        <v>5.931885576725657</v>
      </c>
      <c r="J705" t="b">
        <v>0</v>
      </c>
      <c r="K705" t="b">
        <v>0</v>
      </c>
    </row>
    <row r="706" spans="1:11" x14ac:dyDescent="0.25">
      <c r="A706" t="s">
        <v>347</v>
      </c>
      <c r="B706" t="s">
        <v>348</v>
      </c>
      <c r="C706" t="s">
        <v>467</v>
      </c>
      <c r="D706" t="s">
        <v>468</v>
      </c>
      <c r="E706" s="4">
        <v>16454595</v>
      </c>
      <c r="F706" s="4">
        <v>7095.12</v>
      </c>
      <c r="G706" s="4">
        <v>709512</v>
      </c>
      <c r="H706" s="4">
        <v>709.5120000000001</v>
      </c>
      <c r="I706" s="4">
        <v>23.19142593782769</v>
      </c>
      <c r="J706" t="b">
        <v>0</v>
      </c>
      <c r="K706" t="b">
        <v>0</v>
      </c>
    </row>
    <row r="707" spans="1:11" x14ac:dyDescent="0.25">
      <c r="A707" t="s">
        <v>349</v>
      </c>
      <c r="B707" t="s">
        <v>350</v>
      </c>
      <c r="C707" t="s">
        <v>455</v>
      </c>
      <c r="D707" t="s">
        <v>477</v>
      </c>
      <c r="E707" s="4">
        <v>1121851</v>
      </c>
      <c r="F707" s="4">
        <v>2030.86</v>
      </c>
      <c r="G707" s="4">
        <v>203086</v>
      </c>
      <c r="H707" s="4">
        <v>203.086</v>
      </c>
      <c r="I707" s="4">
        <v>5.524019380951912</v>
      </c>
      <c r="J707" t="b">
        <v>0</v>
      </c>
      <c r="K707" t="b">
        <v>0</v>
      </c>
    </row>
    <row r="708" spans="1:11" x14ac:dyDescent="0.25">
      <c r="A708" t="s">
        <v>349</v>
      </c>
      <c r="B708" t="s">
        <v>350</v>
      </c>
      <c r="C708" t="s">
        <v>461</v>
      </c>
      <c r="D708" t="s">
        <v>462</v>
      </c>
      <c r="E708" s="4">
        <v>21748696</v>
      </c>
      <c r="F708" s="4">
        <v>10163.43</v>
      </c>
      <c r="G708" s="4">
        <v>1016343</v>
      </c>
      <c r="H708" s="4">
        <v>1016.3430000000001</v>
      </c>
      <c r="I708" s="4">
        <v>21.398972590946165</v>
      </c>
      <c r="J708" t="b">
        <v>0</v>
      </c>
      <c r="K708" t="b">
        <v>0</v>
      </c>
    </row>
    <row r="709" spans="1:11" x14ac:dyDescent="0.25">
      <c r="A709" t="s">
        <v>349</v>
      </c>
      <c r="B709" t="s">
        <v>350</v>
      </c>
      <c r="C709" t="s">
        <v>463</v>
      </c>
      <c r="D709" t="s">
        <v>464</v>
      </c>
      <c r="E709" s="4">
        <v>20836270</v>
      </c>
      <c r="F709" s="4">
        <v>7481.65</v>
      </c>
      <c r="G709" s="4">
        <v>748165</v>
      </c>
      <c r="H709" s="4">
        <v>748.165</v>
      </c>
      <c r="I709" s="4">
        <v>27.849832590404525</v>
      </c>
      <c r="J709" t="b">
        <v>0</v>
      </c>
      <c r="K709" t="b">
        <v>0</v>
      </c>
    </row>
    <row r="710" spans="1:11" x14ac:dyDescent="0.25">
      <c r="A710" t="s">
        <v>349</v>
      </c>
      <c r="B710" t="s">
        <v>350</v>
      </c>
      <c r="C710" t="s">
        <v>465</v>
      </c>
      <c r="D710" t="s">
        <v>478</v>
      </c>
      <c r="E710" s="4">
        <v>18207450</v>
      </c>
      <c r="F710" s="4">
        <v>33238.96</v>
      </c>
      <c r="G710" s="4">
        <v>3323896</v>
      </c>
      <c r="H710" s="4">
        <v>3323.896</v>
      </c>
      <c r="I710" s="4">
        <v>5.4777435876453415</v>
      </c>
      <c r="J710" t="b">
        <v>0</v>
      </c>
      <c r="K710" t="b">
        <v>0</v>
      </c>
    </row>
    <row r="711" spans="1:11" x14ac:dyDescent="0.25">
      <c r="A711" t="s">
        <v>349</v>
      </c>
      <c r="B711" t="s">
        <v>350</v>
      </c>
      <c r="C711" t="s">
        <v>467</v>
      </c>
      <c r="D711" t="s">
        <v>468</v>
      </c>
      <c r="E711" s="4">
        <v>10840986</v>
      </c>
      <c r="F711" s="4">
        <v>5017.25</v>
      </c>
      <c r="G711" s="4">
        <v>501725</v>
      </c>
      <c r="H711" s="4">
        <v>501.725</v>
      </c>
      <c r="I711" s="4">
        <v>21.607426378992475</v>
      </c>
      <c r="J711" t="b">
        <v>0</v>
      </c>
      <c r="K711" t="b">
        <v>0</v>
      </c>
    </row>
    <row r="712" spans="1:11" x14ac:dyDescent="0.25">
      <c r="A712" t="s">
        <v>351</v>
      </c>
      <c r="B712" t="s">
        <v>352</v>
      </c>
      <c r="C712" t="s">
        <v>455</v>
      </c>
      <c r="D712" t="s">
        <v>477</v>
      </c>
      <c r="E712" s="4">
        <v>1039618</v>
      </c>
      <c r="F712" s="4">
        <v>1768.77</v>
      </c>
      <c r="G712" s="4">
        <v>176877</v>
      </c>
      <c r="H712" s="4">
        <v>176.877</v>
      </c>
      <c r="I712" s="4">
        <v>5.877632479067374</v>
      </c>
      <c r="J712" t="b">
        <v>0</v>
      </c>
      <c r="K712" t="b">
        <v>0</v>
      </c>
    </row>
    <row r="713" spans="1:11" x14ac:dyDescent="0.25">
      <c r="A713" t="s">
        <v>351</v>
      </c>
      <c r="B713" t="s">
        <v>352</v>
      </c>
      <c r="C713" t="s">
        <v>461</v>
      </c>
      <c r="D713" t="s">
        <v>462</v>
      </c>
      <c r="E713" s="4">
        <v>21905886</v>
      </c>
      <c r="F713" s="4">
        <v>10218.01</v>
      </c>
      <c r="G713" s="4">
        <v>1021801</v>
      </c>
      <c r="H713" s="4">
        <v>1021.801</v>
      </c>
      <c r="I713" s="4">
        <v>21.43850514924139</v>
      </c>
      <c r="J713" t="b">
        <v>0</v>
      </c>
      <c r="K713" t="b">
        <v>0</v>
      </c>
    </row>
    <row r="714" spans="1:11" x14ac:dyDescent="0.25">
      <c r="A714" t="s">
        <v>351</v>
      </c>
      <c r="B714" t="s">
        <v>352</v>
      </c>
      <c r="C714" t="s">
        <v>463</v>
      </c>
      <c r="D714" t="s">
        <v>464</v>
      </c>
      <c r="E714" s="4">
        <v>20715558</v>
      </c>
      <c r="F714" s="4">
        <v>6931.78</v>
      </c>
      <c r="G714" s="4">
        <v>693178</v>
      </c>
      <c r="H714" s="4">
        <v>693.178</v>
      </c>
      <c r="I714" s="4">
        <v>29.884904021766413</v>
      </c>
      <c r="J714" t="b">
        <v>0</v>
      </c>
      <c r="K714" t="b">
        <v>0</v>
      </c>
    </row>
    <row r="715" spans="1:11" x14ac:dyDescent="0.25">
      <c r="A715" t="s">
        <v>351</v>
      </c>
      <c r="B715" t="s">
        <v>352</v>
      </c>
      <c r="C715" t="s">
        <v>465</v>
      </c>
      <c r="D715" t="s">
        <v>478</v>
      </c>
      <c r="E715" s="4">
        <v>12810221</v>
      </c>
      <c r="F715" s="4">
        <v>21565.13</v>
      </c>
      <c r="G715" s="4">
        <v>2156513</v>
      </c>
      <c r="H715" s="4">
        <v>2156.5130000000004</v>
      </c>
      <c r="I715" s="4">
        <v>5.940247519954667</v>
      </c>
      <c r="J715" t="b">
        <v>0</v>
      </c>
      <c r="K715" t="b">
        <v>0</v>
      </c>
    </row>
    <row r="716" spans="1:11" x14ac:dyDescent="0.25">
      <c r="A716" t="s">
        <v>351</v>
      </c>
      <c r="B716" t="s">
        <v>352</v>
      </c>
      <c r="C716" t="s">
        <v>467</v>
      </c>
      <c r="D716" t="s">
        <v>468</v>
      </c>
      <c r="E716" s="4">
        <v>9297480</v>
      </c>
      <c r="F716" s="4">
        <v>3919.01</v>
      </c>
      <c r="G716" s="4">
        <v>391901</v>
      </c>
      <c r="H716" s="4">
        <v>391.90100000000007</v>
      </c>
      <c r="I716" s="4">
        <v>23.7240527582221</v>
      </c>
      <c r="J716" t="b">
        <v>0</v>
      </c>
      <c r="K716" t="b">
        <v>0</v>
      </c>
    </row>
    <row r="717" spans="1:11" x14ac:dyDescent="0.25">
      <c r="A717" t="s">
        <v>353</v>
      </c>
      <c r="B717" t="s">
        <v>354</v>
      </c>
      <c r="C717" t="s">
        <v>455</v>
      </c>
      <c r="D717" t="s">
        <v>477</v>
      </c>
      <c r="E717" s="4">
        <v>1172009</v>
      </c>
      <c r="F717" s="4">
        <v>2366.89</v>
      </c>
      <c r="G717" s="4">
        <v>236689</v>
      </c>
      <c r="H717" s="4">
        <v>236.689</v>
      </c>
      <c r="I717" s="4">
        <v>4.951683432690155</v>
      </c>
      <c r="J717" t="b">
        <v>0</v>
      </c>
      <c r="K717" t="b">
        <v>0</v>
      </c>
    </row>
    <row r="718" spans="1:11" x14ac:dyDescent="0.25">
      <c r="A718" t="s">
        <v>353</v>
      </c>
      <c r="B718" t="s">
        <v>354</v>
      </c>
      <c r="C718" t="s">
        <v>461</v>
      </c>
      <c r="D718" t="s">
        <v>462</v>
      </c>
      <c r="E718" s="4">
        <v>30570663</v>
      </c>
      <c r="F718" s="4">
        <v>14300.12</v>
      </c>
      <c r="G718" s="4">
        <v>1430012</v>
      </c>
      <c r="H718" s="4">
        <v>1430.0120000000002</v>
      </c>
      <c r="I718" s="4">
        <v>21.377906618965437</v>
      </c>
      <c r="J718" t="b">
        <v>0</v>
      </c>
      <c r="K718" t="b">
        <v>0</v>
      </c>
    </row>
    <row r="719" spans="1:11" x14ac:dyDescent="0.25">
      <c r="A719" t="s">
        <v>353</v>
      </c>
      <c r="B719" t="s">
        <v>354</v>
      </c>
      <c r="C719" t="s">
        <v>463</v>
      </c>
      <c r="D719" t="s">
        <v>464</v>
      </c>
      <c r="E719" s="4">
        <v>28812821</v>
      </c>
      <c r="F719" s="4">
        <v>9332.66</v>
      </c>
      <c r="G719" s="4">
        <v>933266</v>
      </c>
      <c r="H719" s="4">
        <v>933.2660000000001</v>
      </c>
      <c r="I719" s="4">
        <v>30.873106916999014</v>
      </c>
      <c r="J719" t="b">
        <v>0</v>
      </c>
      <c r="K719" t="b">
        <v>0</v>
      </c>
    </row>
    <row r="720" spans="1:11" x14ac:dyDescent="0.25">
      <c r="A720" t="s">
        <v>353</v>
      </c>
      <c r="B720" t="s">
        <v>354</v>
      </c>
      <c r="C720" t="s">
        <v>465</v>
      </c>
      <c r="D720" t="s">
        <v>478</v>
      </c>
      <c r="E720" s="4">
        <v>11944516</v>
      </c>
      <c r="F720" s="4">
        <v>22357.18</v>
      </c>
      <c r="G720" s="4">
        <v>2235718</v>
      </c>
      <c r="H720" s="4">
        <v>2235.7180000000003</v>
      </c>
      <c r="I720" s="4">
        <v>5.342586140112483</v>
      </c>
      <c r="J720" t="b">
        <v>0</v>
      </c>
      <c r="K720" t="b">
        <v>0</v>
      </c>
    </row>
    <row r="721" spans="1:11" x14ac:dyDescent="0.25">
      <c r="A721" t="s">
        <v>353</v>
      </c>
      <c r="B721" t="s">
        <v>354</v>
      </c>
      <c r="C721" t="s">
        <v>467</v>
      </c>
      <c r="D721" t="s">
        <v>468</v>
      </c>
      <c r="E721" s="4">
        <v>11859016</v>
      </c>
      <c r="F721" s="4">
        <v>5243.29</v>
      </c>
      <c r="G721" s="4">
        <v>524329</v>
      </c>
      <c r="H721" s="4">
        <v>524.3290000000001</v>
      </c>
      <c r="I721" s="4">
        <v>22.617509235613518</v>
      </c>
      <c r="J721" t="b">
        <v>0</v>
      </c>
      <c r="K721" t="b">
        <v>0</v>
      </c>
    </row>
    <row r="722" spans="1:11" x14ac:dyDescent="0.25">
      <c r="A722" t="s">
        <v>355</v>
      </c>
      <c r="B722" t="s">
        <v>356</v>
      </c>
      <c r="C722" t="s">
        <v>455</v>
      </c>
      <c r="D722" t="s">
        <v>477</v>
      </c>
      <c r="E722" s="4">
        <v>1174666</v>
      </c>
      <c r="F722" s="4">
        <v>1389.7</v>
      </c>
      <c r="G722" s="4">
        <v>138970</v>
      </c>
      <c r="H722" s="4">
        <v>138.97</v>
      </c>
      <c r="I722" s="4">
        <v>8.452658847233216</v>
      </c>
      <c r="J722" t="b">
        <v>0</v>
      </c>
      <c r="K722" t="b">
        <v>0</v>
      </c>
    </row>
    <row r="723" spans="1:11" x14ac:dyDescent="0.25">
      <c r="A723" t="s">
        <v>355</v>
      </c>
      <c r="B723" t="s">
        <v>356</v>
      </c>
      <c r="C723" t="s">
        <v>461</v>
      </c>
      <c r="D723" t="s">
        <v>462</v>
      </c>
      <c r="E723" s="4">
        <v>29750831</v>
      </c>
      <c r="F723" s="4">
        <v>13561.22</v>
      </c>
      <c r="G723" s="4">
        <v>1356122</v>
      </c>
      <c r="H723" s="4">
        <v>1356.122</v>
      </c>
      <c r="I723" s="4">
        <v>21.938167067564716</v>
      </c>
      <c r="J723" t="b">
        <v>0</v>
      </c>
      <c r="K723" t="b">
        <v>0</v>
      </c>
    </row>
    <row r="724" spans="1:11" x14ac:dyDescent="0.25">
      <c r="A724" t="s">
        <v>355</v>
      </c>
      <c r="B724" t="s">
        <v>356</v>
      </c>
      <c r="C724" t="s">
        <v>463</v>
      </c>
      <c r="D724" t="s">
        <v>464</v>
      </c>
      <c r="E724" s="4">
        <v>40609601</v>
      </c>
      <c r="F724" s="4">
        <v>12071.39</v>
      </c>
      <c r="G724" s="4">
        <v>1207139</v>
      </c>
      <c r="H724" s="4">
        <v>1207.139</v>
      </c>
      <c r="I724" s="4">
        <v>33.6411970783812</v>
      </c>
      <c r="J724" t="b">
        <v>0</v>
      </c>
      <c r="K724" t="b">
        <v>0</v>
      </c>
    </row>
    <row r="725" spans="1:11" x14ac:dyDescent="0.25">
      <c r="A725" t="s">
        <v>355</v>
      </c>
      <c r="B725" t="s">
        <v>356</v>
      </c>
      <c r="C725" t="s">
        <v>465</v>
      </c>
      <c r="D725" t="s">
        <v>478</v>
      </c>
      <c r="E725" s="4">
        <v>14180368</v>
      </c>
      <c r="F725" s="4">
        <v>27430.38</v>
      </c>
      <c r="G725" s="4">
        <v>2743038</v>
      </c>
      <c r="H725" s="4">
        <v>2743.0380000000005</v>
      </c>
      <c r="I725" s="4">
        <v>5.169584963824781</v>
      </c>
      <c r="J725" t="b">
        <v>0</v>
      </c>
      <c r="K725" t="b">
        <v>0</v>
      </c>
    </row>
    <row r="726" spans="1:11" x14ac:dyDescent="0.25">
      <c r="A726" t="s">
        <v>355</v>
      </c>
      <c r="B726" t="s">
        <v>356</v>
      </c>
      <c r="C726" t="s">
        <v>467</v>
      </c>
      <c r="D726" t="s">
        <v>468</v>
      </c>
      <c r="E726" s="4">
        <v>14857363</v>
      </c>
      <c r="F726" s="4">
        <v>6483.86</v>
      </c>
      <c r="G726" s="4">
        <v>648386</v>
      </c>
      <c r="H726" s="4">
        <v>648.386</v>
      </c>
      <c r="I726" s="4">
        <v>22.91437970591592</v>
      </c>
      <c r="J726" t="b">
        <v>0</v>
      </c>
      <c r="K726" t="b">
        <v>0</v>
      </c>
    </row>
    <row r="727" spans="1:11" x14ac:dyDescent="0.25">
      <c r="A727" t="s">
        <v>357</v>
      </c>
      <c r="B727" t="s">
        <v>358</v>
      </c>
      <c r="C727" t="s">
        <v>455</v>
      </c>
      <c r="D727" t="s">
        <v>477</v>
      </c>
      <c r="E727" s="4">
        <v>766916</v>
      </c>
      <c r="F727" s="4">
        <v>965.36</v>
      </c>
      <c r="G727" s="4">
        <v>96536</v>
      </c>
      <c r="H727" s="4">
        <v>96.536</v>
      </c>
      <c r="I727" s="4">
        <v>7.944352365956742</v>
      </c>
      <c r="J727" t="b">
        <v>0</v>
      </c>
      <c r="K727" t="b">
        <v>0</v>
      </c>
    </row>
    <row r="728" spans="1:11" x14ac:dyDescent="0.25">
      <c r="A728" t="s">
        <v>357</v>
      </c>
      <c r="B728" t="s">
        <v>358</v>
      </c>
      <c r="C728" t="s">
        <v>461</v>
      </c>
      <c r="D728" t="s">
        <v>462</v>
      </c>
      <c r="E728" s="4">
        <v>29604104</v>
      </c>
      <c r="F728" s="4">
        <v>13153.57</v>
      </c>
      <c r="G728" s="4">
        <v>1315357</v>
      </c>
      <c r="H728" s="4">
        <v>1315.357</v>
      </c>
      <c r="I728" s="4">
        <v>22.50651648183725</v>
      </c>
      <c r="J728" t="b">
        <v>0</v>
      </c>
      <c r="K728" t="b">
        <v>0</v>
      </c>
    </row>
    <row r="729" spans="1:11" x14ac:dyDescent="0.25">
      <c r="A729" t="s">
        <v>357</v>
      </c>
      <c r="B729" t="s">
        <v>358</v>
      </c>
      <c r="C729" t="s">
        <v>463</v>
      </c>
      <c r="D729" t="s">
        <v>464</v>
      </c>
      <c r="E729" s="4">
        <v>43693218</v>
      </c>
      <c r="F729" s="4">
        <v>12402.4</v>
      </c>
      <c r="G729" s="4">
        <v>1240240</v>
      </c>
      <c r="H729" s="4">
        <v>1240.24</v>
      </c>
      <c r="I729" s="4">
        <v>35.22964748758305</v>
      </c>
      <c r="J729" t="b">
        <v>0</v>
      </c>
      <c r="K729" t="b">
        <v>0</v>
      </c>
    </row>
    <row r="730" spans="1:11" x14ac:dyDescent="0.25">
      <c r="A730" t="s">
        <v>357</v>
      </c>
      <c r="B730" t="s">
        <v>358</v>
      </c>
      <c r="C730" t="s">
        <v>465</v>
      </c>
      <c r="D730" t="s">
        <v>478</v>
      </c>
      <c r="E730" s="4">
        <v>12789441</v>
      </c>
      <c r="F730" s="4">
        <v>24167.35</v>
      </c>
      <c r="G730" s="4">
        <v>2416735</v>
      </c>
      <c r="H730" s="4">
        <v>2416.735</v>
      </c>
      <c r="I730" s="4">
        <v>5.292032845967804</v>
      </c>
      <c r="J730" t="b">
        <v>0</v>
      </c>
      <c r="K730" t="b">
        <v>0</v>
      </c>
    </row>
    <row r="731" spans="1:11" x14ac:dyDescent="0.25">
      <c r="A731" t="s">
        <v>357</v>
      </c>
      <c r="B731" t="s">
        <v>358</v>
      </c>
      <c r="C731" t="s">
        <v>467</v>
      </c>
      <c r="D731" t="s">
        <v>468</v>
      </c>
      <c r="E731" s="4">
        <v>15865997</v>
      </c>
      <c r="F731" s="4">
        <v>6632.69</v>
      </c>
      <c r="G731" s="4">
        <v>663269</v>
      </c>
      <c r="H731" s="4">
        <v>663.269</v>
      </c>
      <c r="I731" s="4">
        <v>23.920908409710087</v>
      </c>
      <c r="J731" t="b">
        <v>0</v>
      </c>
      <c r="K731" t="b">
        <v>0</v>
      </c>
    </row>
    <row r="732" spans="1:11" x14ac:dyDescent="0.25">
      <c r="A732" t="s">
        <v>359</v>
      </c>
      <c r="B732" t="s">
        <v>360</v>
      </c>
      <c r="C732" t="s">
        <v>455</v>
      </c>
      <c r="D732" t="s">
        <v>477</v>
      </c>
      <c r="E732" s="4">
        <v>897599</v>
      </c>
      <c r="F732" s="4">
        <v>923.15</v>
      </c>
      <c r="G732" s="4">
        <v>92315</v>
      </c>
      <c r="H732" s="4">
        <v>92.315</v>
      </c>
      <c r="I732" s="4">
        <v>9.723219411796567</v>
      </c>
      <c r="J732" t="b">
        <v>0</v>
      </c>
      <c r="K732" t="b">
        <v>0</v>
      </c>
    </row>
    <row r="733" spans="1:11" x14ac:dyDescent="0.25">
      <c r="A733" t="s">
        <v>359</v>
      </c>
      <c r="B733" t="s">
        <v>360</v>
      </c>
      <c r="C733" t="s">
        <v>461</v>
      </c>
      <c r="D733" t="s">
        <v>462</v>
      </c>
      <c r="E733" s="4">
        <v>26060990</v>
      </c>
      <c r="F733" s="4">
        <v>11787.4</v>
      </c>
      <c r="G733" s="4">
        <v>1178740</v>
      </c>
      <c r="H733" s="4">
        <v>1178.74</v>
      </c>
      <c r="I733" s="4">
        <v>22.109192866959635</v>
      </c>
      <c r="J733" t="b">
        <v>0</v>
      </c>
      <c r="K733" t="b">
        <v>0</v>
      </c>
    </row>
    <row r="734" spans="1:11" x14ac:dyDescent="0.25">
      <c r="A734" t="s">
        <v>359</v>
      </c>
      <c r="B734" t="s">
        <v>360</v>
      </c>
      <c r="C734" t="s">
        <v>463</v>
      </c>
      <c r="D734" t="s">
        <v>464</v>
      </c>
      <c r="E734" s="4">
        <v>43966828</v>
      </c>
      <c r="F734" s="4">
        <v>13369.31</v>
      </c>
      <c r="G734" s="4">
        <v>1336931</v>
      </c>
      <c r="H734" s="4">
        <v>1336.931</v>
      </c>
      <c r="I734" s="4">
        <v>32.88638531083504</v>
      </c>
      <c r="J734" t="b">
        <v>0</v>
      </c>
      <c r="K734" t="b">
        <v>0</v>
      </c>
    </row>
    <row r="735" spans="1:11" x14ac:dyDescent="0.25">
      <c r="A735" t="s">
        <v>359</v>
      </c>
      <c r="B735" t="s">
        <v>360</v>
      </c>
      <c r="C735" t="s">
        <v>465</v>
      </c>
      <c r="D735" t="s">
        <v>478</v>
      </c>
      <c r="E735" s="4">
        <v>12650449</v>
      </c>
      <c r="F735" s="4">
        <v>24142.16</v>
      </c>
      <c r="G735" s="4">
        <v>2414216</v>
      </c>
      <c r="H735" s="4">
        <v>2414.216</v>
      </c>
      <c r="I735" s="4">
        <v>5.239982255108905</v>
      </c>
      <c r="J735" t="b">
        <v>0</v>
      </c>
      <c r="K735" t="b">
        <v>0</v>
      </c>
    </row>
    <row r="736" spans="1:11" x14ac:dyDescent="0.25">
      <c r="A736" t="s">
        <v>359</v>
      </c>
      <c r="B736" t="s">
        <v>360</v>
      </c>
      <c r="C736" t="s">
        <v>467</v>
      </c>
      <c r="D736" t="s">
        <v>468</v>
      </c>
      <c r="E736" s="4">
        <v>16082905</v>
      </c>
      <c r="F736" s="4">
        <v>6251.01</v>
      </c>
      <c r="G736" s="4">
        <v>625101</v>
      </c>
      <c r="H736" s="4">
        <v>625.1010000000001</v>
      </c>
      <c r="I736" s="4">
        <v>25.728490275971403</v>
      </c>
      <c r="J736" t="b">
        <v>0</v>
      </c>
      <c r="K736" t="b">
        <v>0</v>
      </c>
    </row>
    <row r="737" spans="1:11" x14ac:dyDescent="0.25">
      <c r="A737" t="s">
        <v>361</v>
      </c>
      <c r="B737" t="s">
        <v>362</v>
      </c>
      <c r="C737" t="s">
        <v>455</v>
      </c>
      <c r="D737" t="s">
        <v>477</v>
      </c>
      <c r="E737" s="4">
        <v>1347318</v>
      </c>
      <c r="F737" s="4">
        <v>1964.2</v>
      </c>
      <c r="G737" s="4">
        <v>196420</v>
      </c>
      <c r="H737" s="4">
        <v>196.42000000000002</v>
      </c>
      <c r="I737" s="4">
        <v>6.859372772630079</v>
      </c>
      <c r="J737" t="b">
        <v>0</v>
      </c>
      <c r="K737" t="b">
        <v>0</v>
      </c>
    </row>
    <row r="738" spans="1:11" x14ac:dyDescent="0.25">
      <c r="A738" t="s">
        <v>361</v>
      </c>
      <c r="B738" t="s">
        <v>362</v>
      </c>
      <c r="C738" t="s">
        <v>461</v>
      </c>
      <c r="D738" t="s">
        <v>462</v>
      </c>
      <c r="E738" s="4">
        <v>22852674</v>
      </c>
      <c r="F738" s="4">
        <v>10342.81</v>
      </c>
      <c r="G738" s="4">
        <v>1034281</v>
      </c>
      <c r="H738" s="4">
        <v>1034.281</v>
      </c>
      <c r="I738" s="4">
        <v>22.09522750587123</v>
      </c>
      <c r="J738" t="b">
        <v>0</v>
      </c>
      <c r="K738" t="b">
        <v>0</v>
      </c>
    </row>
    <row r="739" spans="1:11" x14ac:dyDescent="0.25">
      <c r="A739" t="s">
        <v>361</v>
      </c>
      <c r="B739" t="s">
        <v>362</v>
      </c>
      <c r="C739" t="s">
        <v>463</v>
      </c>
      <c r="D739" t="s">
        <v>464</v>
      </c>
      <c r="E739" s="4">
        <v>41909904</v>
      </c>
      <c r="F739" s="4">
        <v>13970.83</v>
      </c>
      <c r="G739" s="4">
        <v>1397083</v>
      </c>
      <c r="H739" s="4">
        <v>1397.083</v>
      </c>
      <c r="I739" s="4">
        <v>29.998149000453086</v>
      </c>
      <c r="J739" t="b">
        <v>0</v>
      </c>
      <c r="K739" t="b">
        <v>0</v>
      </c>
    </row>
    <row r="740" spans="1:11" x14ac:dyDescent="0.25">
      <c r="A740" t="s">
        <v>361</v>
      </c>
      <c r="B740" t="s">
        <v>362</v>
      </c>
      <c r="C740" t="s">
        <v>465</v>
      </c>
      <c r="D740" t="s">
        <v>478</v>
      </c>
      <c r="E740" s="4">
        <v>12929505</v>
      </c>
      <c r="F740" s="4">
        <v>29787.67</v>
      </c>
      <c r="G740" s="4">
        <v>2978767</v>
      </c>
      <c r="H740" s="4">
        <v>2978.767</v>
      </c>
      <c r="I740" s="4">
        <v>4.340556008576703</v>
      </c>
      <c r="J740" t="b">
        <v>0</v>
      </c>
      <c r="K740" t="b">
        <v>0</v>
      </c>
    </row>
    <row r="741" spans="1:11" x14ac:dyDescent="0.25">
      <c r="A741" t="s">
        <v>361</v>
      </c>
      <c r="B741" t="s">
        <v>362</v>
      </c>
      <c r="C741" t="s">
        <v>467</v>
      </c>
      <c r="D741" t="s">
        <v>468</v>
      </c>
      <c r="E741" s="4">
        <v>11986463</v>
      </c>
      <c r="F741" s="4">
        <v>5576.47</v>
      </c>
      <c r="G741" s="4">
        <v>557647</v>
      </c>
      <c r="H741" s="4">
        <v>557.647</v>
      </c>
      <c r="I741" s="4">
        <v>21.494714398176626</v>
      </c>
      <c r="J741" t="b">
        <v>0</v>
      </c>
      <c r="K741" t="b">
        <v>0</v>
      </c>
    </row>
    <row r="742" spans="1:11" x14ac:dyDescent="0.25">
      <c r="A742" t="s">
        <v>363</v>
      </c>
      <c r="B742" t="s">
        <v>364</v>
      </c>
      <c r="C742" t="s">
        <v>455</v>
      </c>
      <c r="D742" t="s">
        <v>477</v>
      </c>
      <c r="E742" s="4">
        <v>1374828</v>
      </c>
      <c r="F742" s="4">
        <v>2452.35</v>
      </c>
      <c r="G742" s="4">
        <v>245235</v>
      </c>
      <c r="H742" s="4">
        <v>245.235</v>
      </c>
      <c r="I742" s="4">
        <v>5.60616551471038</v>
      </c>
      <c r="J742" t="b">
        <v>0</v>
      </c>
      <c r="K742" t="b">
        <v>0</v>
      </c>
    </row>
    <row r="743" spans="1:11" x14ac:dyDescent="0.25">
      <c r="A743" t="s">
        <v>363</v>
      </c>
      <c r="B743" t="s">
        <v>364</v>
      </c>
      <c r="C743" t="s">
        <v>461</v>
      </c>
      <c r="D743" t="s">
        <v>462</v>
      </c>
      <c r="E743" s="4">
        <v>31088175</v>
      </c>
      <c r="F743" s="4">
        <v>15975.54</v>
      </c>
      <c r="G743" s="4">
        <v>1597554</v>
      </c>
      <c r="H743" s="4">
        <v>1597.554</v>
      </c>
      <c r="I743" s="4">
        <v>19.459858633886554</v>
      </c>
      <c r="J743" t="b">
        <v>0</v>
      </c>
      <c r="K743" t="b">
        <v>0</v>
      </c>
    </row>
    <row r="744" spans="1:11" x14ac:dyDescent="0.25">
      <c r="A744" t="s">
        <v>363</v>
      </c>
      <c r="B744" t="s">
        <v>364</v>
      </c>
      <c r="C744" t="s">
        <v>463</v>
      </c>
      <c r="D744" t="s">
        <v>464</v>
      </c>
      <c r="E744" s="4">
        <v>36593505</v>
      </c>
      <c r="F744" s="4">
        <v>13259.27</v>
      </c>
      <c r="G744" s="4">
        <v>1325927</v>
      </c>
      <c r="H744" s="4">
        <v>1325.9270000000001</v>
      </c>
      <c r="I744" s="4">
        <v>27.59843113534908</v>
      </c>
      <c r="J744" t="b">
        <v>0</v>
      </c>
      <c r="K744" t="b">
        <v>0</v>
      </c>
    </row>
    <row r="745" spans="1:11" x14ac:dyDescent="0.25">
      <c r="A745" t="s">
        <v>363</v>
      </c>
      <c r="B745" t="s">
        <v>364</v>
      </c>
      <c r="C745" t="s">
        <v>465</v>
      </c>
      <c r="D745" t="s">
        <v>478</v>
      </c>
      <c r="E745" s="4">
        <v>13790813</v>
      </c>
      <c r="F745" s="4">
        <v>34432.51</v>
      </c>
      <c r="G745" s="4">
        <v>3443251</v>
      </c>
      <c r="H745" s="4">
        <v>3443.251</v>
      </c>
      <c r="I745" s="4">
        <v>4.00517214690419</v>
      </c>
      <c r="J745" t="b">
        <v>0</v>
      </c>
      <c r="K745" t="b">
        <v>0</v>
      </c>
    </row>
    <row r="746" spans="1:11" x14ac:dyDescent="0.25">
      <c r="A746" t="s">
        <v>363</v>
      </c>
      <c r="B746" t="s">
        <v>364</v>
      </c>
      <c r="C746" t="s">
        <v>467</v>
      </c>
      <c r="D746" t="s">
        <v>468</v>
      </c>
      <c r="E746" s="4">
        <v>8607477</v>
      </c>
      <c r="F746" s="4">
        <v>4144.33</v>
      </c>
      <c r="G746" s="4">
        <v>414433</v>
      </c>
      <c r="H746" s="4">
        <v>414.433</v>
      </c>
      <c r="I746" s="4">
        <v>20.769284781858588</v>
      </c>
      <c r="J746" t="b">
        <v>0</v>
      </c>
      <c r="K746" t="b">
        <v>0</v>
      </c>
    </row>
    <row r="747" spans="1:11" x14ac:dyDescent="0.25">
      <c r="A747" t="s">
        <v>365</v>
      </c>
      <c r="B747" t="s">
        <v>366</v>
      </c>
      <c r="C747" t="s">
        <v>455</v>
      </c>
      <c r="D747" t="s">
        <v>477</v>
      </c>
      <c r="E747" s="4">
        <v>913457</v>
      </c>
      <c r="F747" s="4">
        <v>1298.81</v>
      </c>
      <c r="G747" s="4">
        <v>129881</v>
      </c>
      <c r="H747" s="4">
        <v>129.881</v>
      </c>
      <c r="I747" s="4">
        <v>7.033030235369299</v>
      </c>
      <c r="J747" t="b">
        <v>0</v>
      </c>
      <c r="K747" t="b">
        <v>0</v>
      </c>
    </row>
    <row r="748" spans="1:11" x14ac:dyDescent="0.25">
      <c r="A748" t="s">
        <v>365</v>
      </c>
      <c r="B748" t="s">
        <v>366</v>
      </c>
      <c r="C748" t="s">
        <v>461</v>
      </c>
      <c r="D748" t="s">
        <v>462</v>
      </c>
      <c r="E748" s="4">
        <v>32549153</v>
      </c>
      <c r="F748" s="4">
        <v>16525.6</v>
      </c>
      <c r="G748" s="4">
        <v>1652559.9999999998</v>
      </c>
      <c r="H748" s="4">
        <v>1652.56</v>
      </c>
      <c r="I748" s="4">
        <v>19.69620044052864</v>
      </c>
      <c r="J748" t="b">
        <v>0</v>
      </c>
      <c r="K748" t="b">
        <v>0</v>
      </c>
    </row>
    <row r="749" spans="1:11" x14ac:dyDescent="0.25">
      <c r="A749" t="s">
        <v>365</v>
      </c>
      <c r="B749" t="s">
        <v>366</v>
      </c>
      <c r="C749" t="s">
        <v>463</v>
      </c>
      <c r="D749" t="s">
        <v>464</v>
      </c>
      <c r="E749" s="4">
        <v>35487995</v>
      </c>
      <c r="F749" s="4">
        <v>11513.63</v>
      </c>
      <c r="G749" s="4">
        <v>1151363</v>
      </c>
      <c r="H749" s="4">
        <v>1151.363</v>
      </c>
      <c r="I749" s="4">
        <v>30.822594611777518</v>
      </c>
      <c r="J749" t="b">
        <v>0</v>
      </c>
      <c r="K749" t="b">
        <v>0</v>
      </c>
    </row>
    <row r="750" spans="1:11" x14ac:dyDescent="0.25">
      <c r="A750" t="s">
        <v>365</v>
      </c>
      <c r="B750" t="s">
        <v>366</v>
      </c>
      <c r="C750" t="s">
        <v>465</v>
      </c>
      <c r="D750" t="s">
        <v>478</v>
      </c>
      <c r="E750" s="4">
        <v>14791156</v>
      </c>
      <c r="F750" s="4">
        <v>32125.92</v>
      </c>
      <c r="G750" s="4">
        <v>3212592</v>
      </c>
      <c r="H750" s="4">
        <v>3212.592</v>
      </c>
      <c r="I750" s="4">
        <v>4.604119041571416</v>
      </c>
      <c r="J750" t="b">
        <v>0</v>
      </c>
      <c r="K750" t="b">
        <v>0</v>
      </c>
    </row>
    <row r="751" spans="1:11" x14ac:dyDescent="0.25">
      <c r="A751" t="s">
        <v>365</v>
      </c>
      <c r="B751" t="s">
        <v>366</v>
      </c>
      <c r="C751" t="s">
        <v>467</v>
      </c>
      <c r="D751" t="s">
        <v>468</v>
      </c>
      <c r="E751" s="4">
        <v>10801810</v>
      </c>
      <c r="F751" s="4">
        <v>5512.74</v>
      </c>
      <c r="G751" s="4">
        <v>551274</v>
      </c>
      <c r="H751" s="4">
        <v>551.274</v>
      </c>
      <c r="I751" s="4">
        <v>19.59426709766831</v>
      </c>
      <c r="J751" t="b">
        <v>0</v>
      </c>
      <c r="K751" t="b">
        <v>0</v>
      </c>
    </row>
    <row r="752" spans="1:11" x14ac:dyDescent="0.25">
      <c r="A752" t="s">
        <v>367</v>
      </c>
      <c r="B752" t="s">
        <v>368</v>
      </c>
      <c r="C752" t="s">
        <v>455</v>
      </c>
      <c r="D752" t="s">
        <v>477</v>
      </c>
      <c r="E752" s="4">
        <v>1352766</v>
      </c>
      <c r="F752" s="4">
        <v>2690.75</v>
      </c>
      <c r="G752" s="4">
        <v>269075</v>
      </c>
      <c r="H752" s="4">
        <v>269.075</v>
      </c>
      <c r="I752" s="4">
        <v>5.027468178017282</v>
      </c>
      <c r="J752" t="b">
        <v>0</v>
      </c>
      <c r="K752" t="b">
        <v>0</v>
      </c>
    </row>
    <row r="753" spans="1:11" x14ac:dyDescent="0.25">
      <c r="A753" t="s">
        <v>367</v>
      </c>
      <c r="B753" t="s">
        <v>368</v>
      </c>
      <c r="C753" t="s">
        <v>461</v>
      </c>
      <c r="D753" t="s">
        <v>462</v>
      </c>
      <c r="E753" s="4">
        <v>30423394</v>
      </c>
      <c r="F753" s="4">
        <v>15544.23</v>
      </c>
      <c r="G753" s="4">
        <v>1554423</v>
      </c>
      <c r="H753" s="4">
        <v>1554.423</v>
      </c>
      <c r="I753" s="4">
        <v>19.572146063201586</v>
      </c>
      <c r="J753" t="b">
        <v>0</v>
      </c>
      <c r="K753" t="b">
        <v>0</v>
      </c>
    </row>
    <row r="754" spans="1:11" x14ac:dyDescent="0.25">
      <c r="A754" t="s">
        <v>367</v>
      </c>
      <c r="B754" t="s">
        <v>368</v>
      </c>
      <c r="C754" t="s">
        <v>463</v>
      </c>
      <c r="D754" t="s">
        <v>464</v>
      </c>
      <c r="E754" s="4">
        <v>34083743</v>
      </c>
      <c r="F754" s="4">
        <v>10719.45</v>
      </c>
      <c r="G754" s="4">
        <v>1071945</v>
      </c>
      <c r="H754" s="4">
        <v>1071.9450000000002</v>
      </c>
      <c r="I754" s="4">
        <v>31.796167713828602</v>
      </c>
      <c r="J754" t="b">
        <v>0</v>
      </c>
      <c r="K754" t="b">
        <v>0</v>
      </c>
    </row>
    <row r="755" spans="1:11" x14ac:dyDescent="0.25">
      <c r="A755" t="s">
        <v>367</v>
      </c>
      <c r="B755" t="s">
        <v>368</v>
      </c>
      <c r="C755" t="s">
        <v>465</v>
      </c>
      <c r="D755" t="s">
        <v>478</v>
      </c>
      <c r="E755" s="4">
        <v>12233059</v>
      </c>
      <c r="F755" s="4">
        <v>26290.25</v>
      </c>
      <c r="G755" s="4">
        <v>2629025</v>
      </c>
      <c r="H755" s="4">
        <v>2629.025</v>
      </c>
      <c r="I755" s="4">
        <v>4.653078232424568</v>
      </c>
      <c r="J755" t="b">
        <v>0</v>
      </c>
      <c r="K755" t="b">
        <v>0</v>
      </c>
    </row>
    <row r="756" spans="1:11" x14ac:dyDescent="0.25">
      <c r="A756" t="s">
        <v>367</v>
      </c>
      <c r="B756" t="s">
        <v>368</v>
      </c>
      <c r="C756" t="s">
        <v>467</v>
      </c>
      <c r="D756" t="s">
        <v>468</v>
      </c>
      <c r="E756" s="4">
        <v>12128968</v>
      </c>
      <c r="F756" s="4">
        <v>5848.59</v>
      </c>
      <c r="G756" s="4">
        <v>584859</v>
      </c>
      <c r="H756" s="4">
        <v>584.859</v>
      </c>
      <c r="I756" s="4">
        <v>20.738277089007777</v>
      </c>
      <c r="J756" t="b">
        <v>0</v>
      </c>
      <c r="K756" t="b">
        <v>0</v>
      </c>
    </row>
    <row r="757" spans="1:11" x14ac:dyDescent="0.25">
      <c r="A757" t="s">
        <v>369</v>
      </c>
      <c r="B757" t="s">
        <v>370</v>
      </c>
      <c r="C757" t="s">
        <v>455</v>
      </c>
      <c r="D757" t="s">
        <v>477</v>
      </c>
      <c r="E757" s="4">
        <v>1360487</v>
      </c>
      <c r="F757" s="4">
        <v>3520.41</v>
      </c>
      <c r="G757" s="4">
        <v>352041</v>
      </c>
      <c r="H757" s="4">
        <v>352.041</v>
      </c>
      <c r="I757" s="4">
        <v>3.86456975181868</v>
      </c>
      <c r="J757" t="b">
        <v>0</v>
      </c>
      <c r="K757" t="b">
        <v>0</v>
      </c>
    </row>
    <row r="758" spans="1:11" x14ac:dyDescent="0.25">
      <c r="A758" t="s">
        <v>369</v>
      </c>
      <c r="B758" t="s">
        <v>370</v>
      </c>
      <c r="C758" t="s">
        <v>461</v>
      </c>
      <c r="D758" t="s">
        <v>462</v>
      </c>
      <c r="E758" s="4">
        <v>29445544</v>
      </c>
      <c r="F758" s="4">
        <v>16262.96</v>
      </c>
      <c r="G758" s="4">
        <v>1626296</v>
      </c>
      <c r="H758" s="4">
        <v>1626.296</v>
      </c>
      <c r="I758" s="4">
        <v>18.10589462188925</v>
      </c>
      <c r="J758" t="b">
        <v>0</v>
      </c>
      <c r="K758" t="b">
        <v>0</v>
      </c>
    </row>
    <row r="759" spans="1:11" x14ac:dyDescent="0.25">
      <c r="A759" t="s">
        <v>369</v>
      </c>
      <c r="B759" t="s">
        <v>370</v>
      </c>
      <c r="C759" t="s">
        <v>463</v>
      </c>
      <c r="D759" t="s">
        <v>464</v>
      </c>
      <c r="E759" s="4">
        <v>30727680</v>
      </c>
      <c r="F759" s="4">
        <v>11248.68</v>
      </c>
      <c r="G759" s="4">
        <v>1124868</v>
      </c>
      <c r="H759" s="4">
        <v>1124.8680000000002</v>
      </c>
      <c r="I759" s="4">
        <v>27.316698492623136</v>
      </c>
      <c r="J759" t="b">
        <v>0</v>
      </c>
      <c r="K759" t="b">
        <v>0</v>
      </c>
    </row>
    <row r="760" spans="1:11" x14ac:dyDescent="0.25">
      <c r="A760" t="s">
        <v>369</v>
      </c>
      <c r="B760" t="s">
        <v>370</v>
      </c>
      <c r="C760" t="s">
        <v>465</v>
      </c>
      <c r="D760" t="s">
        <v>478</v>
      </c>
      <c r="E760" s="4">
        <v>12374566</v>
      </c>
      <c r="F760" s="4">
        <v>30266.63</v>
      </c>
      <c r="G760" s="4">
        <v>3026663</v>
      </c>
      <c r="H760" s="4">
        <v>3026.6630000000005</v>
      </c>
      <c r="I760" s="4">
        <v>4.088517948645092</v>
      </c>
      <c r="J760" t="b">
        <v>0</v>
      </c>
      <c r="K760" t="b">
        <v>0</v>
      </c>
    </row>
    <row r="761" spans="1:11" x14ac:dyDescent="0.25">
      <c r="A761" t="s">
        <v>369</v>
      </c>
      <c r="B761" t="s">
        <v>370</v>
      </c>
      <c r="C761" t="s">
        <v>467</v>
      </c>
      <c r="D761" t="s">
        <v>468</v>
      </c>
      <c r="E761" s="4">
        <v>13853838</v>
      </c>
      <c r="F761" s="4">
        <v>6688.12</v>
      </c>
      <c r="G761" s="4">
        <v>668812</v>
      </c>
      <c r="H761" s="4">
        <v>668.812</v>
      </c>
      <c r="I761" s="4">
        <v>20.714099029323638</v>
      </c>
      <c r="J761" t="b">
        <v>0</v>
      </c>
      <c r="K761" t="b">
        <v>0</v>
      </c>
    </row>
    <row r="762" spans="1:11" x14ac:dyDescent="0.25">
      <c r="A762" t="s">
        <v>371</v>
      </c>
      <c r="B762" t="s">
        <v>372</v>
      </c>
      <c r="C762" t="s">
        <v>455</v>
      </c>
      <c r="D762" t="s">
        <v>477</v>
      </c>
      <c r="E762" s="4">
        <v>1042640</v>
      </c>
      <c r="F762" s="4">
        <v>3738.63</v>
      </c>
      <c r="G762" s="4">
        <v>373863</v>
      </c>
      <c r="H762" s="4">
        <v>373.86300000000006</v>
      </c>
      <c r="I762" s="4">
        <v>2.7888290630525083</v>
      </c>
      <c r="J762" t="b">
        <v>0</v>
      </c>
      <c r="K762" t="b">
        <v>0</v>
      </c>
    </row>
    <row r="763" spans="1:11" x14ac:dyDescent="0.25">
      <c r="A763" t="s">
        <v>371</v>
      </c>
      <c r="B763" t="s">
        <v>372</v>
      </c>
      <c r="C763" t="s">
        <v>461</v>
      </c>
      <c r="D763" t="s">
        <v>462</v>
      </c>
      <c r="E763" s="4">
        <v>20592349</v>
      </c>
      <c r="F763" s="4">
        <v>11413.07</v>
      </c>
      <c r="G763" s="4">
        <v>1141307</v>
      </c>
      <c r="H763" s="4">
        <v>1141.307</v>
      </c>
      <c r="I763" s="4">
        <v>18.04277814821078</v>
      </c>
      <c r="J763" t="b">
        <v>0</v>
      </c>
      <c r="K763" t="b">
        <v>0</v>
      </c>
    </row>
    <row r="764" spans="1:11" x14ac:dyDescent="0.25">
      <c r="A764" t="s">
        <v>371</v>
      </c>
      <c r="B764" t="s">
        <v>372</v>
      </c>
      <c r="C764" t="s">
        <v>463</v>
      </c>
      <c r="D764" t="s">
        <v>464</v>
      </c>
      <c r="E764" s="4">
        <v>19780274</v>
      </c>
      <c r="F764" s="4">
        <v>7331.5</v>
      </c>
      <c r="G764" s="4">
        <v>733150</v>
      </c>
      <c r="H764" s="4">
        <v>733.1500000000001</v>
      </c>
      <c r="I764" s="4">
        <v>26.97984587055855</v>
      </c>
      <c r="J764" t="b">
        <v>0</v>
      </c>
      <c r="K764" t="b">
        <v>0</v>
      </c>
    </row>
    <row r="765" spans="1:11" x14ac:dyDescent="0.25">
      <c r="A765" t="s">
        <v>371</v>
      </c>
      <c r="B765" t="s">
        <v>372</v>
      </c>
      <c r="C765" t="s">
        <v>465</v>
      </c>
      <c r="D765" t="s">
        <v>478</v>
      </c>
      <c r="E765" s="4">
        <v>13839413</v>
      </c>
      <c r="F765" s="4">
        <v>28435.57</v>
      </c>
      <c r="G765" s="4">
        <v>2843557</v>
      </c>
      <c r="H765" s="4">
        <v>2843.5570000000002</v>
      </c>
      <c r="I765" s="4">
        <v>4.866937079158252</v>
      </c>
      <c r="J765" t="b">
        <v>0</v>
      </c>
      <c r="K765" t="b">
        <v>0</v>
      </c>
    </row>
    <row r="766" spans="1:11" x14ac:dyDescent="0.25">
      <c r="A766" t="s">
        <v>371</v>
      </c>
      <c r="B766" t="s">
        <v>372</v>
      </c>
      <c r="C766" t="s">
        <v>467</v>
      </c>
      <c r="D766" t="s">
        <v>468</v>
      </c>
      <c r="E766" s="4">
        <v>11460866</v>
      </c>
      <c r="F766" s="4">
        <v>5845.92</v>
      </c>
      <c r="G766" s="4">
        <v>584592</v>
      </c>
      <c r="H766" s="4">
        <v>584.592</v>
      </c>
      <c r="I766" s="4">
        <v>19.604897090620465</v>
      </c>
      <c r="J766" t="b">
        <v>0</v>
      </c>
      <c r="K766" t="b">
        <v>0</v>
      </c>
    </row>
    <row r="767" spans="1:11" x14ac:dyDescent="0.25">
      <c r="A767" t="s">
        <v>373</v>
      </c>
      <c r="B767" t="s">
        <v>374</v>
      </c>
      <c r="C767" t="s">
        <v>455</v>
      </c>
      <c r="D767" t="s">
        <v>477</v>
      </c>
      <c r="E767" s="4">
        <v>1498940</v>
      </c>
      <c r="F767" s="4">
        <v>3347.64</v>
      </c>
      <c r="G767" s="4">
        <v>334764</v>
      </c>
      <c r="H767" s="4">
        <v>334.764</v>
      </c>
      <c r="I767" s="4">
        <v>4.477602131650954</v>
      </c>
      <c r="J767" t="b">
        <v>0</v>
      </c>
      <c r="K767" t="b">
        <v>0</v>
      </c>
    </row>
    <row r="768" spans="1:11" x14ac:dyDescent="0.25">
      <c r="A768" t="s">
        <v>373</v>
      </c>
      <c r="B768" t="s">
        <v>374</v>
      </c>
      <c r="C768" t="s">
        <v>461</v>
      </c>
      <c r="D768" t="s">
        <v>462</v>
      </c>
      <c r="E768" s="4">
        <v>21765149</v>
      </c>
      <c r="F768" s="4">
        <v>12378.16</v>
      </c>
      <c r="G768" s="4">
        <v>1237816</v>
      </c>
      <c r="H768" s="4">
        <v>1237.816</v>
      </c>
      <c r="I768" s="4">
        <v>17.583509180685983</v>
      </c>
      <c r="J768" t="b">
        <v>0</v>
      </c>
      <c r="K768" t="b">
        <v>0</v>
      </c>
    </row>
    <row r="769" spans="1:11" x14ac:dyDescent="0.25">
      <c r="A769" t="s">
        <v>373</v>
      </c>
      <c r="B769" t="s">
        <v>374</v>
      </c>
      <c r="C769" t="s">
        <v>463</v>
      </c>
      <c r="D769" t="s">
        <v>464</v>
      </c>
      <c r="E769" s="4">
        <v>20519527</v>
      </c>
      <c r="F769" s="4">
        <v>7931.98</v>
      </c>
      <c r="G769" s="4">
        <v>793198</v>
      </c>
      <c r="H769" s="4">
        <v>793.198</v>
      </c>
      <c r="I769" s="4">
        <v>25.869363008983886</v>
      </c>
      <c r="J769" t="b">
        <v>0</v>
      </c>
      <c r="K769" t="b">
        <v>0</v>
      </c>
    </row>
    <row r="770" spans="1:11" x14ac:dyDescent="0.25">
      <c r="A770" t="s">
        <v>373</v>
      </c>
      <c r="B770" t="s">
        <v>374</v>
      </c>
      <c r="C770" t="s">
        <v>465</v>
      </c>
      <c r="D770" t="s">
        <v>478</v>
      </c>
      <c r="E770" s="4">
        <v>12726545</v>
      </c>
      <c r="F770" s="4">
        <v>29794.52</v>
      </c>
      <c r="G770" s="4">
        <v>2979452</v>
      </c>
      <c r="H770" s="4">
        <v>2979.452</v>
      </c>
      <c r="I770" s="4">
        <v>4.2714381705092075</v>
      </c>
      <c r="J770" t="b">
        <v>0</v>
      </c>
      <c r="K770" t="b">
        <v>0</v>
      </c>
    </row>
    <row r="771" spans="1:11" x14ac:dyDescent="0.25">
      <c r="A771" t="s">
        <v>373</v>
      </c>
      <c r="B771" t="s">
        <v>374</v>
      </c>
      <c r="C771" t="s">
        <v>467</v>
      </c>
      <c r="D771" t="s">
        <v>468</v>
      </c>
      <c r="E771" s="4">
        <v>8926024</v>
      </c>
      <c r="F771" s="4">
        <v>4176.56</v>
      </c>
      <c r="G771" s="4">
        <v>417656.00000000006</v>
      </c>
      <c r="H771" s="4">
        <v>417.65600000000006</v>
      </c>
      <c r="I771" s="4">
        <v>21.371712605589284</v>
      </c>
      <c r="J771" t="b">
        <v>0</v>
      </c>
      <c r="K771" t="b">
        <v>0</v>
      </c>
    </row>
    <row r="772" spans="1:11" x14ac:dyDescent="0.25">
      <c r="A772" t="s">
        <v>375</v>
      </c>
      <c r="B772" t="s">
        <v>376</v>
      </c>
      <c r="C772" t="s">
        <v>455</v>
      </c>
      <c r="D772" t="s">
        <v>477</v>
      </c>
      <c r="E772" s="4">
        <v>989301</v>
      </c>
      <c r="F772" s="4">
        <v>1752.43</v>
      </c>
      <c r="G772" s="4">
        <v>175243</v>
      </c>
      <c r="H772" s="4">
        <v>175.24300000000002</v>
      </c>
      <c r="I772" s="4">
        <v>5.645309655735179</v>
      </c>
      <c r="J772" t="b">
        <v>0</v>
      </c>
      <c r="K772" t="b">
        <v>0</v>
      </c>
    </row>
    <row r="773" spans="1:11" x14ac:dyDescent="0.25">
      <c r="A773" t="s">
        <v>375</v>
      </c>
      <c r="B773" t="s">
        <v>376</v>
      </c>
      <c r="C773" t="s">
        <v>461</v>
      </c>
      <c r="D773" t="s">
        <v>462</v>
      </c>
      <c r="E773" s="4">
        <v>25195025</v>
      </c>
      <c r="F773" s="4">
        <v>15656.09</v>
      </c>
      <c r="G773" s="4">
        <v>1565609</v>
      </c>
      <c r="H773" s="4">
        <v>1565.6090000000002</v>
      </c>
      <c r="I773" s="4">
        <v>16.0927951998232</v>
      </c>
      <c r="J773" t="b">
        <v>0</v>
      </c>
      <c r="K773" t="b">
        <v>0</v>
      </c>
    </row>
    <row r="774" spans="1:11" x14ac:dyDescent="0.25">
      <c r="A774" t="s">
        <v>375</v>
      </c>
      <c r="B774" t="s">
        <v>376</v>
      </c>
      <c r="C774" t="s">
        <v>463</v>
      </c>
      <c r="D774" t="s">
        <v>464</v>
      </c>
      <c r="E774" s="4">
        <v>21714826</v>
      </c>
      <c r="F774" s="4">
        <v>8003.06</v>
      </c>
      <c r="G774" s="4">
        <v>800306</v>
      </c>
      <c r="H774" s="4">
        <v>800.306</v>
      </c>
      <c r="I774" s="4">
        <v>27.13315406856877</v>
      </c>
      <c r="J774" t="b">
        <v>0</v>
      </c>
      <c r="K774" t="b">
        <v>0</v>
      </c>
    </row>
    <row r="775" spans="1:11" x14ac:dyDescent="0.25">
      <c r="A775" t="s">
        <v>375</v>
      </c>
      <c r="B775" t="s">
        <v>376</v>
      </c>
      <c r="C775" t="s">
        <v>465</v>
      </c>
      <c r="D775" t="s">
        <v>478</v>
      </c>
      <c r="E775" s="4">
        <v>10982257</v>
      </c>
      <c r="F775" s="4">
        <v>24974.12</v>
      </c>
      <c r="G775" s="4">
        <v>2497412</v>
      </c>
      <c r="H775" s="4">
        <v>2497.4120000000003</v>
      </c>
      <c r="I775" s="4">
        <v>4.397455045463063</v>
      </c>
      <c r="J775" t="b">
        <v>0</v>
      </c>
      <c r="K775" t="b">
        <v>0</v>
      </c>
    </row>
    <row r="776" spans="1:11" x14ac:dyDescent="0.25">
      <c r="A776" t="s">
        <v>375</v>
      </c>
      <c r="B776" t="s">
        <v>376</v>
      </c>
      <c r="C776" t="s">
        <v>467</v>
      </c>
      <c r="D776" t="s">
        <v>468</v>
      </c>
      <c r="E776" s="4">
        <v>6924359</v>
      </c>
      <c r="F776" s="4">
        <v>2968.67</v>
      </c>
      <c r="G776" s="4">
        <v>296867</v>
      </c>
      <c r="H776" s="4">
        <v>296.867</v>
      </c>
      <c r="I776" s="4">
        <v>23.32478517315835</v>
      </c>
      <c r="J776" t="b">
        <v>0</v>
      </c>
      <c r="K776" t="b">
        <v>0</v>
      </c>
    </row>
    <row r="777" spans="1:11" x14ac:dyDescent="0.25">
      <c r="A777" t="s">
        <v>378</v>
      </c>
      <c r="B777" t="s">
        <v>379</v>
      </c>
      <c r="C777" t="s">
        <v>455</v>
      </c>
      <c r="D777" t="s">
        <v>477</v>
      </c>
      <c r="E777" s="4">
        <v>630967</v>
      </c>
      <c r="F777" s="4">
        <v>977.93</v>
      </c>
      <c r="G777" s="4">
        <v>97793</v>
      </c>
      <c r="H777" s="4">
        <v>97.793</v>
      </c>
      <c r="I777" s="4">
        <v>6.452067121368605</v>
      </c>
      <c r="J777" t="b">
        <v>0</v>
      </c>
      <c r="K777" t="b">
        <v>0</v>
      </c>
    </row>
    <row r="778" spans="1:11" x14ac:dyDescent="0.25">
      <c r="A778" t="s">
        <v>378</v>
      </c>
      <c r="B778" t="s">
        <v>379</v>
      </c>
      <c r="C778" t="s">
        <v>461</v>
      </c>
      <c r="D778" t="s">
        <v>462</v>
      </c>
      <c r="E778" s="4">
        <v>23658607</v>
      </c>
      <c r="F778" s="4">
        <v>13609.65</v>
      </c>
      <c r="G778" s="4">
        <v>1360965</v>
      </c>
      <c r="H778" s="4">
        <v>1360.9650000000001</v>
      </c>
      <c r="I778" s="4">
        <v>17.38369980124397</v>
      </c>
      <c r="J778" t="b">
        <v>0</v>
      </c>
      <c r="K778" t="b">
        <v>0</v>
      </c>
    </row>
    <row r="779" spans="1:11" x14ac:dyDescent="0.25">
      <c r="A779" t="s">
        <v>378</v>
      </c>
      <c r="B779" t="s">
        <v>379</v>
      </c>
      <c r="C779" t="s">
        <v>463</v>
      </c>
      <c r="D779" t="s">
        <v>464</v>
      </c>
      <c r="E779" s="4">
        <v>21717892</v>
      </c>
      <c r="F779" s="4">
        <v>7636.11</v>
      </c>
      <c r="G779" s="4">
        <v>763611</v>
      </c>
      <c r="H779" s="4">
        <v>763.611</v>
      </c>
      <c r="I779" s="4">
        <v>28.441041315538932</v>
      </c>
      <c r="J779" t="b">
        <v>0</v>
      </c>
      <c r="K779" t="b">
        <v>0</v>
      </c>
    </row>
    <row r="780" spans="1:11" x14ac:dyDescent="0.25">
      <c r="A780" t="s">
        <v>378</v>
      </c>
      <c r="B780" t="s">
        <v>379</v>
      </c>
      <c r="C780" t="s">
        <v>465</v>
      </c>
      <c r="D780" t="s">
        <v>478</v>
      </c>
      <c r="E780" s="4">
        <v>10551442</v>
      </c>
      <c r="F780" s="4">
        <v>24378.2</v>
      </c>
      <c r="G780" s="4">
        <v>2437820</v>
      </c>
      <c r="H780" s="4">
        <v>2437.82</v>
      </c>
      <c r="I780" s="4">
        <v>4.328228499232921</v>
      </c>
      <c r="J780" t="b">
        <v>0</v>
      </c>
      <c r="K780" t="b">
        <v>0</v>
      </c>
    </row>
    <row r="781" spans="1:11" x14ac:dyDescent="0.25">
      <c r="A781" t="s">
        <v>378</v>
      </c>
      <c r="B781" t="s">
        <v>379</v>
      </c>
      <c r="C781" t="s">
        <v>467</v>
      </c>
      <c r="D781" t="s">
        <v>468</v>
      </c>
      <c r="E781" s="4">
        <v>7447722</v>
      </c>
      <c r="F781" s="4">
        <v>3196.93</v>
      </c>
      <c r="G781" s="4">
        <v>319693</v>
      </c>
      <c r="H781" s="4">
        <v>319.693</v>
      </c>
      <c r="I781" s="4">
        <v>23.29648131175847</v>
      </c>
      <c r="J781" t="b">
        <v>0</v>
      </c>
      <c r="K781" t="b">
        <v>0</v>
      </c>
    </row>
    <row r="782" spans="1:11" x14ac:dyDescent="0.25">
      <c r="A782" t="s">
        <v>380</v>
      </c>
      <c r="B782" t="s">
        <v>381</v>
      </c>
      <c r="C782" t="s">
        <v>455</v>
      </c>
      <c r="D782" t="s">
        <v>477</v>
      </c>
      <c r="E782" s="4">
        <v>1125282</v>
      </c>
      <c r="F782" s="4">
        <v>1475.86</v>
      </c>
      <c r="G782" s="4">
        <v>147586</v>
      </c>
      <c r="H782" s="4">
        <v>147.58599999999998</v>
      </c>
      <c r="I782" s="4">
        <v>7.624584987735964</v>
      </c>
      <c r="J782" t="b">
        <v>0</v>
      </c>
      <c r="K782" t="b">
        <v>0</v>
      </c>
    </row>
    <row r="783" spans="1:11" x14ac:dyDescent="0.25">
      <c r="A783" t="s">
        <v>380</v>
      </c>
      <c r="B783" t="s">
        <v>381</v>
      </c>
      <c r="C783" t="s">
        <v>461</v>
      </c>
      <c r="D783" t="s">
        <v>462</v>
      </c>
      <c r="E783" s="4">
        <v>21873972</v>
      </c>
      <c r="F783" s="4">
        <v>10807.58</v>
      </c>
      <c r="G783" s="4">
        <v>1080758</v>
      </c>
      <c r="H783" s="4">
        <v>1080.758</v>
      </c>
      <c r="I783" s="4">
        <v>20.239472666406357</v>
      </c>
      <c r="J783" t="b">
        <v>0</v>
      </c>
      <c r="K783" t="b">
        <v>0</v>
      </c>
    </row>
    <row r="784" spans="1:11" x14ac:dyDescent="0.25">
      <c r="A784" t="s">
        <v>380</v>
      </c>
      <c r="B784" t="s">
        <v>381</v>
      </c>
      <c r="C784" t="s">
        <v>463</v>
      </c>
      <c r="D784" t="s">
        <v>464</v>
      </c>
      <c r="E784" s="4">
        <v>31326442</v>
      </c>
      <c r="F784" s="4">
        <v>8943.49</v>
      </c>
      <c r="G784" s="4">
        <v>894349</v>
      </c>
      <c r="H784" s="4">
        <v>894.349</v>
      </c>
      <c r="I784" s="4">
        <v>35.02708897756916</v>
      </c>
      <c r="J784" t="b">
        <v>0</v>
      </c>
      <c r="K784" t="b">
        <v>0</v>
      </c>
    </row>
    <row r="785" spans="1:11" x14ac:dyDescent="0.25">
      <c r="A785" t="s">
        <v>380</v>
      </c>
      <c r="B785" t="s">
        <v>381</v>
      </c>
      <c r="C785" t="s">
        <v>465</v>
      </c>
      <c r="D785" t="s">
        <v>478</v>
      </c>
      <c r="E785" s="4">
        <v>11108586</v>
      </c>
      <c r="F785" s="4">
        <v>25613.34</v>
      </c>
      <c r="G785" s="4">
        <v>2561334</v>
      </c>
      <c r="H785" s="4">
        <v>2561.3340000000003</v>
      </c>
      <c r="I785" s="4">
        <v>4.337031406290628</v>
      </c>
      <c r="J785" t="b">
        <v>0</v>
      </c>
      <c r="K785" t="b">
        <v>0</v>
      </c>
    </row>
    <row r="786" spans="1:11" x14ac:dyDescent="0.25">
      <c r="A786" t="s">
        <v>380</v>
      </c>
      <c r="B786" t="s">
        <v>381</v>
      </c>
      <c r="C786" t="s">
        <v>467</v>
      </c>
      <c r="D786" t="s">
        <v>468</v>
      </c>
      <c r="E786" s="4">
        <v>10852345</v>
      </c>
      <c r="F786" s="4">
        <v>4376.28</v>
      </c>
      <c r="G786" s="4">
        <v>437628</v>
      </c>
      <c r="H786" s="4">
        <v>437.628</v>
      </c>
      <c r="I786" s="4">
        <v>24.798104783057756</v>
      </c>
      <c r="J786" t="b">
        <v>0</v>
      </c>
      <c r="K786" t="b">
        <v>0</v>
      </c>
    </row>
    <row r="787" spans="1:11" x14ac:dyDescent="0.25">
      <c r="A787" t="s">
        <v>382</v>
      </c>
      <c r="B787" t="s">
        <v>383</v>
      </c>
      <c r="C787" t="s">
        <v>455</v>
      </c>
      <c r="D787" t="s">
        <v>477</v>
      </c>
      <c r="E787" s="4">
        <v>781894</v>
      </c>
      <c r="F787" s="4">
        <v>1507.74</v>
      </c>
      <c r="G787" s="4">
        <v>150774</v>
      </c>
      <c r="H787" s="4">
        <v>150.774</v>
      </c>
      <c r="I787" s="4">
        <v>5.185867589902768</v>
      </c>
      <c r="J787" t="b">
        <v>0</v>
      </c>
      <c r="K787" t="b">
        <v>0</v>
      </c>
    </row>
    <row r="788" spans="1:11" x14ac:dyDescent="0.25">
      <c r="A788" t="s">
        <v>382</v>
      </c>
      <c r="B788" t="s">
        <v>383</v>
      </c>
      <c r="C788" t="s">
        <v>461</v>
      </c>
      <c r="D788" t="s">
        <v>462</v>
      </c>
      <c r="E788" s="4">
        <v>28246751</v>
      </c>
      <c r="F788" s="4">
        <v>14402.07</v>
      </c>
      <c r="G788" s="4">
        <v>1440207</v>
      </c>
      <c r="H788" s="4">
        <v>1440.207</v>
      </c>
      <c r="I788" s="4">
        <v>19.612979939689225</v>
      </c>
      <c r="J788" t="b">
        <v>0</v>
      </c>
      <c r="K788" t="b">
        <v>0</v>
      </c>
    </row>
    <row r="789" spans="1:11" x14ac:dyDescent="0.25">
      <c r="A789" t="s">
        <v>382</v>
      </c>
      <c r="B789" t="s">
        <v>383</v>
      </c>
      <c r="C789" t="s">
        <v>463</v>
      </c>
      <c r="D789" t="s">
        <v>464</v>
      </c>
      <c r="E789" s="4">
        <v>47751329</v>
      </c>
      <c r="F789" s="4">
        <v>13436.02</v>
      </c>
      <c r="G789" s="4">
        <v>1343602</v>
      </c>
      <c r="H789" s="4">
        <v>1343.602</v>
      </c>
      <c r="I789" s="4">
        <v>35.53978707980488</v>
      </c>
      <c r="J789" t="b">
        <v>0</v>
      </c>
      <c r="K789" t="b">
        <v>0</v>
      </c>
    </row>
    <row r="790" spans="1:11" x14ac:dyDescent="0.25">
      <c r="A790" t="s">
        <v>382</v>
      </c>
      <c r="B790" t="s">
        <v>383</v>
      </c>
      <c r="C790" t="s">
        <v>465</v>
      </c>
      <c r="D790" t="s">
        <v>478</v>
      </c>
      <c r="E790" s="4">
        <v>12850940</v>
      </c>
      <c r="F790" s="4">
        <v>24968.62</v>
      </c>
      <c r="G790" s="4">
        <v>2496862</v>
      </c>
      <c r="H790" s="4">
        <v>2496.862</v>
      </c>
      <c r="I790" s="4">
        <v>5.146836308934975</v>
      </c>
      <c r="J790" t="b">
        <v>0</v>
      </c>
      <c r="K790" t="b">
        <v>0</v>
      </c>
    </row>
    <row r="791" spans="1:11" x14ac:dyDescent="0.25">
      <c r="A791" t="s">
        <v>382</v>
      </c>
      <c r="B791" t="s">
        <v>383</v>
      </c>
      <c r="C791" t="s">
        <v>467</v>
      </c>
      <c r="D791" t="s">
        <v>468</v>
      </c>
      <c r="E791" s="4">
        <v>12501913</v>
      </c>
      <c r="F791" s="4">
        <v>5244.25</v>
      </c>
      <c r="G791" s="4">
        <v>524425</v>
      </c>
      <c r="H791" s="4">
        <v>524.4250000000001</v>
      </c>
      <c r="I791" s="4">
        <v>23.83927730371359</v>
      </c>
      <c r="J791" t="b">
        <v>0</v>
      </c>
      <c r="K791" t="b">
        <v>0</v>
      </c>
    </row>
    <row r="792" spans="1:11" x14ac:dyDescent="0.25">
      <c r="A792" t="s">
        <v>384</v>
      </c>
      <c r="B792" t="s">
        <v>385</v>
      </c>
      <c r="C792" t="s">
        <v>455</v>
      </c>
      <c r="D792" t="s">
        <v>477</v>
      </c>
      <c r="E792" s="4">
        <v>900039</v>
      </c>
      <c r="F792" s="4">
        <v>1795.29</v>
      </c>
      <c r="G792" s="4">
        <v>179529</v>
      </c>
      <c r="H792" s="4">
        <v>179.529</v>
      </c>
      <c r="I792" s="4">
        <v>5.013334892969938</v>
      </c>
      <c r="J792" t="b">
        <v>0</v>
      </c>
      <c r="K792" t="b">
        <v>0</v>
      </c>
    </row>
    <row r="793" spans="1:11" x14ac:dyDescent="0.25">
      <c r="A793" t="s">
        <v>384</v>
      </c>
      <c r="B793" t="s">
        <v>385</v>
      </c>
      <c r="C793" t="s">
        <v>461</v>
      </c>
      <c r="D793" t="s">
        <v>462</v>
      </c>
      <c r="E793" s="4">
        <v>29422071</v>
      </c>
      <c r="F793" s="4">
        <v>15389.37</v>
      </c>
      <c r="G793" s="4">
        <v>1538937</v>
      </c>
      <c r="H793" s="4">
        <v>1538.9370000000001</v>
      </c>
      <c r="I793" s="4">
        <v>19.11843759686069</v>
      </c>
      <c r="J793" t="b">
        <v>0</v>
      </c>
      <c r="K793" t="b">
        <v>0</v>
      </c>
    </row>
    <row r="794" spans="1:11" x14ac:dyDescent="0.25">
      <c r="A794" t="s">
        <v>384</v>
      </c>
      <c r="B794" t="s">
        <v>385</v>
      </c>
      <c r="C794" t="s">
        <v>463</v>
      </c>
      <c r="D794" t="s">
        <v>464</v>
      </c>
      <c r="E794" s="4">
        <v>46183779</v>
      </c>
      <c r="F794" s="4">
        <v>14815.64</v>
      </c>
      <c r="G794" s="4">
        <v>1481564</v>
      </c>
      <c r="H794" s="4">
        <v>1481.564</v>
      </c>
      <c r="I794" s="4">
        <v>31.172314527080843</v>
      </c>
      <c r="J794" t="b">
        <v>0</v>
      </c>
      <c r="K794" t="b">
        <v>0</v>
      </c>
    </row>
    <row r="795" spans="1:11" x14ac:dyDescent="0.25">
      <c r="A795" t="s">
        <v>384</v>
      </c>
      <c r="B795" t="s">
        <v>385</v>
      </c>
      <c r="C795" t="s">
        <v>465</v>
      </c>
      <c r="D795" t="s">
        <v>478</v>
      </c>
      <c r="E795" s="4">
        <v>12889279</v>
      </c>
      <c r="F795" s="4">
        <v>28515.91</v>
      </c>
      <c r="G795" s="4">
        <v>2851591</v>
      </c>
      <c r="H795" s="4">
        <v>2851.5910000000003</v>
      </c>
      <c r="I795" s="4">
        <v>4.5200307477474855</v>
      </c>
      <c r="J795" t="b">
        <v>0</v>
      </c>
      <c r="K795" t="b">
        <v>0</v>
      </c>
    </row>
    <row r="796" spans="1:11" x14ac:dyDescent="0.25">
      <c r="A796" t="s">
        <v>384</v>
      </c>
      <c r="B796" t="s">
        <v>385</v>
      </c>
      <c r="C796" t="s">
        <v>467</v>
      </c>
      <c r="D796" t="s">
        <v>468</v>
      </c>
      <c r="E796" s="4">
        <v>17114027</v>
      </c>
      <c r="F796" s="4">
        <v>7736.24</v>
      </c>
      <c r="G796" s="4">
        <v>773624</v>
      </c>
      <c r="H796" s="4">
        <v>773.624</v>
      </c>
      <c r="I796" s="4">
        <v>22.121892547283952</v>
      </c>
      <c r="J796" t="b">
        <v>0</v>
      </c>
      <c r="K796" t="b">
        <v>0</v>
      </c>
    </row>
    <row r="797" spans="1:11" x14ac:dyDescent="0.25">
      <c r="A797" t="s">
        <v>386</v>
      </c>
      <c r="B797" t="s">
        <v>387</v>
      </c>
      <c r="C797" t="s">
        <v>455</v>
      </c>
      <c r="D797" t="s">
        <v>477</v>
      </c>
      <c r="E797" s="4">
        <v>970512</v>
      </c>
      <c r="F797" s="4">
        <v>2283.01</v>
      </c>
      <c r="G797" s="4">
        <v>228301.00000000003</v>
      </c>
      <c r="H797" s="4">
        <v>228.30100000000004</v>
      </c>
      <c r="I797" s="4">
        <v>4.2510194874310665</v>
      </c>
      <c r="J797" t="b">
        <v>0</v>
      </c>
      <c r="K797" t="b">
        <v>0</v>
      </c>
    </row>
    <row r="798" spans="1:11" x14ac:dyDescent="0.25">
      <c r="A798" t="s">
        <v>386</v>
      </c>
      <c r="B798" t="s">
        <v>387</v>
      </c>
      <c r="C798" t="s">
        <v>461</v>
      </c>
      <c r="D798" t="s">
        <v>462</v>
      </c>
      <c r="E798" s="4">
        <v>25058934</v>
      </c>
      <c r="F798" s="4">
        <v>12592.02</v>
      </c>
      <c r="G798" s="4">
        <v>1259202</v>
      </c>
      <c r="H798" s="4">
        <v>1259.2020000000002</v>
      </c>
      <c r="I798" s="4">
        <v>19.900646599989518</v>
      </c>
      <c r="J798" t="b">
        <v>0</v>
      </c>
      <c r="K798" t="b">
        <v>0</v>
      </c>
    </row>
    <row r="799" spans="1:11" x14ac:dyDescent="0.25">
      <c r="A799" t="s">
        <v>386</v>
      </c>
      <c r="B799" t="s">
        <v>387</v>
      </c>
      <c r="C799" t="s">
        <v>463</v>
      </c>
      <c r="D799" t="s">
        <v>464</v>
      </c>
      <c r="E799" s="4">
        <v>43520123</v>
      </c>
      <c r="F799" s="4">
        <v>14794.56</v>
      </c>
      <c r="G799" s="4">
        <v>1479456</v>
      </c>
      <c r="H799" s="4">
        <v>1479.4560000000001</v>
      </c>
      <c r="I799" s="4">
        <v>29.416300991715875</v>
      </c>
      <c r="J799" t="b">
        <v>0</v>
      </c>
      <c r="K799" t="b">
        <v>0</v>
      </c>
    </row>
    <row r="800" spans="1:11" x14ac:dyDescent="0.25">
      <c r="A800" t="s">
        <v>386</v>
      </c>
      <c r="B800" t="s">
        <v>387</v>
      </c>
      <c r="C800" t="s">
        <v>465</v>
      </c>
      <c r="D800" t="s">
        <v>478</v>
      </c>
      <c r="E800" s="4">
        <v>13367258</v>
      </c>
      <c r="F800" s="4">
        <v>32178.27</v>
      </c>
      <c r="G800" s="4">
        <v>3217827</v>
      </c>
      <c r="H800" s="4">
        <v>3217.827</v>
      </c>
      <c r="I800" s="4">
        <v>4.154125750079168</v>
      </c>
      <c r="J800" t="b">
        <v>0</v>
      </c>
      <c r="K800" t="b">
        <v>0</v>
      </c>
    </row>
    <row r="801" spans="1:11" x14ac:dyDescent="0.25">
      <c r="A801" t="s">
        <v>386</v>
      </c>
      <c r="B801" t="s">
        <v>387</v>
      </c>
      <c r="C801" t="s">
        <v>467</v>
      </c>
      <c r="D801" t="s">
        <v>468</v>
      </c>
      <c r="E801" s="4">
        <v>13165051</v>
      </c>
      <c r="F801" s="4">
        <v>5782.96</v>
      </c>
      <c r="G801" s="4">
        <v>578296</v>
      </c>
      <c r="H801" s="4">
        <v>578.296</v>
      </c>
      <c r="I801" s="4">
        <v>22.765246517354434</v>
      </c>
      <c r="J801" t="b">
        <v>0</v>
      </c>
      <c r="K801" t="b">
        <v>0</v>
      </c>
    </row>
    <row r="802" spans="1:11" x14ac:dyDescent="0.25">
      <c r="A802" t="s">
        <v>388</v>
      </c>
      <c r="B802" t="s">
        <v>389</v>
      </c>
      <c r="C802" t="s">
        <v>455</v>
      </c>
      <c r="D802" t="s">
        <v>477</v>
      </c>
      <c r="E802" s="4">
        <v>1136023</v>
      </c>
      <c r="F802" s="4">
        <v>2135.26</v>
      </c>
      <c r="G802" s="4">
        <v>213526.00000000003</v>
      </c>
      <c r="H802" s="4">
        <v>213.52600000000004</v>
      </c>
      <c r="I802" s="4">
        <v>5.320302913930855</v>
      </c>
      <c r="J802" t="b">
        <v>0</v>
      </c>
      <c r="K802" t="b">
        <v>0</v>
      </c>
    </row>
    <row r="803" spans="1:11" x14ac:dyDescent="0.25">
      <c r="A803" t="s">
        <v>388</v>
      </c>
      <c r="B803" t="s">
        <v>389</v>
      </c>
      <c r="C803" t="s">
        <v>461</v>
      </c>
      <c r="D803" t="s">
        <v>462</v>
      </c>
      <c r="E803" s="4">
        <v>30372529</v>
      </c>
      <c r="F803" s="4">
        <v>16238.12</v>
      </c>
      <c r="G803" s="4">
        <v>1623812</v>
      </c>
      <c r="H803" s="4">
        <v>1623.8120000000001</v>
      </c>
      <c r="I803" s="4">
        <v>18.704461477067543</v>
      </c>
      <c r="J803" t="b">
        <v>0</v>
      </c>
      <c r="K803" t="b">
        <v>0</v>
      </c>
    </row>
    <row r="804" spans="1:11" x14ac:dyDescent="0.25">
      <c r="A804" t="s">
        <v>388</v>
      </c>
      <c r="B804" t="s">
        <v>389</v>
      </c>
      <c r="C804" t="s">
        <v>463</v>
      </c>
      <c r="D804" t="s">
        <v>464</v>
      </c>
      <c r="E804" s="4">
        <v>40406425</v>
      </c>
      <c r="F804" s="4">
        <v>15460.78</v>
      </c>
      <c r="G804" s="4">
        <v>1546078</v>
      </c>
      <c r="H804" s="4">
        <v>1546.0780000000002</v>
      </c>
      <c r="I804" s="4">
        <v>26.134790741476174</v>
      </c>
      <c r="J804" t="b">
        <v>0</v>
      </c>
      <c r="K804" t="b">
        <v>0</v>
      </c>
    </row>
    <row r="805" spans="1:11" x14ac:dyDescent="0.25">
      <c r="A805" t="s">
        <v>388</v>
      </c>
      <c r="B805" t="s">
        <v>389</v>
      </c>
      <c r="C805" t="s">
        <v>465</v>
      </c>
      <c r="D805" t="s">
        <v>478</v>
      </c>
      <c r="E805" s="4">
        <v>16164195</v>
      </c>
      <c r="F805" s="4">
        <v>37261.41</v>
      </c>
      <c r="G805" s="4">
        <v>3726141.0000000005</v>
      </c>
      <c r="H805" s="4">
        <v>3726.1410000000005</v>
      </c>
      <c r="I805" s="4">
        <v>4.338052424747211</v>
      </c>
      <c r="J805" t="b">
        <v>0</v>
      </c>
      <c r="K805" t="b">
        <v>0</v>
      </c>
    </row>
    <row r="806" spans="1:11" x14ac:dyDescent="0.25">
      <c r="A806" t="s">
        <v>388</v>
      </c>
      <c r="B806" t="s">
        <v>389</v>
      </c>
      <c r="C806" t="s">
        <v>467</v>
      </c>
      <c r="D806" t="s">
        <v>468</v>
      </c>
      <c r="E806" s="4">
        <v>9346816</v>
      </c>
      <c r="F806" s="4">
        <v>4205.4</v>
      </c>
      <c r="G806" s="4">
        <v>420539.99999999994</v>
      </c>
      <c r="H806" s="4">
        <v>420.53999999999996</v>
      </c>
      <c r="I806" s="4">
        <v>22.22574784800495</v>
      </c>
      <c r="J806" t="b">
        <v>0</v>
      </c>
      <c r="K806" t="b">
        <v>0</v>
      </c>
    </row>
    <row r="807" spans="1:11" x14ac:dyDescent="0.25">
      <c r="A807" t="s">
        <v>390</v>
      </c>
      <c r="B807" t="s">
        <v>391</v>
      </c>
      <c r="C807" t="s">
        <v>455</v>
      </c>
      <c r="D807" t="s">
        <v>477</v>
      </c>
      <c r="E807" s="4">
        <v>1093231</v>
      </c>
      <c r="F807" s="4">
        <v>2510.44</v>
      </c>
      <c r="G807" s="4">
        <v>251044</v>
      </c>
      <c r="H807" s="4">
        <v>251.044</v>
      </c>
      <c r="I807" s="4">
        <v>4.354738611558133</v>
      </c>
      <c r="J807" t="b">
        <v>0</v>
      </c>
      <c r="K807" t="b">
        <v>0</v>
      </c>
    </row>
    <row r="808" spans="1:11" x14ac:dyDescent="0.25">
      <c r="A808" t="s">
        <v>390</v>
      </c>
      <c r="B808" t="s">
        <v>391</v>
      </c>
      <c r="C808" t="s">
        <v>461</v>
      </c>
      <c r="D808" t="s">
        <v>462</v>
      </c>
      <c r="E808" s="4">
        <v>29604828</v>
      </c>
      <c r="F808" s="4">
        <v>15868.38</v>
      </c>
      <c r="G808" s="4">
        <v>1586838</v>
      </c>
      <c r="H808" s="4">
        <v>1586.838</v>
      </c>
      <c r="I808" s="4">
        <v>18.65649045460217</v>
      </c>
      <c r="J808" t="b">
        <v>0</v>
      </c>
      <c r="K808" t="b">
        <v>0</v>
      </c>
    </row>
    <row r="809" spans="1:11" x14ac:dyDescent="0.25">
      <c r="A809" t="s">
        <v>390</v>
      </c>
      <c r="B809" t="s">
        <v>391</v>
      </c>
      <c r="C809" t="s">
        <v>463</v>
      </c>
      <c r="D809" t="s">
        <v>464</v>
      </c>
      <c r="E809" s="4">
        <v>30856303</v>
      </c>
      <c r="F809" s="4">
        <v>10012.87</v>
      </c>
      <c r="G809" s="4">
        <v>1001287.0000000001</v>
      </c>
      <c r="H809" s="4">
        <v>1001.2870000000001</v>
      </c>
      <c r="I809" s="4">
        <v>30.816641981769457</v>
      </c>
      <c r="J809" t="b">
        <v>0</v>
      </c>
      <c r="K809" t="b">
        <v>0</v>
      </c>
    </row>
    <row r="810" spans="1:11" x14ac:dyDescent="0.25">
      <c r="A810" t="s">
        <v>390</v>
      </c>
      <c r="B810" t="s">
        <v>391</v>
      </c>
      <c r="C810" t="s">
        <v>465</v>
      </c>
      <c r="D810" t="s">
        <v>478</v>
      </c>
      <c r="E810" s="4">
        <v>14291613</v>
      </c>
      <c r="F810" s="4">
        <v>32262.15</v>
      </c>
      <c r="G810" s="4">
        <v>3226215</v>
      </c>
      <c r="H810" s="4">
        <v>3226.215</v>
      </c>
      <c r="I810" s="4">
        <v>4.429838990891803</v>
      </c>
      <c r="J810" t="b">
        <v>0</v>
      </c>
      <c r="K810" t="b">
        <v>0</v>
      </c>
    </row>
    <row r="811" spans="1:11" x14ac:dyDescent="0.25">
      <c r="A811" t="s">
        <v>390</v>
      </c>
      <c r="B811" t="s">
        <v>391</v>
      </c>
      <c r="C811" t="s">
        <v>467</v>
      </c>
      <c r="D811" t="s">
        <v>468</v>
      </c>
      <c r="E811" s="4">
        <v>6882701</v>
      </c>
      <c r="F811" s="4">
        <v>2620.56</v>
      </c>
      <c r="G811" s="4">
        <v>262056</v>
      </c>
      <c r="H811" s="4">
        <v>262.056</v>
      </c>
      <c r="I811" s="4">
        <v>26.264237414903686</v>
      </c>
      <c r="J811" t="b">
        <v>0</v>
      </c>
      <c r="K811" t="b">
        <v>0</v>
      </c>
    </row>
    <row r="812" spans="1:11" x14ac:dyDescent="0.25">
      <c r="A812" t="s">
        <v>392</v>
      </c>
      <c r="B812" t="s">
        <v>393</v>
      </c>
      <c r="C812" t="s">
        <v>455</v>
      </c>
      <c r="D812" t="s">
        <v>477</v>
      </c>
      <c r="E812" s="4">
        <v>1736243</v>
      </c>
      <c r="F812" s="4">
        <v>4546.35</v>
      </c>
      <c r="G812" s="4">
        <v>454635.00000000006</v>
      </c>
      <c r="H812" s="4">
        <v>454.63500000000005</v>
      </c>
      <c r="I812" s="4">
        <v>3.818982260494682</v>
      </c>
      <c r="J812" t="b">
        <v>0</v>
      </c>
      <c r="K812" t="b">
        <v>0</v>
      </c>
    </row>
    <row r="813" spans="1:11" x14ac:dyDescent="0.25">
      <c r="A813" t="s">
        <v>392</v>
      </c>
      <c r="B813" t="s">
        <v>393</v>
      </c>
      <c r="C813" t="s">
        <v>461</v>
      </c>
      <c r="D813" t="s">
        <v>462</v>
      </c>
      <c r="E813" s="4">
        <v>33715304</v>
      </c>
      <c r="F813" s="4">
        <v>18196.35</v>
      </c>
      <c r="G813" s="4">
        <v>1819634.9999999998</v>
      </c>
      <c r="H813" s="4">
        <v>1819.635</v>
      </c>
      <c r="I813" s="4">
        <v>18.528608209888247</v>
      </c>
      <c r="J813" t="b">
        <v>0</v>
      </c>
      <c r="K813" t="b">
        <v>0</v>
      </c>
    </row>
    <row r="814" spans="1:11" x14ac:dyDescent="0.25">
      <c r="A814" t="s">
        <v>392</v>
      </c>
      <c r="B814" t="s">
        <v>393</v>
      </c>
      <c r="C814" t="s">
        <v>463</v>
      </c>
      <c r="D814" t="s">
        <v>464</v>
      </c>
      <c r="E814" s="4">
        <v>36144800</v>
      </c>
      <c r="F814" s="4">
        <v>11900.4</v>
      </c>
      <c r="G814" s="4">
        <v>1190040</v>
      </c>
      <c r="H814" s="4">
        <v>1190.04</v>
      </c>
      <c r="I814" s="4">
        <v>30.37276057947632</v>
      </c>
      <c r="J814" t="b">
        <v>0</v>
      </c>
      <c r="K814" t="b">
        <v>0</v>
      </c>
    </row>
    <row r="815" spans="1:11" x14ac:dyDescent="0.25">
      <c r="A815" t="s">
        <v>392</v>
      </c>
      <c r="B815" t="s">
        <v>393</v>
      </c>
      <c r="C815" t="s">
        <v>465</v>
      </c>
      <c r="D815" t="s">
        <v>478</v>
      </c>
      <c r="E815" s="4">
        <v>15060872</v>
      </c>
      <c r="F815" s="4">
        <v>37231.26</v>
      </c>
      <c r="G815" s="4">
        <v>3723126</v>
      </c>
      <c r="H815" s="4">
        <v>3723.126</v>
      </c>
      <c r="I815" s="4">
        <v>4.045222213806356</v>
      </c>
      <c r="J815" t="b">
        <v>0</v>
      </c>
      <c r="K815" t="b">
        <v>0</v>
      </c>
    </row>
    <row r="816" spans="1:11" x14ac:dyDescent="0.25">
      <c r="A816" t="s">
        <v>392</v>
      </c>
      <c r="B816" t="s">
        <v>393</v>
      </c>
      <c r="C816" t="s">
        <v>467</v>
      </c>
      <c r="D816" t="s">
        <v>468</v>
      </c>
      <c r="E816" s="4">
        <v>10443684</v>
      </c>
      <c r="F816" s="4">
        <v>4327.68</v>
      </c>
      <c r="G816" s="4">
        <v>432768</v>
      </c>
      <c r="H816" s="4">
        <v>432.76800000000003</v>
      </c>
      <c r="I816" s="4">
        <v>24.132292590949422</v>
      </c>
      <c r="J816" t="b">
        <v>0</v>
      </c>
      <c r="K816" t="b">
        <v>0</v>
      </c>
    </row>
    <row r="817" spans="1:11" x14ac:dyDescent="0.25">
      <c r="A817" t="s">
        <v>394</v>
      </c>
      <c r="B817" t="s">
        <v>395</v>
      </c>
      <c r="C817" t="s">
        <v>455</v>
      </c>
      <c r="D817" t="s">
        <v>477</v>
      </c>
      <c r="E817" s="4">
        <v>719548</v>
      </c>
      <c r="F817" s="4">
        <v>1296.27</v>
      </c>
      <c r="G817" s="4">
        <v>129627</v>
      </c>
      <c r="H817" s="4">
        <v>129.627</v>
      </c>
      <c r="I817" s="4">
        <v>5.550911461346788</v>
      </c>
      <c r="J817" t="b">
        <v>0</v>
      </c>
      <c r="K817" t="b">
        <v>0</v>
      </c>
    </row>
    <row r="818" spans="1:11" x14ac:dyDescent="0.25">
      <c r="A818" t="s">
        <v>394</v>
      </c>
      <c r="B818" t="s">
        <v>395</v>
      </c>
      <c r="C818" t="s">
        <v>461</v>
      </c>
      <c r="D818" t="s">
        <v>462</v>
      </c>
      <c r="E818" s="4">
        <v>27150664</v>
      </c>
      <c r="F818" s="4">
        <v>14849.65</v>
      </c>
      <c r="G818" s="4">
        <v>1484965</v>
      </c>
      <c r="H818" s="4">
        <v>1484.9650000000001</v>
      </c>
      <c r="I818" s="4">
        <v>18.283706349981312</v>
      </c>
      <c r="J818" t="b">
        <v>0</v>
      </c>
      <c r="K818" t="b">
        <v>0</v>
      </c>
    </row>
    <row r="819" spans="1:11" x14ac:dyDescent="0.25">
      <c r="A819" t="s">
        <v>394</v>
      </c>
      <c r="B819" t="s">
        <v>395</v>
      </c>
      <c r="C819" t="s">
        <v>463</v>
      </c>
      <c r="D819" t="s">
        <v>464</v>
      </c>
      <c r="E819" s="4">
        <v>25674040</v>
      </c>
      <c r="F819" s="4">
        <v>8393.98</v>
      </c>
      <c r="G819" s="4">
        <v>839398</v>
      </c>
      <c r="H819" s="4">
        <v>839.398</v>
      </c>
      <c r="I819" s="4">
        <v>30.586253481661856</v>
      </c>
      <c r="J819" t="b">
        <v>0</v>
      </c>
      <c r="K819" t="b">
        <v>0</v>
      </c>
    </row>
    <row r="820" spans="1:11" x14ac:dyDescent="0.25">
      <c r="A820" t="s">
        <v>394</v>
      </c>
      <c r="B820" t="s">
        <v>395</v>
      </c>
      <c r="C820" t="s">
        <v>465</v>
      </c>
      <c r="D820" t="s">
        <v>478</v>
      </c>
      <c r="E820" s="4">
        <v>12055856</v>
      </c>
      <c r="F820" s="4">
        <v>25620.95</v>
      </c>
      <c r="G820" s="4">
        <v>2562095</v>
      </c>
      <c r="H820" s="4">
        <v>2562.0950000000003</v>
      </c>
      <c r="I820" s="4">
        <v>4.705467986159764</v>
      </c>
      <c r="J820" t="b">
        <v>0</v>
      </c>
      <c r="K820" t="b">
        <v>0</v>
      </c>
    </row>
    <row r="821" spans="1:11" x14ac:dyDescent="0.25">
      <c r="A821" t="s">
        <v>394</v>
      </c>
      <c r="B821" t="s">
        <v>395</v>
      </c>
      <c r="C821" t="s">
        <v>467</v>
      </c>
      <c r="D821" t="s">
        <v>468</v>
      </c>
      <c r="E821" s="4">
        <v>12091152</v>
      </c>
      <c r="F821" s="4">
        <v>5589.7</v>
      </c>
      <c r="G821" s="4">
        <v>558970</v>
      </c>
      <c r="H821" s="4">
        <v>558.97</v>
      </c>
      <c r="I821" s="4">
        <v>21.631128683113584</v>
      </c>
      <c r="J821" t="b">
        <v>0</v>
      </c>
      <c r="K821" t="b">
        <v>0</v>
      </c>
    </row>
    <row r="822" spans="1:11" x14ac:dyDescent="0.25">
      <c r="A822" t="s">
        <v>396</v>
      </c>
      <c r="B822" t="s">
        <v>397</v>
      </c>
      <c r="C822" t="s">
        <v>455</v>
      </c>
      <c r="D822" t="s">
        <v>477</v>
      </c>
      <c r="E822" s="4">
        <v>1009723</v>
      </c>
      <c r="F822" s="4">
        <v>1231.38</v>
      </c>
      <c r="G822" s="4">
        <v>123138.00000000001</v>
      </c>
      <c r="H822" s="4">
        <v>123.13800000000002</v>
      </c>
      <c r="I822" s="4">
        <v>8.199930159658269</v>
      </c>
      <c r="J822" t="b">
        <v>0</v>
      </c>
      <c r="K822" t="b">
        <v>0</v>
      </c>
    </row>
    <row r="823" spans="1:11" x14ac:dyDescent="0.25">
      <c r="A823" t="s">
        <v>396</v>
      </c>
      <c r="B823" t="s">
        <v>397</v>
      </c>
      <c r="C823" t="s">
        <v>461</v>
      </c>
      <c r="D823" t="s">
        <v>462</v>
      </c>
      <c r="E823" s="4">
        <v>20788205</v>
      </c>
      <c r="F823" s="4">
        <v>11745.5</v>
      </c>
      <c r="G823" s="4">
        <v>1174550</v>
      </c>
      <c r="H823" s="4">
        <v>1174.55</v>
      </c>
      <c r="I823" s="4">
        <v>17.698867651440978</v>
      </c>
      <c r="J823" t="b">
        <v>0</v>
      </c>
      <c r="K823" t="b">
        <v>0</v>
      </c>
    </row>
    <row r="824" spans="1:11" x14ac:dyDescent="0.25">
      <c r="A824" t="s">
        <v>396</v>
      </c>
      <c r="B824" t="s">
        <v>397</v>
      </c>
      <c r="C824" t="s">
        <v>463</v>
      </c>
      <c r="D824" t="s">
        <v>464</v>
      </c>
      <c r="E824" s="4">
        <v>19450418</v>
      </c>
      <c r="F824" s="4">
        <v>7285.8</v>
      </c>
      <c r="G824" s="4">
        <v>728580</v>
      </c>
      <c r="H824" s="4">
        <v>728.58</v>
      </c>
      <c r="I824" s="4">
        <v>26.69633808229707</v>
      </c>
      <c r="J824" t="b">
        <v>0</v>
      </c>
      <c r="K824" t="b">
        <v>0</v>
      </c>
    </row>
    <row r="825" spans="1:11" x14ac:dyDescent="0.25">
      <c r="A825" t="s">
        <v>396</v>
      </c>
      <c r="B825" t="s">
        <v>397</v>
      </c>
      <c r="C825" t="s">
        <v>465</v>
      </c>
      <c r="D825" t="s">
        <v>478</v>
      </c>
      <c r="E825" s="4">
        <v>16152459</v>
      </c>
      <c r="F825" s="4">
        <v>34932.2</v>
      </c>
      <c r="G825" s="4">
        <v>3493219.9999999995</v>
      </c>
      <c r="H825" s="4">
        <v>3493.22</v>
      </c>
      <c r="I825" s="4">
        <v>4.623945528767155</v>
      </c>
      <c r="J825" t="b">
        <v>0</v>
      </c>
      <c r="K825" t="b">
        <v>0</v>
      </c>
    </row>
    <row r="826" spans="1:11" x14ac:dyDescent="0.25">
      <c r="A826" t="s">
        <v>396</v>
      </c>
      <c r="B826" t="s">
        <v>397</v>
      </c>
      <c r="C826" t="s">
        <v>467</v>
      </c>
      <c r="D826" t="s">
        <v>468</v>
      </c>
      <c r="E826" s="4">
        <v>13869586</v>
      </c>
      <c r="F826" s="4">
        <v>6583.85</v>
      </c>
      <c r="G826" s="4">
        <v>658385</v>
      </c>
      <c r="H826" s="4">
        <v>658.3850000000001</v>
      </c>
      <c r="I826" s="4">
        <v>21.06607228293476</v>
      </c>
      <c r="J826" t="b">
        <v>0</v>
      </c>
      <c r="K826" t="b">
        <v>0</v>
      </c>
    </row>
    <row r="827" spans="1:11" x14ac:dyDescent="0.25">
      <c r="A827" t="s">
        <v>398</v>
      </c>
      <c r="B827" t="s">
        <v>399</v>
      </c>
      <c r="C827" t="s">
        <v>455</v>
      </c>
      <c r="D827" t="s">
        <v>477</v>
      </c>
      <c r="E827" s="4">
        <v>1231043</v>
      </c>
      <c r="F827" s="4">
        <v>1274.42</v>
      </c>
      <c r="G827" s="4">
        <v>127442</v>
      </c>
      <c r="H827" s="4">
        <v>127.44200000000001</v>
      </c>
      <c r="I827" s="4">
        <v>9.659633401861239</v>
      </c>
      <c r="J827" t="b">
        <v>0</v>
      </c>
      <c r="K827" t="b">
        <v>0</v>
      </c>
    </row>
    <row r="828" spans="1:11" x14ac:dyDescent="0.25">
      <c r="A828" t="s">
        <v>398</v>
      </c>
      <c r="B828" t="s">
        <v>399</v>
      </c>
      <c r="C828" t="s">
        <v>461</v>
      </c>
      <c r="D828" t="s">
        <v>462</v>
      </c>
      <c r="E828" s="4">
        <v>19763479</v>
      </c>
      <c r="F828" s="4">
        <v>11343.68</v>
      </c>
      <c r="G828" s="4">
        <v>1134368</v>
      </c>
      <c r="H828" s="4">
        <v>1134.3680000000002</v>
      </c>
      <c r="I828" s="4">
        <v>17.422458144094332</v>
      </c>
      <c r="J828" t="b">
        <v>0</v>
      </c>
      <c r="K828" t="b">
        <v>0</v>
      </c>
    </row>
    <row r="829" spans="1:11" x14ac:dyDescent="0.25">
      <c r="A829" t="s">
        <v>398</v>
      </c>
      <c r="B829" t="s">
        <v>399</v>
      </c>
      <c r="C829" t="s">
        <v>463</v>
      </c>
      <c r="D829" t="s">
        <v>464</v>
      </c>
      <c r="E829" s="4">
        <v>20721614</v>
      </c>
      <c r="F829" s="4">
        <v>8127.16</v>
      </c>
      <c r="G829" s="4">
        <v>812716</v>
      </c>
      <c r="H829" s="4">
        <v>812.716</v>
      </c>
      <c r="I829" s="4">
        <v>25.496746711028205</v>
      </c>
      <c r="J829" t="b">
        <v>0</v>
      </c>
      <c r="K829" t="b">
        <v>0</v>
      </c>
    </row>
    <row r="830" spans="1:11" x14ac:dyDescent="0.25">
      <c r="A830" t="s">
        <v>398</v>
      </c>
      <c r="B830" t="s">
        <v>399</v>
      </c>
      <c r="C830" t="s">
        <v>465</v>
      </c>
      <c r="D830" t="s">
        <v>478</v>
      </c>
      <c r="E830" s="4">
        <v>17519943</v>
      </c>
      <c r="F830" s="4">
        <v>36979.23</v>
      </c>
      <c r="G830" s="4">
        <v>3697923.0000000005</v>
      </c>
      <c r="H830" s="4">
        <v>3697.9230000000007</v>
      </c>
      <c r="I830" s="4">
        <v>4.737779288535753</v>
      </c>
      <c r="J830" t="b">
        <v>0</v>
      </c>
      <c r="K830" t="b">
        <v>0</v>
      </c>
    </row>
    <row r="831" spans="1:11" x14ac:dyDescent="0.25">
      <c r="A831" t="s">
        <v>398</v>
      </c>
      <c r="B831" t="s">
        <v>399</v>
      </c>
      <c r="C831" t="s">
        <v>467</v>
      </c>
      <c r="D831" t="s">
        <v>468</v>
      </c>
      <c r="E831" s="4">
        <v>10795425</v>
      </c>
      <c r="F831" s="4">
        <v>5328.23</v>
      </c>
      <c r="G831" s="4">
        <v>532823</v>
      </c>
      <c r="H831" s="4">
        <v>532.823</v>
      </c>
      <c r="I831" s="4">
        <v>20.26080893655116</v>
      </c>
      <c r="J831" t="b">
        <v>0</v>
      </c>
      <c r="K831" t="b">
        <v>0</v>
      </c>
    </row>
    <row r="832" spans="1:11" x14ac:dyDescent="0.25">
      <c r="A832" t="s">
        <v>400</v>
      </c>
      <c r="B832" t="s">
        <v>401</v>
      </c>
      <c r="C832" t="s">
        <v>455</v>
      </c>
      <c r="D832" t="s">
        <v>477</v>
      </c>
      <c r="E832" s="4">
        <v>1076394</v>
      </c>
      <c r="F832" s="4">
        <v>1724</v>
      </c>
      <c r="G832" s="4">
        <v>172400</v>
      </c>
      <c r="H832" s="4">
        <v>172.4</v>
      </c>
      <c r="I832" s="4">
        <v>6.243584686774942</v>
      </c>
      <c r="J832" t="b">
        <v>0</v>
      </c>
      <c r="K832" t="b">
        <v>0</v>
      </c>
    </row>
    <row r="833" spans="1:11" x14ac:dyDescent="0.25">
      <c r="A833" t="s">
        <v>400</v>
      </c>
      <c r="B833" t="s">
        <v>401</v>
      </c>
      <c r="C833" t="s">
        <v>461</v>
      </c>
      <c r="D833" t="s">
        <v>462</v>
      </c>
      <c r="E833" s="4">
        <v>19896902</v>
      </c>
      <c r="F833" s="4">
        <v>11457.85</v>
      </c>
      <c r="G833" s="4">
        <v>1145785</v>
      </c>
      <c r="H833" s="4">
        <v>1145.785</v>
      </c>
      <c r="I833" s="4">
        <v>17.36530151817313</v>
      </c>
      <c r="J833" t="b">
        <v>0</v>
      </c>
      <c r="K833" t="b">
        <v>0</v>
      </c>
    </row>
    <row r="834" spans="1:11" x14ac:dyDescent="0.25">
      <c r="A834" t="s">
        <v>400</v>
      </c>
      <c r="B834" t="s">
        <v>401</v>
      </c>
      <c r="C834" t="s">
        <v>463</v>
      </c>
      <c r="D834" t="s">
        <v>464</v>
      </c>
      <c r="E834" s="4">
        <v>21250471</v>
      </c>
      <c r="F834" s="4">
        <v>7517.37</v>
      </c>
      <c r="G834" s="4">
        <v>751737</v>
      </c>
      <c r="H834" s="4">
        <v>751.7370000000001</v>
      </c>
      <c r="I834" s="4">
        <v>28.268491507003112</v>
      </c>
      <c r="J834" t="b">
        <v>0</v>
      </c>
      <c r="K834" t="b">
        <v>0</v>
      </c>
    </row>
    <row r="835" spans="1:11" x14ac:dyDescent="0.25">
      <c r="A835" t="s">
        <v>400</v>
      </c>
      <c r="B835" t="s">
        <v>401</v>
      </c>
      <c r="C835" t="s">
        <v>465</v>
      </c>
      <c r="D835" t="s">
        <v>478</v>
      </c>
      <c r="E835" s="4">
        <v>15612151</v>
      </c>
      <c r="F835" s="4">
        <v>36256.64</v>
      </c>
      <c r="G835" s="4">
        <v>3625664</v>
      </c>
      <c r="H835" s="4">
        <v>3625.664</v>
      </c>
      <c r="I835" s="4">
        <v>4.3060115333356865</v>
      </c>
      <c r="J835" t="b">
        <v>0</v>
      </c>
      <c r="K835" t="b">
        <v>0</v>
      </c>
    </row>
    <row r="836" spans="1:11" x14ac:dyDescent="0.25">
      <c r="A836" t="s">
        <v>400</v>
      </c>
      <c r="B836" t="s">
        <v>401</v>
      </c>
      <c r="C836" t="s">
        <v>467</v>
      </c>
      <c r="D836" t="s">
        <v>468</v>
      </c>
      <c r="E836" s="4">
        <v>9984420</v>
      </c>
      <c r="F836" s="4">
        <v>4891.37</v>
      </c>
      <c r="G836" s="4">
        <v>489137</v>
      </c>
      <c r="H836" s="4">
        <v>489.137</v>
      </c>
      <c r="I836" s="4">
        <v>20.412318021331448</v>
      </c>
      <c r="J836" t="b">
        <v>0</v>
      </c>
      <c r="K836" t="b">
        <v>0</v>
      </c>
    </row>
    <row r="837" spans="1:11" x14ac:dyDescent="0.25">
      <c r="A837" t="s">
        <v>402</v>
      </c>
      <c r="B837" t="s">
        <v>403</v>
      </c>
      <c r="C837" t="s">
        <v>455</v>
      </c>
      <c r="D837" t="s">
        <v>477</v>
      </c>
      <c r="E837" s="4">
        <v>767523</v>
      </c>
      <c r="F837" s="4">
        <v>1032.61</v>
      </c>
      <c r="G837" s="4">
        <v>103260.99999999999</v>
      </c>
      <c r="H837" s="4">
        <v>103.261</v>
      </c>
      <c r="I837" s="4">
        <v>7.432844926932725</v>
      </c>
      <c r="J837" t="b">
        <v>0</v>
      </c>
      <c r="K837" t="b">
        <v>0</v>
      </c>
    </row>
    <row r="838" spans="1:11" x14ac:dyDescent="0.25">
      <c r="A838" t="s">
        <v>402</v>
      </c>
      <c r="B838" t="s">
        <v>403</v>
      </c>
      <c r="C838" t="s">
        <v>461</v>
      </c>
      <c r="D838" t="s">
        <v>462</v>
      </c>
      <c r="E838" s="4">
        <v>25034272</v>
      </c>
      <c r="F838" s="4">
        <v>14382.93</v>
      </c>
      <c r="G838" s="4">
        <v>1438293</v>
      </c>
      <c r="H838" s="4">
        <v>1438.2930000000001</v>
      </c>
      <c r="I838" s="4">
        <v>17.405543932981665</v>
      </c>
      <c r="J838" t="b">
        <v>0</v>
      </c>
      <c r="K838" t="b">
        <v>0</v>
      </c>
    </row>
    <row r="839" spans="1:11" x14ac:dyDescent="0.25">
      <c r="A839" t="s">
        <v>402</v>
      </c>
      <c r="B839" t="s">
        <v>403</v>
      </c>
      <c r="C839" t="s">
        <v>463</v>
      </c>
      <c r="D839" t="s">
        <v>464</v>
      </c>
      <c r="E839" s="4">
        <v>21419545</v>
      </c>
      <c r="F839" s="4">
        <v>7052.23</v>
      </c>
      <c r="G839" s="4">
        <v>705223</v>
      </c>
      <c r="H839" s="4">
        <v>705.223</v>
      </c>
      <c r="I839" s="4">
        <v>30.372726073880177</v>
      </c>
      <c r="J839" t="b">
        <v>0</v>
      </c>
      <c r="K839" t="b">
        <v>0</v>
      </c>
    </row>
    <row r="840" spans="1:11" x14ac:dyDescent="0.25">
      <c r="A840" t="s">
        <v>402</v>
      </c>
      <c r="B840" t="s">
        <v>403</v>
      </c>
      <c r="C840" t="s">
        <v>465</v>
      </c>
      <c r="D840" t="s">
        <v>478</v>
      </c>
      <c r="E840" s="4">
        <v>13187699</v>
      </c>
      <c r="F840" s="4">
        <v>26826.08</v>
      </c>
      <c r="G840" s="4">
        <v>2682608</v>
      </c>
      <c r="H840" s="4">
        <v>2682.608</v>
      </c>
      <c r="I840" s="4">
        <v>4.91599928129641</v>
      </c>
      <c r="J840" t="b">
        <v>0</v>
      </c>
      <c r="K840" t="b">
        <v>0</v>
      </c>
    </row>
    <row r="841" spans="1:11" x14ac:dyDescent="0.25">
      <c r="A841" t="s">
        <v>402</v>
      </c>
      <c r="B841" t="s">
        <v>403</v>
      </c>
      <c r="C841" t="s">
        <v>467</v>
      </c>
      <c r="D841" t="s">
        <v>468</v>
      </c>
      <c r="E841" s="4">
        <v>6928477</v>
      </c>
      <c r="F841" s="4">
        <v>3148.57</v>
      </c>
      <c r="G841" s="4">
        <v>314857</v>
      </c>
      <c r="H841" s="4">
        <v>314.857</v>
      </c>
      <c r="I841" s="4">
        <v>22.00515472103209</v>
      </c>
      <c r="J841" t="b">
        <v>0</v>
      </c>
      <c r="K841" t="b">
        <v>0</v>
      </c>
    </row>
    <row r="842" spans="1:11" x14ac:dyDescent="0.25">
      <c r="A842" t="s">
        <v>404</v>
      </c>
      <c r="B842" t="s">
        <v>405</v>
      </c>
      <c r="C842" t="s">
        <v>455</v>
      </c>
      <c r="D842" t="s">
        <v>477</v>
      </c>
      <c r="E842" s="4">
        <v>894921</v>
      </c>
      <c r="F842" s="4">
        <v>1317.67</v>
      </c>
      <c r="G842" s="4">
        <v>131767</v>
      </c>
      <c r="H842" s="4">
        <v>131.76700000000002</v>
      </c>
      <c r="I842" s="4">
        <v>6.79169291248947</v>
      </c>
      <c r="J842" t="b">
        <v>0</v>
      </c>
      <c r="K842" t="b">
        <v>0</v>
      </c>
    </row>
    <row r="843" spans="1:11" x14ac:dyDescent="0.25">
      <c r="A843" t="s">
        <v>404</v>
      </c>
      <c r="B843" t="s">
        <v>405</v>
      </c>
      <c r="C843" t="s">
        <v>461</v>
      </c>
      <c r="D843" t="s">
        <v>462</v>
      </c>
      <c r="E843" s="4">
        <v>27310150</v>
      </c>
      <c r="F843" s="4">
        <v>14224.45</v>
      </c>
      <c r="G843" s="4">
        <v>1422445</v>
      </c>
      <c r="H843" s="4">
        <v>1422.4450000000002</v>
      </c>
      <c r="I843" s="4">
        <v>19.199441806185828</v>
      </c>
      <c r="J843" t="b">
        <v>0</v>
      </c>
      <c r="K843" t="b">
        <v>0</v>
      </c>
    </row>
    <row r="844" spans="1:11" x14ac:dyDescent="0.25">
      <c r="A844" t="s">
        <v>404</v>
      </c>
      <c r="B844" t="s">
        <v>405</v>
      </c>
      <c r="C844" t="s">
        <v>463</v>
      </c>
      <c r="D844" t="s">
        <v>464</v>
      </c>
      <c r="E844" s="4">
        <v>37131430</v>
      </c>
      <c r="F844" s="4">
        <v>10796.94</v>
      </c>
      <c r="G844" s="4">
        <v>1079694</v>
      </c>
      <c r="H844" s="4">
        <v>1079.6940000000002</v>
      </c>
      <c r="I844" s="4">
        <v>34.39069773472854</v>
      </c>
      <c r="J844" t="b">
        <v>0</v>
      </c>
      <c r="K844" t="b">
        <v>0</v>
      </c>
    </row>
    <row r="845" spans="1:11" x14ac:dyDescent="0.25">
      <c r="A845" t="s">
        <v>404</v>
      </c>
      <c r="B845" t="s">
        <v>405</v>
      </c>
      <c r="C845" t="s">
        <v>465</v>
      </c>
      <c r="D845" t="s">
        <v>478</v>
      </c>
      <c r="E845" s="4">
        <v>15696643</v>
      </c>
      <c r="F845" s="4">
        <v>32838.06</v>
      </c>
      <c r="G845" s="4">
        <v>3283806</v>
      </c>
      <c r="H845" s="4">
        <v>3283.806</v>
      </c>
      <c r="I845" s="4">
        <v>4.780015323682337</v>
      </c>
      <c r="J845" t="b">
        <v>0</v>
      </c>
      <c r="K845" t="b">
        <v>0</v>
      </c>
    </row>
    <row r="846" spans="1:11" x14ac:dyDescent="0.25">
      <c r="A846" t="s">
        <v>404</v>
      </c>
      <c r="B846" t="s">
        <v>405</v>
      </c>
      <c r="C846" t="s">
        <v>467</v>
      </c>
      <c r="D846" t="s">
        <v>468</v>
      </c>
      <c r="E846" s="4">
        <v>12655066</v>
      </c>
      <c r="F846" s="4">
        <v>4849.66</v>
      </c>
      <c r="G846" s="4">
        <v>484966</v>
      </c>
      <c r="H846" s="4">
        <v>484.966</v>
      </c>
      <c r="I846" s="4">
        <v>26.094748910232884</v>
      </c>
      <c r="J846" t="b">
        <v>0</v>
      </c>
      <c r="K846" t="b">
        <v>0</v>
      </c>
    </row>
    <row r="847" spans="1:11" x14ac:dyDescent="0.25">
      <c r="A847" t="s">
        <v>406</v>
      </c>
      <c r="B847" t="s">
        <v>407</v>
      </c>
      <c r="C847" t="s">
        <v>455</v>
      </c>
      <c r="D847" t="s">
        <v>477</v>
      </c>
      <c r="E847" s="4">
        <v>881211</v>
      </c>
      <c r="F847" s="4">
        <v>1727.49</v>
      </c>
      <c r="G847" s="4">
        <v>172749</v>
      </c>
      <c r="H847" s="4">
        <v>172.74900000000002</v>
      </c>
      <c r="I847" s="4">
        <v>5.101106229269055</v>
      </c>
      <c r="J847" t="b">
        <v>0</v>
      </c>
      <c r="K847" t="b">
        <v>0</v>
      </c>
    </row>
    <row r="848" spans="1:11" x14ac:dyDescent="0.25">
      <c r="A848" t="s">
        <v>406</v>
      </c>
      <c r="B848" t="s">
        <v>407</v>
      </c>
      <c r="C848" t="s">
        <v>461</v>
      </c>
      <c r="D848" t="s">
        <v>462</v>
      </c>
      <c r="E848" s="4">
        <v>28414942</v>
      </c>
      <c r="F848" s="4">
        <v>14421.87</v>
      </c>
      <c r="G848" s="4">
        <v>1442187</v>
      </c>
      <c r="H848" s="4">
        <v>1442.1870000000001</v>
      </c>
      <c r="I848" s="4">
        <v>19.702675173191825</v>
      </c>
      <c r="J848" t="b">
        <v>0</v>
      </c>
      <c r="K848" t="b">
        <v>0</v>
      </c>
    </row>
    <row r="849" spans="1:11" x14ac:dyDescent="0.25">
      <c r="A849" t="s">
        <v>406</v>
      </c>
      <c r="B849" t="s">
        <v>407</v>
      </c>
      <c r="C849" t="s">
        <v>463</v>
      </c>
      <c r="D849" t="s">
        <v>464</v>
      </c>
      <c r="E849" s="4">
        <v>45377599</v>
      </c>
      <c r="F849" s="4">
        <v>13305.79</v>
      </c>
      <c r="G849" s="4">
        <v>1330579</v>
      </c>
      <c r="H849" s="4">
        <v>1330.5790000000002</v>
      </c>
      <c r="I849" s="4">
        <v>34.103648862637996</v>
      </c>
      <c r="J849" t="b">
        <v>0</v>
      </c>
      <c r="K849" t="b">
        <v>0</v>
      </c>
    </row>
    <row r="850" spans="1:11" x14ac:dyDescent="0.25">
      <c r="A850" t="s">
        <v>406</v>
      </c>
      <c r="B850" t="s">
        <v>407</v>
      </c>
      <c r="C850" t="s">
        <v>465</v>
      </c>
      <c r="D850" t="s">
        <v>478</v>
      </c>
      <c r="E850" s="4">
        <v>15855066</v>
      </c>
      <c r="F850" s="4">
        <v>31227.54</v>
      </c>
      <c r="G850" s="4">
        <v>3122754</v>
      </c>
      <c r="H850" s="4">
        <v>3122.7540000000004</v>
      </c>
      <c r="I850" s="4">
        <v>5.077270255678161</v>
      </c>
      <c r="J850" t="b">
        <v>0</v>
      </c>
      <c r="K850" t="b">
        <v>0</v>
      </c>
    </row>
    <row r="851" spans="1:11" x14ac:dyDescent="0.25">
      <c r="A851" t="s">
        <v>406</v>
      </c>
      <c r="B851" t="s">
        <v>407</v>
      </c>
      <c r="C851" t="s">
        <v>467</v>
      </c>
      <c r="D851" t="s">
        <v>468</v>
      </c>
      <c r="E851" s="4">
        <v>13658099</v>
      </c>
      <c r="F851" s="4">
        <v>5416.88</v>
      </c>
      <c r="G851" s="4">
        <v>541688</v>
      </c>
      <c r="H851" s="4">
        <v>541.688</v>
      </c>
      <c r="I851" s="4">
        <v>25.21395895792412</v>
      </c>
      <c r="J851" t="b">
        <v>0</v>
      </c>
      <c r="K851" t="b">
        <v>0</v>
      </c>
    </row>
    <row r="852" spans="1:11" x14ac:dyDescent="0.25">
      <c r="A852" t="s">
        <v>408</v>
      </c>
      <c r="B852" t="s">
        <v>409</v>
      </c>
      <c r="C852" t="s">
        <v>455</v>
      </c>
      <c r="D852" t="s">
        <v>477</v>
      </c>
      <c r="E852" s="4">
        <v>1784869</v>
      </c>
      <c r="F852" s="4">
        <v>4568.64</v>
      </c>
      <c r="G852" s="4">
        <v>456864.00000000006</v>
      </c>
      <c r="H852" s="4">
        <v>456.86400000000003</v>
      </c>
      <c r="I852" s="4">
        <v>3.906784075786229</v>
      </c>
      <c r="J852" t="b">
        <v>0</v>
      </c>
      <c r="K852" t="b">
        <v>0</v>
      </c>
    </row>
    <row r="853" spans="1:11" x14ac:dyDescent="0.25">
      <c r="A853" t="s">
        <v>408</v>
      </c>
      <c r="B853" t="s">
        <v>409</v>
      </c>
      <c r="C853" t="s">
        <v>461</v>
      </c>
      <c r="D853" t="s">
        <v>462</v>
      </c>
      <c r="E853" s="4">
        <v>33135779</v>
      </c>
      <c r="F853" s="4">
        <v>18035.43</v>
      </c>
      <c r="G853" s="4">
        <v>1803543</v>
      </c>
      <c r="H853" s="4">
        <v>1803.5430000000001</v>
      </c>
      <c r="I853" s="4">
        <v>18.372602704787187</v>
      </c>
      <c r="J853" t="b">
        <v>0</v>
      </c>
      <c r="K853" t="b">
        <v>0</v>
      </c>
    </row>
    <row r="854" spans="1:11" x14ac:dyDescent="0.25">
      <c r="A854" t="s">
        <v>408</v>
      </c>
      <c r="B854" t="s">
        <v>409</v>
      </c>
      <c r="C854" t="s">
        <v>463</v>
      </c>
      <c r="D854" t="s">
        <v>464</v>
      </c>
      <c r="E854" s="4">
        <v>53241305</v>
      </c>
      <c r="F854" s="4">
        <v>18061.04</v>
      </c>
      <c r="G854" s="4">
        <v>1806104</v>
      </c>
      <c r="H854" s="4">
        <v>1806.1040000000003</v>
      </c>
      <c r="I854" s="4">
        <v>29.4785377807701</v>
      </c>
      <c r="J854" t="b">
        <v>0</v>
      </c>
      <c r="K854" t="b">
        <v>0</v>
      </c>
    </row>
    <row r="855" spans="1:11" x14ac:dyDescent="0.25">
      <c r="A855" t="s">
        <v>408</v>
      </c>
      <c r="B855" t="s">
        <v>409</v>
      </c>
      <c r="C855" t="s">
        <v>465</v>
      </c>
      <c r="D855" t="s">
        <v>478</v>
      </c>
      <c r="E855" s="4">
        <v>18590121</v>
      </c>
      <c r="F855" s="4">
        <v>39481.5</v>
      </c>
      <c r="G855" s="4">
        <v>3948150</v>
      </c>
      <c r="H855" s="4">
        <v>3948.15</v>
      </c>
      <c r="I855" s="4">
        <v>4.708565024125223</v>
      </c>
      <c r="J855" t="b">
        <v>0</v>
      </c>
      <c r="K855" t="b">
        <v>0</v>
      </c>
    </row>
    <row r="856" spans="1:11" x14ac:dyDescent="0.25">
      <c r="A856" t="s">
        <v>408</v>
      </c>
      <c r="B856" t="s">
        <v>409</v>
      </c>
      <c r="C856" t="s">
        <v>467</v>
      </c>
      <c r="D856" t="s">
        <v>468</v>
      </c>
      <c r="E856" s="4">
        <v>15389812</v>
      </c>
      <c r="F856" s="4">
        <v>6825.61</v>
      </c>
      <c r="G856" s="4">
        <v>682561</v>
      </c>
      <c r="H856" s="4">
        <v>682.561</v>
      </c>
      <c r="I856" s="4">
        <v>22.547159887541188</v>
      </c>
      <c r="J856" t="b">
        <v>0</v>
      </c>
      <c r="K856" t="b">
        <v>0</v>
      </c>
    </row>
    <row r="857" spans="1:11" x14ac:dyDescent="0.25">
      <c r="A857" t="s">
        <v>410</v>
      </c>
      <c r="B857" t="s">
        <v>411</v>
      </c>
      <c r="C857" t="s">
        <v>455</v>
      </c>
      <c r="D857" t="s">
        <v>477</v>
      </c>
      <c r="E857" s="4">
        <v>1092735</v>
      </c>
      <c r="F857" s="4">
        <v>1952.78</v>
      </c>
      <c r="G857" s="4">
        <v>195278</v>
      </c>
      <c r="H857" s="4">
        <v>195.27800000000002</v>
      </c>
      <c r="I857" s="4">
        <v>5.595791640635402</v>
      </c>
      <c r="J857" t="b">
        <v>0</v>
      </c>
      <c r="K857" t="b">
        <v>0</v>
      </c>
    </row>
    <row r="858" spans="1:11" x14ac:dyDescent="0.25">
      <c r="A858" t="s">
        <v>410</v>
      </c>
      <c r="B858" t="s">
        <v>411</v>
      </c>
      <c r="C858" t="s">
        <v>461</v>
      </c>
      <c r="D858" t="s">
        <v>462</v>
      </c>
      <c r="E858" s="4">
        <v>30484914</v>
      </c>
      <c r="F858" s="4">
        <v>16632.87</v>
      </c>
      <c r="G858" s="4">
        <v>1663287</v>
      </c>
      <c r="H858" s="4">
        <v>1663.287</v>
      </c>
      <c r="I858" s="4">
        <v>18.328114149873112</v>
      </c>
      <c r="J858" t="b">
        <v>0</v>
      </c>
      <c r="K858" t="b">
        <v>0</v>
      </c>
    </row>
    <row r="859" spans="1:11" x14ac:dyDescent="0.25">
      <c r="A859" t="s">
        <v>410</v>
      </c>
      <c r="B859" t="s">
        <v>411</v>
      </c>
      <c r="C859" t="s">
        <v>463</v>
      </c>
      <c r="D859" t="s">
        <v>464</v>
      </c>
      <c r="E859" s="4">
        <v>50359719</v>
      </c>
      <c r="F859" s="4">
        <v>17464.81</v>
      </c>
      <c r="G859" s="4">
        <v>1746481.0000000002</v>
      </c>
      <c r="H859" s="4">
        <v>1746.4810000000002</v>
      </c>
      <c r="I859" s="4">
        <v>28.834965281614856</v>
      </c>
      <c r="J859" t="b">
        <v>0</v>
      </c>
      <c r="K859" t="b">
        <v>0</v>
      </c>
    </row>
    <row r="860" spans="1:11" x14ac:dyDescent="0.25">
      <c r="A860" t="s">
        <v>410</v>
      </c>
      <c r="B860" t="s">
        <v>411</v>
      </c>
      <c r="C860" t="s">
        <v>465</v>
      </c>
      <c r="D860" t="s">
        <v>478</v>
      </c>
      <c r="E860" s="4">
        <v>16284646</v>
      </c>
      <c r="F860" s="4">
        <v>32831.83</v>
      </c>
      <c r="G860" s="4">
        <v>3283183</v>
      </c>
      <c r="H860" s="4">
        <v>3283.1830000000004</v>
      </c>
      <c r="I860" s="4">
        <v>4.960017763249871</v>
      </c>
      <c r="J860" t="b">
        <v>0</v>
      </c>
      <c r="K860" t="b">
        <v>0</v>
      </c>
    </row>
    <row r="861" spans="1:11" x14ac:dyDescent="0.25">
      <c r="A861" t="s">
        <v>410</v>
      </c>
      <c r="B861" t="s">
        <v>411</v>
      </c>
      <c r="C861" t="s">
        <v>467</v>
      </c>
      <c r="D861" t="s">
        <v>468</v>
      </c>
      <c r="E861" s="4">
        <v>16957000</v>
      </c>
      <c r="F861" s="4">
        <v>7207.21</v>
      </c>
      <c r="G861" s="4">
        <v>720721</v>
      </c>
      <c r="H861" s="4">
        <v>720.721</v>
      </c>
      <c r="I861" s="4">
        <v>23.5278283829665</v>
      </c>
      <c r="J861" t="b">
        <v>0</v>
      </c>
      <c r="K861" t="b">
        <v>0</v>
      </c>
    </row>
    <row r="862" spans="1:11" x14ac:dyDescent="0.25">
      <c r="A862" t="s">
        <v>412</v>
      </c>
      <c r="B862" t="s">
        <v>413</v>
      </c>
      <c r="C862" t="s">
        <v>455</v>
      </c>
      <c r="D862" t="s">
        <v>477</v>
      </c>
      <c r="E862" s="4">
        <v>1226468</v>
      </c>
      <c r="F862" s="4">
        <v>2023.81</v>
      </c>
      <c r="G862" s="4">
        <v>202381</v>
      </c>
      <c r="H862" s="4">
        <v>202.381</v>
      </c>
      <c r="I862" s="4">
        <v>6.060193397601553</v>
      </c>
      <c r="J862" t="b">
        <v>0</v>
      </c>
      <c r="K862" t="b">
        <v>0</v>
      </c>
    </row>
    <row r="863" spans="1:11" x14ac:dyDescent="0.25">
      <c r="A863" t="s">
        <v>412</v>
      </c>
      <c r="B863" t="s">
        <v>413</v>
      </c>
      <c r="C863" t="s">
        <v>461</v>
      </c>
      <c r="D863" t="s">
        <v>462</v>
      </c>
      <c r="E863" s="4">
        <v>31979426</v>
      </c>
      <c r="F863" s="4">
        <v>18459.55</v>
      </c>
      <c r="G863" s="4">
        <v>1845955</v>
      </c>
      <c r="H863" s="4">
        <v>1845.955</v>
      </c>
      <c r="I863" s="4">
        <v>17.32405502842702</v>
      </c>
      <c r="J863" t="b">
        <v>0</v>
      </c>
      <c r="K863" t="b">
        <v>0</v>
      </c>
    </row>
    <row r="864" spans="1:11" x14ac:dyDescent="0.25">
      <c r="A864" t="s">
        <v>412</v>
      </c>
      <c r="B864" t="s">
        <v>413</v>
      </c>
      <c r="C864" t="s">
        <v>463</v>
      </c>
      <c r="D864" t="s">
        <v>464</v>
      </c>
      <c r="E864" s="4">
        <v>37105983</v>
      </c>
      <c r="F864" s="4">
        <v>13296.8</v>
      </c>
      <c r="G864" s="4">
        <v>1329680</v>
      </c>
      <c r="H864" s="4">
        <v>1329.68</v>
      </c>
      <c r="I864" s="4">
        <v>27.905949551771855</v>
      </c>
      <c r="J864" t="b">
        <v>0</v>
      </c>
      <c r="K864" t="b">
        <v>0</v>
      </c>
    </row>
    <row r="865" spans="1:11" x14ac:dyDescent="0.25">
      <c r="A865" t="s">
        <v>412</v>
      </c>
      <c r="B865" t="s">
        <v>413</v>
      </c>
      <c r="C865" t="s">
        <v>465</v>
      </c>
      <c r="D865" t="s">
        <v>478</v>
      </c>
      <c r="E865" s="4">
        <v>19573302</v>
      </c>
      <c r="F865" s="4">
        <v>41020.02</v>
      </c>
      <c r="G865" s="4">
        <v>4102001.9999999995</v>
      </c>
      <c r="H865" s="4">
        <v>4102.0019999999995</v>
      </c>
      <c r="I865" s="4">
        <v>4.771646137666438</v>
      </c>
      <c r="J865" t="b">
        <v>0</v>
      </c>
      <c r="K865" t="b">
        <v>0</v>
      </c>
    </row>
    <row r="866" spans="1:11" x14ac:dyDescent="0.25">
      <c r="A866" t="s">
        <v>412</v>
      </c>
      <c r="B866" t="s">
        <v>413</v>
      </c>
      <c r="C866" t="s">
        <v>467</v>
      </c>
      <c r="D866" t="s">
        <v>468</v>
      </c>
      <c r="E866" s="4">
        <v>13242335</v>
      </c>
      <c r="F866" s="4">
        <v>5889.15</v>
      </c>
      <c r="G866" s="4">
        <v>588915</v>
      </c>
      <c r="H866" s="4">
        <v>588.915</v>
      </c>
      <c r="I866" s="4">
        <v>22.485986942088417</v>
      </c>
      <c r="J866" t="b">
        <v>0</v>
      </c>
      <c r="K866" t="b">
        <v>0</v>
      </c>
    </row>
    <row r="867" spans="1:11" x14ac:dyDescent="0.25">
      <c r="A867" t="s">
        <v>414</v>
      </c>
      <c r="B867" t="s">
        <v>415</v>
      </c>
      <c r="C867" t="s">
        <v>455</v>
      </c>
      <c r="D867" t="s">
        <v>477</v>
      </c>
      <c r="E867" s="4">
        <v>1414501</v>
      </c>
      <c r="F867" s="4">
        <v>2872.44</v>
      </c>
      <c r="G867" s="4">
        <v>287244</v>
      </c>
      <c r="H867" s="4">
        <v>287.244</v>
      </c>
      <c r="I867" s="4">
        <v>4.92438832490844</v>
      </c>
      <c r="J867" t="b">
        <v>0</v>
      </c>
      <c r="K867" t="b">
        <v>0</v>
      </c>
    </row>
    <row r="868" spans="1:11" x14ac:dyDescent="0.25">
      <c r="A868" t="s">
        <v>414</v>
      </c>
      <c r="B868" t="s">
        <v>415</v>
      </c>
      <c r="C868" t="s">
        <v>461</v>
      </c>
      <c r="D868" t="s">
        <v>462</v>
      </c>
      <c r="E868" s="4">
        <v>28080964</v>
      </c>
      <c r="F868" s="4">
        <v>15842.42</v>
      </c>
      <c r="G868" s="4">
        <v>1584242</v>
      </c>
      <c r="H868" s="4">
        <v>1584.2420000000002</v>
      </c>
      <c r="I868" s="4">
        <v>17.72517330054373</v>
      </c>
      <c r="J868" t="b">
        <v>0</v>
      </c>
      <c r="K868" t="b">
        <v>0</v>
      </c>
    </row>
    <row r="869" spans="1:11" x14ac:dyDescent="0.25">
      <c r="A869" t="s">
        <v>414</v>
      </c>
      <c r="B869" t="s">
        <v>415</v>
      </c>
      <c r="C869" t="s">
        <v>463</v>
      </c>
      <c r="D869" t="s">
        <v>464</v>
      </c>
      <c r="E869" s="4">
        <v>33465944</v>
      </c>
      <c r="F869" s="4">
        <v>10866.88</v>
      </c>
      <c r="G869" s="4">
        <v>1086688</v>
      </c>
      <c r="H869" s="4">
        <v>1086.6879999999999</v>
      </c>
      <c r="I869" s="4">
        <v>30.79627639211991</v>
      </c>
      <c r="J869" t="b">
        <v>0</v>
      </c>
      <c r="K869" t="b">
        <v>0</v>
      </c>
    </row>
    <row r="870" spans="1:11" x14ac:dyDescent="0.25">
      <c r="A870" t="s">
        <v>414</v>
      </c>
      <c r="B870" t="s">
        <v>415</v>
      </c>
      <c r="C870" t="s">
        <v>465</v>
      </c>
      <c r="D870" t="s">
        <v>478</v>
      </c>
      <c r="E870" s="4">
        <v>12426492</v>
      </c>
      <c r="F870" s="4">
        <v>29571.75</v>
      </c>
      <c r="G870" s="4">
        <v>2957175</v>
      </c>
      <c r="H870" s="4">
        <v>2957.175</v>
      </c>
      <c r="I870" s="4">
        <v>4.202149686778767</v>
      </c>
      <c r="J870" t="b">
        <v>0</v>
      </c>
      <c r="K870" t="b">
        <v>0</v>
      </c>
    </row>
    <row r="871" spans="1:11" x14ac:dyDescent="0.25">
      <c r="A871" t="s">
        <v>414</v>
      </c>
      <c r="B871" t="s">
        <v>415</v>
      </c>
      <c r="C871" t="s">
        <v>467</v>
      </c>
      <c r="D871" t="s">
        <v>468</v>
      </c>
      <c r="E871" s="4">
        <v>6887650</v>
      </c>
      <c r="F871" s="4">
        <v>2856.92</v>
      </c>
      <c r="G871" s="4">
        <v>285692</v>
      </c>
      <c r="H871" s="4">
        <v>285.692</v>
      </c>
      <c r="I871" s="4">
        <v>24.10865547512706</v>
      </c>
      <c r="J871" t="b">
        <v>0</v>
      </c>
      <c r="K871" t="b">
        <v>0</v>
      </c>
    </row>
    <row r="872" spans="1:11" x14ac:dyDescent="0.25">
      <c r="A872" t="s">
        <v>416</v>
      </c>
      <c r="B872" t="s">
        <v>417</v>
      </c>
      <c r="C872" t="s">
        <v>455</v>
      </c>
      <c r="D872" t="s">
        <v>477</v>
      </c>
      <c r="E872" s="4">
        <v>1541998</v>
      </c>
      <c r="F872" s="4">
        <v>3775.74</v>
      </c>
      <c r="G872" s="4">
        <v>377574</v>
      </c>
      <c r="H872" s="4">
        <v>377.574</v>
      </c>
      <c r="I872" s="4">
        <v>4.0839623491024275</v>
      </c>
      <c r="J872" t="b">
        <v>0</v>
      </c>
      <c r="K872" t="b">
        <v>0</v>
      </c>
    </row>
    <row r="873" spans="1:11" x14ac:dyDescent="0.25">
      <c r="A873" t="s">
        <v>416</v>
      </c>
      <c r="B873" t="s">
        <v>417</v>
      </c>
      <c r="C873" t="s">
        <v>461</v>
      </c>
      <c r="D873" t="s">
        <v>462</v>
      </c>
      <c r="E873" s="4">
        <v>33150621</v>
      </c>
      <c r="F873" s="4">
        <v>19331.81</v>
      </c>
      <c r="G873" s="4">
        <v>1933181.0000000002</v>
      </c>
      <c r="H873" s="4">
        <v>1933.1810000000003</v>
      </c>
      <c r="I873" s="4">
        <v>17.14822409282938</v>
      </c>
      <c r="J873" t="b">
        <v>0</v>
      </c>
      <c r="K873" t="b">
        <v>0</v>
      </c>
    </row>
    <row r="874" spans="1:11" x14ac:dyDescent="0.25">
      <c r="A874" t="s">
        <v>416</v>
      </c>
      <c r="B874" t="s">
        <v>417</v>
      </c>
      <c r="C874" t="s">
        <v>463</v>
      </c>
      <c r="D874" t="s">
        <v>464</v>
      </c>
      <c r="E874" s="4">
        <v>37374651</v>
      </c>
      <c r="F874" s="4">
        <v>11592.03</v>
      </c>
      <c r="G874" s="4">
        <v>1159203</v>
      </c>
      <c r="H874" s="4">
        <v>1159.2030000000002</v>
      </c>
      <c r="I874" s="4">
        <v>32.24167898116206</v>
      </c>
      <c r="J874" t="b">
        <v>0</v>
      </c>
      <c r="K874" t="b">
        <v>0</v>
      </c>
    </row>
    <row r="875" spans="1:11" x14ac:dyDescent="0.25">
      <c r="A875" t="s">
        <v>416</v>
      </c>
      <c r="B875" t="s">
        <v>417</v>
      </c>
      <c r="C875" t="s">
        <v>465</v>
      </c>
      <c r="D875" t="s">
        <v>478</v>
      </c>
      <c r="E875" s="4">
        <v>15918962</v>
      </c>
      <c r="F875" s="4">
        <v>39210.17</v>
      </c>
      <c r="G875" s="4">
        <v>3921017</v>
      </c>
      <c r="H875" s="4">
        <v>3921.017</v>
      </c>
      <c r="I875" s="4">
        <v>4.059906396733297</v>
      </c>
      <c r="J875" t="b">
        <v>0</v>
      </c>
      <c r="K875" t="b">
        <v>0</v>
      </c>
    </row>
    <row r="876" spans="1:11" x14ac:dyDescent="0.25">
      <c r="A876" t="s">
        <v>416</v>
      </c>
      <c r="B876" t="s">
        <v>417</v>
      </c>
      <c r="C876" t="s">
        <v>467</v>
      </c>
      <c r="D876" t="s">
        <v>468</v>
      </c>
      <c r="E876" s="4">
        <v>11637150</v>
      </c>
      <c r="F876" s="4">
        <v>5335.04</v>
      </c>
      <c r="G876" s="4">
        <v>533504</v>
      </c>
      <c r="H876" s="4">
        <v>533.504</v>
      </c>
      <c r="I876" s="4">
        <v>21.812676193618042</v>
      </c>
      <c r="J876" t="b">
        <v>0</v>
      </c>
      <c r="K876" t="b">
        <v>0</v>
      </c>
    </row>
    <row r="877" spans="1:11" x14ac:dyDescent="0.25">
      <c r="A877" t="s">
        <v>418</v>
      </c>
      <c r="B877" t="s">
        <v>419</v>
      </c>
      <c r="C877" t="s">
        <v>455</v>
      </c>
      <c r="D877" t="s">
        <v>477</v>
      </c>
      <c r="E877" s="4">
        <v>924151</v>
      </c>
      <c r="F877" s="4">
        <v>2491.37</v>
      </c>
      <c r="G877" s="4">
        <v>249137</v>
      </c>
      <c r="H877" s="4">
        <v>249.137</v>
      </c>
      <c r="I877" s="4">
        <v>3.709408879451868</v>
      </c>
      <c r="J877" t="b">
        <v>0</v>
      </c>
      <c r="K877" t="b">
        <v>0</v>
      </c>
    </row>
    <row r="878" spans="1:11" x14ac:dyDescent="0.25">
      <c r="A878" t="s">
        <v>418</v>
      </c>
      <c r="B878" t="s">
        <v>419</v>
      </c>
      <c r="C878" t="s">
        <v>461</v>
      </c>
      <c r="D878" t="s">
        <v>462</v>
      </c>
      <c r="E878" s="4">
        <v>27457714</v>
      </c>
      <c r="F878" s="4">
        <v>15234.96</v>
      </c>
      <c r="G878" s="4">
        <v>1523496</v>
      </c>
      <c r="H878" s="4">
        <v>1523.496</v>
      </c>
      <c r="I878" s="4">
        <v>18.02283301039189</v>
      </c>
      <c r="J878" t="b">
        <v>0</v>
      </c>
      <c r="K878" t="b">
        <v>0</v>
      </c>
    </row>
    <row r="879" spans="1:11" x14ac:dyDescent="0.25">
      <c r="A879" t="s">
        <v>418</v>
      </c>
      <c r="B879" t="s">
        <v>419</v>
      </c>
      <c r="C879" t="s">
        <v>463</v>
      </c>
      <c r="D879" t="s">
        <v>464</v>
      </c>
      <c r="E879" s="4">
        <v>25434814</v>
      </c>
      <c r="F879" s="4">
        <v>8693.13</v>
      </c>
      <c r="G879" s="4">
        <v>869312.9999999999</v>
      </c>
      <c r="H879" s="4">
        <v>869.313</v>
      </c>
      <c r="I879" s="4">
        <v>29.258522534461125</v>
      </c>
      <c r="J879" t="b">
        <v>0</v>
      </c>
      <c r="K879" t="b">
        <v>0</v>
      </c>
    </row>
    <row r="880" spans="1:11" x14ac:dyDescent="0.25">
      <c r="A880" t="s">
        <v>418</v>
      </c>
      <c r="B880" t="s">
        <v>419</v>
      </c>
      <c r="C880" t="s">
        <v>465</v>
      </c>
      <c r="D880" t="s">
        <v>478</v>
      </c>
      <c r="E880" s="4">
        <v>13282359</v>
      </c>
      <c r="F880" s="4">
        <v>35931.62</v>
      </c>
      <c r="G880" s="4">
        <v>3593162.0000000005</v>
      </c>
      <c r="H880" s="4">
        <v>3593.1620000000003</v>
      </c>
      <c r="I880" s="4">
        <v>3.696565587635625</v>
      </c>
      <c r="J880" t="b">
        <v>0</v>
      </c>
      <c r="K880" t="b">
        <v>0</v>
      </c>
    </row>
    <row r="881" spans="1:11" x14ac:dyDescent="0.25">
      <c r="A881" t="s">
        <v>418</v>
      </c>
      <c r="B881" t="s">
        <v>419</v>
      </c>
      <c r="C881" t="s">
        <v>467</v>
      </c>
      <c r="D881" t="s">
        <v>468</v>
      </c>
      <c r="E881" s="4">
        <v>12489209</v>
      </c>
      <c r="F881" s="4">
        <v>5977.61</v>
      </c>
      <c r="G881" s="4">
        <v>597761</v>
      </c>
      <c r="H881" s="4">
        <v>597.761</v>
      </c>
      <c r="I881" s="4">
        <v>20.89331522130082</v>
      </c>
      <c r="J881" t="b">
        <v>0</v>
      </c>
      <c r="K881" t="b">
        <v>0</v>
      </c>
    </row>
    <row r="882" spans="1:11" x14ac:dyDescent="0.25">
      <c r="A882" t="s">
        <v>420</v>
      </c>
      <c r="B882" t="s">
        <v>421</v>
      </c>
      <c r="C882" t="s">
        <v>455</v>
      </c>
      <c r="D882" t="s">
        <v>477</v>
      </c>
      <c r="E882" s="4">
        <v>997366</v>
      </c>
      <c r="F882" s="4">
        <v>2803.43</v>
      </c>
      <c r="G882" s="4">
        <v>280343</v>
      </c>
      <c r="H882" s="4">
        <v>280.343</v>
      </c>
      <c r="I882" s="4">
        <v>3.557663291039905</v>
      </c>
      <c r="J882" t="b">
        <v>0</v>
      </c>
      <c r="K882" t="b">
        <v>0</v>
      </c>
    </row>
    <row r="883" spans="1:11" x14ac:dyDescent="0.25">
      <c r="A883" t="s">
        <v>420</v>
      </c>
      <c r="B883" t="s">
        <v>421</v>
      </c>
      <c r="C883" t="s">
        <v>461</v>
      </c>
      <c r="D883" t="s">
        <v>462</v>
      </c>
      <c r="E883" s="4">
        <v>20014694</v>
      </c>
      <c r="F883" s="4">
        <v>11495.33</v>
      </c>
      <c r="G883" s="4">
        <v>1149533</v>
      </c>
      <c r="H883" s="4">
        <v>1149.5330000000001</v>
      </c>
      <c r="I883" s="4">
        <v>17.411152180929125</v>
      </c>
      <c r="J883" t="b">
        <v>0</v>
      </c>
      <c r="K883" t="b">
        <v>0</v>
      </c>
    </row>
    <row r="884" spans="1:11" x14ac:dyDescent="0.25">
      <c r="A884" t="s">
        <v>420</v>
      </c>
      <c r="B884" t="s">
        <v>421</v>
      </c>
      <c r="C884" t="s">
        <v>463</v>
      </c>
      <c r="D884" t="s">
        <v>464</v>
      </c>
      <c r="E884" s="4">
        <v>22261446</v>
      </c>
      <c r="F884" s="4">
        <v>7881.18</v>
      </c>
      <c r="G884" s="4">
        <v>788118</v>
      </c>
      <c r="H884" s="4">
        <v>788.118</v>
      </c>
      <c r="I884" s="4">
        <v>28.2463362085373</v>
      </c>
      <c r="J884" t="b">
        <v>0</v>
      </c>
      <c r="K884" t="b">
        <v>0</v>
      </c>
    </row>
    <row r="885" spans="1:11" x14ac:dyDescent="0.25">
      <c r="A885" t="s">
        <v>420</v>
      </c>
      <c r="B885" t="s">
        <v>421</v>
      </c>
      <c r="C885" t="s">
        <v>465</v>
      </c>
      <c r="D885" t="s">
        <v>478</v>
      </c>
      <c r="E885" s="4">
        <v>14402441</v>
      </c>
      <c r="F885" s="4">
        <v>38878.07</v>
      </c>
      <c r="G885" s="4">
        <v>3887807</v>
      </c>
      <c r="H885" s="4">
        <v>3887.8070000000002</v>
      </c>
      <c r="I885" s="4">
        <v>3.7045154247625973</v>
      </c>
      <c r="J885" t="b">
        <v>0</v>
      </c>
      <c r="K885" t="b">
        <v>0</v>
      </c>
    </row>
    <row r="886" spans="1:11" x14ac:dyDescent="0.25">
      <c r="A886" t="s">
        <v>420</v>
      </c>
      <c r="B886" t="s">
        <v>421</v>
      </c>
      <c r="C886" t="s">
        <v>467</v>
      </c>
      <c r="D886" t="s">
        <v>468</v>
      </c>
      <c r="E886" s="4">
        <v>14416838</v>
      </c>
      <c r="F886" s="4">
        <v>6507.29</v>
      </c>
      <c r="G886" s="4">
        <v>650729</v>
      </c>
      <c r="H886" s="4">
        <v>650.729</v>
      </c>
      <c r="I886" s="4">
        <v>22.15490319318795</v>
      </c>
      <c r="J886" t="b">
        <v>0</v>
      </c>
      <c r="K886" t="b">
        <v>0</v>
      </c>
    </row>
    <row r="887" spans="1:11" x14ac:dyDescent="0.25">
      <c r="A887" t="s">
        <v>422</v>
      </c>
      <c r="B887" t="s">
        <v>423</v>
      </c>
      <c r="C887" t="s">
        <v>455</v>
      </c>
      <c r="D887" t="s">
        <v>477</v>
      </c>
      <c r="E887" s="4">
        <v>1027273</v>
      </c>
      <c r="F887" s="4">
        <v>1660.94</v>
      </c>
      <c r="G887" s="4">
        <v>166094</v>
      </c>
      <c r="H887" s="4">
        <v>166.09400000000002</v>
      </c>
      <c r="I887" s="4">
        <v>6.184889279564584</v>
      </c>
      <c r="J887" t="b">
        <v>0</v>
      </c>
      <c r="K887" t="b">
        <v>0</v>
      </c>
    </row>
    <row r="888" spans="1:11" x14ac:dyDescent="0.25">
      <c r="A888" t="s">
        <v>422</v>
      </c>
      <c r="B888" t="s">
        <v>423</v>
      </c>
      <c r="C888" t="s">
        <v>461</v>
      </c>
      <c r="D888" t="s">
        <v>462</v>
      </c>
      <c r="E888" s="4">
        <v>18137733</v>
      </c>
      <c r="F888" s="4">
        <v>10988.96</v>
      </c>
      <c r="G888" s="4">
        <v>1098896</v>
      </c>
      <c r="H888" s="4">
        <v>1098.896</v>
      </c>
      <c r="I888" s="4">
        <v>16.505413615119174</v>
      </c>
      <c r="J888" t="b">
        <v>0</v>
      </c>
      <c r="K888" t="b">
        <v>0</v>
      </c>
    </row>
    <row r="889" spans="1:11" x14ac:dyDescent="0.25">
      <c r="A889" t="s">
        <v>422</v>
      </c>
      <c r="B889" t="s">
        <v>423</v>
      </c>
      <c r="C889" t="s">
        <v>463</v>
      </c>
      <c r="D889" t="s">
        <v>464</v>
      </c>
      <c r="E889" s="4">
        <v>16325216</v>
      </c>
      <c r="F889" s="4">
        <v>5722.28</v>
      </c>
      <c r="G889" s="4">
        <v>572228</v>
      </c>
      <c r="H889" s="4">
        <v>572.228</v>
      </c>
      <c r="I889" s="4">
        <v>28.529215627337354</v>
      </c>
      <c r="J889" t="b">
        <v>0</v>
      </c>
      <c r="K889" t="b">
        <v>0</v>
      </c>
    </row>
    <row r="890" spans="1:11" x14ac:dyDescent="0.25">
      <c r="A890" t="s">
        <v>422</v>
      </c>
      <c r="B890" t="s">
        <v>423</v>
      </c>
      <c r="C890" t="s">
        <v>465</v>
      </c>
      <c r="D890" t="s">
        <v>478</v>
      </c>
      <c r="E890" s="4">
        <v>15904811</v>
      </c>
      <c r="F890" s="4">
        <v>39843.4</v>
      </c>
      <c r="G890" s="4">
        <v>3984340</v>
      </c>
      <c r="H890" s="4">
        <v>3984.34</v>
      </c>
      <c r="I890" s="4">
        <v>3.9918307674545845</v>
      </c>
      <c r="J890" t="b">
        <v>0</v>
      </c>
      <c r="K890" t="b">
        <v>0</v>
      </c>
    </row>
    <row r="891" spans="1:11" x14ac:dyDescent="0.25">
      <c r="A891" t="s">
        <v>422</v>
      </c>
      <c r="B891" t="s">
        <v>423</v>
      </c>
      <c r="C891" t="s">
        <v>467</v>
      </c>
      <c r="D891" t="s">
        <v>468</v>
      </c>
      <c r="E891" s="4">
        <v>9241569</v>
      </c>
      <c r="F891" s="4">
        <v>4557.32</v>
      </c>
      <c r="G891" s="4">
        <v>455732</v>
      </c>
      <c r="H891" s="4">
        <v>455.73199999999997</v>
      </c>
      <c r="I891" s="4">
        <v>20.27851675985009</v>
      </c>
      <c r="J891" t="b">
        <v>0</v>
      </c>
      <c r="K891" t="b">
        <v>0</v>
      </c>
    </row>
    <row r="892" spans="1:11" x14ac:dyDescent="0.25">
      <c r="A892" t="s">
        <v>424</v>
      </c>
      <c r="B892" t="s">
        <v>425</v>
      </c>
      <c r="C892" t="s">
        <v>455</v>
      </c>
      <c r="D892" t="s">
        <v>477</v>
      </c>
      <c r="E892" s="4">
        <v>1201681</v>
      </c>
      <c r="F892" s="4">
        <v>3792.89</v>
      </c>
      <c r="G892" s="4">
        <v>379289</v>
      </c>
      <c r="H892" s="4">
        <v>379.289</v>
      </c>
      <c r="I892" s="4">
        <v>3.168246376773384</v>
      </c>
      <c r="J892" t="b">
        <v>0</v>
      </c>
      <c r="K892" t="b">
        <v>0</v>
      </c>
    </row>
    <row r="893" spans="1:11" x14ac:dyDescent="0.25">
      <c r="A893" t="s">
        <v>424</v>
      </c>
      <c r="B893" t="s">
        <v>425</v>
      </c>
      <c r="C893" t="s">
        <v>461</v>
      </c>
      <c r="D893" t="s">
        <v>462</v>
      </c>
      <c r="E893" s="4">
        <v>20170099</v>
      </c>
      <c r="F893" s="4">
        <v>12070.2</v>
      </c>
      <c r="G893" s="4">
        <v>1207020</v>
      </c>
      <c r="H893" s="4">
        <v>1207.0200000000002</v>
      </c>
      <c r="I893" s="4">
        <v>16.710658481218207</v>
      </c>
      <c r="J893" t="b">
        <v>0</v>
      </c>
      <c r="K893" t="b">
        <v>0</v>
      </c>
    </row>
    <row r="894" spans="1:11" x14ac:dyDescent="0.25">
      <c r="A894" t="s">
        <v>424</v>
      </c>
      <c r="B894" t="s">
        <v>425</v>
      </c>
      <c r="C894" t="s">
        <v>463</v>
      </c>
      <c r="D894" t="s">
        <v>464</v>
      </c>
      <c r="E894" s="4">
        <v>18303827</v>
      </c>
      <c r="F894" s="4">
        <v>6563.94</v>
      </c>
      <c r="G894" s="4">
        <v>656394</v>
      </c>
      <c r="H894" s="4">
        <v>656.394</v>
      </c>
      <c r="I894" s="4">
        <v>27.885427045341668</v>
      </c>
      <c r="J894" t="b">
        <v>0</v>
      </c>
      <c r="K894" t="b">
        <v>0</v>
      </c>
    </row>
    <row r="895" spans="1:11" x14ac:dyDescent="0.25">
      <c r="A895" t="s">
        <v>424</v>
      </c>
      <c r="B895" t="s">
        <v>425</v>
      </c>
      <c r="C895" t="s">
        <v>465</v>
      </c>
      <c r="D895" t="s">
        <v>478</v>
      </c>
      <c r="E895" s="4">
        <v>15761908</v>
      </c>
      <c r="F895" s="4">
        <v>47051.92</v>
      </c>
      <c r="G895" s="4">
        <v>4705192</v>
      </c>
      <c r="H895" s="4">
        <v>4705.192</v>
      </c>
      <c r="I895" s="4">
        <v>3.3498968798722775</v>
      </c>
      <c r="J895" t="b">
        <v>0</v>
      </c>
      <c r="K895" t="b">
        <v>0</v>
      </c>
    </row>
    <row r="896" spans="1:11" x14ac:dyDescent="0.25">
      <c r="A896" t="s">
        <v>424</v>
      </c>
      <c r="B896" t="s">
        <v>425</v>
      </c>
      <c r="C896" t="s">
        <v>467</v>
      </c>
      <c r="D896" t="s">
        <v>468</v>
      </c>
      <c r="E896" s="4">
        <v>5725397</v>
      </c>
      <c r="F896" s="4">
        <v>2736.59</v>
      </c>
      <c r="G896" s="4">
        <v>273659</v>
      </c>
      <c r="H896" s="4">
        <v>273.65900000000005</v>
      </c>
      <c r="I896" s="4">
        <v>20.921647013253722</v>
      </c>
      <c r="J896" t="b">
        <v>0</v>
      </c>
      <c r="K896" t="b">
        <v>0</v>
      </c>
    </row>
    <row r="897" spans="1:11" x14ac:dyDescent="0.25">
      <c r="A897" t="s">
        <v>426</v>
      </c>
      <c r="B897" t="s">
        <v>427</v>
      </c>
      <c r="C897" t="s">
        <v>455</v>
      </c>
      <c r="D897" t="s">
        <v>477</v>
      </c>
      <c r="E897" s="4">
        <v>883804</v>
      </c>
      <c r="F897" s="4">
        <v>1389.51</v>
      </c>
      <c r="G897" s="4">
        <v>138951</v>
      </c>
      <c r="H897" s="4">
        <v>138.951</v>
      </c>
      <c r="I897" s="4">
        <v>6.360544364560169</v>
      </c>
      <c r="J897" t="b">
        <v>0</v>
      </c>
      <c r="K897" t="b">
        <v>0</v>
      </c>
    </row>
    <row r="898" spans="1:11" x14ac:dyDescent="0.25">
      <c r="A898" t="s">
        <v>426</v>
      </c>
      <c r="B898" t="s">
        <v>427</v>
      </c>
      <c r="C898" t="s">
        <v>461</v>
      </c>
      <c r="D898" t="s">
        <v>462</v>
      </c>
      <c r="E898" s="4">
        <v>20682622</v>
      </c>
      <c r="F898" s="4">
        <v>12259.95</v>
      </c>
      <c r="G898" s="4">
        <v>1225995</v>
      </c>
      <c r="H898" s="4">
        <v>1225.9950000000001</v>
      </c>
      <c r="I898" s="4">
        <v>16.870070432587408</v>
      </c>
      <c r="J898" t="b">
        <v>0</v>
      </c>
      <c r="K898" t="b">
        <v>0</v>
      </c>
    </row>
    <row r="899" spans="1:11" x14ac:dyDescent="0.25">
      <c r="A899" t="s">
        <v>426</v>
      </c>
      <c r="B899" t="s">
        <v>427</v>
      </c>
      <c r="C899" t="s">
        <v>463</v>
      </c>
      <c r="D899" t="s">
        <v>464</v>
      </c>
      <c r="E899" s="4">
        <v>24094248</v>
      </c>
      <c r="F899" s="4">
        <v>6732.63</v>
      </c>
      <c r="G899" s="4">
        <v>673263</v>
      </c>
      <c r="H899" s="4">
        <v>673.263</v>
      </c>
      <c r="I899" s="4">
        <v>35.787274809398404</v>
      </c>
      <c r="J899" t="b">
        <v>0</v>
      </c>
      <c r="K899" t="b">
        <v>0</v>
      </c>
    </row>
    <row r="900" spans="1:11" x14ac:dyDescent="0.25">
      <c r="A900" t="s">
        <v>426</v>
      </c>
      <c r="B900" t="s">
        <v>427</v>
      </c>
      <c r="C900" t="s">
        <v>465</v>
      </c>
      <c r="D900" t="s">
        <v>478</v>
      </c>
      <c r="E900" s="4">
        <v>14120662</v>
      </c>
      <c r="F900" s="4">
        <v>36986.1</v>
      </c>
      <c r="G900" s="4">
        <v>3698610</v>
      </c>
      <c r="H900" s="4">
        <v>3698.61</v>
      </c>
      <c r="I900" s="4">
        <v>3.817829400774886</v>
      </c>
      <c r="J900" t="b">
        <v>0</v>
      </c>
      <c r="K900" t="b">
        <v>0</v>
      </c>
    </row>
    <row r="901" spans="1:11" x14ac:dyDescent="0.25">
      <c r="A901" t="s">
        <v>426</v>
      </c>
      <c r="B901" t="s">
        <v>427</v>
      </c>
      <c r="C901" t="s">
        <v>467</v>
      </c>
      <c r="D901" t="s">
        <v>468</v>
      </c>
      <c r="E901" s="4">
        <v>6007698</v>
      </c>
      <c r="F901" s="4">
        <v>2935.86</v>
      </c>
      <c r="G901" s="4">
        <v>293586</v>
      </c>
      <c r="H901" s="4">
        <v>293.586</v>
      </c>
      <c r="I901" s="4">
        <v>20.46316241237661</v>
      </c>
      <c r="J901" t="b">
        <v>0</v>
      </c>
      <c r="K901" t="b">
        <v>0</v>
      </c>
    </row>
    <row r="902" spans="1:11" x14ac:dyDescent="0.25">
      <c r="A902" t="s">
        <v>428</v>
      </c>
      <c r="B902" t="s">
        <v>429</v>
      </c>
      <c r="C902" t="s">
        <v>455</v>
      </c>
      <c r="D902" t="s">
        <v>477</v>
      </c>
      <c r="E902" s="4">
        <v>1022641</v>
      </c>
      <c r="F902" s="4">
        <v>1120.98</v>
      </c>
      <c r="G902" s="4">
        <v>112098</v>
      </c>
      <c r="H902" s="4">
        <v>112.09800000000001</v>
      </c>
      <c r="I902" s="4">
        <v>9.122740816071651</v>
      </c>
      <c r="J902" t="b">
        <v>0</v>
      </c>
      <c r="K902" t="b">
        <v>0</v>
      </c>
    </row>
    <row r="903" spans="1:11" x14ac:dyDescent="0.25">
      <c r="A903" t="s">
        <v>428</v>
      </c>
      <c r="B903" t="s">
        <v>429</v>
      </c>
      <c r="C903" t="s">
        <v>461</v>
      </c>
      <c r="D903" t="s">
        <v>462</v>
      </c>
      <c r="E903" s="4">
        <v>26435629</v>
      </c>
      <c r="F903" s="4">
        <v>14063.37</v>
      </c>
      <c r="G903" s="4">
        <v>1406337</v>
      </c>
      <c r="H903" s="4">
        <v>1406.3370000000002</v>
      </c>
      <c r="I903" s="4">
        <v>18.797506572037854</v>
      </c>
      <c r="J903" t="b">
        <v>0</v>
      </c>
      <c r="K903" t="b">
        <v>0</v>
      </c>
    </row>
    <row r="904" spans="1:11" x14ac:dyDescent="0.25">
      <c r="A904" t="s">
        <v>428</v>
      </c>
      <c r="B904" t="s">
        <v>429</v>
      </c>
      <c r="C904" t="s">
        <v>463</v>
      </c>
      <c r="D904" t="s">
        <v>464</v>
      </c>
      <c r="E904" s="4">
        <v>37286662</v>
      </c>
      <c r="F904" s="4">
        <v>9980.03</v>
      </c>
      <c r="G904" s="4">
        <v>998003.0000000001</v>
      </c>
      <c r="H904" s="4">
        <v>998.0030000000002</v>
      </c>
      <c r="I904" s="4">
        <v>37.361272461104825</v>
      </c>
      <c r="J904" t="b">
        <v>0</v>
      </c>
      <c r="K904" t="b">
        <v>0</v>
      </c>
    </row>
    <row r="905" spans="1:11" x14ac:dyDescent="0.25">
      <c r="A905" t="s">
        <v>428</v>
      </c>
      <c r="B905" t="s">
        <v>429</v>
      </c>
      <c r="C905" t="s">
        <v>465</v>
      </c>
      <c r="D905" t="s">
        <v>478</v>
      </c>
      <c r="E905" s="4">
        <v>14407373</v>
      </c>
      <c r="F905" s="4">
        <v>37424.91</v>
      </c>
      <c r="G905" s="4">
        <v>3742491.0000000005</v>
      </c>
      <c r="H905" s="4">
        <v>3742.4910000000004</v>
      </c>
      <c r="I905" s="4">
        <v>3.849674721996659</v>
      </c>
      <c r="J905" t="b">
        <v>0</v>
      </c>
      <c r="K905" t="b">
        <v>0</v>
      </c>
    </row>
    <row r="906" spans="1:11" x14ac:dyDescent="0.25">
      <c r="A906" t="s">
        <v>428</v>
      </c>
      <c r="B906" t="s">
        <v>429</v>
      </c>
      <c r="C906" t="s">
        <v>467</v>
      </c>
      <c r="D906" t="s">
        <v>468</v>
      </c>
      <c r="E906" s="4">
        <v>9532491</v>
      </c>
      <c r="F906" s="4">
        <v>3885.51</v>
      </c>
      <c r="G906" s="4">
        <v>388551</v>
      </c>
      <c r="H906" s="4">
        <v>388.55100000000004</v>
      </c>
      <c r="I906" s="4">
        <v>24.533435765189125</v>
      </c>
      <c r="J906" t="b">
        <v>0</v>
      </c>
      <c r="K906" t="b">
        <v>0</v>
      </c>
    </row>
    <row r="907" spans="1:11" x14ac:dyDescent="0.25">
      <c r="A907" t="s">
        <v>430</v>
      </c>
      <c r="B907" t="s">
        <v>431</v>
      </c>
      <c r="C907" t="s">
        <v>455</v>
      </c>
      <c r="D907" t="s">
        <v>477</v>
      </c>
      <c r="E907" s="4">
        <v>1199374</v>
      </c>
      <c r="F907" s="4">
        <v>2611.6</v>
      </c>
      <c r="G907" s="4">
        <v>261160</v>
      </c>
      <c r="H907" s="4">
        <v>261.16</v>
      </c>
      <c r="I907" s="4">
        <v>4.592487364068004</v>
      </c>
      <c r="J907" t="b">
        <v>0</v>
      </c>
      <c r="K907" t="b">
        <v>0</v>
      </c>
    </row>
    <row r="908" spans="1:11" x14ac:dyDescent="0.25">
      <c r="A908" t="s">
        <v>430</v>
      </c>
      <c r="B908" t="s">
        <v>431</v>
      </c>
      <c r="C908" t="s">
        <v>461</v>
      </c>
      <c r="D908" t="s">
        <v>462</v>
      </c>
      <c r="E908" s="4">
        <v>27996239</v>
      </c>
      <c r="F908" s="4">
        <v>15525.64</v>
      </c>
      <c r="G908" s="4">
        <v>1552564</v>
      </c>
      <c r="H908" s="4">
        <v>1552.564</v>
      </c>
      <c r="I908" s="4">
        <v>18.03226082789502</v>
      </c>
      <c r="J908" t="b">
        <v>0</v>
      </c>
      <c r="K908" t="b">
        <v>0</v>
      </c>
    </row>
    <row r="909" spans="1:11" x14ac:dyDescent="0.25">
      <c r="A909" t="s">
        <v>430</v>
      </c>
      <c r="B909" t="s">
        <v>431</v>
      </c>
      <c r="C909" t="s">
        <v>463</v>
      </c>
      <c r="D909" t="s">
        <v>464</v>
      </c>
      <c r="E909" s="4">
        <v>45209064</v>
      </c>
      <c r="F909" s="4">
        <v>13416.93</v>
      </c>
      <c r="G909" s="4">
        <v>1341693</v>
      </c>
      <c r="H909" s="4">
        <v>1341.6930000000002</v>
      </c>
      <c r="I909" s="4">
        <v>33.69553541682039</v>
      </c>
      <c r="J909" t="b">
        <v>0</v>
      </c>
      <c r="K909" t="b">
        <v>0</v>
      </c>
    </row>
    <row r="910" spans="1:11" x14ac:dyDescent="0.25">
      <c r="A910" t="s">
        <v>430</v>
      </c>
      <c r="B910" t="s">
        <v>431</v>
      </c>
      <c r="C910" t="s">
        <v>465</v>
      </c>
      <c r="D910" t="s">
        <v>478</v>
      </c>
      <c r="E910" s="4">
        <v>13908351</v>
      </c>
      <c r="F910" s="4">
        <v>33915.96</v>
      </c>
      <c r="G910" s="4">
        <v>3391596</v>
      </c>
      <c r="H910" s="4">
        <v>3391.596</v>
      </c>
      <c r="I910" s="4">
        <v>4.100827751890261</v>
      </c>
      <c r="J910" t="b">
        <v>0</v>
      </c>
      <c r="K910" t="b">
        <v>0</v>
      </c>
    </row>
    <row r="911" spans="1:11" x14ac:dyDescent="0.25">
      <c r="A911" t="s">
        <v>430</v>
      </c>
      <c r="B911" t="s">
        <v>431</v>
      </c>
      <c r="C911" t="s">
        <v>467</v>
      </c>
      <c r="D911" t="s">
        <v>468</v>
      </c>
      <c r="E911" s="4">
        <v>10744980</v>
      </c>
      <c r="F911" s="4">
        <v>4423.76</v>
      </c>
      <c r="G911" s="4">
        <v>442376</v>
      </c>
      <c r="H911" s="4">
        <v>442.37600000000003</v>
      </c>
      <c r="I911" s="4">
        <v>24.289247156265258</v>
      </c>
      <c r="J911" t="b">
        <v>0</v>
      </c>
      <c r="K911" t="b">
        <v>0</v>
      </c>
    </row>
    <row r="912" spans="1:11" x14ac:dyDescent="0.25">
      <c r="A912" t="s">
        <v>432</v>
      </c>
      <c r="B912" t="s">
        <v>433</v>
      </c>
      <c r="C912" t="s">
        <v>455</v>
      </c>
      <c r="D912" t="s">
        <v>477</v>
      </c>
      <c r="E912" s="4">
        <v>990291</v>
      </c>
      <c r="F912" s="4">
        <v>1407.07</v>
      </c>
      <c r="G912" s="4">
        <v>140707</v>
      </c>
      <c r="H912" s="4">
        <v>140.707</v>
      </c>
      <c r="I912" s="4">
        <v>7.037965417498774</v>
      </c>
      <c r="J912" t="b">
        <v>0</v>
      </c>
      <c r="K912" t="b">
        <v>0</v>
      </c>
    </row>
    <row r="913" spans="1:11" x14ac:dyDescent="0.25">
      <c r="A913" t="s">
        <v>432</v>
      </c>
      <c r="B913" t="s">
        <v>433</v>
      </c>
      <c r="C913" t="s">
        <v>461</v>
      </c>
      <c r="D913" t="s">
        <v>462</v>
      </c>
      <c r="E913" s="4">
        <v>31275887</v>
      </c>
      <c r="F913" s="4">
        <v>17826.3</v>
      </c>
      <c r="G913" s="4">
        <v>1782630</v>
      </c>
      <c r="H913" s="4">
        <v>1782.63</v>
      </c>
      <c r="I913" s="4">
        <v>17.544800098730526</v>
      </c>
      <c r="J913" t="b">
        <v>0</v>
      </c>
      <c r="K913" t="b">
        <v>0</v>
      </c>
    </row>
    <row r="914" spans="1:11" x14ac:dyDescent="0.25">
      <c r="A914" t="s">
        <v>432</v>
      </c>
      <c r="B914" t="s">
        <v>433</v>
      </c>
      <c r="C914" t="s">
        <v>463</v>
      </c>
      <c r="D914" t="s">
        <v>464</v>
      </c>
      <c r="E914" s="4">
        <v>45818403</v>
      </c>
      <c r="F914" s="4">
        <v>14686.88</v>
      </c>
      <c r="G914" s="4">
        <v>1468688</v>
      </c>
      <c r="H914" s="4">
        <v>1468.688</v>
      </c>
      <c r="I914" s="4">
        <v>31.19682532981818</v>
      </c>
      <c r="J914" t="b">
        <v>0</v>
      </c>
      <c r="K914" t="b">
        <v>0</v>
      </c>
    </row>
    <row r="915" spans="1:11" x14ac:dyDescent="0.25">
      <c r="A915" t="s">
        <v>432</v>
      </c>
      <c r="B915" t="s">
        <v>433</v>
      </c>
      <c r="C915" t="s">
        <v>465</v>
      </c>
      <c r="D915" t="s">
        <v>478</v>
      </c>
      <c r="E915" s="4">
        <v>15548079</v>
      </c>
      <c r="F915" s="4">
        <v>37999.8</v>
      </c>
      <c r="G915" s="4">
        <v>3799980.0000000005</v>
      </c>
      <c r="H915" s="4">
        <v>3799.9800000000005</v>
      </c>
      <c r="I915" s="4">
        <v>4.0916212716909035</v>
      </c>
      <c r="J915" t="b">
        <v>0</v>
      </c>
      <c r="K915" t="b">
        <v>0</v>
      </c>
    </row>
    <row r="916" spans="1:11" x14ac:dyDescent="0.25">
      <c r="A916" t="s">
        <v>432</v>
      </c>
      <c r="B916" t="s">
        <v>433</v>
      </c>
      <c r="C916" t="s">
        <v>467</v>
      </c>
      <c r="D916" t="s">
        <v>468</v>
      </c>
      <c r="E916" s="4">
        <v>13964215</v>
      </c>
      <c r="F916" s="4">
        <v>6378.57</v>
      </c>
      <c r="G916" s="4">
        <v>637857</v>
      </c>
      <c r="H916" s="4">
        <v>637.857</v>
      </c>
      <c r="I916" s="4">
        <v>21.89239124129703</v>
      </c>
      <c r="J916" t="b">
        <v>0</v>
      </c>
      <c r="K916" t="b">
        <v>0</v>
      </c>
    </row>
    <row r="917" spans="1:11" x14ac:dyDescent="0.25">
      <c r="A917" t="s">
        <v>434</v>
      </c>
      <c r="B917" t="s">
        <v>435</v>
      </c>
      <c r="C917" t="s">
        <v>455</v>
      </c>
      <c r="D917" t="s">
        <v>477</v>
      </c>
      <c r="E917" s="4">
        <v>1022388</v>
      </c>
      <c r="F917" s="4">
        <v>2185.88</v>
      </c>
      <c r="G917" s="4">
        <v>218588</v>
      </c>
      <c r="H917" s="4">
        <v>218.58800000000002</v>
      </c>
      <c r="I917" s="4">
        <v>4.6772375427745345</v>
      </c>
      <c r="J917" t="b">
        <v>0</v>
      </c>
      <c r="K917" t="b">
        <v>0</v>
      </c>
    </row>
    <row r="918" spans="1:11" x14ac:dyDescent="0.25">
      <c r="A918" t="s">
        <v>434</v>
      </c>
      <c r="B918" t="s">
        <v>435</v>
      </c>
      <c r="C918" t="s">
        <v>461</v>
      </c>
      <c r="D918" t="s">
        <v>462</v>
      </c>
      <c r="E918" s="4">
        <v>26745953</v>
      </c>
      <c r="F918" s="4">
        <v>13916.36</v>
      </c>
      <c r="G918" s="4">
        <v>1391636</v>
      </c>
      <c r="H918" s="4">
        <v>1391.6360000000002</v>
      </c>
      <c r="I918" s="4">
        <v>19.219072372373237</v>
      </c>
      <c r="J918" t="b">
        <v>0</v>
      </c>
      <c r="K918" t="b">
        <v>0</v>
      </c>
    </row>
    <row r="919" spans="1:11" x14ac:dyDescent="0.25">
      <c r="A919" t="s">
        <v>434</v>
      </c>
      <c r="B919" t="s">
        <v>435</v>
      </c>
      <c r="C919" t="s">
        <v>463</v>
      </c>
      <c r="D919" t="s">
        <v>464</v>
      </c>
      <c r="E919" s="4">
        <v>40723384</v>
      </c>
      <c r="F919" s="4">
        <v>12351.69</v>
      </c>
      <c r="G919" s="4">
        <v>1235169</v>
      </c>
      <c r="H919" s="4">
        <v>1235.169</v>
      </c>
      <c r="I919" s="4">
        <v>32.969888331070486</v>
      </c>
      <c r="J919" t="b">
        <v>0</v>
      </c>
      <c r="K919" t="b">
        <v>0</v>
      </c>
    </row>
    <row r="920" spans="1:11" x14ac:dyDescent="0.25">
      <c r="A920" t="s">
        <v>434</v>
      </c>
      <c r="B920" t="s">
        <v>435</v>
      </c>
      <c r="C920" t="s">
        <v>465</v>
      </c>
      <c r="D920" t="s">
        <v>478</v>
      </c>
      <c r="E920" s="4">
        <v>12529312</v>
      </c>
      <c r="F920" s="4">
        <v>28749.89</v>
      </c>
      <c r="G920" s="4">
        <v>2874989</v>
      </c>
      <c r="H920" s="4">
        <v>2874.989</v>
      </c>
      <c r="I920" s="4">
        <v>4.358038239450655</v>
      </c>
      <c r="J920" t="b">
        <v>0</v>
      </c>
      <c r="K920" t="b">
        <v>0</v>
      </c>
    </row>
    <row r="921" spans="1:11" x14ac:dyDescent="0.25">
      <c r="A921" t="s">
        <v>434</v>
      </c>
      <c r="B921" t="s">
        <v>435</v>
      </c>
      <c r="C921" t="s">
        <v>467</v>
      </c>
      <c r="D921" t="s">
        <v>468</v>
      </c>
      <c r="E921" s="4">
        <v>8504237</v>
      </c>
      <c r="F921" s="4">
        <v>4065.54</v>
      </c>
      <c r="G921" s="4">
        <v>406554</v>
      </c>
      <c r="H921" s="4">
        <v>406.55400000000003</v>
      </c>
      <c r="I921" s="4">
        <v>20.91785347087964</v>
      </c>
      <c r="J921" t="b">
        <v>0</v>
      </c>
      <c r="K921" t="b">
        <v>0</v>
      </c>
    </row>
    <row r="922" spans="1:11" x14ac:dyDescent="0.25">
      <c r="A922" t="s">
        <v>436</v>
      </c>
      <c r="B922" t="s">
        <v>437</v>
      </c>
      <c r="C922" t="s">
        <v>455</v>
      </c>
      <c r="D922" t="s">
        <v>477</v>
      </c>
      <c r="E922" s="4">
        <v>1448396</v>
      </c>
      <c r="F922" s="4">
        <v>2558.03</v>
      </c>
      <c r="G922" s="4">
        <v>255803.00000000003</v>
      </c>
      <c r="H922" s="4">
        <v>255.80300000000003</v>
      </c>
      <c r="I922" s="4">
        <v>5.662154079506495</v>
      </c>
      <c r="J922" t="b">
        <v>0</v>
      </c>
      <c r="K922" t="b">
        <v>0</v>
      </c>
    </row>
    <row r="923" spans="1:11" x14ac:dyDescent="0.25">
      <c r="A923" t="s">
        <v>436</v>
      </c>
      <c r="B923" t="s">
        <v>437</v>
      </c>
      <c r="C923" t="s">
        <v>461</v>
      </c>
      <c r="D923" t="s">
        <v>462</v>
      </c>
      <c r="E923" s="4">
        <v>28696769</v>
      </c>
      <c r="F923" s="4">
        <v>16888.09</v>
      </c>
      <c r="G923" s="4">
        <v>1688809</v>
      </c>
      <c r="H923" s="4">
        <v>1688.8090000000002</v>
      </c>
      <c r="I923" s="4">
        <v>16.992311741588303</v>
      </c>
      <c r="J923" t="b">
        <v>0</v>
      </c>
      <c r="K923" t="b">
        <v>0</v>
      </c>
    </row>
    <row r="924" spans="1:11" x14ac:dyDescent="0.25">
      <c r="A924" t="s">
        <v>436</v>
      </c>
      <c r="B924" t="s">
        <v>437</v>
      </c>
      <c r="C924" t="s">
        <v>463</v>
      </c>
      <c r="D924" t="s">
        <v>464</v>
      </c>
      <c r="E924" s="4">
        <v>31983131</v>
      </c>
      <c r="F924" s="4">
        <v>9977.38</v>
      </c>
      <c r="G924" s="4">
        <v>997737.9999999999</v>
      </c>
      <c r="H924" s="4">
        <v>997.7379999999999</v>
      </c>
      <c r="I924" s="4">
        <v>32.055640859624475</v>
      </c>
      <c r="J924" t="b">
        <v>0</v>
      </c>
      <c r="K924" t="b">
        <v>0</v>
      </c>
    </row>
    <row r="925" spans="1:11" x14ac:dyDescent="0.25">
      <c r="A925" t="s">
        <v>436</v>
      </c>
      <c r="B925" t="s">
        <v>437</v>
      </c>
      <c r="C925" t="s">
        <v>465</v>
      </c>
      <c r="D925" t="s">
        <v>478</v>
      </c>
      <c r="E925" s="4">
        <v>15356556</v>
      </c>
      <c r="F925" s="4">
        <v>42004.3</v>
      </c>
      <c r="G925" s="4">
        <v>4200430</v>
      </c>
      <c r="H925" s="4">
        <v>4200.43</v>
      </c>
      <c r="I925" s="4">
        <v>3.6559485576476694</v>
      </c>
      <c r="J925" t="b">
        <v>0</v>
      </c>
      <c r="K925" t="b">
        <v>0</v>
      </c>
    </row>
    <row r="926" spans="1:11" x14ac:dyDescent="0.25">
      <c r="A926" t="s">
        <v>436</v>
      </c>
      <c r="B926" t="s">
        <v>437</v>
      </c>
      <c r="C926" t="s">
        <v>467</v>
      </c>
      <c r="D926" t="s">
        <v>468</v>
      </c>
      <c r="E926" s="4">
        <v>6057824</v>
      </c>
      <c r="F926" s="4">
        <v>3031.07</v>
      </c>
      <c r="G926" s="4">
        <v>303107</v>
      </c>
      <c r="H926" s="4">
        <v>303.107</v>
      </c>
      <c r="I926" s="4">
        <v>19.985760803940522</v>
      </c>
      <c r="J926" t="b">
        <v>0</v>
      </c>
      <c r="K926" t="b">
        <v>0</v>
      </c>
    </row>
    <row r="927" spans="1:11" x14ac:dyDescent="0.25">
      <c r="A927" t="s">
        <v>438</v>
      </c>
      <c r="B927" t="s">
        <v>11</v>
      </c>
      <c r="C927" t="s">
        <v>455</v>
      </c>
      <c r="D927" t="s">
        <v>477</v>
      </c>
      <c r="E927" s="4">
        <v>1019780</v>
      </c>
      <c r="F927" s="4">
        <v>1938.75</v>
      </c>
      <c r="G927" s="4">
        <v>193875</v>
      </c>
      <c r="H927" s="4">
        <v>193.875</v>
      </c>
      <c r="I927" s="4">
        <v>5.259987105093488</v>
      </c>
      <c r="J927" t="b">
        <v>0</v>
      </c>
      <c r="K927" t="b">
        <v>0</v>
      </c>
    </row>
    <row r="928" spans="1:11" x14ac:dyDescent="0.25">
      <c r="A928" t="s">
        <v>438</v>
      </c>
      <c r="B928" t="s">
        <v>11</v>
      </c>
      <c r="C928" t="s">
        <v>461</v>
      </c>
      <c r="D928" t="s">
        <v>462</v>
      </c>
      <c r="E928" s="4">
        <v>30081799</v>
      </c>
      <c r="F928" s="4">
        <v>17663.86</v>
      </c>
      <c r="G928" s="4">
        <v>1766386</v>
      </c>
      <c r="H928" s="4">
        <v>1766.3860000000002</v>
      </c>
      <c r="I928" s="4">
        <v>17.03013893905409</v>
      </c>
      <c r="J928" t="b">
        <v>0</v>
      </c>
      <c r="K928" t="b">
        <v>0</v>
      </c>
    </row>
    <row r="929" spans="1:11" x14ac:dyDescent="0.25">
      <c r="A929" t="s">
        <v>438</v>
      </c>
      <c r="B929" t="s">
        <v>11</v>
      </c>
      <c r="C929" t="s">
        <v>463</v>
      </c>
      <c r="D929" t="s">
        <v>464</v>
      </c>
      <c r="E929" s="4">
        <v>33632817</v>
      </c>
      <c r="F929" s="4">
        <v>9680.22</v>
      </c>
      <c r="G929" s="4">
        <v>968021.9999999999</v>
      </c>
      <c r="H929" s="4">
        <v>968.0219999999999</v>
      </c>
      <c r="I929" s="4">
        <v>34.74385602806548</v>
      </c>
      <c r="J929" t="b">
        <v>0</v>
      </c>
      <c r="K929" t="b">
        <v>0</v>
      </c>
    </row>
    <row r="930" spans="1:11" x14ac:dyDescent="0.25">
      <c r="A930" t="s">
        <v>438</v>
      </c>
      <c r="B930" t="s">
        <v>11</v>
      </c>
      <c r="C930" t="s">
        <v>465</v>
      </c>
      <c r="D930" t="s">
        <v>478</v>
      </c>
      <c r="E930" s="4">
        <v>14615618</v>
      </c>
      <c r="F930" s="4">
        <v>35394.17</v>
      </c>
      <c r="G930" s="4">
        <v>3539417</v>
      </c>
      <c r="H930" s="4">
        <v>3539.417</v>
      </c>
      <c r="I930" s="4">
        <v>4.1293857152180715</v>
      </c>
      <c r="J930" t="b">
        <v>0</v>
      </c>
      <c r="K930" t="b">
        <v>0</v>
      </c>
    </row>
    <row r="931" spans="1:11" x14ac:dyDescent="0.25">
      <c r="A931" t="s">
        <v>438</v>
      </c>
      <c r="B931" t="s">
        <v>11</v>
      </c>
      <c r="C931" t="s">
        <v>467</v>
      </c>
      <c r="D931" t="s">
        <v>468</v>
      </c>
      <c r="E931" s="4">
        <v>5576474</v>
      </c>
      <c r="F931" s="4">
        <v>2685.37</v>
      </c>
      <c r="G931" s="4">
        <v>268537</v>
      </c>
      <c r="H931" s="4">
        <v>268.537</v>
      </c>
      <c r="I931" s="4">
        <v>20.76612906228937</v>
      </c>
      <c r="J931" t="b">
        <v>0</v>
      </c>
      <c r="K931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2" customWidth="1"/>
    <col min="9" max="9" width="13" customWidth="1"/>
    <col min="10" max="10" width="16" customWidth="1"/>
    <col min="11" max="12" width="14" customWidth="1"/>
    <col min="13" max="15" width="12" customWidth="1"/>
  </cols>
  <sheetData>
    <row r="1" spans="1:15" x14ac:dyDescent="0.25">
      <c r="A1" t="s">
        <v>41</v>
      </c>
      <c r="B1" t="s">
        <v>42</v>
      </c>
      <c r="C1" t="s">
        <v>479</v>
      </c>
      <c r="D1" t="s">
        <v>445</v>
      </c>
      <c r="E1" t="s">
        <v>446</v>
      </c>
      <c r="F1" t="s">
        <v>35</v>
      </c>
      <c r="G1" t="s">
        <v>12</v>
      </c>
      <c r="H1" t="s">
        <v>452</v>
      </c>
      <c r="I1" t="s">
        <v>480</v>
      </c>
      <c r="J1" t="s">
        <v>481</v>
      </c>
      <c r="K1" t="s">
        <v>482</v>
      </c>
      <c r="L1" t="s">
        <v>483</v>
      </c>
      <c r="M1" t="s">
        <v>484</v>
      </c>
      <c r="N1" t="s">
        <v>485</v>
      </c>
      <c r="O1" t="s">
        <v>486</v>
      </c>
    </row>
    <row r="2" spans="1:15" x14ac:dyDescent="0.25">
      <c r="A2" t="s">
        <v>439</v>
      </c>
      <c r="B2" t="s">
        <v>440</v>
      </c>
      <c r="C2" t="s">
        <v>487</v>
      </c>
      <c r="D2" t="s">
        <v>455</v>
      </c>
      <c r="E2" t="s">
        <v>477</v>
      </c>
      <c r="F2">
        <v>1</v>
      </c>
      <c r="G2" t="s">
        <v>488</v>
      </c>
      <c r="H2" s="3">
        <v>0.01322649718817164</v>
      </c>
      <c r="I2" s="4">
        <v>1562393.2322111663</v>
      </c>
      <c r="J2" s="4">
        <v>491.06230264841145</v>
      </c>
      <c r="K2" s="4">
        <v>884457.1078348461</v>
      </c>
      <c r="L2" s="4">
        <v>2159879.008388102</v>
      </c>
      <c r="M2" t="s">
        <v>489</v>
      </c>
      <c r="N2" s="3">
        <v>0.44591643677986714</v>
      </c>
      <c r="O2" s="3">
        <v>2.6294000967832374</v>
      </c>
    </row>
    <row r="3" spans="1:15" x14ac:dyDescent="0.25">
      <c r="A3" t="s">
        <v>441</v>
      </c>
      <c r="B3" t="s">
        <v>442</v>
      </c>
      <c r="C3" t="s">
        <v>487</v>
      </c>
      <c r="D3" t="s">
        <v>455</v>
      </c>
      <c r="E3" t="s">
        <v>477</v>
      </c>
      <c r="F3">
        <v>2</v>
      </c>
      <c r="G3" t="s">
        <v>488</v>
      </c>
      <c r="H3" s="3">
        <v>0.01322649718817164</v>
      </c>
      <c r="I3" s="4">
        <v>936374.2806029461</v>
      </c>
      <c r="J3" s="4">
        <v>324.0206923541274</v>
      </c>
      <c r="K3" s="4">
        <v>516252.6015734134</v>
      </c>
      <c r="L3" s="4">
        <v>1359303.6378260986</v>
      </c>
      <c r="M3" t="s">
        <v>489</v>
      </c>
      <c r="N3" s="3">
        <v>0.47582514906004864</v>
      </c>
      <c r="O3" s="3">
        <v>3.632370461102642</v>
      </c>
    </row>
    <row r="4" spans="1:15" x14ac:dyDescent="0.25">
      <c r="A4" t="s">
        <v>443</v>
      </c>
      <c r="B4" t="s">
        <v>444</v>
      </c>
      <c r="C4" t="s">
        <v>487</v>
      </c>
      <c r="D4" t="s">
        <v>455</v>
      </c>
      <c r="E4" t="s">
        <v>477</v>
      </c>
      <c r="F4">
        <v>3</v>
      </c>
      <c r="G4" t="s">
        <v>488</v>
      </c>
      <c r="H4" s="3">
        <v>0.01322649718817164</v>
      </c>
      <c r="I4" s="4">
        <v>1010557.658594578</v>
      </c>
      <c r="J4" s="4">
        <v>364.6063529569399</v>
      </c>
      <c r="K4" s="4">
        <v>572341.4856822987</v>
      </c>
      <c r="L4" s="4">
        <v>1499691.8859080917</v>
      </c>
      <c r="M4" t="s">
        <v>489</v>
      </c>
      <c r="N4" s="3">
        <v>0.4598378663726461</v>
      </c>
      <c r="O4" s="3">
        <v>2.959120030564501</v>
      </c>
    </row>
    <row r="5" spans="1:15" x14ac:dyDescent="0.25">
      <c r="A5" t="s">
        <v>439</v>
      </c>
      <c r="B5" t="s">
        <v>440</v>
      </c>
      <c r="C5" t="s">
        <v>487</v>
      </c>
      <c r="D5" t="s">
        <v>461</v>
      </c>
      <c r="E5" t="s">
        <v>462</v>
      </c>
      <c r="F5">
        <v>1</v>
      </c>
      <c r="G5" t="s">
        <v>488</v>
      </c>
      <c r="H5" s="3">
        <v>-0.04516154512815402</v>
      </c>
      <c r="I5" s="4">
        <v>31653487.733682167</v>
      </c>
      <c r="J5" s="4">
        <v>1910.909680001277</v>
      </c>
      <c r="K5" s="4">
        <v>23198371.675311983</v>
      </c>
      <c r="L5" s="4">
        <v>40027524.18810222</v>
      </c>
      <c r="M5" t="s">
        <v>489</v>
      </c>
      <c r="N5" s="3">
        <v>0.22733448837803263</v>
      </c>
      <c r="O5" s="3">
        <v>1.006386646789054</v>
      </c>
    </row>
    <row r="6" spans="1:15" x14ac:dyDescent="0.25">
      <c r="A6" t="s">
        <v>441</v>
      </c>
      <c r="B6" t="s">
        <v>442</v>
      </c>
      <c r="C6" t="s">
        <v>487</v>
      </c>
      <c r="D6" t="s">
        <v>461</v>
      </c>
      <c r="E6" t="s">
        <v>462</v>
      </c>
      <c r="F6">
        <v>2</v>
      </c>
      <c r="G6" t="s">
        <v>488</v>
      </c>
      <c r="H6" s="3">
        <v>-0.04516154512815402</v>
      </c>
      <c r="I6" s="4">
        <v>26217681.210073054</v>
      </c>
      <c r="J6" s="4">
        <v>1505.9444789925128</v>
      </c>
      <c r="K6" s="4">
        <v>18724370.020245682</v>
      </c>
      <c r="L6" s="4">
        <v>33708307.86011584</v>
      </c>
      <c r="M6" t="s">
        <v>489</v>
      </c>
      <c r="N6" s="3">
        <v>0.2474495959392855</v>
      </c>
      <c r="O6" s="3">
        <v>1.1050873191359223</v>
      </c>
    </row>
    <row r="7" spans="1:15" x14ac:dyDescent="0.25">
      <c r="A7" t="s">
        <v>443</v>
      </c>
      <c r="B7" t="s">
        <v>444</v>
      </c>
      <c r="C7" t="s">
        <v>487</v>
      </c>
      <c r="D7" t="s">
        <v>461</v>
      </c>
      <c r="E7" t="s">
        <v>462</v>
      </c>
      <c r="F7">
        <v>3</v>
      </c>
      <c r="G7" t="s">
        <v>488</v>
      </c>
      <c r="H7" s="3">
        <v>-0.04516154512815402</v>
      </c>
      <c r="I7" s="4">
        <v>19110799.493692804</v>
      </c>
      <c r="J7" s="4">
        <v>1136.2897406817613</v>
      </c>
      <c r="K7" s="4">
        <v>13701693.41061513</v>
      </c>
      <c r="L7" s="4">
        <v>24841709.64267476</v>
      </c>
      <c r="M7" t="s">
        <v>489</v>
      </c>
      <c r="N7" s="3">
        <v>0.26130636001228474</v>
      </c>
      <c r="O7" s="3">
        <v>1.1241152768816147</v>
      </c>
    </row>
    <row r="8" spans="1:15" x14ac:dyDescent="0.25">
      <c r="A8" t="s">
        <v>439</v>
      </c>
      <c r="B8" t="s">
        <v>440</v>
      </c>
      <c r="C8" t="s">
        <v>487</v>
      </c>
      <c r="D8" t="s">
        <v>463</v>
      </c>
      <c r="E8" t="s">
        <v>464</v>
      </c>
      <c r="F8">
        <v>1</v>
      </c>
      <c r="G8" t="s">
        <v>488</v>
      </c>
      <c r="H8" s="3">
        <v>-0.043341818782714044</v>
      </c>
      <c r="I8" s="4">
        <v>35754765.649290815</v>
      </c>
      <c r="J8" s="4">
        <v>1035.3279191512063</v>
      </c>
      <c r="K8" s="4">
        <v>28056185.55659655</v>
      </c>
      <c r="L8" s="4">
        <v>42580826.208737515</v>
      </c>
      <c r="M8" t="s">
        <v>489</v>
      </c>
      <c r="N8" s="3">
        <v>0.21940424502936445</v>
      </c>
      <c r="O8" s="3">
        <v>1.3884873941972256</v>
      </c>
    </row>
    <row r="9" spans="1:15" x14ac:dyDescent="0.25">
      <c r="A9" t="s">
        <v>441</v>
      </c>
      <c r="B9" t="s">
        <v>442</v>
      </c>
      <c r="C9" t="s">
        <v>487</v>
      </c>
      <c r="D9" t="s">
        <v>463</v>
      </c>
      <c r="E9" t="s">
        <v>464</v>
      </c>
      <c r="F9">
        <v>2</v>
      </c>
      <c r="G9" t="s">
        <v>488</v>
      </c>
      <c r="H9" s="3">
        <v>-0.043341818782714044</v>
      </c>
      <c r="I9" s="4">
        <v>24332422.900839962</v>
      </c>
      <c r="J9" s="4">
        <v>776.4162268223016</v>
      </c>
      <c r="K9" s="4">
        <v>18722771.29204915</v>
      </c>
      <c r="L9" s="4">
        <v>29703731.551067587</v>
      </c>
      <c r="M9" t="s">
        <v>489</v>
      </c>
      <c r="N9" s="3">
        <v>0.23888887057127725</v>
      </c>
      <c r="O9" s="3">
        <v>1.6168670485061356</v>
      </c>
    </row>
    <row r="10" spans="1:15" x14ac:dyDescent="0.25">
      <c r="A10" t="s">
        <v>443</v>
      </c>
      <c r="B10" t="s">
        <v>444</v>
      </c>
      <c r="C10" t="s">
        <v>487</v>
      </c>
      <c r="D10" t="s">
        <v>463</v>
      </c>
      <c r="E10" t="s">
        <v>464</v>
      </c>
      <c r="F10">
        <v>3</v>
      </c>
      <c r="G10" t="s">
        <v>488</v>
      </c>
      <c r="H10" s="3">
        <v>-0.043341818782714044</v>
      </c>
      <c r="I10" s="4">
        <v>21296594.441626824</v>
      </c>
      <c r="J10" s="4">
        <v>703.89791001715</v>
      </c>
      <c r="K10" s="4">
        <v>16338165.937504943</v>
      </c>
      <c r="L10" s="4">
        <v>26061831.411428317</v>
      </c>
      <c r="M10" t="s">
        <v>489</v>
      </c>
      <c r="N10" s="3">
        <v>0.24740655065303782</v>
      </c>
      <c r="O10" s="3">
        <v>1.7022246866579582</v>
      </c>
    </row>
    <row r="11" spans="1:15" x14ac:dyDescent="0.25">
      <c r="A11" t="s">
        <v>439</v>
      </c>
      <c r="B11" t="s">
        <v>440</v>
      </c>
      <c r="C11" t="s">
        <v>487</v>
      </c>
      <c r="D11" t="s">
        <v>465</v>
      </c>
      <c r="E11" t="s">
        <v>478</v>
      </c>
      <c r="F11">
        <v>1</v>
      </c>
      <c r="G11" t="s">
        <v>488</v>
      </c>
      <c r="H11" s="3">
        <v>-0.04999285660716957</v>
      </c>
      <c r="I11" s="4">
        <v>15123127.615399018</v>
      </c>
      <c r="J11" s="4">
        <v>4446.197480972322</v>
      </c>
      <c r="K11" s="4">
        <v>11167449.981389556</v>
      </c>
      <c r="L11" s="4">
        <v>19229285.702424575</v>
      </c>
      <c r="M11" t="s">
        <v>489</v>
      </c>
      <c r="N11" s="3">
        <v>0.3272682026319299</v>
      </c>
      <c r="O11" s="3">
        <v>5.000529602421591</v>
      </c>
    </row>
    <row r="12" spans="1:15" x14ac:dyDescent="0.25">
      <c r="A12" t="s">
        <v>441</v>
      </c>
      <c r="B12" t="s">
        <v>442</v>
      </c>
      <c r="C12" t="s">
        <v>487</v>
      </c>
      <c r="D12" t="s">
        <v>465</v>
      </c>
      <c r="E12" t="s">
        <v>478</v>
      </c>
      <c r="F12">
        <v>2</v>
      </c>
      <c r="G12" t="s">
        <v>488</v>
      </c>
      <c r="H12" s="3">
        <v>-0.04999285660716957</v>
      </c>
      <c r="I12" s="4">
        <v>12618335.931108052</v>
      </c>
      <c r="J12" s="4">
        <v>4074.4296270904906</v>
      </c>
      <c r="K12" s="4">
        <v>9225992.874436533</v>
      </c>
      <c r="L12" s="4">
        <v>16274309.122865066</v>
      </c>
      <c r="M12" t="s">
        <v>489</v>
      </c>
      <c r="N12" s="3">
        <v>0.3700262886330072</v>
      </c>
      <c r="O12" s="3">
        <v>5.312183769040744</v>
      </c>
    </row>
    <row r="13" spans="1:15" x14ac:dyDescent="0.25">
      <c r="A13" t="s">
        <v>443</v>
      </c>
      <c r="B13" t="s">
        <v>444</v>
      </c>
      <c r="C13" t="s">
        <v>487</v>
      </c>
      <c r="D13" t="s">
        <v>465</v>
      </c>
      <c r="E13" t="s">
        <v>478</v>
      </c>
      <c r="F13">
        <v>3</v>
      </c>
      <c r="G13" t="s">
        <v>488</v>
      </c>
      <c r="H13" s="3">
        <v>-0.04999285660716957</v>
      </c>
      <c r="I13" s="4">
        <v>13682421.83229378</v>
      </c>
      <c r="J13" s="4">
        <v>4408.5393381121685</v>
      </c>
      <c r="K13" s="4">
        <v>9722819.349207213</v>
      </c>
      <c r="L13" s="4">
        <v>17729377.814070925</v>
      </c>
      <c r="M13" t="s">
        <v>489</v>
      </c>
      <c r="N13" s="3">
        <v>0.3844597774755412</v>
      </c>
      <c r="O13" s="3">
        <v>4.918351879211019</v>
      </c>
    </row>
    <row r="14" spans="1:15" x14ac:dyDescent="0.25">
      <c r="A14" t="s">
        <v>439</v>
      </c>
      <c r="B14" t="s">
        <v>440</v>
      </c>
      <c r="C14" t="s">
        <v>487</v>
      </c>
      <c r="D14" t="s">
        <v>467</v>
      </c>
      <c r="E14" t="s">
        <v>468</v>
      </c>
      <c r="F14">
        <v>1</v>
      </c>
      <c r="G14" t="s">
        <v>488</v>
      </c>
      <c r="H14" s="3">
        <v>-0.19173353243114474</v>
      </c>
      <c r="I14" s="4">
        <v>9405918.123068905</v>
      </c>
      <c r="J14" s="4">
        <v>453.8725157181332</v>
      </c>
      <c r="K14" s="4">
        <v>6860211.737816043</v>
      </c>
      <c r="L14" s="4">
        <v>12574474.326991023</v>
      </c>
      <c r="M14" t="s">
        <v>489</v>
      </c>
      <c r="N14" s="3">
        <v>0.26348624045158414</v>
      </c>
      <c r="O14" s="3">
        <v>1.4968380170142868</v>
      </c>
    </row>
    <row r="15" spans="1:15" x14ac:dyDescent="0.25">
      <c r="A15" t="s">
        <v>441</v>
      </c>
      <c r="B15" t="s">
        <v>442</v>
      </c>
      <c r="C15" t="s">
        <v>487</v>
      </c>
      <c r="D15" t="s">
        <v>467</v>
      </c>
      <c r="E15" t="s">
        <v>468</v>
      </c>
      <c r="F15">
        <v>2</v>
      </c>
      <c r="G15" t="s">
        <v>488</v>
      </c>
      <c r="H15" s="3">
        <v>-0.19173353243114474</v>
      </c>
      <c r="I15" s="4">
        <v>10094608.841159156</v>
      </c>
      <c r="J15" s="4">
        <v>508.5384343288654</v>
      </c>
      <c r="K15" s="4">
        <v>7352716.462679296</v>
      </c>
      <c r="L15" s="4">
        <v>13631492.525207002</v>
      </c>
      <c r="M15" t="s">
        <v>489</v>
      </c>
      <c r="N15" s="3">
        <v>0.274684887431746</v>
      </c>
      <c r="O15" s="3">
        <v>1.6148404970259564</v>
      </c>
    </row>
    <row r="16" spans="1:15" x14ac:dyDescent="0.25">
      <c r="A16" t="s">
        <v>443</v>
      </c>
      <c r="B16" t="s">
        <v>444</v>
      </c>
      <c r="C16" t="s">
        <v>487</v>
      </c>
      <c r="D16" t="s">
        <v>467</v>
      </c>
      <c r="E16" t="s">
        <v>468</v>
      </c>
      <c r="F16">
        <v>3</v>
      </c>
      <c r="G16" t="s">
        <v>488</v>
      </c>
      <c r="H16" s="3">
        <v>-0.19173353243114474</v>
      </c>
      <c r="I16" s="4">
        <v>11652646.72377244</v>
      </c>
      <c r="J16" s="4">
        <v>553.6003634101057</v>
      </c>
      <c r="K16" s="4">
        <v>8250861.719219791</v>
      </c>
      <c r="L16" s="4">
        <v>15639133.6999809</v>
      </c>
      <c r="M16" t="s">
        <v>489</v>
      </c>
      <c r="N16" s="3">
        <v>0.27884807207477663</v>
      </c>
      <c r="O16" s="3">
        <v>1.6363097311743215</v>
      </c>
    </row>
    <row r="17" spans="1:15" x14ac:dyDescent="0.25">
      <c r="A17" t="s">
        <v>439</v>
      </c>
      <c r="B17" t="s">
        <v>440</v>
      </c>
      <c r="C17" t="s">
        <v>490</v>
      </c>
      <c r="D17" t="s">
        <v>491</v>
      </c>
      <c r="E17" t="s">
        <v>492</v>
      </c>
      <c r="F17">
        <v>1</v>
      </c>
      <c r="G17" t="s">
        <v>488</v>
      </c>
      <c r="H17" s="3">
        <v>-0.06629257199633629</v>
      </c>
      <c r="I17" s="4">
        <v>93019091.77624649</v>
      </c>
      <c r="J17" s="4">
        <v>8243.14545275008</v>
      </c>
      <c r="K17" s="4">
        <v>75792688.14499378</v>
      </c>
      <c r="L17" s="4">
        <v>110112093.99612111</v>
      </c>
      <c r="M17" t="s">
        <v>489</v>
      </c>
      <c r="N17" s="3">
        <v>0.2003060119948714</v>
      </c>
      <c r="O17" s="3">
        <v>1.7592059308171164</v>
      </c>
    </row>
    <row r="18" spans="1:15" x14ac:dyDescent="0.25">
      <c r="A18" t="s">
        <v>441</v>
      </c>
      <c r="B18" t="s">
        <v>442</v>
      </c>
      <c r="C18" t="s">
        <v>490</v>
      </c>
      <c r="D18" t="s">
        <v>491</v>
      </c>
      <c r="E18" t="s">
        <v>492</v>
      </c>
      <c r="F18">
        <v>2</v>
      </c>
      <c r="G18" t="s">
        <v>488</v>
      </c>
      <c r="H18" s="3">
        <v>-0.06629257199633629</v>
      </c>
      <c r="I18" s="4">
        <v>74312137.4056903</v>
      </c>
      <c r="J18" s="4">
        <v>7107.638625401996</v>
      </c>
      <c r="K18" s="4">
        <v>58665161.806776404</v>
      </c>
      <c r="L18" s="4">
        <v>88259051.20694607</v>
      </c>
      <c r="M18" t="s">
        <v>489</v>
      </c>
      <c r="N18" s="3">
        <v>0.22080309532316472</v>
      </c>
      <c r="O18" s="3">
        <v>2.0770404936213276</v>
      </c>
    </row>
    <row r="19" spans="1:15" x14ac:dyDescent="0.25">
      <c r="A19" t="s">
        <v>443</v>
      </c>
      <c r="B19" t="s">
        <v>444</v>
      </c>
      <c r="C19" t="s">
        <v>490</v>
      </c>
      <c r="D19" t="s">
        <v>491</v>
      </c>
      <c r="E19" t="s">
        <v>492</v>
      </c>
      <c r="F19">
        <v>3</v>
      </c>
      <c r="G19" t="s">
        <v>488</v>
      </c>
      <c r="H19" s="3">
        <v>-0.06629257199633629</v>
      </c>
      <c r="I19" s="4">
        <v>67313568.8599711</v>
      </c>
      <c r="J19" s="4">
        <v>7028.229811179953</v>
      </c>
      <c r="K19" s="4">
        <v>52886723.350847796</v>
      </c>
      <c r="L19" s="4">
        <v>82702038.1357408</v>
      </c>
      <c r="M19" t="s">
        <v>489</v>
      </c>
      <c r="N19" s="3">
        <v>0.23342748552844864</v>
      </c>
      <c r="O19" s="3">
        <v>2.2048812503979787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7" customWidth="1"/>
    <col min="6" max="8" width="12" customWidth="1"/>
    <col min="9" max="9" width="13" customWidth="1"/>
    <col min="10" max="10" width="12" customWidth="1"/>
    <col min="11" max="11" width="13" customWidth="1"/>
    <col min="12" max="12" width="14" customWidth="1"/>
  </cols>
  <sheetData>
    <row r="1" spans="1:12" x14ac:dyDescent="0.25">
      <c r="A1" t="s">
        <v>479</v>
      </c>
      <c r="B1" t="s">
        <v>445</v>
      </c>
      <c r="C1" t="s">
        <v>446</v>
      </c>
      <c r="D1" t="s">
        <v>493</v>
      </c>
      <c r="E1" t="s">
        <v>494</v>
      </c>
      <c r="F1" t="s">
        <v>35</v>
      </c>
      <c r="G1" t="s">
        <v>12</v>
      </c>
      <c r="H1" t="s">
        <v>495</v>
      </c>
      <c r="I1" t="s">
        <v>480</v>
      </c>
      <c r="J1" t="s">
        <v>496</v>
      </c>
      <c r="K1" t="s">
        <v>497</v>
      </c>
      <c r="L1" t="s">
        <v>49</v>
      </c>
    </row>
    <row r="2" spans="1:12" x14ac:dyDescent="0.25">
      <c r="A2" t="s">
        <v>487</v>
      </c>
      <c r="B2" t="s">
        <v>455</v>
      </c>
      <c r="C2" t="s">
        <v>477</v>
      </c>
      <c r="D2" t="s">
        <v>114</v>
      </c>
      <c r="E2" t="s">
        <v>116</v>
      </c>
      <c r="F2">
        <v>1</v>
      </c>
      <c r="G2" t="s">
        <v>488</v>
      </c>
      <c r="H2" s="4">
        <v>737767</v>
      </c>
      <c r="I2" s="4">
        <v>1040290.2912050295</v>
      </c>
      <c r="J2" s="3">
        <v>0.4100526198718965</v>
      </c>
      <c r="K2" s="3">
        <v>-0.2908066082733493</v>
      </c>
      <c r="L2" t="s">
        <v>54</v>
      </c>
    </row>
    <row r="3" spans="1:12" x14ac:dyDescent="0.25">
      <c r="A3" t="s">
        <v>487</v>
      </c>
      <c r="B3" t="s">
        <v>455</v>
      </c>
      <c r="C3" t="s">
        <v>477</v>
      </c>
      <c r="D3" t="s">
        <v>114</v>
      </c>
      <c r="E3" t="s">
        <v>116</v>
      </c>
      <c r="F3">
        <v>1</v>
      </c>
      <c r="G3" t="s">
        <v>498</v>
      </c>
      <c r="H3" s="4">
        <v>737767</v>
      </c>
      <c r="I3" s="4">
        <v>978583</v>
      </c>
      <c r="J3" s="3">
        <v>0.32641199728369524</v>
      </c>
      <c r="K3" s="3">
        <v>-0.24608643313852785</v>
      </c>
      <c r="L3" t="s">
        <v>54</v>
      </c>
    </row>
    <row r="4" spans="1:12" x14ac:dyDescent="0.25">
      <c r="A4" t="s">
        <v>487</v>
      </c>
      <c r="B4" t="s">
        <v>455</v>
      </c>
      <c r="C4" t="s">
        <v>477</v>
      </c>
      <c r="D4" t="s">
        <v>114</v>
      </c>
      <c r="E4" t="s">
        <v>116</v>
      </c>
      <c r="F4">
        <v>1</v>
      </c>
      <c r="G4" t="s">
        <v>499</v>
      </c>
      <c r="H4" s="4">
        <v>737767</v>
      </c>
      <c r="I4" s="4">
        <v>1075849</v>
      </c>
      <c r="J4" s="3">
        <v>0.458250369018945</v>
      </c>
      <c r="K4" s="3">
        <v>-0.314246701907052</v>
      </c>
      <c r="L4" t="s">
        <v>54</v>
      </c>
    </row>
    <row r="5" spans="1:12" x14ac:dyDescent="0.25">
      <c r="A5" t="s">
        <v>487</v>
      </c>
      <c r="B5" t="s">
        <v>455</v>
      </c>
      <c r="C5" t="s">
        <v>477</v>
      </c>
      <c r="D5" t="s">
        <v>114</v>
      </c>
      <c r="E5" t="s">
        <v>118</v>
      </c>
      <c r="F5">
        <v>2</v>
      </c>
      <c r="G5" t="s">
        <v>488</v>
      </c>
      <c r="H5" s="4">
        <v>895787</v>
      </c>
      <c r="I5" s="4">
        <v>875044.334524733</v>
      </c>
      <c r="J5" s="3">
        <v>0.023155800960794237</v>
      </c>
      <c r="K5" s="3">
        <v>0.023704702329777436</v>
      </c>
      <c r="L5" t="s">
        <v>54</v>
      </c>
    </row>
    <row r="6" spans="1:12" x14ac:dyDescent="0.25">
      <c r="A6" t="s">
        <v>487</v>
      </c>
      <c r="B6" t="s">
        <v>455</v>
      </c>
      <c r="C6" t="s">
        <v>477</v>
      </c>
      <c r="D6" t="s">
        <v>114</v>
      </c>
      <c r="E6" t="s">
        <v>118</v>
      </c>
      <c r="F6">
        <v>2</v>
      </c>
      <c r="G6" t="s">
        <v>498</v>
      </c>
      <c r="H6" s="4">
        <v>895787</v>
      </c>
      <c r="I6" s="4">
        <v>823139</v>
      </c>
      <c r="J6" s="3">
        <v>0.08109963640910171</v>
      </c>
      <c r="K6" s="3">
        <v>0.08825726882094033</v>
      </c>
      <c r="L6" t="s">
        <v>54</v>
      </c>
    </row>
    <row r="7" spans="1:12" x14ac:dyDescent="0.25">
      <c r="A7" t="s">
        <v>487</v>
      </c>
      <c r="B7" t="s">
        <v>455</v>
      </c>
      <c r="C7" t="s">
        <v>477</v>
      </c>
      <c r="D7" t="s">
        <v>114</v>
      </c>
      <c r="E7" t="s">
        <v>118</v>
      </c>
      <c r="F7">
        <v>2</v>
      </c>
      <c r="G7" t="s">
        <v>499</v>
      </c>
      <c r="H7" s="4">
        <v>895787</v>
      </c>
      <c r="I7" s="4">
        <v>1075849</v>
      </c>
      <c r="J7" s="3">
        <v>0.20100983827628666</v>
      </c>
      <c r="K7" s="3">
        <v>-0.16736735359701965</v>
      </c>
      <c r="L7" t="s">
        <v>54</v>
      </c>
    </row>
    <row r="8" spans="1:12" x14ac:dyDescent="0.25">
      <c r="A8" t="s">
        <v>487</v>
      </c>
      <c r="B8" t="s">
        <v>455</v>
      </c>
      <c r="C8" t="s">
        <v>477</v>
      </c>
      <c r="D8" t="s">
        <v>114</v>
      </c>
      <c r="E8" t="s">
        <v>120</v>
      </c>
      <c r="F8">
        <v>3</v>
      </c>
      <c r="G8" t="s">
        <v>488</v>
      </c>
      <c r="H8" s="4">
        <v>959068</v>
      </c>
      <c r="I8" s="4">
        <v>992716.3285345074</v>
      </c>
      <c r="J8" s="3">
        <v>0.03508440333167974</v>
      </c>
      <c r="K8" s="3">
        <v>-0.033895210109196654</v>
      </c>
      <c r="L8" t="s">
        <v>54</v>
      </c>
    </row>
    <row r="9" spans="1:12" x14ac:dyDescent="0.25">
      <c r="A9" t="s">
        <v>487</v>
      </c>
      <c r="B9" t="s">
        <v>455</v>
      </c>
      <c r="C9" t="s">
        <v>477</v>
      </c>
      <c r="D9" t="s">
        <v>114</v>
      </c>
      <c r="E9" t="s">
        <v>120</v>
      </c>
      <c r="F9">
        <v>3</v>
      </c>
      <c r="G9" t="s">
        <v>498</v>
      </c>
      <c r="H9" s="4">
        <v>959068</v>
      </c>
      <c r="I9" s="4">
        <v>933831</v>
      </c>
      <c r="J9" s="3">
        <v>0.026314088260686416</v>
      </c>
      <c r="K9" s="3">
        <v>0.027025232617036703</v>
      </c>
      <c r="L9" t="s">
        <v>54</v>
      </c>
    </row>
    <row r="10" spans="1:12" x14ac:dyDescent="0.25">
      <c r="A10" t="s">
        <v>487</v>
      </c>
      <c r="B10" t="s">
        <v>455</v>
      </c>
      <c r="C10" t="s">
        <v>477</v>
      </c>
      <c r="D10" t="s">
        <v>114</v>
      </c>
      <c r="E10" t="s">
        <v>120</v>
      </c>
      <c r="F10">
        <v>3</v>
      </c>
      <c r="G10" t="s">
        <v>499</v>
      </c>
      <c r="H10" s="4">
        <v>959068</v>
      </c>
      <c r="I10" s="4">
        <v>1075849</v>
      </c>
      <c r="J10" s="3">
        <v>0.12176508860685582</v>
      </c>
      <c r="K10" s="3">
        <v>-0.10854776088465946</v>
      </c>
      <c r="L10" t="s">
        <v>54</v>
      </c>
    </row>
    <row r="11" spans="1:12" x14ac:dyDescent="0.25">
      <c r="A11" t="s">
        <v>487</v>
      </c>
      <c r="B11" t="s">
        <v>455</v>
      </c>
      <c r="C11" t="s">
        <v>477</v>
      </c>
      <c r="D11" t="s">
        <v>116</v>
      </c>
      <c r="E11" t="s">
        <v>118</v>
      </c>
      <c r="F11">
        <v>1</v>
      </c>
      <c r="G11" t="s">
        <v>488</v>
      </c>
      <c r="H11" s="4">
        <v>895787</v>
      </c>
      <c r="I11" s="4">
        <v>773454.3260329599</v>
      </c>
      <c r="J11" s="3">
        <v>0.1365644667393478</v>
      </c>
      <c r="K11" s="3">
        <v>0.15816405681571827</v>
      </c>
      <c r="L11" t="s">
        <v>54</v>
      </c>
    </row>
    <row r="12" spans="1:12" x14ac:dyDescent="0.25">
      <c r="A12" t="s">
        <v>487</v>
      </c>
      <c r="B12" t="s">
        <v>455</v>
      </c>
      <c r="C12" t="s">
        <v>477</v>
      </c>
      <c r="D12" t="s">
        <v>116</v>
      </c>
      <c r="E12" t="s">
        <v>118</v>
      </c>
      <c r="F12">
        <v>1</v>
      </c>
      <c r="G12" t="s">
        <v>498</v>
      </c>
      <c r="H12" s="4">
        <v>895787</v>
      </c>
      <c r="I12" s="4">
        <v>823139</v>
      </c>
      <c r="J12" s="3">
        <v>0.08109963640910171</v>
      </c>
      <c r="K12" s="3">
        <v>0.08825726882094033</v>
      </c>
      <c r="L12" t="s">
        <v>54</v>
      </c>
    </row>
    <row r="13" spans="1:12" x14ac:dyDescent="0.25">
      <c r="A13" t="s">
        <v>487</v>
      </c>
      <c r="B13" t="s">
        <v>455</v>
      </c>
      <c r="C13" t="s">
        <v>477</v>
      </c>
      <c r="D13" t="s">
        <v>116</v>
      </c>
      <c r="E13" t="s">
        <v>118</v>
      </c>
      <c r="F13">
        <v>1</v>
      </c>
      <c r="G13" t="s">
        <v>499</v>
      </c>
      <c r="H13" s="4">
        <v>895787</v>
      </c>
      <c r="I13" s="4">
        <v>737767</v>
      </c>
      <c r="J13" s="3">
        <v>0.17640354235995834</v>
      </c>
      <c r="K13" s="3">
        <v>0.21418686387436683</v>
      </c>
      <c r="L13" t="s">
        <v>54</v>
      </c>
    </row>
    <row r="14" spans="1:12" x14ac:dyDescent="0.25">
      <c r="A14" t="s">
        <v>487</v>
      </c>
      <c r="B14" t="s">
        <v>455</v>
      </c>
      <c r="C14" t="s">
        <v>477</v>
      </c>
      <c r="D14" t="s">
        <v>116</v>
      </c>
      <c r="E14" t="s">
        <v>120</v>
      </c>
      <c r="F14">
        <v>2</v>
      </c>
      <c r="G14" t="s">
        <v>488</v>
      </c>
      <c r="H14" s="4">
        <v>959068</v>
      </c>
      <c r="I14" s="4">
        <v>877464.9563848693</v>
      </c>
      <c r="J14" s="3">
        <v>0.08508577453854232</v>
      </c>
      <c r="K14" s="3">
        <v>0.09299863546839857</v>
      </c>
      <c r="L14" t="s">
        <v>54</v>
      </c>
    </row>
    <row r="15" spans="1:12" x14ac:dyDescent="0.25">
      <c r="A15" t="s">
        <v>487</v>
      </c>
      <c r="B15" t="s">
        <v>455</v>
      </c>
      <c r="C15" t="s">
        <v>477</v>
      </c>
      <c r="D15" t="s">
        <v>116</v>
      </c>
      <c r="E15" t="s">
        <v>120</v>
      </c>
      <c r="F15">
        <v>2</v>
      </c>
      <c r="G15" t="s">
        <v>498</v>
      </c>
      <c r="H15" s="4">
        <v>959068</v>
      </c>
      <c r="I15" s="4">
        <v>933831</v>
      </c>
      <c r="J15" s="3">
        <v>0.026314088260686416</v>
      </c>
      <c r="K15" s="3">
        <v>0.027025232617036703</v>
      </c>
      <c r="L15" t="s">
        <v>54</v>
      </c>
    </row>
    <row r="16" spans="1:12" x14ac:dyDescent="0.25">
      <c r="A16" t="s">
        <v>487</v>
      </c>
      <c r="B16" t="s">
        <v>455</v>
      </c>
      <c r="C16" t="s">
        <v>477</v>
      </c>
      <c r="D16" t="s">
        <v>116</v>
      </c>
      <c r="E16" t="s">
        <v>120</v>
      </c>
      <c r="F16">
        <v>2</v>
      </c>
      <c r="G16" t="s">
        <v>499</v>
      </c>
      <c r="H16" s="4">
        <v>959068</v>
      </c>
      <c r="I16" s="4">
        <v>737767</v>
      </c>
      <c r="J16" s="3">
        <v>0.23074589080232058</v>
      </c>
      <c r="K16" s="3">
        <v>0.29996055665271015</v>
      </c>
      <c r="L16" t="s">
        <v>54</v>
      </c>
    </row>
    <row r="17" spans="1:12" x14ac:dyDescent="0.25">
      <c r="A17" t="s">
        <v>487</v>
      </c>
      <c r="B17" t="s">
        <v>455</v>
      </c>
      <c r="C17" t="s">
        <v>477</v>
      </c>
      <c r="D17" t="s">
        <v>116</v>
      </c>
      <c r="E17" t="s">
        <v>122</v>
      </c>
      <c r="F17">
        <v>3</v>
      </c>
      <c r="G17" t="s">
        <v>488</v>
      </c>
      <c r="H17" s="4">
        <v>912419</v>
      </c>
      <c r="I17" s="4">
        <v>773570.8413923682</v>
      </c>
      <c r="J17" s="3">
        <v>0.1521758738119568</v>
      </c>
      <c r="K17" s="3">
        <v>0.17948990729500064</v>
      </c>
      <c r="L17" t="s">
        <v>54</v>
      </c>
    </row>
    <row r="18" spans="1:12" x14ac:dyDescent="0.25">
      <c r="A18" t="s">
        <v>487</v>
      </c>
      <c r="B18" t="s">
        <v>455</v>
      </c>
      <c r="C18" t="s">
        <v>477</v>
      </c>
      <c r="D18" t="s">
        <v>116</v>
      </c>
      <c r="E18" t="s">
        <v>122</v>
      </c>
      <c r="F18">
        <v>3</v>
      </c>
      <c r="G18" t="s">
        <v>498</v>
      </c>
      <c r="H18" s="4">
        <v>912419</v>
      </c>
      <c r="I18" s="4">
        <v>823263</v>
      </c>
      <c r="J18" s="3">
        <v>0.0977138792594192</v>
      </c>
      <c r="K18" s="3">
        <v>0.1082958908635515</v>
      </c>
      <c r="L18" t="s">
        <v>54</v>
      </c>
    </row>
    <row r="19" spans="1:12" x14ac:dyDescent="0.25">
      <c r="A19" t="s">
        <v>487</v>
      </c>
      <c r="B19" t="s">
        <v>455</v>
      </c>
      <c r="C19" t="s">
        <v>477</v>
      </c>
      <c r="D19" t="s">
        <v>116</v>
      </c>
      <c r="E19" t="s">
        <v>122</v>
      </c>
      <c r="F19">
        <v>3</v>
      </c>
      <c r="G19" t="s">
        <v>499</v>
      </c>
      <c r="H19" s="4">
        <v>912419</v>
      </c>
      <c r="I19" s="4">
        <v>737767</v>
      </c>
      <c r="J19" s="3">
        <v>0.19141644354183768</v>
      </c>
      <c r="K19" s="3">
        <v>0.23673056669653156</v>
      </c>
      <c r="L19" t="s">
        <v>54</v>
      </c>
    </row>
    <row r="20" spans="1:12" x14ac:dyDescent="0.25">
      <c r="A20" t="s">
        <v>487</v>
      </c>
      <c r="B20" t="s">
        <v>455</v>
      </c>
      <c r="C20" t="s">
        <v>477</v>
      </c>
      <c r="D20" t="s">
        <v>118</v>
      </c>
      <c r="E20" t="s">
        <v>120</v>
      </c>
      <c r="F20">
        <v>1</v>
      </c>
      <c r="G20" t="s">
        <v>488</v>
      </c>
      <c r="H20" s="4">
        <v>959068</v>
      </c>
      <c r="I20" s="4">
        <v>874518.9376395325</v>
      </c>
      <c r="J20" s="3">
        <v>0.08815752622386265</v>
      </c>
      <c r="K20" s="3">
        <v>0.09668065346724114</v>
      </c>
      <c r="L20" t="s">
        <v>54</v>
      </c>
    </row>
    <row r="21" spans="1:12" x14ac:dyDescent="0.25">
      <c r="A21" t="s">
        <v>487</v>
      </c>
      <c r="B21" t="s">
        <v>455</v>
      </c>
      <c r="C21" t="s">
        <v>477</v>
      </c>
      <c r="D21" t="s">
        <v>118</v>
      </c>
      <c r="E21" t="s">
        <v>120</v>
      </c>
      <c r="F21">
        <v>1</v>
      </c>
      <c r="G21" t="s">
        <v>498</v>
      </c>
      <c r="H21" s="4">
        <v>959068</v>
      </c>
      <c r="I21" s="4">
        <v>933831</v>
      </c>
      <c r="J21" s="3">
        <v>0.026314088260686416</v>
      </c>
      <c r="K21" s="3">
        <v>0.027025232617036703</v>
      </c>
      <c r="L21" t="s">
        <v>54</v>
      </c>
    </row>
    <row r="22" spans="1:12" x14ac:dyDescent="0.25">
      <c r="A22" t="s">
        <v>487</v>
      </c>
      <c r="B22" t="s">
        <v>455</v>
      </c>
      <c r="C22" t="s">
        <v>477</v>
      </c>
      <c r="D22" t="s">
        <v>118</v>
      </c>
      <c r="E22" t="s">
        <v>120</v>
      </c>
      <c r="F22">
        <v>1</v>
      </c>
      <c r="G22" t="s">
        <v>499</v>
      </c>
      <c r="H22" s="4">
        <v>959068</v>
      </c>
      <c r="I22" s="4">
        <v>895787</v>
      </c>
      <c r="J22" s="3">
        <v>0.0659817656307999</v>
      </c>
      <c r="K22" s="3">
        <v>0.07064290953094876</v>
      </c>
      <c r="L22" t="s">
        <v>54</v>
      </c>
    </row>
    <row r="23" spans="1:12" x14ac:dyDescent="0.25">
      <c r="A23" t="s">
        <v>487</v>
      </c>
      <c r="B23" t="s">
        <v>455</v>
      </c>
      <c r="C23" t="s">
        <v>477</v>
      </c>
      <c r="D23" t="s">
        <v>118</v>
      </c>
      <c r="E23" t="s">
        <v>122</v>
      </c>
      <c r="F23">
        <v>2</v>
      </c>
      <c r="G23" t="s">
        <v>488</v>
      </c>
      <c r="H23" s="4">
        <v>912419</v>
      </c>
      <c r="I23" s="4">
        <v>770973.6388682047</v>
      </c>
      <c r="J23" s="3">
        <v>0.15502237582930137</v>
      </c>
      <c r="K23" s="3">
        <v>0.18346329109181767</v>
      </c>
      <c r="L23" t="s">
        <v>54</v>
      </c>
    </row>
    <row r="24" spans="1:12" x14ac:dyDescent="0.25">
      <c r="A24" t="s">
        <v>487</v>
      </c>
      <c r="B24" t="s">
        <v>455</v>
      </c>
      <c r="C24" t="s">
        <v>477</v>
      </c>
      <c r="D24" t="s">
        <v>118</v>
      </c>
      <c r="E24" t="s">
        <v>122</v>
      </c>
      <c r="F24">
        <v>2</v>
      </c>
      <c r="G24" t="s">
        <v>498</v>
      </c>
      <c r="H24" s="4">
        <v>912419</v>
      </c>
      <c r="I24" s="4">
        <v>823263</v>
      </c>
      <c r="J24" s="3">
        <v>0.0977138792594192</v>
      </c>
      <c r="K24" s="3">
        <v>0.1082958908635515</v>
      </c>
      <c r="L24" t="s">
        <v>54</v>
      </c>
    </row>
    <row r="25" spans="1:12" x14ac:dyDescent="0.25">
      <c r="A25" t="s">
        <v>487</v>
      </c>
      <c r="B25" t="s">
        <v>455</v>
      </c>
      <c r="C25" t="s">
        <v>477</v>
      </c>
      <c r="D25" t="s">
        <v>118</v>
      </c>
      <c r="E25" t="s">
        <v>122</v>
      </c>
      <c r="F25">
        <v>2</v>
      </c>
      <c r="G25" t="s">
        <v>499</v>
      </c>
      <c r="H25" s="4">
        <v>912419</v>
      </c>
      <c r="I25" s="4">
        <v>895787</v>
      </c>
      <c r="J25" s="3">
        <v>0.01822846740368186</v>
      </c>
      <c r="K25" s="3">
        <v>0.018566913786424676</v>
      </c>
      <c r="L25" t="s">
        <v>54</v>
      </c>
    </row>
    <row r="26" spans="1:12" x14ac:dyDescent="0.25">
      <c r="A26" t="s">
        <v>487</v>
      </c>
      <c r="B26" t="s">
        <v>455</v>
      </c>
      <c r="C26" t="s">
        <v>477</v>
      </c>
      <c r="D26" t="s">
        <v>118</v>
      </c>
      <c r="E26" t="s">
        <v>124</v>
      </c>
      <c r="F26">
        <v>3</v>
      </c>
      <c r="G26" t="s">
        <v>488</v>
      </c>
      <c r="H26" s="4">
        <v>574079</v>
      </c>
      <c r="I26" s="4">
        <v>470363.75341311196</v>
      </c>
      <c r="J26" s="3">
        <v>0.18066371803686956</v>
      </c>
      <c r="K26" s="3">
        <v>0.22050008282801675</v>
      </c>
      <c r="L26" t="s">
        <v>54</v>
      </c>
    </row>
    <row r="27" spans="1:12" x14ac:dyDescent="0.25">
      <c r="A27" t="s">
        <v>487</v>
      </c>
      <c r="B27" t="s">
        <v>455</v>
      </c>
      <c r="C27" t="s">
        <v>477</v>
      </c>
      <c r="D27" t="s">
        <v>118</v>
      </c>
      <c r="E27" t="s">
        <v>124</v>
      </c>
      <c r="F27">
        <v>3</v>
      </c>
      <c r="G27" t="s">
        <v>498</v>
      </c>
      <c r="H27" s="4">
        <v>574079</v>
      </c>
      <c r="I27" s="4">
        <v>502265</v>
      </c>
      <c r="J27" s="3">
        <v>0.12509428144906887</v>
      </c>
      <c r="K27" s="3">
        <v>0.14298029924442276</v>
      </c>
      <c r="L27" t="s">
        <v>54</v>
      </c>
    </row>
    <row r="28" spans="1:12" x14ac:dyDescent="0.25">
      <c r="A28" t="s">
        <v>487</v>
      </c>
      <c r="B28" t="s">
        <v>455</v>
      </c>
      <c r="C28" t="s">
        <v>477</v>
      </c>
      <c r="D28" t="s">
        <v>118</v>
      </c>
      <c r="E28" t="s">
        <v>124</v>
      </c>
      <c r="F28">
        <v>3</v>
      </c>
      <c r="G28" t="s">
        <v>499</v>
      </c>
      <c r="H28" s="4">
        <v>574079</v>
      </c>
      <c r="I28" s="4">
        <v>895787</v>
      </c>
      <c r="J28" s="3">
        <v>0.5603897721393746</v>
      </c>
      <c r="K28" s="3">
        <v>-0.3591344817462187</v>
      </c>
      <c r="L28" t="s">
        <v>54</v>
      </c>
    </row>
    <row r="29" spans="1:12" x14ac:dyDescent="0.25">
      <c r="A29" t="s">
        <v>487</v>
      </c>
      <c r="B29" t="s">
        <v>455</v>
      </c>
      <c r="C29" t="s">
        <v>477</v>
      </c>
      <c r="D29" t="s">
        <v>120</v>
      </c>
      <c r="E29" t="s">
        <v>122</v>
      </c>
      <c r="F29">
        <v>1</v>
      </c>
      <c r="G29" t="s">
        <v>488</v>
      </c>
      <c r="H29" s="4">
        <v>912419</v>
      </c>
      <c r="I29" s="4">
        <v>775518.8222835695</v>
      </c>
      <c r="J29" s="3">
        <v>0.15004091071802594</v>
      </c>
      <c r="K29" s="3">
        <v>0.17652721479192257</v>
      </c>
      <c r="L29" t="s">
        <v>54</v>
      </c>
    </row>
    <row r="30" spans="1:12" x14ac:dyDescent="0.25">
      <c r="A30" t="s">
        <v>487</v>
      </c>
      <c r="B30" t="s">
        <v>455</v>
      </c>
      <c r="C30" t="s">
        <v>477</v>
      </c>
      <c r="D30" t="s">
        <v>120</v>
      </c>
      <c r="E30" t="s">
        <v>122</v>
      </c>
      <c r="F30">
        <v>1</v>
      </c>
      <c r="G30" t="s">
        <v>498</v>
      </c>
      <c r="H30" s="4">
        <v>912419</v>
      </c>
      <c r="I30" s="4">
        <v>823263</v>
      </c>
      <c r="J30" s="3">
        <v>0.0977138792594192</v>
      </c>
      <c r="K30" s="3">
        <v>0.1082958908635515</v>
      </c>
      <c r="L30" t="s">
        <v>54</v>
      </c>
    </row>
    <row r="31" spans="1:12" x14ac:dyDescent="0.25">
      <c r="A31" t="s">
        <v>487</v>
      </c>
      <c r="B31" t="s">
        <v>455</v>
      </c>
      <c r="C31" t="s">
        <v>477</v>
      </c>
      <c r="D31" t="s">
        <v>120</v>
      </c>
      <c r="E31" t="s">
        <v>122</v>
      </c>
      <c r="F31">
        <v>1</v>
      </c>
      <c r="G31" t="s">
        <v>499</v>
      </c>
      <c r="H31" s="4">
        <v>912419</v>
      </c>
      <c r="I31" s="4">
        <v>959068</v>
      </c>
      <c r="J31" s="3">
        <v>0.051126730153580754</v>
      </c>
      <c r="K31" s="3">
        <v>-0.048639929598318365</v>
      </c>
      <c r="L31" t="s">
        <v>54</v>
      </c>
    </row>
    <row r="32" spans="1:12" x14ac:dyDescent="0.25">
      <c r="A32" t="s">
        <v>487</v>
      </c>
      <c r="B32" t="s">
        <v>455</v>
      </c>
      <c r="C32" t="s">
        <v>477</v>
      </c>
      <c r="D32" t="s">
        <v>120</v>
      </c>
      <c r="E32" t="s">
        <v>124</v>
      </c>
      <c r="F32">
        <v>2</v>
      </c>
      <c r="G32" t="s">
        <v>488</v>
      </c>
      <c r="H32" s="4">
        <v>574079</v>
      </c>
      <c r="I32" s="4">
        <v>473136.72699278</v>
      </c>
      <c r="J32" s="3">
        <v>0.17583341840969624</v>
      </c>
      <c r="K32" s="3">
        <v>0.21334694021493786</v>
      </c>
      <c r="L32" t="s">
        <v>54</v>
      </c>
    </row>
    <row r="33" spans="1:12" x14ac:dyDescent="0.25">
      <c r="A33" t="s">
        <v>487</v>
      </c>
      <c r="B33" t="s">
        <v>455</v>
      </c>
      <c r="C33" t="s">
        <v>477</v>
      </c>
      <c r="D33" t="s">
        <v>120</v>
      </c>
      <c r="E33" t="s">
        <v>124</v>
      </c>
      <c r="F33">
        <v>2</v>
      </c>
      <c r="G33" t="s">
        <v>498</v>
      </c>
      <c r="H33" s="4">
        <v>574079</v>
      </c>
      <c r="I33" s="4">
        <v>502265</v>
      </c>
      <c r="J33" s="3">
        <v>0.12509428144906887</v>
      </c>
      <c r="K33" s="3">
        <v>0.14298029924442276</v>
      </c>
      <c r="L33" t="s">
        <v>54</v>
      </c>
    </row>
    <row r="34" spans="1:12" x14ac:dyDescent="0.25">
      <c r="A34" t="s">
        <v>487</v>
      </c>
      <c r="B34" t="s">
        <v>455</v>
      </c>
      <c r="C34" t="s">
        <v>477</v>
      </c>
      <c r="D34" t="s">
        <v>120</v>
      </c>
      <c r="E34" t="s">
        <v>124</v>
      </c>
      <c r="F34">
        <v>2</v>
      </c>
      <c r="G34" t="s">
        <v>499</v>
      </c>
      <c r="H34" s="4">
        <v>574079</v>
      </c>
      <c r="I34" s="4">
        <v>959068</v>
      </c>
      <c r="J34" s="3">
        <v>0.6706202456456342</v>
      </c>
      <c r="K34" s="3">
        <v>-0.4014199201725008</v>
      </c>
      <c r="L34" t="s">
        <v>54</v>
      </c>
    </row>
    <row r="35" spans="1:12" x14ac:dyDescent="0.25">
      <c r="A35" t="s">
        <v>487</v>
      </c>
      <c r="B35" t="s">
        <v>455</v>
      </c>
      <c r="C35" t="s">
        <v>477</v>
      </c>
      <c r="D35" t="s">
        <v>120</v>
      </c>
      <c r="E35" t="s">
        <v>126</v>
      </c>
      <c r="F35">
        <v>3</v>
      </c>
      <c r="G35" t="s">
        <v>488</v>
      </c>
      <c r="H35" s="4">
        <v>884376</v>
      </c>
      <c r="I35" s="4">
        <v>636301.6150148787</v>
      </c>
      <c r="J35" s="3">
        <v>0.28050782131708835</v>
      </c>
      <c r="K35" s="3">
        <v>0.3898691738811956</v>
      </c>
      <c r="L35" t="s">
        <v>54</v>
      </c>
    </row>
    <row r="36" spans="1:12" x14ac:dyDescent="0.25">
      <c r="A36" t="s">
        <v>487</v>
      </c>
      <c r="B36" t="s">
        <v>455</v>
      </c>
      <c r="C36" t="s">
        <v>477</v>
      </c>
      <c r="D36" t="s">
        <v>120</v>
      </c>
      <c r="E36" t="s">
        <v>126</v>
      </c>
      <c r="F36">
        <v>3</v>
      </c>
      <c r="G36" t="s">
        <v>498</v>
      </c>
      <c r="H36" s="4">
        <v>884376</v>
      </c>
      <c r="I36" s="4">
        <v>675475</v>
      </c>
      <c r="J36" s="3">
        <v>0.23621287778049155</v>
      </c>
      <c r="K36" s="3">
        <v>0.30926533180354565</v>
      </c>
      <c r="L36" t="s">
        <v>54</v>
      </c>
    </row>
    <row r="37" spans="1:12" x14ac:dyDescent="0.25">
      <c r="A37" t="s">
        <v>487</v>
      </c>
      <c r="B37" t="s">
        <v>455</v>
      </c>
      <c r="C37" t="s">
        <v>477</v>
      </c>
      <c r="D37" t="s">
        <v>120</v>
      </c>
      <c r="E37" t="s">
        <v>126</v>
      </c>
      <c r="F37">
        <v>3</v>
      </c>
      <c r="G37" t="s">
        <v>499</v>
      </c>
      <c r="H37" s="4">
        <v>884376</v>
      </c>
      <c r="I37" s="4">
        <v>959068</v>
      </c>
      <c r="J37" s="3">
        <v>0.0844572896596018</v>
      </c>
      <c r="K37" s="3">
        <v>-0.07787977494817885</v>
      </c>
      <c r="L37" t="s">
        <v>54</v>
      </c>
    </row>
    <row r="38" spans="1:12" x14ac:dyDescent="0.25">
      <c r="A38" t="s">
        <v>487</v>
      </c>
      <c r="B38" t="s">
        <v>455</v>
      </c>
      <c r="C38" t="s">
        <v>477</v>
      </c>
      <c r="D38" t="s">
        <v>122</v>
      </c>
      <c r="E38" t="s">
        <v>124</v>
      </c>
      <c r="F38">
        <v>1</v>
      </c>
      <c r="G38" t="s">
        <v>488</v>
      </c>
      <c r="H38" s="4">
        <v>574079</v>
      </c>
      <c r="I38" s="4">
        <v>468770.00337856566</v>
      </c>
      <c r="J38" s="3">
        <v>0.1834399039530001</v>
      </c>
      <c r="K38" s="3">
        <v>0.224649606123346</v>
      </c>
      <c r="L38" t="s">
        <v>54</v>
      </c>
    </row>
    <row r="39" spans="1:12" x14ac:dyDescent="0.25">
      <c r="A39" t="s">
        <v>487</v>
      </c>
      <c r="B39" t="s">
        <v>455</v>
      </c>
      <c r="C39" t="s">
        <v>477</v>
      </c>
      <c r="D39" t="s">
        <v>122</v>
      </c>
      <c r="E39" t="s">
        <v>124</v>
      </c>
      <c r="F39">
        <v>1</v>
      </c>
      <c r="G39" t="s">
        <v>498</v>
      </c>
      <c r="H39" s="4">
        <v>574079</v>
      </c>
      <c r="I39" s="4">
        <v>502265</v>
      </c>
      <c r="J39" s="3">
        <v>0.12509428144906887</v>
      </c>
      <c r="K39" s="3">
        <v>0.14298029924442276</v>
      </c>
      <c r="L39" t="s">
        <v>54</v>
      </c>
    </row>
    <row r="40" spans="1:12" x14ac:dyDescent="0.25">
      <c r="A40" t="s">
        <v>487</v>
      </c>
      <c r="B40" t="s">
        <v>455</v>
      </c>
      <c r="C40" t="s">
        <v>477</v>
      </c>
      <c r="D40" t="s">
        <v>122</v>
      </c>
      <c r="E40" t="s">
        <v>124</v>
      </c>
      <c r="F40">
        <v>1</v>
      </c>
      <c r="G40" t="s">
        <v>499</v>
      </c>
      <c r="H40" s="4">
        <v>574079</v>
      </c>
      <c r="I40" s="4">
        <v>912419</v>
      </c>
      <c r="J40" s="3">
        <v>0.5893613945119052</v>
      </c>
      <c r="K40" s="3">
        <v>-0.37081647795585143</v>
      </c>
      <c r="L40" t="s">
        <v>54</v>
      </c>
    </row>
    <row r="41" spans="1:12" x14ac:dyDescent="0.25">
      <c r="A41" t="s">
        <v>487</v>
      </c>
      <c r="B41" t="s">
        <v>455</v>
      </c>
      <c r="C41" t="s">
        <v>477</v>
      </c>
      <c r="D41" t="s">
        <v>122</v>
      </c>
      <c r="E41" t="s">
        <v>126</v>
      </c>
      <c r="F41">
        <v>2</v>
      </c>
      <c r="G41" t="s">
        <v>488</v>
      </c>
      <c r="H41" s="4">
        <v>884376</v>
      </c>
      <c r="I41" s="4">
        <v>630428.992727219</v>
      </c>
      <c r="J41" s="3">
        <v>0.2871482347698049</v>
      </c>
      <c r="K41" s="3">
        <v>0.40281619373850974</v>
      </c>
      <c r="L41" t="s">
        <v>54</v>
      </c>
    </row>
    <row r="42" spans="1:12" x14ac:dyDescent="0.25">
      <c r="A42" t="s">
        <v>487</v>
      </c>
      <c r="B42" t="s">
        <v>455</v>
      </c>
      <c r="C42" t="s">
        <v>477</v>
      </c>
      <c r="D42" t="s">
        <v>122</v>
      </c>
      <c r="E42" t="s">
        <v>126</v>
      </c>
      <c r="F42">
        <v>2</v>
      </c>
      <c r="G42" t="s">
        <v>498</v>
      </c>
      <c r="H42" s="4">
        <v>884376</v>
      </c>
      <c r="I42" s="4">
        <v>675475</v>
      </c>
      <c r="J42" s="3">
        <v>0.23621287778049155</v>
      </c>
      <c r="K42" s="3">
        <v>0.30926533180354565</v>
      </c>
      <c r="L42" t="s">
        <v>54</v>
      </c>
    </row>
    <row r="43" spans="1:12" x14ac:dyDescent="0.25">
      <c r="A43" t="s">
        <v>487</v>
      </c>
      <c r="B43" t="s">
        <v>455</v>
      </c>
      <c r="C43" t="s">
        <v>477</v>
      </c>
      <c r="D43" t="s">
        <v>122</v>
      </c>
      <c r="E43" t="s">
        <v>126</v>
      </c>
      <c r="F43">
        <v>2</v>
      </c>
      <c r="G43" t="s">
        <v>499</v>
      </c>
      <c r="H43" s="4">
        <v>884376</v>
      </c>
      <c r="I43" s="4">
        <v>912419</v>
      </c>
      <c r="J43" s="3">
        <v>0.03170936343817562</v>
      </c>
      <c r="K43" s="3">
        <v>-0.03073478303279524</v>
      </c>
      <c r="L43" t="s">
        <v>54</v>
      </c>
    </row>
    <row r="44" spans="1:12" x14ac:dyDescent="0.25">
      <c r="A44" t="s">
        <v>487</v>
      </c>
      <c r="B44" t="s">
        <v>455</v>
      </c>
      <c r="C44" t="s">
        <v>477</v>
      </c>
      <c r="D44" t="s">
        <v>122</v>
      </c>
      <c r="E44" t="s">
        <v>128</v>
      </c>
      <c r="F44">
        <v>3</v>
      </c>
      <c r="G44" t="s">
        <v>488</v>
      </c>
      <c r="H44" s="4">
        <v>846688</v>
      </c>
      <c r="I44" s="4">
        <v>1050156.245033077</v>
      </c>
      <c r="J44" s="3">
        <v>0.24031076976770305</v>
      </c>
      <c r="K44" s="3">
        <v>-0.19375044998819987</v>
      </c>
      <c r="L44" t="s">
        <v>54</v>
      </c>
    </row>
    <row r="45" spans="1:12" x14ac:dyDescent="0.25">
      <c r="A45" t="s">
        <v>487</v>
      </c>
      <c r="B45" t="s">
        <v>455</v>
      </c>
      <c r="C45" t="s">
        <v>477</v>
      </c>
      <c r="D45" t="s">
        <v>122</v>
      </c>
      <c r="E45" t="s">
        <v>128</v>
      </c>
      <c r="F45">
        <v>3</v>
      </c>
      <c r="G45" t="s">
        <v>498</v>
      </c>
      <c r="H45" s="4">
        <v>846688</v>
      </c>
      <c r="I45" s="4">
        <v>1125193</v>
      </c>
      <c r="J45" s="3">
        <v>0.3289346252692846</v>
      </c>
      <c r="K45" s="3">
        <v>-0.2475175369914317</v>
      </c>
      <c r="L45" t="s">
        <v>54</v>
      </c>
    </row>
    <row r="46" spans="1:12" x14ac:dyDescent="0.25">
      <c r="A46" t="s">
        <v>487</v>
      </c>
      <c r="B46" t="s">
        <v>455</v>
      </c>
      <c r="C46" t="s">
        <v>477</v>
      </c>
      <c r="D46" t="s">
        <v>122</v>
      </c>
      <c r="E46" t="s">
        <v>128</v>
      </c>
      <c r="F46">
        <v>3</v>
      </c>
      <c r="G46" t="s">
        <v>499</v>
      </c>
      <c r="H46" s="4">
        <v>846688</v>
      </c>
      <c r="I46" s="4">
        <v>912419</v>
      </c>
      <c r="J46" s="3">
        <v>0.07763308326089421</v>
      </c>
      <c r="K46" s="3">
        <v>-0.07204036741891609</v>
      </c>
      <c r="L46" t="s">
        <v>54</v>
      </c>
    </row>
    <row r="47" spans="1:12" x14ac:dyDescent="0.25">
      <c r="A47" t="s">
        <v>487</v>
      </c>
      <c r="B47" t="s">
        <v>455</v>
      </c>
      <c r="C47" t="s">
        <v>477</v>
      </c>
      <c r="D47" t="s">
        <v>124</v>
      </c>
      <c r="E47" t="s">
        <v>126</v>
      </c>
      <c r="F47">
        <v>1</v>
      </c>
      <c r="G47" t="s">
        <v>488</v>
      </c>
      <c r="H47" s="4">
        <v>884376</v>
      </c>
      <c r="I47" s="4">
        <v>669559.7737737293</v>
      </c>
      <c r="J47" s="3">
        <v>0.24290146524359624</v>
      </c>
      <c r="K47" s="3">
        <v>0.32083203716904524</v>
      </c>
      <c r="L47" t="s">
        <v>54</v>
      </c>
    </row>
    <row r="48" spans="1:12" x14ac:dyDescent="0.25">
      <c r="A48" t="s">
        <v>487</v>
      </c>
      <c r="B48" t="s">
        <v>455</v>
      </c>
      <c r="C48" t="s">
        <v>477</v>
      </c>
      <c r="D48" t="s">
        <v>124</v>
      </c>
      <c r="E48" t="s">
        <v>126</v>
      </c>
      <c r="F48">
        <v>1</v>
      </c>
      <c r="G48" t="s">
        <v>498</v>
      </c>
      <c r="H48" s="4">
        <v>884376</v>
      </c>
      <c r="I48" s="4">
        <v>675475</v>
      </c>
      <c r="J48" s="3">
        <v>0.23621287778049155</v>
      </c>
      <c r="K48" s="3">
        <v>0.30926533180354565</v>
      </c>
      <c r="L48" t="s">
        <v>54</v>
      </c>
    </row>
    <row r="49" spans="1:12" x14ac:dyDescent="0.25">
      <c r="A49" t="s">
        <v>487</v>
      </c>
      <c r="B49" t="s">
        <v>455</v>
      </c>
      <c r="C49" t="s">
        <v>477</v>
      </c>
      <c r="D49" t="s">
        <v>124</v>
      </c>
      <c r="E49" t="s">
        <v>126</v>
      </c>
      <c r="F49">
        <v>1</v>
      </c>
      <c r="G49" t="s">
        <v>499</v>
      </c>
      <c r="H49" s="4">
        <v>884376</v>
      </c>
      <c r="I49" s="4">
        <v>574079</v>
      </c>
      <c r="J49" s="3">
        <v>0.35086546898604215</v>
      </c>
      <c r="K49" s="3">
        <v>0.5405127168908809</v>
      </c>
      <c r="L49" t="s">
        <v>54</v>
      </c>
    </row>
    <row r="50" spans="1:12" x14ac:dyDescent="0.25">
      <c r="A50" t="s">
        <v>487</v>
      </c>
      <c r="B50" t="s">
        <v>455</v>
      </c>
      <c r="C50" t="s">
        <v>477</v>
      </c>
      <c r="D50" t="s">
        <v>124</v>
      </c>
      <c r="E50" t="s">
        <v>128</v>
      </c>
      <c r="F50">
        <v>2</v>
      </c>
      <c r="G50" t="s">
        <v>488</v>
      </c>
      <c r="H50" s="4">
        <v>846688</v>
      </c>
      <c r="I50" s="4">
        <v>1115339.5322281118</v>
      </c>
      <c r="J50" s="3">
        <v>0.31729696444039807</v>
      </c>
      <c r="K50" s="3">
        <v>-0.24086973021697444</v>
      </c>
      <c r="L50" t="s">
        <v>54</v>
      </c>
    </row>
    <row r="51" spans="1:12" x14ac:dyDescent="0.25">
      <c r="A51" t="s">
        <v>487</v>
      </c>
      <c r="B51" t="s">
        <v>455</v>
      </c>
      <c r="C51" t="s">
        <v>477</v>
      </c>
      <c r="D51" t="s">
        <v>124</v>
      </c>
      <c r="E51" t="s">
        <v>128</v>
      </c>
      <c r="F51">
        <v>2</v>
      </c>
      <c r="G51" t="s">
        <v>498</v>
      </c>
      <c r="H51" s="4">
        <v>846688</v>
      </c>
      <c r="I51" s="4">
        <v>1125193</v>
      </c>
      <c r="J51" s="3">
        <v>0.3289346252692846</v>
      </c>
      <c r="K51" s="3">
        <v>-0.2475175369914317</v>
      </c>
      <c r="L51" t="s">
        <v>54</v>
      </c>
    </row>
    <row r="52" spans="1:12" x14ac:dyDescent="0.25">
      <c r="A52" t="s">
        <v>487</v>
      </c>
      <c r="B52" t="s">
        <v>455</v>
      </c>
      <c r="C52" t="s">
        <v>477</v>
      </c>
      <c r="D52" t="s">
        <v>124</v>
      </c>
      <c r="E52" t="s">
        <v>128</v>
      </c>
      <c r="F52">
        <v>2</v>
      </c>
      <c r="G52" t="s">
        <v>499</v>
      </c>
      <c r="H52" s="4">
        <v>846688</v>
      </c>
      <c r="I52" s="4">
        <v>574079</v>
      </c>
      <c r="J52" s="3">
        <v>0.3219710212026154</v>
      </c>
      <c r="K52" s="3">
        <v>0.47486321568982665</v>
      </c>
      <c r="L52" t="s">
        <v>54</v>
      </c>
    </row>
    <row r="53" spans="1:12" x14ac:dyDescent="0.25">
      <c r="A53" t="s">
        <v>487</v>
      </c>
      <c r="B53" t="s">
        <v>455</v>
      </c>
      <c r="C53" t="s">
        <v>477</v>
      </c>
      <c r="D53" t="s">
        <v>124</v>
      </c>
      <c r="E53" t="s">
        <v>130</v>
      </c>
      <c r="F53">
        <v>3</v>
      </c>
      <c r="G53" t="s">
        <v>488</v>
      </c>
      <c r="H53" s="4">
        <v>748514</v>
      </c>
      <c r="I53" s="4">
        <v>637999.5922167778</v>
      </c>
      <c r="J53" s="3">
        <v>0.14764507782516045</v>
      </c>
      <c r="K53" s="3">
        <v>0.17322018561051344</v>
      </c>
      <c r="L53" t="s">
        <v>54</v>
      </c>
    </row>
    <row r="54" spans="1:12" x14ac:dyDescent="0.25">
      <c r="A54" t="s">
        <v>487</v>
      </c>
      <c r="B54" t="s">
        <v>455</v>
      </c>
      <c r="C54" t="s">
        <v>477</v>
      </c>
      <c r="D54" t="s">
        <v>124</v>
      </c>
      <c r="E54" t="s">
        <v>130</v>
      </c>
      <c r="F54">
        <v>3</v>
      </c>
      <c r="G54" t="s">
        <v>498</v>
      </c>
      <c r="H54" s="4">
        <v>748514</v>
      </c>
      <c r="I54" s="4">
        <v>643636</v>
      </c>
      <c r="J54" s="3">
        <v>0.1401149477498083</v>
      </c>
      <c r="K54" s="3">
        <v>0.16294613725770465</v>
      </c>
      <c r="L54" t="s">
        <v>54</v>
      </c>
    </row>
    <row r="55" spans="1:12" x14ac:dyDescent="0.25">
      <c r="A55" t="s">
        <v>487</v>
      </c>
      <c r="B55" t="s">
        <v>455</v>
      </c>
      <c r="C55" t="s">
        <v>477</v>
      </c>
      <c r="D55" t="s">
        <v>124</v>
      </c>
      <c r="E55" t="s">
        <v>130</v>
      </c>
      <c r="F55">
        <v>3</v>
      </c>
      <c r="G55" t="s">
        <v>499</v>
      </c>
      <c r="H55" s="4">
        <v>748514</v>
      </c>
      <c r="I55" s="4">
        <v>574079</v>
      </c>
      <c r="J55" s="3">
        <v>0.23304173335435277</v>
      </c>
      <c r="K55" s="3">
        <v>0.30385190888362057</v>
      </c>
      <c r="L55" t="s">
        <v>54</v>
      </c>
    </row>
    <row r="56" spans="1:12" x14ac:dyDescent="0.25">
      <c r="A56" t="s">
        <v>487</v>
      </c>
      <c r="B56" t="s">
        <v>455</v>
      </c>
      <c r="C56" t="s">
        <v>477</v>
      </c>
      <c r="D56" t="s">
        <v>126</v>
      </c>
      <c r="E56" t="s">
        <v>128</v>
      </c>
      <c r="F56">
        <v>1</v>
      </c>
      <c r="G56" t="s">
        <v>488</v>
      </c>
      <c r="H56" s="4">
        <v>846688</v>
      </c>
      <c r="I56" s="4">
        <v>1173920.9275586726</v>
      </c>
      <c r="J56" s="3">
        <v>0.38648584550468723</v>
      </c>
      <c r="K56" s="3">
        <v>-0.2787521032095388</v>
      </c>
      <c r="L56" t="s">
        <v>54</v>
      </c>
    </row>
    <row r="57" spans="1:12" x14ac:dyDescent="0.25">
      <c r="A57" t="s">
        <v>487</v>
      </c>
      <c r="B57" t="s">
        <v>455</v>
      </c>
      <c r="C57" t="s">
        <v>477</v>
      </c>
      <c r="D57" t="s">
        <v>126</v>
      </c>
      <c r="E57" t="s">
        <v>128</v>
      </c>
      <c r="F57">
        <v>1</v>
      </c>
      <c r="G57" t="s">
        <v>498</v>
      </c>
      <c r="H57" s="4">
        <v>846688</v>
      </c>
      <c r="I57" s="4">
        <v>1125193</v>
      </c>
      <c r="J57" s="3">
        <v>0.3289346252692846</v>
      </c>
      <c r="K57" s="3">
        <v>-0.2475175369914317</v>
      </c>
      <c r="L57" t="s">
        <v>54</v>
      </c>
    </row>
    <row r="58" spans="1:12" x14ac:dyDescent="0.25">
      <c r="A58" t="s">
        <v>487</v>
      </c>
      <c r="B58" t="s">
        <v>455</v>
      </c>
      <c r="C58" t="s">
        <v>477</v>
      </c>
      <c r="D58" t="s">
        <v>126</v>
      </c>
      <c r="E58" t="s">
        <v>128</v>
      </c>
      <c r="F58">
        <v>1</v>
      </c>
      <c r="G58" t="s">
        <v>499</v>
      </c>
      <c r="H58" s="4">
        <v>846688</v>
      </c>
      <c r="I58" s="4">
        <v>884376</v>
      </c>
      <c r="J58" s="3">
        <v>0.04451226425790846</v>
      </c>
      <c r="K58" s="3">
        <v>-0.04261535817344659</v>
      </c>
      <c r="L58" t="s">
        <v>54</v>
      </c>
    </row>
    <row r="59" spans="1:12" x14ac:dyDescent="0.25">
      <c r="A59" t="s">
        <v>487</v>
      </c>
      <c r="B59" t="s">
        <v>455</v>
      </c>
      <c r="C59" t="s">
        <v>477</v>
      </c>
      <c r="D59" t="s">
        <v>126</v>
      </c>
      <c r="E59" t="s">
        <v>130</v>
      </c>
      <c r="F59">
        <v>2</v>
      </c>
      <c r="G59" t="s">
        <v>488</v>
      </c>
      <c r="H59" s="4">
        <v>748514</v>
      </c>
      <c r="I59" s="4">
        <v>671509.483377655</v>
      </c>
      <c r="J59" s="3">
        <v>0.10287652151108057</v>
      </c>
      <c r="K59" s="3">
        <v>0.11467375893936235</v>
      </c>
      <c r="L59" t="s">
        <v>54</v>
      </c>
    </row>
    <row r="60" spans="1:12" x14ac:dyDescent="0.25">
      <c r="A60" t="s">
        <v>487</v>
      </c>
      <c r="B60" t="s">
        <v>455</v>
      </c>
      <c r="C60" t="s">
        <v>477</v>
      </c>
      <c r="D60" t="s">
        <v>126</v>
      </c>
      <c r="E60" t="s">
        <v>130</v>
      </c>
      <c r="F60">
        <v>2</v>
      </c>
      <c r="G60" t="s">
        <v>498</v>
      </c>
      <c r="H60" s="4">
        <v>748514</v>
      </c>
      <c r="I60" s="4">
        <v>643636</v>
      </c>
      <c r="J60" s="3">
        <v>0.1401149477498083</v>
      </c>
      <c r="K60" s="3">
        <v>0.16294613725770465</v>
      </c>
      <c r="L60" t="s">
        <v>54</v>
      </c>
    </row>
    <row r="61" spans="1:12" x14ac:dyDescent="0.25">
      <c r="A61" t="s">
        <v>487</v>
      </c>
      <c r="B61" t="s">
        <v>455</v>
      </c>
      <c r="C61" t="s">
        <v>477</v>
      </c>
      <c r="D61" t="s">
        <v>126</v>
      </c>
      <c r="E61" t="s">
        <v>130</v>
      </c>
      <c r="F61">
        <v>2</v>
      </c>
      <c r="G61" t="s">
        <v>499</v>
      </c>
      <c r="H61" s="4">
        <v>748514</v>
      </c>
      <c r="I61" s="4">
        <v>884376</v>
      </c>
      <c r="J61" s="3">
        <v>0.18150896309220668</v>
      </c>
      <c r="K61" s="3">
        <v>-0.15362470261517724</v>
      </c>
      <c r="L61" t="s">
        <v>54</v>
      </c>
    </row>
    <row r="62" spans="1:12" x14ac:dyDescent="0.25">
      <c r="A62" t="s">
        <v>487</v>
      </c>
      <c r="B62" t="s">
        <v>455</v>
      </c>
      <c r="C62" t="s">
        <v>477</v>
      </c>
      <c r="D62" t="s">
        <v>126</v>
      </c>
      <c r="E62" t="s">
        <v>132</v>
      </c>
      <c r="F62">
        <v>3</v>
      </c>
      <c r="G62" t="s">
        <v>488</v>
      </c>
      <c r="H62" s="4">
        <v>978399</v>
      </c>
      <c r="I62" s="4">
        <v>770289.7223422194</v>
      </c>
      <c r="J62" s="3">
        <v>0.212703894482497</v>
      </c>
      <c r="K62" s="3">
        <v>0.27017013419961367</v>
      </c>
      <c r="L62" t="s">
        <v>54</v>
      </c>
    </row>
    <row r="63" spans="1:12" x14ac:dyDescent="0.25">
      <c r="A63" t="s">
        <v>487</v>
      </c>
      <c r="B63" t="s">
        <v>455</v>
      </c>
      <c r="C63" t="s">
        <v>477</v>
      </c>
      <c r="D63" t="s">
        <v>126</v>
      </c>
      <c r="E63" t="s">
        <v>132</v>
      </c>
      <c r="F63">
        <v>3</v>
      </c>
      <c r="G63" t="s">
        <v>498</v>
      </c>
      <c r="H63" s="4">
        <v>978399</v>
      </c>
      <c r="I63" s="4">
        <v>738316</v>
      </c>
      <c r="J63" s="3">
        <v>0.24538352962339496</v>
      </c>
      <c r="K63" s="3">
        <v>0.32517648269846516</v>
      </c>
      <c r="L63" t="s">
        <v>54</v>
      </c>
    </row>
    <row r="64" spans="1:12" x14ac:dyDescent="0.25">
      <c r="A64" t="s">
        <v>487</v>
      </c>
      <c r="B64" t="s">
        <v>455</v>
      </c>
      <c r="C64" t="s">
        <v>477</v>
      </c>
      <c r="D64" t="s">
        <v>126</v>
      </c>
      <c r="E64" t="s">
        <v>132</v>
      </c>
      <c r="F64">
        <v>3</v>
      </c>
      <c r="G64" t="s">
        <v>499</v>
      </c>
      <c r="H64" s="4">
        <v>978399</v>
      </c>
      <c r="I64" s="4">
        <v>884376</v>
      </c>
      <c r="J64" s="3">
        <v>0.09609883084508468</v>
      </c>
      <c r="K64" s="3">
        <v>0.10631563950175038</v>
      </c>
      <c r="L64" t="s">
        <v>54</v>
      </c>
    </row>
    <row r="65" spans="1:12" x14ac:dyDescent="0.25">
      <c r="A65" t="s">
        <v>487</v>
      </c>
      <c r="B65" t="s">
        <v>455</v>
      </c>
      <c r="C65" t="s">
        <v>477</v>
      </c>
      <c r="D65" t="s">
        <v>128</v>
      </c>
      <c r="E65" t="s">
        <v>130</v>
      </c>
      <c r="F65">
        <v>1</v>
      </c>
      <c r="G65" t="s">
        <v>488</v>
      </c>
      <c r="H65" s="4">
        <v>748514</v>
      </c>
      <c r="I65" s="4">
        <v>654384.9695620519</v>
      </c>
      <c r="J65" s="3">
        <v>0.12575453557040758</v>
      </c>
      <c r="K65" s="3">
        <v>0.14384350927397377</v>
      </c>
      <c r="L65" t="s">
        <v>54</v>
      </c>
    </row>
    <row r="66" spans="1:12" x14ac:dyDescent="0.25">
      <c r="A66" t="s">
        <v>487</v>
      </c>
      <c r="B66" t="s">
        <v>455</v>
      </c>
      <c r="C66" t="s">
        <v>477</v>
      </c>
      <c r="D66" t="s">
        <v>128</v>
      </c>
      <c r="E66" t="s">
        <v>130</v>
      </c>
      <c r="F66">
        <v>1</v>
      </c>
      <c r="G66" t="s">
        <v>498</v>
      </c>
      <c r="H66" s="4">
        <v>748514</v>
      </c>
      <c r="I66" s="4">
        <v>643636</v>
      </c>
      <c r="J66" s="3">
        <v>0.1401149477498083</v>
      </c>
      <c r="K66" s="3">
        <v>0.16294613725770465</v>
      </c>
      <c r="L66" t="s">
        <v>54</v>
      </c>
    </row>
    <row r="67" spans="1:12" x14ac:dyDescent="0.25">
      <c r="A67" t="s">
        <v>487</v>
      </c>
      <c r="B67" t="s">
        <v>455</v>
      </c>
      <c r="C67" t="s">
        <v>477</v>
      </c>
      <c r="D67" t="s">
        <v>128</v>
      </c>
      <c r="E67" t="s">
        <v>130</v>
      </c>
      <c r="F67">
        <v>1</v>
      </c>
      <c r="G67" t="s">
        <v>499</v>
      </c>
      <c r="H67" s="4">
        <v>748514</v>
      </c>
      <c r="I67" s="4">
        <v>846688</v>
      </c>
      <c r="J67" s="3">
        <v>0.1311585354448948</v>
      </c>
      <c r="K67" s="3">
        <v>-0.11595062171661816</v>
      </c>
      <c r="L67" t="s">
        <v>54</v>
      </c>
    </row>
    <row r="68" spans="1:12" x14ac:dyDescent="0.25">
      <c r="A68" t="s">
        <v>487</v>
      </c>
      <c r="B68" t="s">
        <v>455</v>
      </c>
      <c r="C68" t="s">
        <v>477</v>
      </c>
      <c r="D68" t="s">
        <v>128</v>
      </c>
      <c r="E68" t="s">
        <v>132</v>
      </c>
      <c r="F68">
        <v>2</v>
      </c>
      <c r="G68" t="s">
        <v>488</v>
      </c>
      <c r="H68" s="4">
        <v>978399</v>
      </c>
      <c r="I68" s="4">
        <v>750646.1620965513</v>
      </c>
      <c r="J68" s="3">
        <v>0.23278114338163544</v>
      </c>
      <c r="K68" s="3">
        <v>0.3034090486352932</v>
      </c>
      <c r="L68" t="s">
        <v>54</v>
      </c>
    </row>
    <row r="69" spans="1:12" x14ac:dyDescent="0.25">
      <c r="A69" t="s">
        <v>487</v>
      </c>
      <c r="B69" t="s">
        <v>455</v>
      </c>
      <c r="C69" t="s">
        <v>477</v>
      </c>
      <c r="D69" t="s">
        <v>128</v>
      </c>
      <c r="E69" t="s">
        <v>132</v>
      </c>
      <c r="F69">
        <v>2</v>
      </c>
      <c r="G69" t="s">
        <v>498</v>
      </c>
      <c r="H69" s="4">
        <v>978399</v>
      </c>
      <c r="I69" s="4">
        <v>738316</v>
      </c>
      <c r="J69" s="3">
        <v>0.24538352962339496</v>
      </c>
      <c r="K69" s="3">
        <v>0.32517648269846516</v>
      </c>
      <c r="L69" t="s">
        <v>54</v>
      </c>
    </row>
    <row r="70" spans="1:12" x14ac:dyDescent="0.25">
      <c r="A70" t="s">
        <v>487</v>
      </c>
      <c r="B70" t="s">
        <v>455</v>
      </c>
      <c r="C70" t="s">
        <v>477</v>
      </c>
      <c r="D70" t="s">
        <v>128</v>
      </c>
      <c r="E70" t="s">
        <v>132</v>
      </c>
      <c r="F70">
        <v>2</v>
      </c>
      <c r="G70" t="s">
        <v>499</v>
      </c>
      <c r="H70" s="4">
        <v>978399</v>
      </c>
      <c r="I70" s="4">
        <v>846688</v>
      </c>
      <c r="J70" s="3">
        <v>0.13461890292201853</v>
      </c>
      <c r="K70" s="3">
        <v>0.1555602535999093</v>
      </c>
      <c r="L70" t="s">
        <v>54</v>
      </c>
    </row>
    <row r="71" spans="1:12" x14ac:dyDescent="0.25">
      <c r="A71" t="s">
        <v>487</v>
      </c>
      <c r="B71" t="s">
        <v>455</v>
      </c>
      <c r="C71" t="s">
        <v>477</v>
      </c>
      <c r="D71" t="s">
        <v>128</v>
      </c>
      <c r="E71" t="s">
        <v>134</v>
      </c>
      <c r="F71">
        <v>3</v>
      </c>
      <c r="G71" t="s">
        <v>488</v>
      </c>
      <c r="H71" s="4">
        <v>619708</v>
      </c>
      <c r="I71" s="4">
        <v>974995.3360449331</v>
      </c>
      <c r="J71" s="3">
        <v>0.5733141028434893</v>
      </c>
      <c r="K71" s="3">
        <v>-0.3643990108569704</v>
      </c>
      <c r="L71" t="s">
        <v>54</v>
      </c>
    </row>
    <row r="72" spans="1:12" x14ac:dyDescent="0.25">
      <c r="A72" t="s">
        <v>487</v>
      </c>
      <c r="B72" t="s">
        <v>455</v>
      </c>
      <c r="C72" t="s">
        <v>477</v>
      </c>
      <c r="D72" t="s">
        <v>128</v>
      </c>
      <c r="E72" t="s">
        <v>134</v>
      </c>
      <c r="F72">
        <v>3</v>
      </c>
      <c r="G72" t="s">
        <v>498</v>
      </c>
      <c r="H72" s="4">
        <v>619708</v>
      </c>
      <c r="I72" s="4">
        <v>958980</v>
      </c>
      <c r="J72" s="3">
        <v>0.5474707442860186</v>
      </c>
      <c r="K72" s="3">
        <v>-0.35378422907672735</v>
      </c>
      <c r="L72" t="s">
        <v>54</v>
      </c>
    </row>
    <row r="73" spans="1:12" x14ac:dyDescent="0.25">
      <c r="A73" t="s">
        <v>487</v>
      </c>
      <c r="B73" t="s">
        <v>455</v>
      </c>
      <c r="C73" t="s">
        <v>477</v>
      </c>
      <c r="D73" t="s">
        <v>128</v>
      </c>
      <c r="E73" t="s">
        <v>134</v>
      </c>
      <c r="F73">
        <v>3</v>
      </c>
      <c r="G73" t="s">
        <v>499</v>
      </c>
      <c r="H73" s="4">
        <v>619708</v>
      </c>
      <c r="I73" s="4">
        <v>846688</v>
      </c>
      <c r="J73" s="3">
        <v>0.366269275207033</v>
      </c>
      <c r="K73" s="3">
        <v>-0.26807985940511736</v>
      </c>
      <c r="L73" t="s">
        <v>54</v>
      </c>
    </row>
    <row r="74" spans="1:12" x14ac:dyDescent="0.25">
      <c r="A74" t="s">
        <v>487</v>
      </c>
      <c r="B74" t="s">
        <v>455</v>
      </c>
      <c r="C74" t="s">
        <v>477</v>
      </c>
      <c r="D74" t="s">
        <v>130</v>
      </c>
      <c r="E74" t="s">
        <v>132</v>
      </c>
      <c r="F74">
        <v>1</v>
      </c>
      <c r="G74" t="s">
        <v>488</v>
      </c>
      <c r="H74" s="4">
        <v>978399</v>
      </c>
      <c r="I74" s="4">
        <v>756701.7925539884</v>
      </c>
      <c r="J74" s="3">
        <v>0.22659181729132144</v>
      </c>
      <c r="K74" s="3">
        <v>0.29297830351075077</v>
      </c>
      <c r="L74" t="s">
        <v>54</v>
      </c>
    </row>
    <row r="75" spans="1:12" x14ac:dyDescent="0.25">
      <c r="A75" t="s">
        <v>487</v>
      </c>
      <c r="B75" t="s">
        <v>455</v>
      </c>
      <c r="C75" t="s">
        <v>477</v>
      </c>
      <c r="D75" t="s">
        <v>130</v>
      </c>
      <c r="E75" t="s">
        <v>132</v>
      </c>
      <c r="F75">
        <v>1</v>
      </c>
      <c r="G75" t="s">
        <v>498</v>
      </c>
      <c r="H75" s="4">
        <v>978399</v>
      </c>
      <c r="I75" s="4">
        <v>738316</v>
      </c>
      <c r="J75" s="3">
        <v>0.24538352962339496</v>
      </c>
      <c r="K75" s="3">
        <v>0.32517648269846516</v>
      </c>
      <c r="L75" t="s">
        <v>54</v>
      </c>
    </row>
    <row r="76" spans="1:12" x14ac:dyDescent="0.25">
      <c r="A76" t="s">
        <v>487</v>
      </c>
      <c r="B76" t="s">
        <v>455</v>
      </c>
      <c r="C76" t="s">
        <v>477</v>
      </c>
      <c r="D76" t="s">
        <v>130</v>
      </c>
      <c r="E76" t="s">
        <v>132</v>
      </c>
      <c r="F76">
        <v>1</v>
      </c>
      <c r="G76" t="s">
        <v>499</v>
      </c>
      <c r="H76" s="4">
        <v>978399</v>
      </c>
      <c r="I76" s="4">
        <v>748514</v>
      </c>
      <c r="J76" s="3">
        <v>0.23496037915001958</v>
      </c>
      <c r="K76" s="3">
        <v>0.30712184408040466</v>
      </c>
      <c r="L76" t="s">
        <v>54</v>
      </c>
    </row>
    <row r="77" spans="1:12" x14ac:dyDescent="0.25">
      <c r="A77" t="s">
        <v>487</v>
      </c>
      <c r="B77" t="s">
        <v>455</v>
      </c>
      <c r="C77" t="s">
        <v>477</v>
      </c>
      <c r="D77" t="s">
        <v>130</v>
      </c>
      <c r="E77" t="s">
        <v>134</v>
      </c>
      <c r="F77">
        <v>2</v>
      </c>
      <c r="G77" t="s">
        <v>488</v>
      </c>
      <c r="H77" s="4">
        <v>619708</v>
      </c>
      <c r="I77" s="4">
        <v>982860.8414600574</v>
      </c>
      <c r="J77" s="3">
        <v>0.5860063795530434</v>
      </c>
      <c r="K77" s="3">
        <v>-0.36948551223242077</v>
      </c>
      <c r="L77" t="s">
        <v>54</v>
      </c>
    </row>
    <row r="78" spans="1:12" x14ac:dyDescent="0.25">
      <c r="A78" t="s">
        <v>487</v>
      </c>
      <c r="B78" t="s">
        <v>455</v>
      </c>
      <c r="C78" t="s">
        <v>477</v>
      </c>
      <c r="D78" t="s">
        <v>130</v>
      </c>
      <c r="E78" t="s">
        <v>134</v>
      </c>
      <c r="F78">
        <v>2</v>
      </c>
      <c r="G78" t="s">
        <v>498</v>
      </c>
      <c r="H78" s="4">
        <v>619708</v>
      </c>
      <c r="I78" s="4">
        <v>958980</v>
      </c>
      <c r="J78" s="3">
        <v>0.5474707442860186</v>
      </c>
      <c r="K78" s="3">
        <v>-0.35378422907672735</v>
      </c>
      <c r="L78" t="s">
        <v>54</v>
      </c>
    </row>
    <row r="79" spans="1:12" x14ac:dyDescent="0.25">
      <c r="A79" t="s">
        <v>487</v>
      </c>
      <c r="B79" t="s">
        <v>455</v>
      </c>
      <c r="C79" t="s">
        <v>477</v>
      </c>
      <c r="D79" t="s">
        <v>130</v>
      </c>
      <c r="E79" t="s">
        <v>134</v>
      </c>
      <c r="F79">
        <v>2</v>
      </c>
      <c r="G79" t="s">
        <v>499</v>
      </c>
      <c r="H79" s="4">
        <v>619708</v>
      </c>
      <c r="I79" s="4">
        <v>748514</v>
      </c>
      <c r="J79" s="3">
        <v>0.20784950331446422</v>
      </c>
      <c r="K79" s="3">
        <v>-0.17208228570207104</v>
      </c>
      <c r="L79" t="s">
        <v>54</v>
      </c>
    </row>
    <row r="80" spans="1:12" x14ac:dyDescent="0.25">
      <c r="A80" t="s">
        <v>487</v>
      </c>
      <c r="B80" t="s">
        <v>455</v>
      </c>
      <c r="C80" t="s">
        <v>477</v>
      </c>
      <c r="D80" t="s">
        <v>130</v>
      </c>
      <c r="E80" t="s">
        <v>136</v>
      </c>
      <c r="F80">
        <v>3</v>
      </c>
      <c r="G80" t="s">
        <v>488</v>
      </c>
      <c r="H80" s="4">
        <v>880895</v>
      </c>
      <c r="I80" s="4">
        <v>697420.4165806717</v>
      </c>
      <c r="J80" s="3">
        <v>0.20828201252059364</v>
      </c>
      <c r="K80" s="3">
        <v>0.26307601420513554</v>
      </c>
      <c r="L80" t="s">
        <v>54</v>
      </c>
    </row>
    <row r="81" spans="1:12" x14ac:dyDescent="0.25">
      <c r="A81" t="s">
        <v>487</v>
      </c>
      <c r="B81" t="s">
        <v>455</v>
      </c>
      <c r="C81" t="s">
        <v>477</v>
      </c>
      <c r="D81" t="s">
        <v>130</v>
      </c>
      <c r="E81" t="s">
        <v>136</v>
      </c>
      <c r="F81">
        <v>3</v>
      </c>
      <c r="G81" t="s">
        <v>498</v>
      </c>
      <c r="H81" s="4">
        <v>880895</v>
      </c>
      <c r="I81" s="4">
        <v>680475</v>
      </c>
      <c r="J81" s="3">
        <v>0.2275186032387515</v>
      </c>
      <c r="K81" s="3">
        <v>0.29452955655975604</v>
      </c>
      <c r="L81" t="s">
        <v>54</v>
      </c>
    </row>
    <row r="82" spans="1:12" x14ac:dyDescent="0.25">
      <c r="A82" t="s">
        <v>487</v>
      </c>
      <c r="B82" t="s">
        <v>455</v>
      </c>
      <c r="C82" t="s">
        <v>477</v>
      </c>
      <c r="D82" t="s">
        <v>130</v>
      </c>
      <c r="E82" t="s">
        <v>136</v>
      </c>
      <c r="F82">
        <v>3</v>
      </c>
      <c r="G82" t="s">
        <v>499</v>
      </c>
      <c r="H82" s="4">
        <v>880895</v>
      </c>
      <c r="I82" s="4">
        <v>748514</v>
      </c>
      <c r="J82" s="3">
        <v>0.15028011283978226</v>
      </c>
      <c r="K82" s="3">
        <v>0.17685841547385886</v>
      </c>
      <c r="L82" t="s">
        <v>54</v>
      </c>
    </row>
    <row r="83" spans="1:12" x14ac:dyDescent="0.25">
      <c r="A83" t="s">
        <v>487</v>
      </c>
      <c r="B83" t="s">
        <v>455</v>
      </c>
      <c r="C83" t="s">
        <v>477</v>
      </c>
      <c r="D83" t="s">
        <v>132</v>
      </c>
      <c r="E83" t="s">
        <v>134</v>
      </c>
      <c r="F83">
        <v>1</v>
      </c>
      <c r="G83" t="s">
        <v>488</v>
      </c>
      <c r="H83" s="4">
        <v>619708</v>
      </c>
      <c r="I83" s="4">
        <v>1007442.5663667454</v>
      </c>
      <c r="J83" s="3">
        <v>0.6256730046517802</v>
      </c>
      <c r="K83" s="3">
        <v>-0.38487014477170306</v>
      </c>
      <c r="L83" t="s">
        <v>54</v>
      </c>
    </row>
    <row r="84" spans="1:12" x14ac:dyDescent="0.25">
      <c r="A84" t="s">
        <v>487</v>
      </c>
      <c r="B84" t="s">
        <v>455</v>
      </c>
      <c r="C84" t="s">
        <v>477</v>
      </c>
      <c r="D84" t="s">
        <v>132</v>
      </c>
      <c r="E84" t="s">
        <v>134</v>
      </c>
      <c r="F84">
        <v>1</v>
      </c>
      <c r="G84" t="s">
        <v>498</v>
      </c>
      <c r="H84" s="4">
        <v>619708</v>
      </c>
      <c r="I84" s="4">
        <v>958980</v>
      </c>
      <c r="J84" s="3">
        <v>0.5474707442860186</v>
      </c>
      <c r="K84" s="3">
        <v>-0.35378422907672735</v>
      </c>
      <c r="L84" t="s">
        <v>54</v>
      </c>
    </row>
    <row r="85" spans="1:12" x14ac:dyDescent="0.25">
      <c r="A85" t="s">
        <v>487</v>
      </c>
      <c r="B85" t="s">
        <v>455</v>
      </c>
      <c r="C85" t="s">
        <v>477</v>
      </c>
      <c r="D85" t="s">
        <v>132</v>
      </c>
      <c r="E85" t="s">
        <v>134</v>
      </c>
      <c r="F85">
        <v>1</v>
      </c>
      <c r="G85" t="s">
        <v>499</v>
      </c>
      <c r="H85" s="4">
        <v>619708</v>
      </c>
      <c r="I85" s="4">
        <v>978399</v>
      </c>
      <c r="J85" s="3">
        <v>0.5788064701440033</v>
      </c>
      <c r="K85" s="3">
        <v>-0.36661014575853</v>
      </c>
      <c r="L85" t="s">
        <v>54</v>
      </c>
    </row>
    <row r="86" spans="1:12" x14ac:dyDescent="0.25">
      <c r="A86" t="s">
        <v>487</v>
      </c>
      <c r="B86" t="s">
        <v>455</v>
      </c>
      <c r="C86" t="s">
        <v>477</v>
      </c>
      <c r="D86" t="s">
        <v>132</v>
      </c>
      <c r="E86" t="s">
        <v>136</v>
      </c>
      <c r="F86">
        <v>2</v>
      </c>
      <c r="G86" t="s">
        <v>488</v>
      </c>
      <c r="H86" s="4">
        <v>880895</v>
      </c>
      <c r="I86" s="4">
        <v>714863.167478374</v>
      </c>
      <c r="J86" s="3">
        <v>0.18848084337137347</v>
      </c>
      <c r="K86" s="3">
        <v>0.2322568011264181</v>
      </c>
      <c r="L86" t="s">
        <v>54</v>
      </c>
    </row>
    <row r="87" spans="1:12" x14ac:dyDescent="0.25">
      <c r="A87" t="s">
        <v>487</v>
      </c>
      <c r="B87" t="s">
        <v>455</v>
      </c>
      <c r="C87" t="s">
        <v>477</v>
      </c>
      <c r="D87" t="s">
        <v>132</v>
      </c>
      <c r="E87" t="s">
        <v>136</v>
      </c>
      <c r="F87">
        <v>2</v>
      </c>
      <c r="G87" t="s">
        <v>498</v>
      </c>
      <c r="H87" s="4">
        <v>880895</v>
      </c>
      <c r="I87" s="4">
        <v>680475</v>
      </c>
      <c r="J87" s="3">
        <v>0.2275186032387515</v>
      </c>
      <c r="K87" s="3">
        <v>0.29452955655975604</v>
      </c>
      <c r="L87" t="s">
        <v>54</v>
      </c>
    </row>
    <row r="88" spans="1:12" x14ac:dyDescent="0.25">
      <c r="A88" t="s">
        <v>487</v>
      </c>
      <c r="B88" t="s">
        <v>455</v>
      </c>
      <c r="C88" t="s">
        <v>477</v>
      </c>
      <c r="D88" t="s">
        <v>132</v>
      </c>
      <c r="E88" t="s">
        <v>136</v>
      </c>
      <c r="F88">
        <v>2</v>
      </c>
      <c r="G88" t="s">
        <v>499</v>
      </c>
      <c r="H88" s="4">
        <v>880895</v>
      </c>
      <c r="I88" s="4">
        <v>978399</v>
      </c>
      <c r="J88" s="3">
        <v>0.11068742585665715</v>
      </c>
      <c r="K88" s="3">
        <v>-0.09965668403177028</v>
      </c>
      <c r="L88" t="s">
        <v>54</v>
      </c>
    </row>
    <row r="89" spans="1:12" x14ac:dyDescent="0.25">
      <c r="A89" t="s">
        <v>487</v>
      </c>
      <c r="B89" t="s">
        <v>455</v>
      </c>
      <c r="C89" t="s">
        <v>477</v>
      </c>
      <c r="D89" t="s">
        <v>132</v>
      </c>
      <c r="E89" t="s">
        <v>138</v>
      </c>
      <c r="F89">
        <v>3</v>
      </c>
      <c r="G89" t="s">
        <v>488</v>
      </c>
      <c r="H89" s="4">
        <v>614506</v>
      </c>
      <c r="I89" s="4">
        <v>1130217.6036863092</v>
      </c>
      <c r="J89" s="3">
        <v>0.8392295660031134</v>
      </c>
      <c r="K89" s="3">
        <v>-0.4562940817805953</v>
      </c>
      <c r="L89" t="s">
        <v>54</v>
      </c>
    </row>
    <row r="90" spans="1:12" x14ac:dyDescent="0.25">
      <c r="A90" t="s">
        <v>487</v>
      </c>
      <c r="B90" t="s">
        <v>455</v>
      </c>
      <c r="C90" t="s">
        <v>477</v>
      </c>
      <c r="D90" t="s">
        <v>132</v>
      </c>
      <c r="E90" t="s">
        <v>138</v>
      </c>
      <c r="F90">
        <v>3</v>
      </c>
      <c r="G90" t="s">
        <v>498</v>
      </c>
      <c r="H90" s="4">
        <v>614506</v>
      </c>
      <c r="I90" s="4">
        <v>1075849</v>
      </c>
      <c r="J90" s="3">
        <v>0.7507542644009986</v>
      </c>
      <c r="K90" s="3">
        <v>-0.428817612880618</v>
      </c>
      <c r="L90" t="s">
        <v>54</v>
      </c>
    </row>
    <row r="91" spans="1:12" x14ac:dyDescent="0.25">
      <c r="A91" t="s">
        <v>487</v>
      </c>
      <c r="B91" t="s">
        <v>455</v>
      </c>
      <c r="C91" t="s">
        <v>477</v>
      </c>
      <c r="D91" t="s">
        <v>132</v>
      </c>
      <c r="E91" t="s">
        <v>138</v>
      </c>
      <c r="F91">
        <v>3</v>
      </c>
      <c r="G91" t="s">
        <v>499</v>
      </c>
      <c r="H91" s="4">
        <v>614506</v>
      </c>
      <c r="I91" s="4">
        <v>978399</v>
      </c>
      <c r="J91" s="3">
        <v>0.5921715979990432</v>
      </c>
      <c r="K91" s="3">
        <v>-0.3719269950194144</v>
      </c>
      <c r="L91" t="s">
        <v>54</v>
      </c>
    </row>
    <row r="92" spans="1:12" x14ac:dyDescent="0.25">
      <c r="A92" t="s">
        <v>487</v>
      </c>
      <c r="B92" t="s">
        <v>455</v>
      </c>
      <c r="C92" t="s">
        <v>477</v>
      </c>
      <c r="D92" t="s">
        <v>134</v>
      </c>
      <c r="E92" t="s">
        <v>136</v>
      </c>
      <c r="F92">
        <v>1</v>
      </c>
      <c r="G92" t="s">
        <v>488</v>
      </c>
      <c r="H92" s="4">
        <v>880895</v>
      </c>
      <c r="I92" s="4">
        <v>707751.3717148234</v>
      </c>
      <c r="J92" s="3">
        <v>0.1965542184768634</v>
      </c>
      <c r="K92" s="3">
        <v>0.24463905716729845</v>
      </c>
      <c r="L92" t="s">
        <v>54</v>
      </c>
    </row>
    <row r="93" spans="1:12" x14ac:dyDescent="0.25">
      <c r="A93" t="s">
        <v>487</v>
      </c>
      <c r="B93" t="s">
        <v>455</v>
      </c>
      <c r="C93" t="s">
        <v>477</v>
      </c>
      <c r="D93" t="s">
        <v>134</v>
      </c>
      <c r="E93" t="s">
        <v>136</v>
      </c>
      <c r="F93">
        <v>1</v>
      </c>
      <c r="G93" t="s">
        <v>498</v>
      </c>
      <c r="H93" s="4">
        <v>880895</v>
      </c>
      <c r="I93" s="4">
        <v>680475</v>
      </c>
      <c r="J93" s="3">
        <v>0.2275186032387515</v>
      </c>
      <c r="K93" s="3">
        <v>0.29452955655975604</v>
      </c>
      <c r="L93" t="s">
        <v>54</v>
      </c>
    </row>
    <row r="94" spans="1:12" x14ac:dyDescent="0.25">
      <c r="A94" t="s">
        <v>487</v>
      </c>
      <c r="B94" t="s">
        <v>455</v>
      </c>
      <c r="C94" t="s">
        <v>477</v>
      </c>
      <c r="D94" t="s">
        <v>134</v>
      </c>
      <c r="E94" t="s">
        <v>136</v>
      </c>
      <c r="F94">
        <v>1</v>
      </c>
      <c r="G94" t="s">
        <v>499</v>
      </c>
      <c r="H94" s="4">
        <v>880895</v>
      </c>
      <c r="I94" s="4">
        <v>619708</v>
      </c>
      <c r="J94" s="3">
        <v>0.2965018532288184</v>
      </c>
      <c r="K94" s="3">
        <v>0.42146785260154784</v>
      </c>
      <c r="L94" t="s">
        <v>54</v>
      </c>
    </row>
    <row r="95" spans="1:12" x14ac:dyDescent="0.25">
      <c r="A95" t="s">
        <v>487</v>
      </c>
      <c r="B95" t="s">
        <v>455</v>
      </c>
      <c r="C95" t="s">
        <v>477</v>
      </c>
      <c r="D95" t="s">
        <v>134</v>
      </c>
      <c r="E95" t="s">
        <v>138</v>
      </c>
      <c r="F95">
        <v>2</v>
      </c>
      <c r="G95" t="s">
        <v>488</v>
      </c>
      <c r="H95" s="4">
        <v>614506</v>
      </c>
      <c r="I95" s="4">
        <v>1118973.6662008467</v>
      </c>
      <c r="J95" s="3">
        <v>0.8209320433011991</v>
      </c>
      <c r="K95" s="3">
        <v>-0.450830686582305</v>
      </c>
      <c r="L95" t="s">
        <v>54</v>
      </c>
    </row>
    <row r="96" spans="1:12" x14ac:dyDescent="0.25">
      <c r="A96" t="s">
        <v>487</v>
      </c>
      <c r="B96" t="s">
        <v>455</v>
      </c>
      <c r="C96" t="s">
        <v>477</v>
      </c>
      <c r="D96" t="s">
        <v>134</v>
      </c>
      <c r="E96" t="s">
        <v>138</v>
      </c>
      <c r="F96">
        <v>2</v>
      </c>
      <c r="G96" t="s">
        <v>498</v>
      </c>
      <c r="H96" s="4">
        <v>614506</v>
      </c>
      <c r="I96" s="4">
        <v>1075849</v>
      </c>
      <c r="J96" s="3">
        <v>0.7507542644009986</v>
      </c>
      <c r="K96" s="3">
        <v>-0.428817612880618</v>
      </c>
      <c r="L96" t="s">
        <v>54</v>
      </c>
    </row>
    <row r="97" spans="1:12" x14ac:dyDescent="0.25">
      <c r="A97" t="s">
        <v>487</v>
      </c>
      <c r="B97" t="s">
        <v>455</v>
      </c>
      <c r="C97" t="s">
        <v>477</v>
      </c>
      <c r="D97" t="s">
        <v>134</v>
      </c>
      <c r="E97" t="s">
        <v>138</v>
      </c>
      <c r="F97">
        <v>2</v>
      </c>
      <c r="G97" t="s">
        <v>499</v>
      </c>
      <c r="H97" s="4">
        <v>614506</v>
      </c>
      <c r="I97" s="4">
        <v>619708</v>
      </c>
      <c r="J97" s="3">
        <v>0.008465336384022288</v>
      </c>
      <c r="K97" s="3">
        <v>-0.008394276013864594</v>
      </c>
      <c r="L97" t="s">
        <v>54</v>
      </c>
    </row>
    <row r="98" spans="1:12" x14ac:dyDescent="0.25">
      <c r="A98" t="s">
        <v>487</v>
      </c>
      <c r="B98" t="s">
        <v>455</v>
      </c>
      <c r="C98" t="s">
        <v>477</v>
      </c>
      <c r="D98" t="s">
        <v>134</v>
      </c>
      <c r="E98" t="s">
        <v>140</v>
      </c>
      <c r="F98">
        <v>3</v>
      </c>
      <c r="G98" t="s">
        <v>488</v>
      </c>
      <c r="H98" s="4">
        <v>1046319</v>
      </c>
      <c r="I98" s="4">
        <v>767339.882076388</v>
      </c>
      <c r="J98" s="3">
        <v>0.266629123549904</v>
      </c>
      <c r="K98" s="3">
        <v>0.3635665556294386</v>
      </c>
      <c r="L98" t="s">
        <v>54</v>
      </c>
    </row>
    <row r="99" spans="1:12" x14ac:dyDescent="0.25">
      <c r="A99" t="s">
        <v>487</v>
      </c>
      <c r="B99" t="s">
        <v>455</v>
      </c>
      <c r="C99" t="s">
        <v>477</v>
      </c>
      <c r="D99" t="s">
        <v>134</v>
      </c>
      <c r="E99" t="s">
        <v>140</v>
      </c>
      <c r="F99">
        <v>3</v>
      </c>
      <c r="G99" t="s">
        <v>498</v>
      </c>
      <c r="H99" s="4">
        <v>1046319</v>
      </c>
      <c r="I99" s="4">
        <v>737767</v>
      </c>
      <c r="J99" s="3">
        <v>0.2948928577231227</v>
      </c>
      <c r="K99" s="3">
        <v>0.41822418188940413</v>
      </c>
      <c r="L99" t="s">
        <v>54</v>
      </c>
    </row>
    <row r="100" spans="1:12" x14ac:dyDescent="0.25">
      <c r="A100" t="s">
        <v>487</v>
      </c>
      <c r="B100" t="s">
        <v>455</v>
      </c>
      <c r="C100" t="s">
        <v>477</v>
      </c>
      <c r="D100" t="s">
        <v>134</v>
      </c>
      <c r="E100" t="s">
        <v>140</v>
      </c>
      <c r="F100">
        <v>3</v>
      </c>
      <c r="G100" t="s">
        <v>499</v>
      </c>
      <c r="H100" s="4">
        <v>1046319</v>
      </c>
      <c r="I100" s="4">
        <v>619708</v>
      </c>
      <c r="J100" s="3">
        <v>0.40772555979581754</v>
      </c>
      <c r="K100" s="3">
        <v>0.6884064753077256</v>
      </c>
      <c r="L100" t="s">
        <v>54</v>
      </c>
    </row>
    <row r="101" spans="1:12" x14ac:dyDescent="0.25">
      <c r="A101" t="s">
        <v>487</v>
      </c>
      <c r="B101" t="s">
        <v>455</v>
      </c>
      <c r="C101" t="s">
        <v>477</v>
      </c>
      <c r="D101" t="s">
        <v>136</v>
      </c>
      <c r="E101" t="s">
        <v>138</v>
      </c>
      <c r="F101">
        <v>1</v>
      </c>
      <c r="G101" t="s">
        <v>488</v>
      </c>
      <c r="H101" s="4">
        <v>614506</v>
      </c>
      <c r="I101" s="4">
        <v>1184298.7410867244</v>
      </c>
      <c r="J101" s="3">
        <v>0.9272370669883198</v>
      </c>
      <c r="K101" s="3">
        <v>-0.4811224746923879</v>
      </c>
      <c r="L101" t="s">
        <v>54</v>
      </c>
    </row>
    <row r="102" spans="1:12" x14ac:dyDescent="0.25">
      <c r="A102" t="s">
        <v>487</v>
      </c>
      <c r="B102" t="s">
        <v>455</v>
      </c>
      <c r="C102" t="s">
        <v>477</v>
      </c>
      <c r="D102" t="s">
        <v>136</v>
      </c>
      <c r="E102" t="s">
        <v>138</v>
      </c>
      <c r="F102">
        <v>1</v>
      </c>
      <c r="G102" t="s">
        <v>498</v>
      </c>
      <c r="H102" s="4">
        <v>614506</v>
      </c>
      <c r="I102" s="4">
        <v>1075849</v>
      </c>
      <c r="J102" s="3">
        <v>0.7507542644009986</v>
      </c>
      <c r="K102" s="3">
        <v>-0.428817612880618</v>
      </c>
      <c r="L102" t="s">
        <v>54</v>
      </c>
    </row>
    <row r="103" spans="1:12" x14ac:dyDescent="0.25">
      <c r="A103" t="s">
        <v>487</v>
      </c>
      <c r="B103" t="s">
        <v>455</v>
      </c>
      <c r="C103" t="s">
        <v>477</v>
      </c>
      <c r="D103" t="s">
        <v>136</v>
      </c>
      <c r="E103" t="s">
        <v>138</v>
      </c>
      <c r="F103">
        <v>1</v>
      </c>
      <c r="G103" t="s">
        <v>499</v>
      </c>
      <c r="H103" s="4">
        <v>614506</v>
      </c>
      <c r="I103" s="4">
        <v>880895</v>
      </c>
      <c r="J103" s="3">
        <v>0.43350105613289375</v>
      </c>
      <c r="K103" s="3">
        <v>-0.30240721084805794</v>
      </c>
      <c r="L103" t="s">
        <v>54</v>
      </c>
    </row>
    <row r="104" spans="1:12" x14ac:dyDescent="0.25">
      <c r="A104" t="s">
        <v>487</v>
      </c>
      <c r="B104" t="s">
        <v>455</v>
      </c>
      <c r="C104" t="s">
        <v>477</v>
      </c>
      <c r="D104" t="s">
        <v>136</v>
      </c>
      <c r="E104" t="s">
        <v>140</v>
      </c>
      <c r="F104">
        <v>2</v>
      </c>
      <c r="G104" t="s">
        <v>488</v>
      </c>
      <c r="H104" s="4">
        <v>1046319</v>
      </c>
      <c r="I104" s="4">
        <v>812136.7676275476</v>
      </c>
      <c r="J104" s="3">
        <v>0.22381533009765892</v>
      </c>
      <c r="K104" s="3">
        <v>0.28835319580045193</v>
      </c>
      <c r="L104" t="s">
        <v>54</v>
      </c>
    </row>
    <row r="105" spans="1:12" x14ac:dyDescent="0.25">
      <c r="A105" t="s">
        <v>487</v>
      </c>
      <c r="B105" t="s">
        <v>455</v>
      </c>
      <c r="C105" t="s">
        <v>477</v>
      </c>
      <c r="D105" t="s">
        <v>136</v>
      </c>
      <c r="E105" t="s">
        <v>140</v>
      </c>
      <c r="F105">
        <v>2</v>
      </c>
      <c r="G105" t="s">
        <v>498</v>
      </c>
      <c r="H105" s="4">
        <v>1046319</v>
      </c>
      <c r="I105" s="4">
        <v>737767</v>
      </c>
      <c r="J105" s="3">
        <v>0.2948928577231227</v>
      </c>
      <c r="K105" s="3">
        <v>0.41822418188940413</v>
      </c>
      <c r="L105" t="s">
        <v>54</v>
      </c>
    </row>
    <row r="106" spans="1:12" x14ac:dyDescent="0.25">
      <c r="A106" t="s">
        <v>487</v>
      </c>
      <c r="B106" t="s">
        <v>455</v>
      </c>
      <c r="C106" t="s">
        <v>477</v>
      </c>
      <c r="D106" t="s">
        <v>136</v>
      </c>
      <c r="E106" t="s">
        <v>140</v>
      </c>
      <c r="F106">
        <v>2</v>
      </c>
      <c r="G106" t="s">
        <v>499</v>
      </c>
      <c r="H106" s="4">
        <v>1046319</v>
      </c>
      <c r="I106" s="4">
        <v>880895</v>
      </c>
      <c r="J106" s="3">
        <v>0.1581009233321769</v>
      </c>
      <c r="K106" s="3">
        <v>0.1877908263754477</v>
      </c>
      <c r="L106" t="s">
        <v>54</v>
      </c>
    </row>
    <row r="107" spans="1:12" x14ac:dyDescent="0.25">
      <c r="A107" t="s">
        <v>487</v>
      </c>
      <c r="B107" t="s">
        <v>455</v>
      </c>
      <c r="C107" t="s">
        <v>477</v>
      </c>
      <c r="D107" t="s">
        <v>136</v>
      </c>
      <c r="E107" t="s">
        <v>142</v>
      </c>
      <c r="F107">
        <v>3</v>
      </c>
      <c r="G107" t="s">
        <v>488</v>
      </c>
      <c r="H107" s="4">
        <v>1143666</v>
      </c>
      <c r="I107" s="4">
        <v>986085.7949227575</v>
      </c>
      <c r="J107" s="3">
        <v>0.13778516199418575</v>
      </c>
      <c r="K107" s="3">
        <v>0.15980374718772425</v>
      </c>
      <c r="L107" t="s">
        <v>54</v>
      </c>
    </row>
    <row r="108" spans="1:12" x14ac:dyDescent="0.25">
      <c r="A108" t="s">
        <v>487</v>
      </c>
      <c r="B108" t="s">
        <v>455</v>
      </c>
      <c r="C108" t="s">
        <v>477</v>
      </c>
      <c r="D108" t="s">
        <v>136</v>
      </c>
      <c r="E108" t="s">
        <v>142</v>
      </c>
      <c r="F108">
        <v>3</v>
      </c>
      <c r="G108" t="s">
        <v>498</v>
      </c>
      <c r="H108" s="4">
        <v>1143666</v>
      </c>
      <c r="I108" s="4">
        <v>895787</v>
      </c>
      <c r="J108" s="3">
        <v>0.21674072675064224</v>
      </c>
      <c r="K108" s="3">
        <v>0.27671645156716945</v>
      </c>
      <c r="L108" t="s">
        <v>54</v>
      </c>
    </row>
    <row r="109" spans="1:12" x14ac:dyDescent="0.25">
      <c r="A109" t="s">
        <v>487</v>
      </c>
      <c r="B109" t="s">
        <v>455</v>
      </c>
      <c r="C109" t="s">
        <v>477</v>
      </c>
      <c r="D109" t="s">
        <v>136</v>
      </c>
      <c r="E109" t="s">
        <v>142</v>
      </c>
      <c r="F109">
        <v>3</v>
      </c>
      <c r="G109" t="s">
        <v>499</v>
      </c>
      <c r="H109" s="4">
        <v>1143666</v>
      </c>
      <c r="I109" s="4">
        <v>880895</v>
      </c>
      <c r="J109" s="3">
        <v>0.22976201093675952</v>
      </c>
      <c r="K109" s="3">
        <v>0.29830002440699516</v>
      </c>
      <c r="L109" t="s">
        <v>54</v>
      </c>
    </row>
    <row r="110" spans="1:12" x14ac:dyDescent="0.25">
      <c r="A110" t="s">
        <v>487</v>
      </c>
      <c r="B110" t="s">
        <v>455</v>
      </c>
      <c r="C110" t="s">
        <v>477</v>
      </c>
      <c r="D110" t="s">
        <v>138</v>
      </c>
      <c r="E110" t="s">
        <v>140</v>
      </c>
      <c r="F110">
        <v>1</v>
      </c>
      <c r="G110" t="s">
        <v>488</v>
      </c>
      <c r="H110" s="4">
        <v>1046319</v>
      </c>
      <c r="I110" s="4">
        <v>748973.0897649915</v>
      </c>
      <c r="J110" s="3">
        <v>0.28418284503579544</v>
      </c>
      <c r="K110" s="3">
        <v>0.3970047980339426</v>
      </c>
      <c r="L110" t="s">
        <v>54</v>
      </c>
    </row>
    <row r="111" spans="1:12" x14ac:dyDescent="0.25">
      <c r="A111" t="s">
        <v>487</v>
      </c>
      <c r="B111" t="s">
        <v>455</v>
      </c>
      <c r="C111" t="s">
        <v>477</v>
      </c>
      <c r="D111" t="s">
        <v>138</v>
      </c>
      <c r="E111" t="s">
        <v>140</v>
      </c>
      <c r="F111">
        <v>1</v>
      </c>
      <c r="G111" t="s">
        <v>498</v>
      </c>
      <c r="H111" s="4">
        <v>1046319</v>
      </c>
      <c r="I111" s="4">
        <v>737767</v>
      </c>
      <c r="J111" s="3">
        <v>0.2948928577231227</v>
      </c>
      <c r="K111" s="3">
        <v>0.41822418188940413</v>
      </c>
      <c r="L111" t="s">
        <v>54</v>
      </c>
    </row>
    <row r="112" spans="1:12" x14ac:dyDescent="0.25">
      <c r="A112" t="s">
        <v>487</v>
      </c>
      <c r="B112" t="s">
        <v>455</v>
      </c>
      <c r="C112" t="s">
        <v>477</v>
      </c>
      <c r="D112" t="s">
        <v>138</v>
      </c>
      <c r="E112" t="s">
        <v>140</v>
      </c>
      <c r="F112">
        <v>1</v>
      </c>
      <c r="G112" t="s">
        <v>499</v>
      </c>
      <c r="H112" s="4">
        <v>1046319</v>
      </c>
      <c r="I112" s="4">
        <v>614506</v>
      </c>
      <c r="J112" s="3">
        <v>0.4126972749228486</v>
      </c>
      <c r="K112" s="3">
        <v>0.7026994040741669</v>
      </c>
      <c r="L112" t="s">
        <v>54</v>
      </c>
    </row>
    <row r="113" spans="1:12" x14ac:dyDescent="0.25">
      <c r="A113" t="s">
        <v>487</v>
      </c>
      <c r="B113" t="s">
        <v>455</v>
      </c>
      <c r="C113" t="s">
        <v>477</v>
      </c>
      <c r="D113" t="s">
        <v>138</v>
      </c>
      <c r="E113" t="s">
        <v>142</v>
      </c>
      <c r="F113">
        <v>2</v>
      </c>
      <c r="G113" t="s">
        <v>488</v>
      </c>
      <c r="H113" s="4">
        <v>1143666</v>
      </c>
      <c r="I113" s="4">
        <v>909393.2869880497</v>
      </c>
      <c r="J113" s="3">
        <v>0.20484364579514497</v>
      </c>
      <c r="K113" s="3">
        <v>0.25761429775655337</v>
      </c>
      <c r="L113" t="s">
        <v>54</v>
      </c>
    </row>
    <row r="114" spans="1:12" x14ac:dyDescent="0.25">
      <c r="A114" t="s">
        <v>487</v>
      </c>
      <c r="B114" t="s">
        <v>455</v>
      </c>
      <c r="C114" t="s">
        <v>477</v>
      </c>
      <c r="D114" t="s">
        <v>138</v>
      </c>
      <c r="E114" t="s">
        <v>142</v>
      </c>
      <c r="F114">
        <v>2</v>
      </c>
      <c r="G114" t="s">
        <v>498</v>
      </c>
      <c r="H114" s="4">
        <v>1143666</v>
      </c>
      <c r="I114" s="4">
        <v>895787</v>
      </c>
      <c r="J114" s="3">
        <v>0.21674072675064224</v>
      </c>
      <c r="K114" s="3">
        <v>0.27671645156716945</v>
      </c>
      <c r="L114" t="s">
        <v>54</v>
      </c>
    </row>
    <row r="115" spans="1:12" x14ac:dyDescent="0.25">
      <c r="A115" t="s">
        <v>487</v>
      </c>
      <c r="B115" t="s">
        <v>455</v>
      </c>
      <c r="C115" t="s">
        <v>477</v>
      </c>
      <c r="D115" t="s">
        <v>138</v>
      </c>
      <c r="E115" t="s">
        <v>142</v>
      </c>
      <c r="F115">
        <v>2</v>
      </c>
      <c r="G115" t="s">
        <v>499</v>
      </c>
      <c r="H115" s="4">
        <v>1143666</v>
      </c>
      <c r="I115" s="4">
        <v>614506</v>
      </c>
      <c r="J115" s="3">
        <v>0.46268753289859105</v>
      </c>
      <c r="K115" s="3">
        <v>0.8611144561647893</v>
      </c>
      <c r="L115" t="s">
        <v>54</v>
      </c>
    </row>
    <row r="116" spans="1:12" x14ac:dyDescent="0.25">
      <c r="A116" t="s">
        <v>487</v>
      </c>
      <c r="B116" t="s">
        <v>455</v>
      </c>
      <c r="C116" t="s">
        <v>477</v>
      </c>
      <c r="D116" t="s">
        <v>138</v>
      </c>
      <c r="E116" t="s">
        <v>144</v>
      </c>
      <c r="F116">
        <v>3</v>
      </c>
      <c r="G116" t="s">
        <v>488</v>
      </c>
      <c r="H116" s="4">
        <v>689333</v>
      </c>
      <c r="I116" s="4">
        <v>973635.4746887987</v>
      </c>
      <c r="J116" s="3">
        <v>0.4124312555597928</v>
      </c>
      <c r="K116" s="3">
        <v>-0.2920009408856736</v>
      </c>
      <c r="L116" t="s">
        <v>54</v>
      </c>
    </row>
    <row r="117" spans="1:12" x14ac:dyDescent="0.25">
      <c r="A117" t="s">
        <v>487</v>
      </c>
      <c r="B117" t="s">
        <v>455</v>
      </c>
      <c r="C117" t="s">
        <v>477</v>
      </c>
      <c r="D117" t="s">
        <v>138</v>
      </c>
      <c r="E117" t="s">
        <v>144</v>
      </c>
      <c r="F117">
        <v>3</v>
      </c>
      <c r="G117" t="s">
        <v>498</v>
      </c>
      <c r="H117" s="4">
        <v>689333</v>
      </c>
      <c r="I117" s="4">
        <v>959068</v>
      </c>
      <c r="J117" s="3">
        <v>0.3912985451153506</v>
      </c>
      <c r="K117" s="3">
        <v>-0.2812470022980644</v>
      </c>
      <c r="L117" t="s">
        <v>54</v>
      </c>
    </row>
    <row r="118" spans="1:12" x14ac:dyDescent="0.25">
      <c r="A118" t="s">
        <v>487</v>
      </c>
      <c r="B118" t="s">
        <v>455</v>
      </c>
      <c r="C118" t="s">
        <v>477</v>
      </c>
      <c r="D118" t="s">
        <v>138</v>
      </c>
      <c r="E118" t="s">
        <v>144</v>
      </c>
      <c r="F118">
        <v>3</v>
      </c>
      <c r="G118" t="s">
        <v>499</v>
      </c>
      <c r="H118" s="4">
        <v>689333</v>
      </c>
      <c r="I118" s="4">
        <v>614506</v>
      </c>
      <c r="J118" s="3">
        <v>0.108549859066663</v>
      </c>
      <c r="K118" s="3">
        <v>0.12176772887490114</v>
      </c>
      <c r="L118" t="s">
        <v>54</v>
      </c>
    </row>
    <row r="119" spans="1:12" x14ac:dyDescent="0.25">
      <c r="A119" t="s">
        <v>487</v>
      </c>
      <c r="B119" t="s">
        <v>455</v>
      </c>
      <c r="C119" t="s">
        <v>477</v>
      </c>
      <c r="D119" t="s">
        <v>140</v>
      </c>
      <c r="E119" t="s">
        <v>142</v>
      </c>
      <c r="F119">
        <v>1</v>
      </c>
      <c r="G119" t="s">
        <v>488</v>
      </c>
      <c r="H119" s="4">
        <v>1143666</v>
      </c>
      <c r="I119" s="4">
        <v>958983.354730052</v>
      </c>
      <c r="J119" s="3">
        <v>0.16148302500026063</v>
      </c>
      <c r="K119" s="3">
        <v>0.1925817005676132</v>
      </c>
      <c r="L119" t="s">
        <v>54</v>
      </c>
    </row>
    <row r="120" spans="1:12" x14ac:dyDescent="0.25">
      <c r="A120" t="s">
        <v>487</v>
      </c>
      <c r="B120" t="s">
        <v>455</v>
      </c>
      <c r="C120" t="s">
        <v>477</v>
      </c>
      <c r="D120" t="s">
        <v>140</v>
      </c>
      <c r="E120" t="s">
        <v>142</v>
      </c>
      <c r="F120">
        <v>1</v>
      </c>
      <c r="G120" t="s">
        <v>498</v>
      </c>
      <c r="H120" s="4">
        <v>1143666</v>
      </c>
      <c r="I120" s="4">
        <v>895787</v>
      </c>
      <c r="J120" s="3">
        <v>0.21674072675064224</v>
      </c>
      <c r="K120" s="3">
        <v>0.27671645156716945</v>
      </c>
      <c r="L120" t="s">
        <v>54</v>
      </c>
    </row>
    <row r="121" spans="1:12" x14ac:dyDescent="0.25">
      <c r="A121" t="s">
        <v>487</v>
      </c>
      <c r="B121" t="s">
        <v>455</v>
      </c>
      <c r="C121" t="s">
        <v>477</v>
      </c>
      <c r="D121" t="s">
        <v>140</v>
      </c>
      <c r="E121" t="s">
        <v>142</v>
      </c>
      <c r="F121">
        <v>1</v>
      </c>
      <c r="G121" t="s">
        <v>499</v>
      </c>
      <c r="H121" s="4">
        <v>1143666</v>
      </c>
      <c r="I121" s="4">
        <v>1046319</v>
      </c>
      <c r="J121" s="3">
        <v>0.08511838246481053</v>
      </c>
      <c r="K121" s="3">
        <v>0.09303759178606143</v>
      </c>
      <c r="L121" t="s">
        <v>54</v>
      </c>
    </row>
    <row r="122" spans="1:12" x14ac:dyDescent="0.25">
      <c r="A122" t="s">
        <v>487</v>
      </c>
      <c r="B122" t="s">
        <v>455</v>
      </c>
      <c r="C122" t="s">
        <v>477</v>
      </c>
      <c r="D122" t="s">
        <v>140</v>
      </c>
      <c r="E122" t="s">
        <v>144</v>
      </c>
      <c r="F122">
        <v>2</v>
      </c>
      <c r="G122" t="s">
        <v>488</v>
      </c>
      <c r="H122" s="4">
        <v>689333</v>
      </c>
      <c r="I122" s="4">
        <v>1026728.7290999327</v>
      </c>
      <c r="J122" s="3">
        <v>0.48945245490921324</v>
      </c>
      <c r="K122" s="3">
        <v>-0.3286123389141998</v>
      </c>
      <c r="L122" t="s">
        <v>54</v>
      </c>
    </row>
    <row r="123" spans="1:12" x14ac:dyDescent="0.25">
      <c r="A123" t="s">
        <v>487</v>
      </c>
      <c r="B123" t="s">
        <v>455</v>
      </c>
      <c r="C123" t="s">
        <v>477</v>
      </c>
      <c r="D123" t="s">
        <v>140</v>
      </c>
      <c r="E123" t="s">
        <v>144</v>
      </c>
      <c r="F123">
        <v>2</v>
      </c>
      <c r="G123" t="s">
        <v>498</v>
      </c>
      <c r="H123" s="4">
        <v>689333</v>
      </c>
      <c r="I123" s="4">
        <v>959068</v>
      </c>
      <c r="J123" s="3">
        <v>0.3912985451153506</v>
      </c>
      <c r="K123" s="3">
        <v>-0.2812470022980644</v>
      </c>
      <c r="L123" t="s">
        <v>54</v>
      </c>
    </row>
    <row r="124" spans="1:12" x14ac:dyDescent="0.25">
      <c r="A124" t="s">
        <v>487</v>
      </c>
      <c r="B124" t="s">
        <v>455</v>
      </c>
      <c r="C124" t="s">
        <v>477</v>
      </c>
      <c r="D124" t="s">
        <v>140</v>
      </c>
      <c r="E124" t="s">
        <v>144</v>
      </c>
      <c r="F124">
        <v>2</v>
      </c>
      <c r="G124" t="s">
        <v>499</v>
      </c>
      <c r="H124" s="4">
        <v>689333</v>
      </c>
      <c r="I124" s="4">
        <v>1046319</v>
      </c>
      <c r="J124" s="3">
        <v>0.5178716237290251</v>
      </c>
      <c r="K124" s="3">
        <v>-0.3411827559281634</v>
      </c>
      <c r="L124" t="s">
        <v>54</v>
      </c>
    </row>
    <row r="125" spans="1:12" x14ac:dyDescent="0.25">
      <c r="A125" t="s">
        <v>487</v>
      </c>
      <c r="B125" t="s">
        <v>455</v>
      </c>
      <c r="C125" t="s">
        <v>477</v>
      </c>
      <c r="D125" t="s">
        <v>140</v>
      </c>
      <c r="E125" t="s">
        <v>146</v>
      </c>
      <c r="F125">
        <v>3</v>
      </c>
      <c r="G125" t="s">
        <v>488</v>
      </c>
      <c r="H125" s="4">
        <v>986656</v>
      </c>
      <c r="I125" s="4">
        <v>976788.7159999411</v>
      </c>
      <c r="J125" s="3">
        <v>0.010000733791776356</v>
      </c>
      <c r="K125" s="3">
        <v>0.01010175879228675</v>
      </c>
      <c r="L125" t="s">
        <v>54</v>
      </c>
    </row>
    <row r="126" spans="1:12" x14ac:dyDescent="0.25">
      <c r="A126" t="s">
        <v>487</v>
      </c>
      <c r="B126" t="s">
        <v>455</v>
      </c>
      <c r="C126" t="s">
        <v>477</v>
      </c>
      <c r="D126" t="s">
        <v>140</v>
      </c>
      <c r="E126" t="s">
        <v>146</v>
      </c>
      <c r="F126">
        <v>3</v>
      </c>
      <c r="G126" t="s">
        <v>498</v>
      </c>
      <c r="H126" s="4">
        <v>986656</v>
      </c>
      <c r="I126" s="4">
        <v>912419</v>
      </c>
      <c r="J126" s="3">
        <v>0.07524101611909317</v>
      </c>
      <c r="K126" s="3">
        <v>0.0813628387834975</v>
      </c>
      <c r="L126" t="s">
        <v>54</v>
      </c>
    </row>
    <row r="127" spans="1:12" x14ac:dyDescent="0.25">
      <c r="A127" t="s">
        <v>487</v>
      </c>
      <c r="B127" t="s">
        <v>455</v>
      </c>
      <c r="C127" t="s">
        <v>477</v>
      </c>
      <c r="D127" t="s">
        <v>140</v>
      </c>
      <c r="E127" t="s">
        <v>146</v>
      </c>
      <c r="F127">
        <v>3</v>
      </c>
      <c r="G127" t="s">
        <v>499</v>
      </c>
      <c r="H127" s="4">
        <v>986656</v>
      </c>
      <c r="I127" s="4">
        <v>1046319</v>
      </c>
      <c r="J127" s="3">
        <v>0.060469910485518766</v>
      </c>
      <c r="K127" s="3">
        <v>-0.057021806925039116</v>
      </c>
      <c r="L127" t="s">
        <v>54</v>
      </c>
    </row>
    <row r="128" spans="1:12" x14ac:dyDescent="0.25">
      <c r="A128" t="s">
        <v>487</v>
      </c>
      <c r="B128" t="s">
        <v>455</v>
      </c>
      <c r="C128" t="s">
        <v>477</v>
      </c>
      <c r="D128" t="s">
        <v>142</v>
      </c>
      <c r="E128" t="s">
        <v>144</v>
      </c>
      <c r="F128">
        <v>1</v>
      </c>
      <c r="G128" t="s">
        <v>488</v>
      </c>
      <c r="H128" s="4">
        <v>689333</v>
      </c>
      <c r="I128" s="4">
        <v>1041790.8267231045</v>
      </c>
      <c r="J128" s="3">
        <v>0.5113027038065847</v>
      </c>
      <c r="K128" s="3">
        <v>-0.3383191881538649</v>
      </c>
      <c r="L128" t="s">
        <v>54</v>
      </c>
    </row>
    <row r="129" spans="1:12" x14ac:dyDescent="0.25">
      <c r="A129" t="s">
        <v>487</v>
      </c>
      <c r="B129" t="s">
        <v>455</v>
      </c>
      <c r="C129" t="s">
        <v>477</v>
      </c>
      <c r="D129" t="s">
        <v>142</v>
      </c>
      <c r="E129" t="s">
        <v>144</v>
      </c>
      <c r="F129">
        <v>1</v>
      </c>
      <c r="G129" t="s">
        <v>498</v>
      </c>
      <c r="H129" s="4">
        <v>689333</v>
      </c>
      <c r="I129" s="4">
        <v>959068</v>
      </c>
      <c r="J129" s="3">
        <v>0.3912985451153506</v>
      </c>
      <c r="K129" s="3">
        <v>-0.2812470022980644</v>
      </c>
      <c r="L129" t="s">
        <v>54</v>
      </c>
    </row>
    <row r="130" spans="1:12" x14ac:dyDescent="0.25">
      <c r="A130" t="s">
        <v>487</v>
      </c>
      <c r="B130" t="s">
        <v>455</v>
      </c>
      <c r="C130" t="s">
        <v>477</v>
      </c>
      <c r="D130" t="s">
        <v>142</v>
      </c>
      <c r="E130" t="s">
        <v>144</v>
      </c>
      <c r="F130">
        <v>1</v>
      </c>
      <c r="G130" t="s">
        <v>499</v>
      </c>
      <c r="H130" s="4">
        <v>689333</v>
      </c>
      <c r="I130" s="4">
        <v>1143666</v>
      </c>
      <c r="J130" s="3">
        <v>0.6590907442411723</v>
      </c>
      <c r="K130" s="3">
        <v>-0.3972602140834824</v>
      </c>
      <c r="L130" t="s">
        <v>54</v>
      </c>
    </row>
    <row r="131" spans="1:12" x14ac:dyDescent="0.25">
      <c r="A131" t="s">
        <v>487</v>
      </c>
      <c r="B131" t="s">
        <v>455</v>
      </c>
      <c r="C131" t="s">
        <v>477</v>
      </c>
      <c r="D131" t="s">
        <v>142</v>
      </c>
      <c r="E131" t="s">
        <v>146</v>
      </c>
      <c r="F131">
        <v>2</v>
      </c>
      <c r="G131" t="s">
        <v>488</v>
      </c>
      <c r="H131" s="4">
        <v>986656</v>
      </c>
      <c r="I131" s="4">
        <v>991118.1942551188</v>
      </c>
      <c r="J131" s="3">
        <v>0.004522543069842823</v>
      </c>
      <c r="K131" s="3">
        <v>-0.004502181758929802</v>
      </c>
      <c r="L131" t="s">
        <v>54</v>
      </c>
    </row>
    <row r="132" spans="1:12" x14ac:dyDescent="0.25">
      <c r="A132" t="s">
        <v>487</v>
      </c>
      <c r="B132" t="s">
        <v>455</v>
      </c>
      <c r="C132" t="s">
        <v>477</v>
      </c>
      <c r="D132" t="s">
        <v>142</v>
      </c>
      <c r="E132" t="s">
        <v>146</v>
      </c>
      <c r="F132">
        <v>2</v>
      </c>
      <c r="G132" t="s">
        <v>498</v>
      </c>
      <c r="H132" s="4">
        <v>986656</v>
      </c>
      <c r="I132" s="4">
        <v>912419</v>
      </c>
      <c r="J132" s="3">
        <v>0.07524101611909317</v>
      </c>
      <c r="K132" s="3">
        <v>0.0813628387834975</v>
      </c>
      <c r="L132" t="s">
        <v>54</v>
      </c>
    </row>
    <row r="133" spans="1:12" x14ac:dyDescent="0.25">
      <c r="A133" t="s">
        <v>487</v>
      </c>
      <c r="B133" t="s">
        <v>455</v>
      </c>
      <c r="C133" t="s">
        <v>477</v>
      </c>
      <c r="D133" t="s">
        <v>142</v>
      </c>
      <c r="E133" t="s">
        <v>146</v>
      </c>
      <c r="F133">
        <v>2</v>
      </c>
      <c r="G133" t="s">
        <v>499</v>
      </c>
      <c r="H133" s="4">
        <v>986656</v>
      </c>
      <c r="I133" s="4">
        <v>1143666</v>
      </c>
      <c r="J133" s="3">
        <v>0.15913347711867154</v>
      </c>
      <c r="K133" s="3">
        <v>-0.13728658541916958</v>
      </c>
      <c r="L133" t="s">
        <v>54</v>
      </c>
    </row>
    <row r="134" spans="1:12" x14ac:dyDescent="0.25">
      <c r="A134" t="s">
        <v>487</v>
      </c>
      <c r="B134" t="s">
        <v>455</v>
      </c>
      <c r="C134" t="s">
        <v>477</v>
      </c>
      <c r="D134" t="s">
        <v>142</v>
      </c>
      <c r="E134" t="s">
        <v>148</v>
      </c>
      <c r="F134">
        <v>3</v>
      </c>
      <c r="G134" t="s">
        <v>488</v>
      </c>
      <c r="H134" s="4">
        <v>800825</v>
      </c>
      <c r="I134" s="4">
        <v>623595.2362234723</v>
      </c>
      <c r="J134" s="3">
        <v>0.2213089798352046</v>
      </c>
      <c r="K134" s="3">
        <v>0.2842064106355929</v>
      </c>
      <c r="L134" t="s">
        <v>54</v>
      </c>
    </row>
    <row r="135" spans="1:12" x14ac:dyDescent="0.25">
      <c r="A135" t="s">
        <v>487</v>
      </c>
      <c r="B135" t="s">
        <v>455</v>
      </c>
      <c r="C135" t="s">
        <v>477</v>
      </c>
      <c r="D135" t="s">
        <v>142</v>
      </c>
      <c r="E135" t="s">
        <v>148</v>
      </c>
      <c r="F135">
        <v>3</v>
      </c>
      <c r="G135" t="s">
        <v>498</v>
      </c>
      <c r="H135" s="4">
        <v>800825</v>
      </c>
      <c r="I135" s="4">
        <v>574079</v>
      </c>
      <c r="J135" s="3">
        <v>0.2831405113476727</v>
      </c>
      <c r="K135" s="3">
        <v>0.3949735140982339</v>
      </c>
      <c r="L135" t="s">
        <v>54</v>
      </c>
    </row>
    <row r="136" spans="1:12" x14ac:dyDescent="0.25">
      <c r="A136" t="s">
        <v>487</v>
      </c>
      <c r="B136" t="s">
        <v>455</v>
      </c>
      <c r="C136" t="s">
        <v>477</v>
      </c>
      <c r="D136" t="s">
        <v>142</v>
      </c>
      <c r="E136" t="s">
        <v>148</v>
      </c>
      <c r="F136">
        <v>3</v>
      </c>
      <c r="G136" t="s">
        <v>499</v>
      </c>
      <c r="H136" s="4">
        <v>800825</v>
      </c>
      <c r="I136" s="4">
        <v>1143666</v>
      </c>
      <c r="J136" s="3">
        <v>0.42810976180813537</v>
      </c>
      <c r="K136" s="3">
        <v>-0.2997737101566366</v>
      </c>
      <c r="L136" t="s">
        <v>54</v>
      </c>
    </row>
    <row r="137" spans="1:12" x14ac:dyDescent="0.25">
      <c r="A137" t="s">
        <v>487</v>
      </c>
      <c r="B137" t="s">
        <v>455</v>
      </c>
      <c r="C137" t="s">
        <v>477</v>
      </c>
      <c r="D137" t="s">
        <v>144</v>
      </c>
      <c r="E137" t="s">
        <v>146</v>
      </c>
      <c r="F137">
        <v>1</v>
      </c>
      <c r="G137" t="s">
        <v>488</v>
      </c>
      <c r="H137" s="4">
        <v>986656</v>
      </c>
      <c r="I137" s="4">
        <v>967678.740562702</v>
      </c>
      <c r="J137" s="3">
        <v>0.01923391682338936</v>
      </c>
      <c r="K137" s="3">
        <v>0.019611115385528507</v>
      </c>
      <c r="L137" t="s">
        <v>54</v>
      </c>
    </row>
    <row r="138" spans="1:12" x14ac:dyDescent="0.25">
      <c r="A138" t="s">
        <v>487</v>
      </c>
      <c r="B138" t="s">
        <v>455</v>
      </c>
      <c r="C138" t="s">
        <v>477</v>
      </c>
      <c r="D138" t="s">
        <v>144</v>
      </c>
      <c r="E138" t="s">
        <v>146</v>
      </c>
      <c r="F138">
        <v>1</v>
      </c>
      <c r="G138" t="s">
        <v>498</v>
      </c>
      <c r="H138" s="4">
        <v>986656</v>
      </c>
      <c r="I138" s="4">
        <v>912419</v>
      </c>
      <c r="J138" s="3">
        <v>0.07524101611909317</v>
      </c>
      <c r="K138" s="3">
        <v>0.0813628387834975</v>
      </c>
      <c r="L138" t="s">
        <v>54</v>
      </c>
    </row>
    <row r="139" spans="1:12" x14ac:dyDescent="0.25">
      <c r="A139" t="s">
        <v>487</v>
      </c>
      <c r="B139" t="s">
        <v>455</v>
      </c>
      <c r="C139" t="s">
        <v>477</v>
      </c>
      <c r="D139" t="s">
        <v>144</v>
      </c>
      <c r="E139" t="s">
        <v>146</v>
      </c>
      <c r="F139">
        <v>1</v>
      </c>
      <c r="G139" t="s">
        <v>499</v>
      </c>
      <c r="H139" s="4">
        <v>986656</v>
      </c>
      <c r="I139" s="4">
        <v>689333</v>
      </c>
      <c r="J139" s="3">
        <v>0.3013441361528233</v>
      </c>
      <c r="K139" s="3">
        <v>0.43131984106375293</v>
      </c>
      <c r="L139" t="s">
        <v>54</v>
      </c>
    </row>
    <row r="140" spans="1:12" x14ac:dyDescent="0.25">
      <c r="A140" t="s">
        <v>487</v>
      </c>
      <c r="B140" t="s">
        <v>455</v>
      </c>
      <c r="C140" t="s">
        <v>477</v>
      </c>
      <c r="D140" t="s">
        <v>144</v>
      </c>
      <c r="E140" t="s">
        <v>148</v>
      </c>
      <c r="F140">
        <v>2</v>
      </c>
      <c r="G140" t="s">
        <v>488</v>
      </c>
      <c r="H140" s="4">
        <v>800825</v>
      </c>
      <c r="I140" s="4">
        <v>608847.5181944867</v>
      </c>
      <c r="J140" s="3">
        <v>0.23972463622578374</v>
      </c>
      <c r="K140" s="3">
        <v>0.31531290851741484</v>
      </c>
      <c r="L140" t="s">
        <v>54</v>
      </c>
    </row>
    <row r="141" spans="1:12" x14ac:dyDescent="0.25">
      <c r="A141" t="s">
        <v>487</v>
      </c>
      <c r="B141" t="s">
        <v>455</v>
      </c>
      <c r="C141" t="s">
        <v>477</v>
      </c>
      <c r="D141" t="s">
        <v>144</v>
      </c>
      <c r="E141" t="s">
        <v>148</v>
      </c>
      <c r="F141">
        <v>2</v>
      </c>
      <c r="G141" t="s">
        <v>498</v>
      </c>
      <c r="H141" s="4">
        <v>800825</v>
      </c>
      <c r="I141" s="4">
        <v>574079</v>
      </c>
      <c r="J141" s="3">
        <v>0.2831405113476727</v>
      </c>
      <c r="K141" s="3">
        <v>0.3949735140982339</v>
      </c>
      <c r="L141" t="s">
        <v>54</v>
      </c>
    </row>
    <row r="142" spans="1:12" x14ac:dyDescent="0.25">
      <c r="A142" t="s">
        <v>487</v>
      </c>
      <c r="B142" t="s">
        <v>455</v>
      </c>
      <c r="C142" t="s">
        <v>477</v>
      </c>
      <c r="D142" t="s">
        <v>144</v>
      </c>
      <c r="E142" t="s">
        <v>148</v>
      </c>
      <c r="F142">
        <v>2</v>
      </c>
      <c r="G142" t="s">
        <v>499</v>
      </c>
      <c r="H142" s="4">
        <v>800825</v>
      </c>
      <c r="I142" s="4">
        <v>689333</v>
      </c>
      <c r="J142" s="3">
        <v>0.13922142790247558</v>
      </c>
      <c r="K142" s="3">
        <v>0.16173895635346053</v>
      </c>
      <c r="L142" t="s">
        <v>54</v>
      </c>
    </row>
    <row r="143" spans="1:12" x14ac:dyDescent="0.25">
      <c r="A143" t="s">
        <v>487</v>
      </c>
      <c r="B143" t="s">
        <v>455</v>
      </c>
      <c r="C143" t="s">
        <v>477</v>
      </c>
      <c r="D143" t="s">
        <v>144</v>
      </c>
      <c r="E143" t="s">
        <v>150</v>
      </c>
      <c r="F143">
        <v>3</v>
      </c>
      <c r="G143" t="s">
        <v>488</v>
      </c>
      <c r="H143" s="4">
        <v>904624</v>
      </c>
      <c r="I143" s="4">
        <v>937937.3444260587</v>
      </c>
      <c r="J143" s="3">
        <v>0.03682562526094676</v>
      </c>
      <c r="K143" s="3">
        <v>-0.035517665038109505</v>
      </c>
      <c r="L143" t="s">
        <v>54</v>
      </c>
    </row>
    <row r="144" spans="1:12" x14ac:dyDescent="0.25">
      <c r="A144" t="s">
        <v>487</v>
      </c>
      <c r="B144" t="s">
        <v>455</v>
      </c>
      <c r="C144" t="s">
        <v>477</v>
      </c>
      <c r="D144" t="s">
        <v>144</v>
      </c>
      <c r="E144" t="s">
        <v>150</v>
      </c>
      <c r="F144">
        <v>3</v>
      </c>
      <c r="G144" t="s">
        <v>498</v>
      </c>
      <c r="H144" s="4">
        <v>904624</v>
      </c>
      <c r="I144" s="4">
        <v>884376</v>
      </c>
      <c r="J144" s="3">
        <v>0.02238278002794531</v>
      </c>
      <c r="K144" s="3">
        <v>0.022895239129058227</v>
      </c>
      <c r="L144" t="s">
        <v>54</v>
      </c>
    </row>
    <row r="145" spans="1:12" x14ac:dyDescent="0.25">
      <c r="A145" t="s">
        <v>487</v>
      </c>
      <c r="B145" t="s">
        <v>455</v>
      </c>
      <c r="C145" t="s">
        <v>477</v>
      </c>
      <c r="D145" t="s">
        <v>144</v>
      </c>
      <c r="E145" t="s">
        <v>150</v>
      </c>
      <c r="F145">
        <v>3</v>
      </c>
      <c r="G145" t="s">
        <v>499</v>
      </c>
      <c r="H145" s="4">
        <v>904624</v>
      </c>
      <c r="I145" s="4">
        <v>689333</v>
      </c>
      <c r="J145" s="3">
        <v>0.2379894851341552</v>
      </c>
      <c r="K145" s="3">
        <v>0.3123178492832927</v>
      </c>
      <c r="L145" t="s">
        <v>54</v>
      </c>
    </row>
    <row r="146" spans="1:12" x14ac:dyDescent="0.25">
      <c r="A146" t="s">
        <v>487</v>
      </c>
      <c r="B146" t="s">
        <v>455</v>
      </c>
      <c r="C146" t="s">
        <v>477</v>
      </c>
      <c r="D146" t="s">
        <v>146</v>
      </c>
      <c r="E146" t="s">
        <v>148</v>
      </c>
      <c r="F146">
        <v>1</v>
      </c>
      <c r="G146" t="s">
        <v>488</v>
      </c>
      <c r="H146" s="4">
        <v>800825</v>
      </c>
      <c r="I146" s="4">
        <v>607559.0432273978</v>
      </c>
      <c r="J146" s="3">
        <v>0.24133357072094672</v>
      </c>
      <c r="K146" s="3">
        <v>0.31810234565180584</v>
      </c>
      <c r="L146" t="s">
        <v>54</v>
      </c>
    </row>
    <row r="147" spans="1:12" x14ac:dyDescent="0.25">
      <c r="A147" t="s">
        <v>487</v>
      </c>
      <c r="B147" t="s">
        <v>455</v>
      </c>
      <c r="C147" t="s">
        <v>477</v>
      </c>
      <c r="D147" t="s">
        <v>146</v>
      </c>
      <c r="E147" t="s">
        <v>148</v>
      </c>
      <c r="F147">
        <v>1</v>
      </c>
      <c r="G147" t="s">
        <v>498</v>
      </c>
      <c r="H147" s="4">
        <v>800825</v>
      </c>
      <c r="I147" s="4">
        <v>574079</v>
      </c>
      <c r="J147" s="3">
        <v>0.2831405113476727</v>
      </c>
      <c r="K147" s="3">
        <v>0.3949735140982339</v>
      </c>
      <c r="L147" t="s">
        <v>54</v>
      </c>
    </row>
    <row r="148" spans="1:12" x14ac:dyDescent="0.25">
      <c r="A148" t="s">
        <v>487</v>
      </c>
      <c r="B148" t="s">
        <v>455</v>
      </c>
      <c r="C148" t="s">
        <v>477</v>
      </c>
      <c r="D148" t="s">
        <v>146</v>
      </c>
      <c r="E148" t="s">
        <v>148</v>
      </c>
      <c r="F148">
        <v>1</v>
      </c>
      <c r="G148" t="s">
        <v>499</v>
      </c>
      <c r="H148" s="4">
        <v>800825</v>
      </c>
      <c r="I148" s="4">
        <v>986656</v>
      </c>
      <c r="J148" s="3">
        <v>0.23204944900571287</v>
      </c>
      <c r="K148" s="3">
        <v>-0.1883442658839555</v>
      </c>
      <c r="L148" t="s">
        <v>54</v>
      </c>
    </row>
    <row r="149" spans="1:12" x14ac:dyDescent="0.25">
      <c r="A149" t="s">
        <v>487</v>
      </c>
      <c r="B149" t="s">
        <v>455</v>
      </c>
      <c r="C149" t="s">
        <v>477</v>
      </c>
      <c r="D149" t="s">
        <v>146</v>
      </c>
      <c r="E149" t="s">
        <v>150</v>
      </c>
      <c r="F149">
        <v>2</v>
      </c>
      <c r="G149" t="s">
        <v>488</v>
      </c>
      <c r="H149" s="4">
        <v>904624</v>
      </c>
      <c r="I149" s="4">
        <v>935952.4323538628</v>
      </c>
      <c r="J149" s="3">
        <v>0.03463144063595792</v>
      </c>
      <c r="K149" s="3">
        <v>-0.0334722484507826</v>
      </c>
      <c r="L149" t="s">
        <v>54</v>
      </c>
    </row>
    <row r="150" spans="1:12" x14ac:dyDescent="0.25">
      <c r="A150" t="s">
        <v>487</v>
      </c>
      <c r="B150" t="s">
        <v>455</v>
      </c>
      <c r="C150" t="s">
        <v>477</v>
      </c>
      <c r="D150" t="s">
        <v>146</v>
      </c>
      <c r="E150" t="s">
        <v>150</v>
      </c>
      <c r="F150">
        <v>2</v>
      </c>
      <c r="G150" t="s">
        <v>498</v>
      </c>
      <c r="H150" s="4">
        <v>904624</v>
      </c>
      <c r="I150" s="4">
        <v>884376</v>
      </c>
      <c r="J150" s="3">
        <v>0.02238278002794531</v>
      </c>
      <c r="K150" s="3">
        <v>0.022895239129058227</v>
      </c>
      <c r="L150" t="s">
        <v>54</v>
      </c>
    </row>
    <row r="151" spans="1:12" x14ac:dyDescent="0.25">
      <c r="A151" t="s">
        <v>487</v>
      </c>
      <c r="B151" t="s">
        <v>455</v>
      </c>
      <c r="C151" t="s">
        <v>477</v>
      </c>
      <c r="D151" t="s">
        <v>146</v>
      </c>
      <c r="E151" t="s">
        <v>150</v>
      </c>
      <c r="F151">
        <v>2</v>
      </c>
      <c r="G151" t="s">
        <v>499</v>
      </c>
      <c r="H151" s="4">
        <v>904624</v>
      </c>
      <c r="I151" s="4">
        <v>986656</v>
      </c>
      <c r="J151" s="3">
        <v>0.09068076902668955</v>
      </c>
      <c r="K151" s="3">
        <v>-0.08314143936691208</v>
      </c>
      <c r="L151" t="s">
        <v>54</v>
      </c>
    </row>
    <row r="152" spans="1:12" x14ac:dyDescent="0.25">
      <c r="A152" t="s">
        <v>487</v>
      </c>
      <c r="B152" t="s">
        <v>455</v>
      </c>
      <c r="C152" t="s">
        <v>477</v>
      </c>
      <c r="D152" t="s">
        <v>146</v>
      </c>
      <c r="E152" t="s">
        <v>152</v>
      </c>
      <c r="F152">
        <v>3</v>
      </c>
      <c r="G152" t="s">
        <v>488</v>
      </c>
      <c r="H152" s="4">
        <v>831954</v>
      </c>
      <c r="I152" s="4">
        <v>896066.4842157945</v>
      </c>
      <c r="J152" s="3">
        <v>0.07706253496683048</v>
      </c>
      <c r="K152" s="3">
        <v>-0.07154880284569894</v>
      </c>
      <c r="L152" t="s">
        <v>54</v>
      </c>
    </row>
    <row r="153" spans="1:12" x14ac:dyDescent="0.25">
      <c r="A153" t="s">
        <v>487</v>
      </c>
      <c r="B153" t="s">
        <v>455</v>
      </c>
      <c r="C153" t="s">
        <v>477</v>
      </c>
      <c r="D153" t="s">
        <v>146</v>
      </c>
      <c r="E153" t="s">
        <v>152</v>
      </c>
      <c r="F153">
        <v>3</v>
      </c>
      <c r="G153" t="s">
        <v>498</v>
      </c>
      <c r="H153" s="4">
        <v>831954</v>
      </c>
      <c r="I153" s="4">
        <v>846688</v>
      </c>
      <c r="J153" s="3">
        <v>0.0177101137803292</v>
      </c>
      <c r="K153" s="3">
        <v>-0.017401923731055594</v>
      </c>
      <c r="L153" t="s">
        <v>54</v>
      </c>
    </row>
    <row r="154" spans="1:12" x14ac:dyDescent="0.25">
      <c r="A154" t="s">
        <v>487</v>
      </c>
      <c r="B154" t="s">
        <v>455</v>
      </c>
      <c r="C154" t="s">
        <v>477</v>
      </c>
      <c r="D154" t="s">
        <v>146</v>
      </c>
      <c r="E154" t="s">
        <v>152</v>
      </c>
      <c r="F154">
        <v>3</v>
      </c>
      <c r="G154" t="s">
        <v>499</v>
      </c>
      <c r="H154" s="4">
        <v>831954</v>
      </c>
      <c r="I154" s="4">
        <v>986656</v>
      </c>
      <c r="J154" s="3">
        <v>0.18595018474579122</v>
      </c>
      <c r="K154" s="3">
        <v>-0.1567942626406772</v>
      </c>
      <c r="L154" t="s">
        <v>54</v>
      </c>
    </row>
    <row r="155" spans="1:12" x14ac:dyDescent="0.25">
      <c r="A155" t="s">
        <v>487</v>
      </c>
      <c r="B155" t="s">
        <v>455</v>
      </c>
      <c r="C155" t="s">
        <v>477</v>
      </c>
      <c r="D155" t="s">
        <v>148</v>
      </c>
      <c r="E155" t="s">
        <v>150</v>
      </c>
      <c r="F155">
        <v>1</v>
      </c>
      <c r="G155" t="s">
        <v>488</v>
      </c>
      <c r="H155" s="4">
        <v>904624</v>
      </c>
      <c r="I155" s="4">
        <v>954523.8283021591</v>
      </c>
      <c r="J155" s="3">
        <v>0.05516084948239168</v>
      </c>
      <c r="K155" s="3">
        <v>-0.05227719499775867</v>
      </c>
      <c r="L155" t="s">
        <v>54</v>
      </c>
    </row>
    <row r="156" spans="1:12" x14ac:dyDescent="0.25">
      <c r="A156" t="s">
        <v>487</v>
      </c>
      <c r="B156" t="s">
        <v>455</v>
      </c>
      <c r="C156" t="s">
        <v>477</v>
      </c>
      <c r="D156" t="s">
        <v>148</v>
      </c>
      <c r="E156" t="s">
        <v>150</v>
      </c>
      <c r="F156">
        <v>1</v>
      </c>
      <c r="G156" t="s">
        <v>498</v>
      </c>
      <c r="H156" s="4">
        <v>904624</v>
      </c>
      <c r="I156" s="4">
        <v>884376</v>
      </c>
      <c r="J156" s="3">
        <v>0.02238278002794531</v>
      </c>
      <c r="K156" s="3">
        <v>0.022895239129058227</v>
      </c>
      <c r="L156" t="s">
        <v>54</v>
      </c>
    </row>
    <row r="157" spans="1:12" x14ac:dyDescent="0.25">
      <c r="A157" t="s">
        <v>487</v>
      </c>
      <c r="B157" t="s">
        <v>455</v>
      </c>
      <c r="C157" t="s">
        <v>477</v>
      </c>
      <c r="D157" t="s">
        <v>148</v>
      </c>
      <c r="E157" t="s">
        <v>150</v>
      </c>
      <c r="F157">
        <v>1</v>
      </c>
      <c r="G157" t="s">
        <v>499</v>
      </c>
      <c r="H157" s="4">
        <v>904624</v>
      </c>
      <c r="I157" s="4">
        <v>800825</v>
      </c>
      <c r="J157" s="3">
        <v>0.11474269972939033</v>
      </c>
      <c r="K157" s="3">
        <v>0.12961508444416694</v>
      </c>
      <c r="L157" t="s">
        <v>54</v>
      </c>
    </row>
    <row r="158" spans="1:12" x14ac:dyDescent="0.25">
      <c r="A158" t="s">
        <v>487</v>
      </c>
      <c r="B158" t="s">
        <v>455</v>
      </c>
      <c r="C158" t="s">
        <v>477</v>
      </c>
      <c r="D158" t="s">
        <v>148</v>
      </c>
      <c r="E158" t="s">
        <v>152</v>
      </c>
      <c r="F158">
        <v>2</v>
      </c>
      <c r="G158" t="s">
        <v>488</v>
      </c>
      <c r="H158" s="4">
        <v>831954</v>
      </c>
      <c r="I158" s="4">
        <v>913846.4534739732</v>
      </c>
      <c r="J158" s="3">
        <v>0.09843387191355916</v>
      </c>
      <c r="K158" s="3">
        <v>-0.08961292475629828</v>
      </c>
      <c r="L158" t="s">
        <v>54</v>
      </c>
    </row>
    <row r="159" spans="1:12" x14ac:dyDescent="0.25">
      <c r="A159" t="s">
        <v>487</v>
      </c>
      <c r="B159" t="s">
        <v>455</v>
      </c>
      <c r="C159" t="s">
        <v>477</v>
      </c>
      <c r="D159" t="s">
        <v>148</v>
      </c>
      <c r="E159" t="s">
        <v>152</v>
      </c>
      <c r="F159">
        <v>2</v>
      </c>
      <c r="G159" t="s">
        <v>498</v>
      </c>
      <c r="H159" s="4">
        <v>831954</v>
      </c>
      <c r="I159" s="4">
        <v>846688</v>
      </c>
      <c r="J159" s="3">
        <v>0.0177101137803292</v>
      </c>
      <c r="K159" s="3">
        <v>-0.017401923731055594</v>
      </c>
      <c r="L159" t="s">
        <v>54</v>
      </c>
    </row>
    <row r="160" spans="1:12" x14ac:dyDescent="0.25">
      <c r="A160" t="s">
        <v>487</v>
      </c>
      <c r="B160" t="s">
        <v>455</v>
      </c>
      <c r="C160" t="s">
        <v>477</v>
      </c>
      <c r="D160" t="s">
        <v>148</v>
      </c>
      <c r="E160" t="s">
        <v>152</v>
      </c>
      <c r="F160">
        <v>2</v>
      </c>
      <c r="G160" t="s">
        <v>499</v>
      </c>
      <c r="H160" s="4">
        <v>831954</v>
      </c>
      <c r="I160" s="4">
        <v>800825</v>
      </c>
      <c r="J160" s="3">
        <v>0.037416732175096216</v>
      </c>
      <c r="K160" s="3">
        <v>0.03887116411200949</v>
      </c>
      <c r="L160" t="s">
        <v>54</v>
      </c>
    </row>
    <row r="161" spans="1:12" x14ac:dyDescent="0.25">
      <c r="A161" t="s">
        <v>487</v>
      </c>
      <c r="B161" t="s">
        <v>455</v>
      </c>
      <c r="C161" t="s">
        <v>477</v>
      </c>
      <c r="D161" t="s">
        <v>148</v>
      </c>
      <c r="E161" t="s">
        <v>154</v>
      </c>
      <c r="F161">
        <v>3</v>
      </c>
      <c r="G161" t="s">
        <v>488</v>
      </c>
      <c r="H161" s="4">
        <v>571379</v>
      </c>
      <c r="I161" s="4">
        <v>807885.3890401394</v>
      </c>
      <c r="J161" s="3">
        <v>0.41392208856142665</v>
      </c>
      <c r="K161" s="3">
        <v>-0.29274745186459694</v>
      </c>
      <c r="L161" t="s">
        <v>54</v>
      </c>
    </row>
    <row r="162" spans="1:12" x14ac:dyDescent="0.25">
      <c r="A162" t="s">
        <v>487</v>
      </c>
      <c r="B162" t="s">
        <v>455</v>
      </c>
      <c r="C162" t="s">
        <v>477</v>
      </c>
      <c r="D162" t="s">
        <v>148</v>
      </c>
      <c r="E162" t="s">
        <v>154</v>
      </c>
      <c r="F162">
        <v>3</v>
      </c>
      <c r="G162" t="s">
        <v>498</v>
      </c>
      <c r="H162" s="4">
        <v>571379</v>
      </c>
      <c r="I162" s="4">
        <v>748514</v>
      </c>
      <c r="J162" s="3">
        <v>0.31001314364021076</v>
      </c>
      <c r="K162" s="3">
        <v>-0.23664888031486386</v>
      </c>
      <c r="L162" t="s">
        <v>54</v>
      </c>
    </row>
    <row r="163" spans="1:12" x14ac:dyDescent="0.25">
      <c r="A163" t="s">
        <v>487</v>
      </c>
      <c r="B163" t="s">
        <v>455</v>
      </c>
      <c r="C163" t="s">
        <v>477</v>
      </c>
      <c r="D163" t="s">
        <v>148</v>
      </c>
      <c r="E163" t="s">
        <v>154</v>
      </c>
      <c r="F163">
        <v>3</v>
      </c>
      <c r="G163" t="s">
        <v>499</v>
      </c>
      <c r="H163" s="4">
        <v>571379</v>
      </c>
      <c r="I163" s="4">
        <v>800825</v>
      </c>
      <c r="J163" s="3">
        <v>0.40156533579288</v>
      </c>
      <c r="K163" s="3">
        <v>-0.28651203446445855</v>
      </c>
      <c r="L163" t="s">
        <v>54</v>
      </c>
    </row>
    <row r="164" spans="1:12" x14ac:dyDescent="0.25">
      <c r="A164" t="s">
        <v>487</v>
      </c>
      <c r="B164" t="s">
        <v>455</v>
      </c>
      <c r="C164" t="s">
        <v>477</v>
      </c>
      <c r="D164" t="s">
        <v>150</v>
      </c>
      <c r="E164" t="s">
        <v>152</v>
      </c>
      <c r="F164">
        <v>1</v>
      </c>
      <c r="G164" t="s">
        <v>488</v>
      </c>
      <c r="H164" s="4">
        <v>831954</v>
      </c>
      <c r="I164" s="4">
        <v>893640.9433884418</v>
      </c>
      <c r="J164" s="3">
        <v>0.07414706028030614</v>
      </c>
      <c r="K164" s="3">
        <v>-0.06902877922596273</v>
      </c>
      <c r="L164" t="s">
        <v>54</v>
      </c>
    </row>
    <row r="165" spans="1:12" x14ac:dyDescent="0.25">
      <c r="A165" t="s">
        <v>487</v>
      </c>
      <c r="B165" t="s">
        <v>455</v>
      </c>
      <c r="C165" t="s">
        <v>477</v>
      </c>
      <c r="D165" t="s">
        <v>150</v>
      </c>
      <c r="E165" t="s">
        <v>152</v>
      </c>
      <c r="F165">
        <v>1</v>
      </c>
      <c r="G165" t="s">
        <v>498</v>
      </c>
      <c r="H165" s="4">
        <v>831954</v>
      </c>
      <c r="I165" s="4">
        <v>846688</v>
      </c>
      <c r="J165" s="3">
        <v>0.0177101137803292</v>
      </c>
      <c r="K165" s="3">
        <v>-0.017401923731055594</v>
      </c>
      <c r="L165" t="s">
        <v>54</v>
      </c>
    </row>
    <row r="166" spans="1:12" x14ac:dyDescent="0.25">
      <c r="A166" t="s">
        <v>487</v>
      </c>
      <c r="B166" t="s">
        <v>455</v>
      </c>
      <c r="C166" t="s">
        <v>477</v>
      </c>
      <c r="D166" t="s">
        <v>150</v>
      </c>
      <c r="E166" t="s">
        <v>152</v>
      </c>
      <c r="F166">
        <v>1</v>
      </c>
      <c r="G166" t="s">
        <v>499</v>
      </c>
      <c r="H166" s="4">
        <v>831954</v>
      </c>
      <c r="I166" s="4">
        <v>904624</v>
      </c>
      <c r="J166" s="3">
        <v>0.08734857936857086</v>
      </c>
      <c r="K166" s="3">
        <v>-0.080331717929217</v>
      </c>
      <c r="L166" t="s">
        <v>54</v>
      </c>
    </row>
    <row r="167" spans="1:12" x14ac:dyDescent="0.25">
      <c r="A167" t="s">
        <v>487</v>
      </c>
      <c r="B167" t="s">
        <v>455</v>
      </c>
      <c r="C167" t="s">
        <v>477</v>
      </c>
      <c r="D167" t="s">
        <v>150</v>
      </c>
      <c r="E167" t="s">
        <v>154</v>
      </c>
      <c r="F167">
        <v>2</v>
      </c>
      <c r="G167" t="s">
        <v>488</v>
      </c>
      <c r="H167" s="4">
        <v>571379</v>
      </c>
      <c r="I167" s="4">
        <v>790022.7204111267</v>
      </c>
      <c r="J167" s="3">
        <v>0.3826597064490062</v>
      </c>
      <c r="K167" s="3">
        <v>-0.276756243538597</v>
      </c>
      <c r="L167" t="s">
        <v>54</v>
      </c>
    </row>
    <row r="168" spans="1:12" x14ac:dyDescent="0.25">
      <c r="A168" t="s">
        <v>487</v>
      </c>
      <c r="B168" t="s">
        <v>455</v>
      </c>
      <c r="C168" t="s">
        <v>477</v>
      </c>
      <c r="D168" t="s">
        <v>150</v>
      </c>
      <c r="E168" t="s">
        <v>154</v>
      </c>
      <c r="F168">
        <v>2</v>
      </c>
      <c r="G168" t="s">
        <v>498</v>
      </c>
      <c r="H168" s="4">
        <v>571379</v>
      </c>
      <c r="I168" s="4">
        <v>748514</v>
      </c>
      <c r="J168" s="3">
        <v>0.31001314364021076</v>
      </c>
      <c r="K168" s="3">
        <v>-0.23664888031486386</v>
      </c>
      <c r="L168" t="s">
        <v>54</v>
      </c>
    </row>
    <row r="169" spans="1:12" x14ac:dyDescent="0.25">
      <c r="A169" t="s">
        <v>487</v>
      </c>
      <c r="B169" t="s">
        <v>455</v>
      </c>
      <c r="C169" t="s">
        <v>477</v>
      </c>
      <c r="D169" t="s">
        <v>150</v>
      </c>
      <c r="E169" t="s">
        <v>154</v>
      </c>
      <c r="F169">
        <v>2</v>
      </c>
      <c r="G169" t="s">
        <v>499</v>
      </c>
      <c r="H169" s="4">
        <v>571379</v>
      </c>
      <c r="I169" s="4">
        <v>904624</v>
      </c>
      <c r="J169" s="3">
        <v>0.5832293451456914</v>
      </c>
      <c r="K169" s="3">
        <v>-0.36837956985443676</v>
      </c>
      <c r="L169" t="s">
        <v>54</v>
      </c>
    </row>
    <row r="170" spans="1:12" x14ac:dyDescent="0.25">
      <c r="A170" t="s">
        <v>487</v>
      </c>
      <c r="B170" t="s">
        <v>455</v>
      </c>
      <c r="C170" t="s">
        <v>477</v>
      </c>
      <c r="D170" t="s">
        <v>150</v>
      </c>
      <c r="E170" t="s">
        <v>156</v>
      </c>
      <c r="F170">
        <v>3</v>
      </c>
      <c r="G170" t="s">
        <v>488</v>
      </c>
      <c r="H170" s="4">
        <v>788754</v>
      </c>
      <c r="I170" s="4">
        <v>1032655.95516921</v>
      </c>
      <c r="J170" s="3">
        <v>0.3092243654792368</v>
      </c>
      <c r="K170" s="3">
        <v>-0.2361889784766161</v>
      </c>
      <c r="L170" t="s">
        <v>54</v>
      </c>
    </row>
    <row r="171" spans="1:12" x14ac:dyDescent="0.25">
      <c r="A171" t="s">
        <v>487</v>
      </c>
      <c r="B171" t="s">
        <v>455</v>
      </c>
      <c r="C171" t="s">
        <v>477</v>
      </c>
      <c r="D171" t="s">
        <v>150</v>
      </c>
      <c r="E171" t="s">
        <v>156</v>
      </c>
      <c r="F171">
        <v>3</v>
      </c>
      <c r="G171" t="s">
        <v>498</v>
      </c>
      <c r="H171" s="4">
        <v>788754</v>
      </c>
      <c r="I171" s="4">
        <v>978399</v>
      </c>
      <c r="J171" s="3">
        <v>0.24043618162316768</v>
      </c>
      <c r="K171" s="3">
        <v>-0.1938319642599798</v>
      </c>
      <c r="L171" t="s">
        <v>54</v>
      </c>
    </row>
    <row r="172" spans="1:12" x14ac:dyDescent="0.25">
      <c r="A172" t="s">
        <v>487</v>
      </c>
      <c r="B172" t="s">
        <v>455</v>
      </c>
      <c r="C172" t="s">
        <v>477</v>
      </c>
      <c r="D172" t="s">
        <v>150</v>
      </c>
      <c r="E172" t="s">
        <v>156</v>
      </c>
      <c r="F172">
        <v>3</v>
      </c>
      <c r="G172" t="s">
        <v>499</v>
      </c>
      <c r="H172" s="4">
        <v>788754</v>
      </c>
      <c r="I172" s="4">
        <v>904624</v>
      </c>
      <c r="J172" s="3">
        <v>0.14690258306138543</v>
      </c>
      <c r="K172" s="3">
        <v>-0.12808636516386918</v>
      </c>
      <c r="L172" t="s">
        <v>54</v>
      </c>
    </row>
    <row r="173" spans="1:12" x14ac:dyDescent="0.25">
      <c r="A173" t="s">
        <v>487</v>
      </c>
      <c r="B173" t="s">
        <v>455</v>
      </c>
      <c r="C173" t="s">
        <v>477</v>
      </c>
      <c r="D173" t="s">
        <v>152</v>
      </c>
      <c r="E173" t="s">
        <v>154</v>
      </c>
      <c r="F173">
        <v>1</v>
      </c>
      <c r="G173" t="s">
        <v>488</v>
      </c>
      <c r="H173" s="4">
        <v>571379</v>
      </c>
      <c r="I173" s="4">
        <v>804376.4502564583</v>
      </c>
      <c r="J173" s="3">
        <v>0.40778091294299973</v>
      </c>
      <c r="K173" s="3">
        <v>-0.28966219757200995</v>
      </c>
      <c r="L173" t="s">
        <v>54</v>
      </c>
    </row>
    <row r="174" spans="1:12" x14ac:dyDescent="0.25">
      <c r="A174" t="s">
        <v>487</v>
      </c>
      <c r="B174" t="s">
        <v>455</v>
      </c>
      <c r="C174" t="s">
        <v>477</v>
      </c>
      <c r="D174" t="s">
        <v>152</v>
      </c>
      <c r="E174" t="s">
        <v>154</v>
      </c>
      <c r="F174">
        <v>1</v>
      </c>
      <c r="G174" t="s">
        <v>498</v>
      </c>
      <c r="H174" s="4">
        <v>571379</v>
      </c>
      <c r="I174" s="4">
        <v>748514</v>
      </c>
      <c r="J174" s="3">
        <v>0.31001314364021076</v>
      </c>
      <c r="K174" s="3">
        <v>-0.23664888031486386</v>
      </c>
      <c r="L174" t="s">
        <v>54</v>
      </c>
    </row>
    <row r="175" spans="1:12" x14ac:dyDescent="0.25">
      <c r="A175" t="s">
        <v>487</v>
      </c>
      <c r="B175" t="s">
        <v>455</v>
      </c>
      <c r="C175" t="s">
        <v>477</v>
      </c>
      <c r="D175" t="s">
        <v>152</v>
      </c>
      <c r="E175" t="s">
        <v>154</v>
      </c>
      <c r="F175">
        <v>1</v>
      </c>
      <c r="G175" t="s">
        <v>499</v>
      </c>
      <c r="H175" s="4">
        <v>571379</v>
      </c>
      <c r="I175" s="4">
        <v>831954</v>
      </c>
      <c r="J175" s="3">
        <v>0.45604581197418875</v>
      </c>
      <c r="K175" s="3">
        <v>-0.3132084225810562</v>
      </c>
      <c r="L175" t="s">
        <v>54</v>
      </c>
    </row>
    <row r="176" spans="1:12" x14ac:dyDescent="0.25">
      <c r="A176" t="s">
        <v>487</v>
      </c>
      <c r="B176" t="s">
        <v>455</v>
      </c>
      <c r="C176" t="s">
        <v>477</v>
      </c>
      <c r="D176" t="s">
        <v>152</v>
      </c>
      <c r="E176" t="s">
        <v>156</v>
      </c>
      <c r="F176">
        <v>2</v>
      </c>
      <c r="G176" t="s">
        <v>488</v>
      </c>
      <c r="H176" s="4">
        <v>788754</v>
      </c>
      <c r="I176" s="4">
        <v>1051418.0289940715</v>
      </c>
      <c r="J176" s="3">
        <v>0.33301134319961806</v>
      </c>
      <c r="K176" s="3">
        <v>-0.24981883680021297</v>
      </c>
      <c r="L176" t="s">
        <v>54</v>
      </c>
    </row>
    <row r="177" spans="1:12" x14ac:dyDescent="0.25">
      <c r="A177" t="s">
        <v>487</v>
      </c>
      <c r="B177" t="s">
        <v>455</v>
      </c>
      <c r="C177" t="s">
        <v>477</v>
      </c>
      <c r="D177" t="s">
        <v>152</v>
      </c>
      <c r="E177" t="s">
        <v>156</v>
      </c>
      <c r="F177">
        <v>2</v>
      </c>
      <c r="G177" t="s">
        <v>498</v>
      </c>
      <c r="H177" s="4">
        <v>788754</v>
      </c>
      <c r="I177" s="4">
        <v>978399</v>
      </c>
      <c r="J177" s="3">
        <v>0.24043618162316768</v>
      </c>
      <c r="K177" s="3">
        <v>-0.1938319642599798</v>
      </c>
      <c r="L177" t="s">
        <v>54</v>
      </c>
    </row>
    <row r="178" spans="1:12" x14ac:dyDescent="0.25">
      <c r="A178" t="s">
        <v>487</v>
      </c>
      <c r="B178" t="s">
        <v>455</v>
      </c>
      <c r="C178" t="s">
        <v>477</v>
      </c>
      <c r="D178" t="s">
        <v>152</v>
      </c>
      <c r="E178" t="s">
        <v>156</v>
      </c>
      <c r="F178">
        <v>2</v>
      </c>
      <c r="G178" t="s">
        <v>499</v>
      </c>
      <c r="H178" s="4">
        <v>788754</v>
      </c>
      <c r="I178" s="4">
        <v>831954</v>
      </c>
      <c r="J178" s="3">
        <v>0.05476992826660784</v>
      </c>
      <c r="K178" s="3">
        <v>-0.051925947828846304</v>
      </c>
      <c r="L178" t="s">
        <v>54</v>
      </c>
    </row>
    <row r="179" spans="1:12" x14ac:dyDescent="0.25">
      <c r="A179" t="s">
        <v>487</v>
      </c>
      <c r="B179" t="s">
        <v>455</v>
      </c>
      <c r="C179" t="s">
        <v>477</v>
      </c>
      <c r="D179" t="s">
        <v>152</v>
      </c>
      <c r="E179" t="s">
        <v>158</v>
      </c>
      <c r="F179">
        <v>3</v>
      </c>
      <c r="G179" t="s">
        <v>488</v>
      </c>
      <c r="H179" s="4">
        <v>670950</v>
      </c>
      <c r="I179" s="4">
        <v>665957.5121314087</v>
      </c>
      <c r="J179" s="3">
        <v>0.0074409238670412525</v>
      </c>
      <c r="K179" s="3">
        <v>0.007496706287782209</v>
      </c>
      <c r="L179" t="s">
        <v>54</v>
      </c>
    </row>
    <row r="180" spans="1:12" x14ac:dyDescent="0.25">
      <c r="A180" t="s">
        <v>487</v>
      </c>
      <c r="B180" t="s">
        <v>455</v>
      </c>
      <c r="C180" t="s">
        <v>477</v>
      </c>
      <c r="D180" t="s">
        <v>152</v>
      </c>
      <c r="E180" t="s">
        <v>158</v>
      </c>
      <c r="F180">
        <v>3</v>
      </c>
      <c r="G180" t="s">
        <v>498</v>
      </c>
      <c r="H180" s="4">
        <v>670950</v>
      </c>
      <c r="I180" s="4">
        <v>619708</v>
      </c>
      <c r="J180" s="3">
        <v>0.0763723079216037</v>
      </c>
      <c r="K180" s="3">
        <v>0.08268733016194724</v>
      </c>
      <c r="L180" t="s">
        <v>54</v>
      </c>
    </row>
    <row r="181" spans="1:12" x14ac:dyDescent="0.25">
      <c r="A181" t="s">
        <v>487</v>
      </c>
      <c r="B181" t="s">
        <v>455</v>
      </c>
      <c r="C181" t="s">
        <v>477</v>
      </c>
      <c r="D181" t="s">
        <v>152</v>
      </c>
      <c r="E181" t="s">
        <v>158</v>
      </c>
      <c r="F181">
        <v>3</v>
      </c>
      <c r="G181" t="s">
        <v>499</v>
      </c>
      <c r="H181" s="4">
        <v>670950</v>
      </c>
      <c r="I181" s="4">
        <v>831954</v>
      </c>
      <c r="J181" s="3">
        <v>0.23996422982338475</v>
      </c>
      <c r="K181" s="3">
        <v>-0.1935251227832308</v>
      </c>
      <c r="L181" t="s">
        <v>54</v>
      </c>
    </row>
    <row r="182" spans="1:12" x14ac:dyDescent="0.25">
      <c r="A182" t="s">
        <v>487</v>
      </c>
      <c r="B182" t="s">
        <v>455</v>
      </c>
      <c r="C182" t="s">
        <v>477</v>
      </c>
      <c r="D182" t="s">
        <v>154</v>
      </c>
      <c r="E182" t="s">
        <v>156</v>
      </c>
      <c r="F182">
        <v>1</v>
      </c>
      <c r="G182" t="s">
        <v>488</v>
      </c>
      <c r="H182" s="4">
        <v>788754</v>
      </c>
      <c r="I182" s="4">
        <v>1018837.7485275728</v>
      </c>
      <c r="J182" s="3">
        <v>0.2917053333835047</v>
      </c>
      <c r="K182" s="3">
        <v>-0.2258296268076939</v>
      </c>
      <c r="L182" t="s">
        <v>54</v>
      </c>
    </row>
    <row r="183" spans="1:12" x14ac:dyDescent="0.25">
      <c r="A183" t="s">
        <v>487</v>
      </c>
      <c r="B183" t="s">
        <v>455</v>
      </c>
      <c r="C183" t="s">
        <v>477</v>
      </c>
      <c r="D183" t="s">
        <v>154</v>
      </c>
      <c r="E183" t="s">
        <v>156</v>
      </c>
      <c r="F183">
        <v>1</v>
      </c>
      <c r="G183" t="s">
        <v>498</v>
      </c>
      <c r="H183" s="4">
        <v>788754</v>
      </c>
      <c r="I183" s="4">
        <v>978399</v>
      </c>
      <c r="J183" s="3">
        <v>0.24043618162316768</v>
      </c>
      <c r="K183" s="3">
        <v>-0.1938319642599798</v>
      </c>
      <c r="L183" t="s">
        <v>54</v>
      </c>
    </row>
    <row r="184" spans="1:12" x14ac:dyDescent="0.25">
      <c r="A184" t="s">
        <v>487</v>
      </c>
      <c r="B184" t="s">
        <v>455</v>
      </c>
      <c r="C184" t="s">
        <v>477</v>
      </c>
      <c r="D184" t="s">
        <v>154</v>
      </c>
      <c r="E184" t="s">
        <v>156</v>
      </c>
      <c r="F184">
        <v>1</v>
      </c>
      <c r="G184" t="s">
        <v>499</v>
      </c>
      <c r="H184" s="4">
        <v>788754</v>
      </c>
      <c r="I184" s="4">
        <v>571379</v>
      </c>
      <c r="J184" s="3">
        <v>0.27559289715171015</v>
      </c>
      <c r="K184" s="3">
        <v>0.3804392531052069</v>
      </c>
      <c r="L184" t="s">
        <v>54</v>
      </c>
    </row>
    <row r="185" spans="1:12" x14ac:dyDescent="0.25">
      <c r="A185" t="s">
        <v>487</v>
      </c>
      <c r="B185" t="s">
        <v>455</v>
      </c>
      <c r="C185" t="s">
        <v>477</v>
      </c>
      <c r="D185" t="s">
        <v>154</v>
      </c>
      <c r="E185" t="s">
        <v>158</v>
      </c>
      <c r="F185">
        <v>2</v>
      </c>
      <c r="G185" t="s">
        <v>488</v>
      </c>
      <c r="H185" s="4">
        <v>670950</v>
      </c>
      <c r="I185" s="4">
        <v>645321.4930355868</v>
      </c>
      <c r="J185" s="3">
        <v>0.0381973425209229</v>
      </c>
      <c r="K185" s="3">
        <v>0.03971432416400225</v>
      </c>
      <c r="L185" t="s">
        <v>54</v>
      </c>
    </row>
    <row r="186" spans="1:12" x14ac:dyDescent="0.25">
      <c r="A186" t="s">
        <v>487</v>
      </c>
      <c r="B186" t="s">
        <v>455</v>
      </c>
      <c r="C186" t="s">
        <v>477</v>
      </c>
      <c r="D186" t="s">
        <v>154</v>
      </c>
      <c r="E186" t="s">
        <v>158</v>
      </c>
      <c r="F186">
        <v>2</v>
      </c>
      <c r="G186" t="s">
        <v>498</v>
      </c>
      <c r="H186" s="4">
        <v>670950</v>
      </c>
      <c r="I186" s="4">
        <v>619708</v>
      </c>
      <c r="J186" s="3">
        <v>0.0763723079216037</v>
      </c>
      <c r="K186" s="3">
        <v>0.08268733016194724</v>
      </c>
      <c r="L186" t="s">
        <v>54</v>
      </c>
    </row>
    <row r="187" spans="1:12" x14ac:dyDescent="0.25">
      <c r="A187" t="s">
        <v>487</v>
      </c>
      <c r="B187" t="s">
        <v>455</v>
      </c>
      <c r="C187" t="s">
        <v>477</v>
      </c>
      <c r="D187" t="s">
        <v>154</v>
      </c>
      <c r="E187" t="s">
        <v>158</v>
      </c>
      <c r="F187">
        <v>2</v>
      </c>
      <c r="G187" t="s">
        <v>499</v>
      </c>
      <c r="H187" s="4">
        <v>670950</v>
      </c>
      <c r="I187" s="4">
        <v>571379</v>
      </c>
      <c r="J187" s="3">
        <v>0.14840301065653178</v>
      </c>
      <c r="K187" s="3">
        <v>0.17426436743387488</v>
      </c>
      <c r="L187" t="s">
        <v>54</v>
      </c>
    </row>
    <row r="188" spans="1:12" x14ac:dyDescent="0.25">
      <c r="A188" t="s">
        <v>487</v>
      </c>
      <c r="B188" t="s">
        <v>455</v>
      </c>
      <c r="C188" t="s">
        <v>477</v>
      </c>
      <c r="D188" t="s">
        <v>154</v>
      </c>
      <c r="E188" t="s">
        <v>160</v>
      </c>
      <c r="F188">
        <v>3</v>
      </c>
      <c r="G188" t="s">
        <v>488</v>
      </c>
      <c r="H188" s="4">
        <v>602210</v>
      </c>
      <c r="I188" s="4">
        <v>917303.7569429203</v>
      </c>
      <c r="J188" s="3">
        <v>0.5232290346273232</v>
      </c>
      <c r="K188" s="3">
        <v>-0.3434999088993453</v>
      </c>
      <c r="L188" t="s">
        <v>54</v>
      </c>
    </row>
    <row r="189" spans="1:12" x14ac:dyDescent="0.25">
      <c r="A189" t="s">
        <v>487</v>
      </c>
      <c r="B189" t="s">
        <v>455</v>
      </c>
      <c r="C189" t="s">
        <v>477</v>
      </c>
      <c r="D189" t="s">
        <v>154</v>
      </c>
      <c r="E189" t="s">
        <v>160</v>
      </c>
      <c r="F189">
        <v>3</v>
      </c>
      <c r="G189" t="s">
        <v>498</v>
      </c>
      <c r="H189" s="4">
        <v>602210</v>
      </c>
      <c r="I189" s="4">
        <v>880895</v>
      </c>
      <c r="J189" s="3">
        <v>0.46277046213115025</v>
      </c>
      <c r="K189" s="3">
        <v>-0.3163657416604703</v>
      </c>
      <c r="L189" t="s">
        <v>54</v>
      </c>
    </row>
    <row r="190" spans="1:12" x14ac:dyDescent="0.25">
      <c r="A190" t="s">
        <v>487</v>
      </c>
      <c r="B190" t="s">
        <v>455</v>
      </c>
      <c r="C190" t="s">
        <v>477</v>
      </c>
      <c r="D190" t="s">
        <v>154</v>
      </c>
      <c r="E190" t="s">
        <v>160</v>
      </c>
      <c r="F190">
        <v>3</v>
      </c>
      <c r="G190" t="s">
        <v>499</v>
      </c>
      <c r="H190" s="4">
        <v>602210</v>
      </c>
      <c r="I190" s="4">
        <v>571379</v>
      </c>
      <c r="J190" s="3">
        <v>0.05119642649574069</v>
      </c>
      <c r="K190" s="3">
        <v>0.05395893093725881</v>
      </c>
      <c r="L190" t="s">
        <v>54</v>
      </c>
    </row>
    <row r="191" spans="1:12" x14ac:dyDescent="0.25">
      <c r="A191" t="s">
        <v>487</v>
      </c>
      <c r="B191" t="s">
        <v>455</v>
      </c>
      <c r="C191" t="s">
        <v>477</v>
      </c>
      <c r="D191" t="s">
        <v>156</v>
      </c>
      <c r="E191" t="s">
        <v>158</v>
      </c>
      <c r="F191">
        <v>1</v>
      </c>
      <c r="G191" t="s">
        <v>488</v>
      </c>
      <c r="H191" s="4">
        <v>670950</v>
      </c>
      <c r="I191" s="4">
        <v>618518.6858149432</v>
      </c>
      <c r="J191" s="3">
        <v>0.07814489035704127</v>
      </c>
      <c r="K191" s="3">
        <v>0.08476916767029403</v>
      </c>
      <c r="L191" t="s">
        <v>54</v>
      </c>
    </row>
    <row r="192" spans="1:12" x14ac:dyDescent="0.25">
      <c r="A192" t="s">
        <v>487</v>
      </c>
      <c r="B192" t="s">
        <v>455</v>
      </c>
      <c r="C192" t="s">
        <v>477</v>
      </c>
      <c r="D192" t="s">
        <v>156</v>
      </c>
      <c r="E192" t="s">
        <v>158</v>
      </c>
      <c r="F192">
        <v>1</v>
      </c>
      <c r="G192" t="s">
        <v>498</v>
      </c>
      <c r="H192" s="4">
        <v>670950</v>
      </c>
      <c r="I192" s="4">
        <v>619708</v>
      </c>
      <c r="J192" s="3">
        <v>0.0763723079216037</v>
      </c>
      <c r="K192" s="3">
        <v>0.08268733016194724</v>
      </c>
      <c r="L192" t="s">
        <v>54</v>
      </c>
    </row>
    <row r="193" spans="1:12" x14ac:dyDescent="0.25">
      <c r="A193" t="s">
        <v>487</v>
      </c>
      <c r="B193" t="s">
        <v>455</v>
      </c>
      <c r="C193" t="s">
        <v>477</v>
      </c>
      <c r="D193" t="s">
        <v>156</v>
      </c>
      <c r="E193" t="s">
        <v>158</v>
      </c>
      <c r="F193">
        <v>1</v>
      </c>
      <c r="G193" t="s">
        <v>499</v>
      </c>
      <c r="H193" s="4">
        <v>670950</v>
      </c>
      <c r="I193" s="4">
        <v>788754</v>
      </c>
      <c r="J193" s="3">
        <v>0.17557791191594008</v>
      </c>
      <c r="K193" s="3">
        <v>-0.149354551609247</v>
      </c>
      <c r="L193" t="s">
        <v>54</v>
      </c>
    </row>
    <row r="194" spans="1:12" x14ac:dyDescent="0.25">
      <c r="A194" t="s">
        <v>487</v>
      </c>
      <c r="B194" t="s">
        <v>455</v>
      </c>
      <c r="C194" t="s">
        <v>477</v>
      </c>
      <c r="D194" t="s">
        <v>156</v>
      </c>
      <c r="E194" t="s">
        <v>160</v>
      </c>
      <c r="F194">
        <v>2</v>
      </c>
      <c r="G194" t="s">
        <v>488</v>
      </c>
      <c r="H194" s="4">
        <v>602210</v>
      </c>
      <c r="I194" s="4">
        <v>879204.4281192988</v>
      </c>
      <c r="J194" s="3">
        <v>0.45996318247670875</v>
      </c>
      <c r="K194" s="3">
        <v>-0.3150512204673673</v>
      </c>
      <c r="L194" t="s">
        <v>54</v>
      </c>
    </row>
    <row r="195" spans="1:12" x14ac:dyDescent="0.25">
      <c r="A195" t="s">
        <v>487</v>
      </c>
      <c r="B195" t="s">
        <v>455</v>
      </c>
      <c r="C195" t="s">
        <v>477</v>
      </c>
      <c r="D195" t="s">
        <v>156</v>
      </c>
      <c r="E195" t="s">
        <v>160</v>
      </c>
      <c r="F195">
        <v>2</v>
      </c>
      <c r="G195" t="s">
        <v>498</v>
      </c>
      <c r="H195" s="4">
        <v>602210</v>
      </c>
      <c r="I195" s="4">
        <v>880895</v>
      </c>
      <c r="J195" s="3">
        <v>0.46277046213115025</v>
      </c>
      <c r="K195" s="3">
        <v>-0.3163657416604703</v>
      </c>
      <c r="L195" t="s">
        <v>54</v>
      </c>
    </row>
    <row r="196" spans="1:12" x14ac:dyDescent="0.25">
      <c r="A196" t="s">
        <v>487</v>
      </c>
      <c r="B196" t="s">
        <v>455</v>
      </c>
      <c r="C196" t="s">
        <v>477</v>
      </c>
      <c r="D196" t="s">
        <v>156</v>
      </c>
      <c r="E196" t="s">
        <v>160</v>
      </c>
      <c r="F196">
        <v>2</v>
      </c>
      <c r="G196" t="s">
        <v>499</v>
      </c>
      <c r="H196" s="4">
        <v>602210</v>
      </c>
      <c r="I196" s="4">
        <v>788754</v>
      </c>
      <c r="J196" s="3">
        <v>0.309765696351771</v>
      </c>
      <c r="K196" s="3">
        <v>-0.23650466431865955</v>
      </c>
      <c r="L196" t="s">
        <v>54</v>
      </c>
    </row>
    <row r="197" spans="1:12" x14ac:dyDescent="0.25">
      <c r="A197" t="s">
        <v>487</v>
      </c>
      <c r="B197" t="s">
        <v>455</v>
      </c>
      <c r="C197" t="s">
        <v>477</v>
      </c>
      <c r="D197" t="s">
        <v>156</v>
      </c>
      <c r="E197" t="s">
        <v>162</v>
      </c>
      <c r="F197">
        <v>3</v>
      </c>
      <c r="G197" t="s">
        <v>488</v>
      </c>
      <c r="H197" s="4">
        <v>794514</v>
      </c>
      <c r="I197" s="4">
        <v>613326.6692464798</v>
      </c>
      <c r="J197" s="3">
        <v>0.22804800261986605</v>
      </c>
      <c r="K197" s="3">
        <v>0.2954173360439767</v>
      </c>
      <c r="L197" t="s">
        <v>54</v>
      </c>
    </row>
    <row r="198" spans="1:12" x14ac:dyDescent="0.25">
      <c r="A198" t="s">
        <v>487</v>
      </c>
      <c r="B198" t="s">
        <v>455</v>
      </c>
      <c r="C198" t="s">
        <v>477</v>
      </c>
      <c r="D198" t="s">
        <v>156</v>
      </c>
      <c r="E198" t="s">
        <v>162</v>
      </c>
      <c r="F198">
        <v>3</v>
      </c>
      <c r="G198" t="s">
        <v>498</v>
      </c>
      <c r="H198" s="4">
        <v>794514</v>
      </c>
      <c r="I198" s="4">
        <v>614506</v>
      </c>
      <c r="J198" s="3">
        <v>0.22656366030051076</v>
      </c>
      <c r="K198" s="3">
        <v>0.29293123256729797</v>
      </c>
      <c r="L198" t="s">
        <v>54</v>
      </c>
    </row>
    <row r="199" spans="1:12" x14ac:dyDescent="0.25">
      <c r="A199" t="s">
        <v>487</v>
      </c>
      <c r="B199" t="s">
        <v>455</v>
      </c>
      <c r="C199" t="s">
        <v>477</v>
      </c>
      <c r="D199" t="s">
        <v>156</v>
      </c>
      <c r="E199" t="s">
        <v>162</v>
      </c>
      <c r="F199">
        <v>3</v>
      </c>
      <c r="G199" t="s">
        <v>499</v>
      </c>
      <c r="H199" s="4">
        <v>794514</v>
      </c>
      <c r="I199" s="4">
        <v>788754</v>
      </c>
      <c r="J199" s="3">
        <v>0.0072497149200643415</v>
      </c>
      <c r="K199" s="3">
        <v>0.007302657102214379</v>
      </c>
      <c r="L199" t="s">
        <v>54</v>
      </c>
    </row>
    <row r="200" spans="1:12" x14ac:dyDescent="0.25">
      <c r="A200" t="s">
        <v>487</v>
      </c>
      <c r="B200" t="s">
        <v>455</v>
      </c>
      <c r="C200" t="s">
        <v>477</v>
      </c>
      <c r="D200" t="s">
        <v>158</v>
      </c>
      <c r="E200" t="s">
        <v>160</v>
      </c>
      <c r="F200">
        <v>1</v>
      </c>
      <c r="G200" t="s">
        <v>488</v>
      </c>
      <c r="H200" s="4">
        <v>602210</v>
      </c>
      <c r="I200" s="4">
        <v>911244.8959672614</v>
      </c>
      <c r="J200" s="3">
        <v>0.5131679911779303</v>
      </c>
      <c r="K200" s="3">
        <v>-0.33913484435951696</v>
      </c>
      <c r="L200" t="s">
        <v>54</v>
      </c>
    </row>
    <row r="201" spans="1:12" x14ac:dyDescent="0.25">
      <c r="A201" t="s">
        <v>487</v>
      </c>
      <c r="B201" t="s">
        <v>455</v>
      </c>
      <c r="C201" t="s">
        <v>477</v>
      </c>
      <c r="D201" t="s">
        <v>158</v>
      </c>
      <c r="E201" t="s">
        <v>160</v>
      </c>
      <c r="F201">
        <v>1</v>
      </c>
      <c r="G201" t="s">
        <v>498</v>
      </c>
      <c r="H201" s="4">
        <v>602210</v>
      </c>
      <c r="I201" s="4">
        <v>880895</v>
      </c>
      <c r="J201" s="3">
        <v>0.46277046213115025</v>
      </c>
      <c r="K201" s="3">
        <v>-0.3163657416604703</v>
      </c>
      <c r="L201" t="s">
        <v>54</v>
      </c>
    </row>
    <row r="202" spans="1:12" x14ac:dyDescent="0.25">
      <c r="A202" t="s">
        <v>487</v>
      </c>
      <c r="B202" t="s">
        <v>455</v>
      </c>
      <c r="C202" t="s">
        <v>477</v>
      </c>
      <c r="D202" t="s">
        <v>158</v>
      </c>
      <c r="E202" t="s">
        <v>160</v>
      </c>
      <c r="F202">
        <v>1</v>
      </c>
      <c r="G202" t="s">
        <v>499</v>
      </c>
      <c r="H202" s="4">
        <v>602210</v>
      </c>
      <c r="I202" s="4">
        <v>670950</v>
      </c>
      <c r="J202" s="3">
        <v>0.11414622805997908</v>
      </c>
      <c r="K202" s="3">
        <v>-0.10245174752217005</v>
      </c>
      <c r="L202" t="s">
        <v>54</v>
      </c>
    </row>
    <row r="203" spans="1:12" x14ac:dyDescent="0.25">
      <c r="A203" t="s">
        <v>487</v>
      </c>
      <c r="B203" t="s">
        <v>455</v>
      </c>
      <c r="C203" t="s">
        <v>477</v>
      </c>
      <c r="D203" t="s">
        <v>158</v>
      </c>
      <c r="E203" t="s">
        <v>162</v>
      </c>
      <c r="F203">
        <v>2</v>
      </c>
      <c r="G203" t="s">
        <v>488</v>
      </c>
      <c r="H203" s="4">
        <v>794514</v>
      </c>
      <c r="I203" s="4">
        <v>635677.8685782732</v>
      </c>
      <c r="J203" s="3">
        <v>0.19991608885649187</v>
      </c>
      <c r="K203" s="3">
        <v>0.24986890258893563</v>
      </c>
      <c r="L203" t="s">
        <v>54</v>
      </c>
    </row>
    <row r="204" spans="1:12" x14ac:dyDescent="0.25">
      <c r="A204" t="s">
        <v>487</v>
      </c>
      <c r="B204" t="s">
        <v>455</v>
      </c>
      <c r="C204" t="s">
        <v>477</v>
      </c>
      <c r="D204" t="s">
        <v>158</v>
      </c>
      <c r="E204" t="s">
        <v>162</v>
      </c>
      <c r="F204">
        <v>2</v>
      </c>
      <c r="G204" t="s">
        <v>498</v>
      </c>
      <c r="H204" s="4">
        <v>794514</v>
      </c>
      <c r="I204" s="4">
        <v>614506</v>
      </c>
      <c r="J204" s="3">
        <v>0.22656366030051076</v>
      </c>
      <c r="K204" s="3">
        <v>0.29293123256729797</v>
      </c>
      <c r="L204" t="s">
        <v>54</v>
      </c>
    </row>
    <row r="205" spans="1:12" x14ac:dyDescent="0.25">
      <c r="A205" t="s">
        <v>487</v>
      </c>
      <c r="B205" t="s">
        <v>455</v>
      </c>
      <c r="C205" t="s">
        <v>477</v>
      </c>
      <c r="D205" t="s">
        <v>158</v>
      </c>
      <c r="E205" t="s">
        <v>162</v>
      </c>
      <c r="F205">
        <v>2</v>
      </c>
      <c r="G205" t="s">
        <v>499</v>
      </c>
      <c r="H205" s="4">
        <v>794514</v>
      </c>
      <c r="I205" s="4">
        <v>670950</v>
      </c>
      <c r="J205" s="3">
        <v>0.15552148860813025</v>
      </c>
      <c r="K205" s="3">
        <v>0.18416275430359938</v>
      </c>
      <c r="L205" t="s">
        <v>54</v>
      </c>
    </row>
    <row r="206" spans="1:12" x14ac:dyDescent="0.25">
      <c r="A206" t="s">
        <v>487</v>
      </c>
      <c r="B206" t="s">
        <v>455</v>
      </c>
      <c r="C206" t="s">
        <v>477</v>
      </c>
      <c r="D206" t="s">
        <v>158</v>
      </c>
      <c r="E206" t="s">
        <v>164</v>
      </c>
      <c r="F206">
        <v>3</v>
      </c>
      <c r="G206" t="s">
        <v>488</v>
      </c>
      <c r="H206" s="4">
        <v>1204862</v>
      </c>
      <c r="I206" s="4">
        <v>1082368.3280113623</v>
      </c>
      <c r="J206" s="3">
        <v>0.10166614266915021</v>
      </c>
      <c r="K206" s="3">
        <v>0.11317189243119812</v>
      </c>
      <c r="L206" t="s">
        <v>54</v>
      </c>
    </row>
    <row r="207" spans="1:12" x14ac:dyDescent="0.25">
      <c r="A207" t="s">
        <v>487</v>
      </c>
      <c r="B207" t="s">
        <v>455</v>
      </c>
      <c r="C207" t="s">
        <v>477</v>
      </c>
      <c r="D207" t="s">
        <v>158</v>
      </c>
      <c r="E207" t="s">
        <v>164</v>
      </c>
      <c r="F207">
        <v>3</v>
      </c>
      <c r="G207" t="s">
        <v>498</v>
      </c>
      <c r="H207" s="4">
        <v>1204862</v>
      </c>
      <c r="I207" s="4">
        <v>1046319</v>
      </c>
      <c r="J207" s="3">
        <v>0.1315860239595904</v>
      </c>
      <c r="K207" s="3">
        <v>0.15152453506053126</v>
      </c>
      <c r="L207" t="s">
        <v>54</v>
      </c>
    </row>
    <row r="208" spans="1:12" x14ac:dyDescent="0.25">
      <c r="A208" t="s">
        <v>487</v>
      </c>
      <c r="B208" t="s">
        <v>455</v>
      </c>
      <c r="C208" t="s">
        <v>477</v>
      </c>
      <c r="D208" t="s">
        <v>158</v>
      </c>
      <c r="E208" t="s">
        <v>164</v>
      </c>
      <c r="F208">
        <v>3</v>
      </c>
      <c r="G208" t="s">
        <v>499</v>
      </c>
      <c r="H208" s="4">
        <v>1204862</v>
      </c>
      <c r="I208" s="4">
        <v>670950</v>
      </c>
      <c r="J208" s="3">
        <v>0.4431312465659968</v>
      </c>
      <c r="K208" s="3">
        <v>0.7957552723749907</v>
      </c>
      <c r="L208" t="s">
        <v>54</v>
      </c>
    </row>
    <row r="209" spans="1:12" x14ac:dyDescent="0.25">
      <c r="A209" t="s">
        <v>487</v>
      </c>
      <c r="B209" t="s">
        <v>455</v>
      </c>
      <c r="C209" t="s">
        <v>477</v>
      </c>
      <c r="D209" t="s">
        <v>160</v>
      </c>
      <c r="E209" t="s">
        <v>162</v>
      </c>
      <c r="F209">
        <v>1</v>
      </c>
      <c r="G209" t="s">
        <v>488</v>
      </c>
      <c r="H209" s="4">
        <v>794514</v>
      </c>
      <c r="I209" s="4">
        <v>604394.6330675966</v>
      </c>
      <c r="J209" s="3">
        <v>0.23929014080608196</v>
      </c>
      <c r="K209" s="3">
        <v>0.31456163991307334</v>
      </c>
      <c r="L209" t="s">
        <v>54</v>
      </c>
    </row>
    <row r="210" spans="1:12" x14ac:dyDescent="0.25">
      <c r="A210" t="s">
        <v>487</v>
      </c>
      <c r="B210" t="s">
        <v>455</v>
      </c>
      <c r="C210" t="s">
        <v>477</v>
      </c>
      <c r="D210" t="s">
        <v>160</v>
      </c>
      <c r="E210" t="s">
        <v>162</v>
      </c>
      <c r="F210">
        <v>1</v>
      </c>
      <c r="G210" t="s">
        <v>498</v>
      </c>
      <c r="H210" s="4">
        <v>794514</v>
      </c>
      <c r="I210" s="4">
        <v>614506</v>
      </c>
      <c r="J210" s="3">
        <v>0.22656366030051076</v>
      </c>
      <c r="K210" s="3">
        <v>0.29293123256729797</v>
      </c>
      <c r="L210" t="s">
        <v>54</v>
      </c>
    </row>
    <row r="211" spans="1:12" x14ac:dyDescent="0.25">
      <c r="A211" t="s">
        <v>487</v>
      </c>
      <c r="B211" t="s">
        <v>455</v>
      </c>
      <c r="C211" t="s">
        <v>477</v>
      </c>
      <c r="D211" t="s">
        <v>160</v>
      </c>
      <c r="E211" t="s">
        <v>162</v>
      </c>
      <c r="F211">
        <v>1</v>
      </c>
      <c r="G211" t="s">
        <v>499</v>
      </c>
      <c r="H211" s="4">
        <v>794514</v>
      </c>
      <c r="I211" s="4">
        <v>602210</v>
      </c>
      <c r="J211" s="3">
        <v>0.2420397878451481</v>
      </c>
      <c r="K211" s="3">
        <v>0.319330466116471</v>
      </c>
      <c r="L211" t="s">
        <v>54</v>
      </c>
    </row>
    <row r="212" spans="1:12" x14ac:dyDescent="0.25">
      <c r="A212" t="s">
        <v>487</v>
      </c>
      <c r="B212" t="s">
        <v>455</v>
      </c>
      <c r="C212" t="s">
        <v>477</v>
      </c>
      <c r="D212" t="s">
        <v>160</v>
      </c>
      <c r="E212" t="s">
        <v>164</v>
      </c>
      <c r="F212">
        <v>2</v>
      </c>
      <c r="G212" t="s">
        <v>488</v>
      </c>
      <c r="H212" s="4">
        <v>1204862</v>
      </c>
      <c r="I212" s="4">
        <v>1029102.3815498216</v>
      </c>
      <c r="J212" s="3">
        <v>0.1458753105751351</v>
      </c>
      <c r="K212" s="3">
        <v>0.17078924468670023</v>
      </c>
      <c r="L212" t="s">
        <v>54</v>
      </c>
    </row>
    <row r="213" spans="1:12" x14ac:dyDescent="0.25">
      <c r="A213" t="s">
        <v>487</v>
      </c>
      <c r="B213" t="s">
        <v>455</v>
      </c>
      <c r="C213" t="s">
        <v>477</v>
      </c>
      <c r="D213" t="s">
        <v>160</v>
      </c>
      <c r="E213" t="s">
        <v>164</v>
      </c>
      <c r="F213">
        <v>2</v>
      </c>
      <c r="G213" t="s">
        <v>498</v>
      </c>
      <c r="H213" s="4">
        <v>1204862</v>
      </c>
      <c r="I213" s="4">
        <v>1046319</v>
      </c>
      <c r="J213" s="3">
        <v>0.1315860239595904</v>
      </c>
      <c r="K213" s="3">
        <v>0.15152453506053126</v>
      </c>
      <c r="L213" t="s">
        <v>54</v>
      </c>
    </row>
    <row r="214" spans="1:12" x14ac:dyDescent="0.25">
      <c r="A214" t="s">
        <v>487</v>
      </c>
      <c r="B214" t="s">
        <v>455</v>
      </c>
      <c r="C214" t="s">
        <v>477</v>
      </c>
      <c r="D214" t="s">
        <v>160</v>
      </c>
      <c r="E214" t="s">
        <v>164</v>
      </c>
      <c r="F214">
        <v>2</v>
      </c>
      <c r="G214" t="s">
        <v>499</v>
      </c>
      <c r="H214" s="4">
        <v>1204862</v>
      </c>
      <c r="I214" s="4">
        <v>602210</v>
      </c>
      <c r="J214" s="3">
        <v>0.5001834234958028</v>
      </c>
      <c r="K214" s="3">
        <v>1.0007339632354162</v>
      </c>
      <c r="L214" t="s">
        <v>54</v>
      </c>
    </row>
    <row r="215" spans="1:12" x14ac:dyDescent="0.25">
      <c r="A215" t="s">
        <v>487</v>
      </c>
      <c r="B215" t="s">
        <v>455</v>
      </c>
      <c r="C215" t="s">
        <v>477</v>
      </c>
      <c r="D215" t="s">
        <v>160</v>
      </c>
      <c r="E215" t="s">
        <v>166</v>
      </c>
      <c r="F215">
        <v>3</v>
      </c>
      <c r="G215" t="s">
        <v>488</v>
      </c>
      <c r="H215" s="4">
        <v>821042</v>
      </c>
      <c r="I215" s="4">
        <v>1124847.5888305176</v>
      </c>
      <c r="J215" s="3">
        <v>0.37002441876361697</v>
      </c>
      <c r="K215" s="3">
        <v>-0.2700860026258121</v>
      </c>
      <c r="L215" t="s">
        <v>54</v>
      </c>
    </row>
    <row r="216" spans="1:12" x14ac:dyDescent="0.25">
      <c r="A216" t="s">
        <v>487</v>
      </c>
      <c r="B216" t="s">
        <v>455</v>
      </c>
      <c r="C216" t="s">
        <v>477</v>
      </c>
      <c r="D216" t="s">
        <v>160</v>
      </c>
      <c r="E216" t="s">
        <v>166</v>
      </c>
      <c r="F216">
        <v>3</v>
      </c>
      <c r="G216" t="s">
        <v>498</v>
      </c>
      <c r="H216" s="4">
        <v>821042</v>
      </c>
      <c r="I216" s="4">
        <v>1143666</v>
      </c>
      <c r="J216" s="3">
        <v>0.39294457530796234</v>
      </c>
      <c r="K216" s="3">
        <v>-0.28209634631089847</v>
      </c>
      <c r="L216" t="s">
        <v>54</v>
      </c>
    </row>
    <row r="217" spans="1:12" x14ac:dyDescent="0.25">
      <c r="A217" t="s">
        <v>487</v>
      </c>
      <c r="B217" t="s">
        <v>455</v>
      </c>
      <c r="C217" t="s">
        <v>477</v>
      </c>
      <c r="D217" t="s">
        <v>160</v>
      </c>
      <c r="E217" t="s">
        <v>166</v>
      </c>
      <c r="F217">
        <v>3</v>
      </c>
      <c r="G217" t="s">
        <v>499</v>
      </c>
      <c r="H217" s="4">
        <v>821042</v>
      </c>
      <c r="I217" s="4">
        <v>602210</v>
      </c>
      <c r="J217" s="3">
        <v>0.2665296050628348</v>
      </c>
      <c r="K217" s="3">
        <v>0.363381544643895</v>
      </c>
      <c r="L217" t="s">
        <v>54</v>
      </c>
    </row>
    <row r="218" spans="1:12" x14ac:dyDescent="0.25">
      <c r="A218" t="s">
        <v>487</v>
      </c>
      <c r="B218" t="s">
        <v>455</v>
      </c>
      <c r="C218" t="s">
        <v>477</v>
      </c>
      <c r="D218" t="s">
        <v>162</v>
      </c>
      <c r="E218" t="s">
        <v>164</v>
      </c>
      <c r="F218">
        <v>1</v>
      </c>
      <c r="G218" t="s">
        <v>488</v>
      </c>
      <c r="H218" s="4">
        <v>1204862</v>
      </c>
      <c r="I218" s="4">
        <v>1092034.0090681731</v>
      </c>
      <c r="J218" s="3">
        <v>0.09364391186030174</v>
      </c>
      <c r="K218" s="3">
        <v>0.1033191182645515</v>
      </c>
      <c r="L218" t="s">
        <v>54</v>
      </c>
    </row>
    <row r="219" spans="1:12" x14ac:dyDescent="0.25">
      <c r="A219" t="s">
        <v>487</v>
      </c>
      <c r="B219" t="s">
        <v>455</v>
      </c>
      <c r="C219" t="s">
        <v>477</v>
      </c>
      <c r="D219" t="s">
        <v>162</v>
      </c>
      <c r="E219" t="s">
        <v>164</v>
      </c>
      <c r="F219">
        <v>1</v>
      </c>
      <c r="G219" t="s">
        <v>498</v>
      </c>
      <c r="H219" s="4">
        <v>1204862</v>
      </c>
      <c r="I219" s="4">
        <v>1046319</v>
      </c>
      <c r="J219" s="3">
        <v>0.1315860239595904</v>
      </c>
      <c r="K219" s="3">
        <v>0.15152453506053126</v>
      </c>
      <c r="L219" t="s">
        <v>54</v>
      </c>
    </row>
    <row r="220" spans="1:12" x14ac:dyDescent="0.25">
      <c r="A220" t="s">
        <v>487</v>
      </c>
      <c r="B220" t="s">
        <v>455</v>
      </c>
      <c r="C220" t="s">
        <v>477</v>
      </c>
      <c r="D220" t="s">
        <v>162</v>
      </c>
      <c r="E220" t="s">
        <v>164</v>
      </c>
      <c r="F220">
        <v>1</v>
      </c>
      <c r="G220" t="s">
        <v>499</v>
      </c>
      <c r="H220" s="4">
        <v>1204862</v>
      </c>
      <c r="I220" s="4">
        <v>794514</v>
      </c>
      <c r="J220" s="3">
        <v>0.34057676314797874</v>
      </c>
      <c r="K220" s="3">
        <v>0.5164767392393337</v>
      </c>
      <c r="L220" t="s">
        <v>54</v>
      </c>
    </row>
    <row r="221" spans="1:12" x14ac:dyDescent="0.25">
      <c r="A221" t="s">
        <v>487</v>
      </c>
      <c r="B221" t="s">
        <v>455</v>
      </c>
      <c r="C221" t="s">
        <v>477</v>
      </c>
      <c r="D221" t="s">
        <v>162</v>
      </c>
      <c r="E221" t="s">
        <v>166</v>
      </c>
      <c r="F221">
        <v>2</v>
      </c>
      <c r="G221" t="s">
        <v>488</v>
      </c>
      <c r="H221" s="4">
        <v>821042</v>
      </c>
      <c r="I221" s="4">
        <v>1193634.2234203538</v>
      </c>
      <c r="J221" s="3">
        <v>0.4538040970137384</v>
      </c>
      <c r="K221" s="3">
        <v>-0.3121494140413404</v>
      </c>
      <c r="L221" t="s">
        <v>54</v>
      </c>
    </row>
    <row r="222" spans="1:12" x14ac:dyDescent="0.25">
      <c r="A222" t="s">
        <v>487</v>
      </c>
      <c r="B222" t="s">
        <v>455</v>
      </c>
      <c r="C222" t="s">
        <v>477</v>
      </c>
      <c r="D222" t="s">
        <v>162</v>
      </c>
      <c r="E222" t="s">
        <v>166</v>
      </c>
      <c r="F222">
        <v>2</v>
      </c>
      <c r="G222" t="s">
        <v>498</v>
      </c>
      <c r="H222" s="4">
        <v>821042</v>
      </c>
      <c r="I222" s="4">
        <v>1143666</v>
      </c>
      <c r="J222" s="3">
        <v>0.39294457530796234</v>
      </c>
      <c r="K222" s="3">
        <v>-0.28209634631089847</v>
      </c>
      <c r="L222" t="s">
        <v>54</v>
      </c>
    </row>
    <row r="223" spans="1:12" x14ac:dyDescent="0.25">
      <c r="A223" t="s">
        <v>487</v>
      </c>
      <c r="B223" t="s">
        <v>455</v>
      </c>
      <c r="C223" t="s">
        <v>477</v>
      </c>
      <c r="D223" t="s">
        <v>162</v>
      </c>
      <c r="E223" t="s">
        <v>166</v>
      </c>
      <c r="F223">
        <v>2</v>
      </c>
      <c r="G223" t="s">
        <v>499</v>
      </c>
      <c r="H223" s="4">
        <v>821042</v>
      </c>
      <c r="I223" s="4">
        <v>794514</v>
      </c>
      <c r="J223" s="3">
        <v>0.032310161964917754</v>
      </c>
      <c r="K223" s="3">
        <v>0.03338896482629633</v>
      </c>
      <c r="L223" t="s">
        <v>54</v>
      </c>
    </row>
    <row r="224" spans="1:12" x14ac:dyDescent="0.25">
      <c r="A224" t="s">
        <v>487</v>
      </c>
      <c r="B224" t="s">
        <v>455</v>
      </c>
      <c r="C224" t="s">
        <v>477</v>
      </c>
      <c r="D224" t="s">
        <v>162</v>
      </c>
      <c r="E224" t="s">
        <v>168</v>
      </c>
      <c r="F224">
        <v>3</v>
      </c>
      <c r="G224" t="s">
        <v>488</v>
      </c>
      <c r="H224" s="4">
        <v>902239</v>
      </c>
      <c r="I224" s="4">
        <v>719450.8362870129</v>
      </c>
      <c r="J224" s="3">
        <v>0.20259395095200616</v>
      </c>
      <c r="K224" s="3">
        <v>0.2540662328733006</v>
      </c>
      <c r="L224" t="s">
        <v>54</v>
      </c>
    </row>
    <row r="225" spans="1:12" x14ac:dyDescent="0.25">
      <c r="A225" t="s">
        <v>487</v>
      </c>
      <c r="B225" t="s">
        <v>455</v>
      </c>
      <c r="C225" t="s">
        <v>477</v>
      </c>
      <c r="D225" t="s">
        <v>162</v>
      </c>
      <c r="E225" t="s">
        <v>168</v>
      </c>
      <c r="F225">
        <v>3</v>
      </c>
      <c r="G225" t="s">
        <v>498</v>
      </c>
      <c r="H225" s="4">
        <v>902239</v>
      </c>
      <c r="I225" s="4">
        <v>689333</v>
      </c>
      <c r="J225" s="3">
        <v>0.23597516844206468</v>
      </c>
      <c r="K225" s="3">
        <v>0.3088579830067616</v>
      </c>
      <c r="L225" t="s">
        <v>54</v>
      </c>
    </row>
    <row r="226" spans="1:12" x14ac:dyDescent="0.25">
      <c r="A226" t="s">
        <v>487</v>
      </c>
      <c r="B226" t="s">
        <v>455</v>
      </c>
      <c r="C226" t="s">
        <v>477</v>
      </c>
      <c r="D226" t="s">
        <v>162</v>
      </c>
      <c r="E226" t="s">
        <v>168</v>
      </c>
      <c r="F226">
        <v>3</v>
      </c>
      <c r="G226" t="s">
        <v>499</v>
      </c>
      <c r="H226" s="4">
        <v>902239</v>
      </c>
      <c r="I226" s="4">
        <v>794514</v>
      </c>
      <c r="J226" s="3">
        <v>0.11939741022057349</v>
      </c>
      <c r="K226" s="3">
        <v>0.13558603120901583</v>
      </c>
      <c r="L226" t="s">
        <v>54</v>
      </c>
    </row>
    <row r="227" spans="1:12" x14ac:dyDescent="0.25">
      <c r="A227" t="s">
        <v>487</v>
      </c>
      <c r="B227" t="s">
        <v>455</v>
      </c>
      <c r="C227" t="s">
        <v>477</v>
      </c>
      <c r="D227" t="s">
        <v>164</v>
      </c>
      <c r="E227" t="s">
        <v>166</v>
      </c>
      <c r="F227">
        <v>1</v>
      </c>
      <c r="G227" t="s">
        <v>488</v>
      </c>
      <c r="H227" s="4">
        <v>821042</v>
      </c>
      <c r="I227" s="4">
        <v>1168216.2802295047</v>
      </c>
      <c r="J227" s="3">
        <v>0.42284594482316945</v>
      </c>
      <c r="K227" s="3">
        <v>-0.2971832237788192</v>
      </c>
      <c r="L227" t="s">
        <v>54</v>
      </c>
    </row>
    <row r="228" spans="1:12" x14ac:dyDescent="0.25">
      <c r="A228" t="s">
        <v>487</v>
      </c>
      <c r="B228" t="s">
        <v>455</v>
      </c>
      <c r="C228" t="s">
        <v>477</v>
      </c>
      <c r="D228" t="s">
        <v>164</v>
      </c>
      <c r="E228" t="s">
        <v>166</v>
      </c>
      <c r="F228">
        <v>1</v>
      </c>
      <c r="G228" t="s">
        <v>498</v>
      </c>
      <c r="H228" s="4">
        <v>821042</v>
      </c>
      <c r="I228" s="4">
        <v>1143666</v>
      </c>
      <c r="J228" s="3">
        <v>0.39294457530796234</v>
      </c>
      <c r="K228" s="3">
        <v>-0.28209634631089847</v>
      </c>
      <c r="L228" t="s">
        <v>54</v>
      </c>
    </row>
    <row r="229" spans="1:12" x14ac:dyDescent="0.25">
      <c r="A229" t="s">
        <v>487</v>
      </c>
      <c r="B229" t="s">
        <v>455</v>
      </c>
      <c r="C229" t="s">
        <v>477</v>
      </c>
      <c r="D229" t="s">
        <v>164</v>
      </c>
      <c r="E229" t="s">
        <v>166</v>
      </c>
      <c r="F229">
        <v>1</v>
      </c>
      <c r="G229" t="s">
        <v>499</v>
      </c>
      <c r="H229" s="4">
        <v>821042</v>
      </c>
      <c r="I229" s="4">
        <v>1204862</v>
      </c>
      <c r="J229" s="3">
        <v>0.46747913017848053</v>
      </c>
      <c r="K229" s="3">
        <v>-0.31855930388708414</v>
      </c>
      <c r="L229" t="s">
        <v>54</v>
      </c>
    </row>
    <row r="230" spans="1:12" x14ac:dyDescent="0.25">
      <c r="A230" t="s">
        <v>487</v>
      </c>
      <c r="B230" t="s">
        <v>455</v>
      </c>
      <c r="C230" t="s">
        <v>477</v>
      </c>
      <c r="D230" t="s">
        <v>164</v>
      </c>
      <c r="E230" t="s">
        <v>168</v>
      </c>
      <c r="F230">
        <v>2</v>
      </c>
      <c r="G230" t="s">
        <v>488</v>
      </c>
      <c r="H230" s="4">
        <v>902239</v>
      </c>
      <c r="I230" s="4">
        <v>704130.4306497221</v>
      </c>
      <c r="J230" s="3">
        <v>0.21957438034742224</v>
      </c>
      <c r="K230" s="3">
        <v>0.2813520914974193</v>
      </c>
      <c r="L230" t="s">
        <v>54</v>
      </c>
    </row>
    <row r="231" spans="1:12" x14ac:dyDescent="0.25">
      <c r="A231" t="s">
        <v>487</v>
      </c>
      <c r="B231" t="s">
        <v>455</v>
      </c>
      <c r="C231" t="s">
        <v>477</v>
      </c>
      <c r="D231" t="s">
        <v>164</v>
      </c>
      <c r="E231" t="s">
        <v>168</v>
      </c>
      <c r="F231">
        <v>2</v>
      </c>
      <c r="G231" t="s">
        <v>498</v>
      </c>
      <c r="H231" s="4">
        <v>902239</v>
      </c>
      <c r="I231" s="4">
        <v>689333</v>
      </c>
      <c r="J231" s="3">
        <v>0.23597516844206468</v>
      </c>
      <c r="K231" s="3">
        <v>0.3088579830067616</v>
      </c>
      <c r="L231" t="s">
        <v>54</v>
      </c>
    </row>
    <row r="232" spans="1:12" x14ac:dyDescent="0.25">
      <c r="A232" t="s">
        <v>487</v>
      </c>
      <c r="B232" t="s">
        <v>455</v>
      </c>
      <c r="C232" t="s">
        <v>477</v>
      </c>
      <c r="D232" t="s">
        <v>164</v>
      </c>
      <c r="E232" t="s">
        <v>168</v>
      </c>
      <c r="F232">
        <v>2</v>
      </c>
      <c r="G232" t="s">
        <v>499</v>
      </c>
      <c r="H232" s="4">
        <v>902239</v>
      </c>
      <c r="I232" s="4">
        <v>1204862</v>
      </c>
      <c r="J232" s="3">
        <v>0.33541334391441735</v>
      </c>
      <c r="K232" s="3">
        <v>-0.2511681835762104</v>
      </c>
      <c r="L232" t="s">
        <v>54</v>
      </c>
    </row>
    <row r="233" spans="1:12" x14ac:dyDescent="0.25">
      <c r="A233" t="s">
        <v>487</v>
      </c>
      <c r="B233" t="s">
        <v>455</v>
      </c>
      <c r="C233" t="s">
        <v>477</v>
      </c>
      <c r="D233" t="s">
        <v>164</v>
      </c>
      <c r="E233" t="s">
        <v>170</v>
      </c>
      <c r="F233">
        <v>3</v>
      </c>
      <c r="G233" t="s">
        <v>488</v>
      </c>
      <c r="H233" s="4">
        <v>1005665</v>
      </c>
      <c r="I233" s="4">
        <v>1007835.8560857122</v>
      </c>
      <c r="J233" s="3">
        <v>0.0021586274611448213</v>
      </c>
      <c r="K233" s="3">
        <v>-0.002153977825460086</v>
      </c>
      <c r="L233" t="s">
        <v>54</v>
      </c>
    </row>
    <row r="234" spans="1:12" x14ac:dyDescent="0.25">
      <c r="A234" t="s">
        <v>487</v>
      </c>
      <c r="B234" t="s">
        <v>455</v>
      </c>
      <c r="C234" t="s">
        <v>477</v>
      </c>
      <c r="D234" t="s">
        <v>164</v>
      </c>
      <c r="E234" t="s">
        <v>170</v>
      </c>
      <c r="F234">
        <v>3</v>
      </c>
      <c r="G234" t="s">
        <v>498</v>
      </c>
      <c r="H234" s="4">
        <v>1005665</v>
      </c>
      <c r="I234" s="4">
        <v>986656</v>
      </c>
      <c r="J234" s="3">
        <v>0.01890192061968946</v>
      </c>
      <c r="K234" s="3">
        <v>0.01926608666039633</v>
      </c>
      <c r="L234" t="s">
        <v>54</v>
      </c>
    </row>
    <row r="235" spans="1:12" x14ac:dyDescent="0.25">
      <c r="A235" t="s">
        <v>487</v>
      </c>
      <c r="B235" t="s">
        <v>455</v>
      </c>
      <c r="C235" t="s">
        <v>477</v>
      </c>
      <c r="D235" t="s">
        <v>164</v>
      </c>
      <c r="E235" t="s">
        <v>170</v>
      </c>
      <c r="F235">
        <v>3</v>
      </c>
      <c r="G235" t="s">
        <v>499</v>
      </c>
      <c r="H235" s="4">
        <v>1005665</v>
      </c>
      <c r="I235" s="4">
        <v>1204862</v>
      </c>
      <c r="J235" s="3">
        <v>0.19807490565943928</v>
      </c>
      <c r="K235" s="3">
        <v>-0.1653276474816203</v>
      </c>
      <c r="L235" t="s">
        <v>54</v>
      </c>
    </row>
    <row r="236" spans="1:12" x14ac:dyDescent="0.25">
      <c r="A236" t="s">
        <v>487</v>
      </c>
      <c r="B236" t="s">
        <v>455</v>
      </c>
      <c r="C236" t="s">
        <v>477</v>
      </c>
      <c r="D236" t="s">
        <v>166</v>
      </c>
      <c r="E236" t="s">
        <v>168</v>
      </c>
      <c r="F236">
        <v>1</v>
      </c>
      <c r="G236" t="s">
        <v>488</v>
      </c>
      <c r="H236" s="4">
        <v>902239</v>
      </c>
      <c r="I236" s="4">
        <v>672029.7554497487</v>
      </c>
      <c r="J236" s="3">
        <v>0.2551532848283562</v>
      </c>
      <c r="K236" s="3">
        <v>0.34255811246956797</v>
      </c>
      <c r="L236" t="s">
        <v>54</v>
      </c>
    </row>
    <row r="237" spans="1:12" x14ac:dyDescent="0.25">
      <c r="A237" t="s">
        <v>487</v>
      </c>
      <c r="B237" t="s">
        <v>455</v>
      </c>
      <c r="C237" t="s">
        <v>477</v>
      </c>
      <c r="D237" t="s">
        <v>166</v>
      </c>
      <c r="E237" t="s">
        <v>168</v>
      </c>
      <c r="F237">
        <v>1</v>
      </c>
      <c r="G237" t="s">
        <v>498</v>
      </c>
      <c r="H237" s="4">
        <v>902239</v>
      </c>
      <c r="I237" s="4">
        <v>689333</v>
      </c>
      <c r="J237" s="3">
        <v>0.23597516844206468</v>
      </c>
      <c r="K237" s="3">
        <v>0.3088579830067616</v>
      </c>
      <c r="L237" t="s">
        <v>54</v>
      </c>
    </row>
    <row r="238" spans="1:12" x14ac:dyDescent="0.25">
      <c r="A238" t="s">
        <v>487</v>
      </c>
      <c r="B238" t="s">
        <v>455</v>
      </c>
      <c r="C238" t="s">
        <v>477</v>
      </c>
      <c r="D238" t="s">
        <v>166</v>
      </c>
      <c r="E238" t="s">
        <v>168</v>
      </c>
      <c r="F238">
        <v>1</v>
      </c>
      <c r="G238" t="s">
        <v>499</v>
      </c>
      <c r="H238" s="4">
        <v>902239</v>
      </c>
      <c r="I238" s="4">
        <v>821042</v>
      </c>
      <c r="J238" s="3">
        <v>0.08999500132448277</v>
      </c>
      <c r="K238" s="3">
        <v>0.09889506261555438</v>
      </c>
      <c r="L238" t="s">
        <v>54</v>
      </c>
    </row>
    <row r="239" spans="1:12" x14ac:dyDescent="0.25">
      <c r="A239" t="s">
        <v>487</v>
      </c>
      <c r="B239" t="s">
        <v>455</v>
      </c>
      <c r="C239" t="s">
        <v>477</v>
      </c>
      <c r="D239" t="s">
        <v>166</v>
      </c>
      <c r="E239" t="s">
        <v>170</v>
      </c>
      <c r="F239">
        <v>2</v>
      </c>
      <c r="G239" t="s">
        <v>488</v>
      </c>
      <c r="H239" s="4">
        <v>1005665</v>
      </c>
      <c r="I239" s="4">
        <v>961889.522760447</v>
      </c>
      <c r="J239" s="3">
        <v>0.043528886099797645</v>
      </c>
      <c r="K239" s="3">
        <v>0.045509880504702234</v>
      </c>
      <c r="L239" t="s">
        <v>54</v>
      </c>
    </row>
    <row r="240" spans="1:12" x14ac:dyDescent="0.25">
      <c r="A240" t="s">
        <v>487</v>
      </c>
      <c r="B240" t="s">
        <v>455</v>
      </c>
      <c r="C240" t="s">
        <v>477</v>
      </c>
      <c r="D240" t="s">
        <v>166</v>
      </c>
      <c r="E240" t="s">
        <v>170</v>
      </c>
      <c r="F240">
        <v>2</v>
      </c>
      <c r="G240" t="s">
        <v>498</v>
      </c>
      <c r="H240" s="4">
        <v>1005665</v>
      </c>
      <c r="I240" s="4">
        <v>986656</v>
      </c>
      <c r="J240" s="3">
        <v>0.01890192061968946</v>
      </c>
      <c r="K240" s="3">
        <v>0.01926608666039633</v>
      </c>
      <c r="L240" t="s">
        <v>54</v>
      </c>
    </row>
    <row r="241" spans="1:12" x14ac:dyDescent="0.25">
      <c r="A241" t="s">
        <v>487</v>
      </c>
      <c r="B241" t="s">
        <v>455</v>
      </c>
      <c r="C241" t="s">
        <v>477</v>
      </c>
      <c r="D241" t="s">
        <v>166</v>
      </c>
      <c r="E241" t="s">
        <v>170</v>
      </c>
      <c r="F241">
        <v>2</v>
      </c>
      <c r="G241" t="s">
        <v>499</v>
      </c>
      <c r="H241" s="4">
        <v>1005665</v>
      </c>
      <c r="I241" s="4">
        <v>821042</v>
      </c>
      <c r="J241" s="3">
        <v>0.18358300229201574</v>
      </c>
      <c r="K241" s="3">
        <v>0.2248642578576979</v>
      </c>
      <c r="L241" t="s">
        <v>54</v>
      </c>
    </row>
    <row r="242" spans="1:12" x14ac:dyDescent="0.25">
      <c r="A242" t="s">
        <v>487</v>
      </c>
      <c r="B242" t="s">
        <v>455</v>
      </c>
      <c r="C242" t="s">
        <v>477</v>
      </c>
      <c r="D242" t="s">
        <v>166</v>
      </c>
      <c r="E242" t="s">
        <v>172</v>
      </c>
      <c r="F242">
        <v>3</v>
      </c>
      <c r="G242" t="s">
        <v>488</v>
      </c>
      <c r="H242" s="4">
        <v>623553</v>
      </c>
      <c r="I242" s="4">
        <v>780723.1467346624</v>
      </c>
      <c r="J242" s="3">
        <v>0.25205579435054015</v>
      </c>
      <c r="K242" s="3">
        <v>-0.2013135480765737</v>
      </c>
      <c r="L242" t="s">
        <v>54</v>
      </c>
    </row>
    <row r="243" spans="1:12" x14ac:dyDescent="0.25">
      <c r="A243" t="s">
        <v>487</v>
      </c>
      <c r="B243" t="s">
        <v>455</v>
      </c>
      <c r="C243" t="s">
        <v>477</v>
      </c>
      <c r="D243" t="s">
        <v>166</v>
      </c>
      <c r="E243" t="s">
        <v>172</v>
      </c>
      <c r="F243">
        <v>3</v>
      </c>
      <c r="G243" t="s">
        <v>498</v>
      </c>
      <c r="H243" s="4">
        <v>623553</v>
      </c>
      <c r="I243" s="4">
        <v>800825</v>
      </c>
      <c r="J243" s="3">
        <v>0.2842933960705826</v>
      </c>
      <c r="K243" s="3">
        <v>-0.22136172072550184</v>
      </c>
      <c r="L243" t="s">
        <v>54</v>
      </c>
    </row>
    <row r="244" spans="1:12" x14ac:dyDescent="0.25">
      <c r="A244" t="s">
        <v>487</v>
      </c>
      <c r="B244" t="s">
        <v>455</v>
      </c>
      <c r="C244" t="s">
        <v>477</v>
      </c>
      <c r="D244" t="s">
        <v>166</v>
      </c>
      <c r="E244" t="s">
        <v>172</v>
      </c>
      <c r="F244">
        <v>3</v>
      </c>
      <c r="G244" t="s">
        <v>499</v>
      </c>
      <c r="H244" s="4">
        <v>623553</v>
      </c>
      <c r="I244" s="4">
        <v>821042</v>
      </c>
      <c r="J244" s="3">
        <v>0.31671566009625485</v>
      </c>
      <c r="K244" s="3">
        <v>-0.2405345889735239</v>
      </c>
      <c r="L244" t="s">
        <v>54</v>
      </c>
    </row>
    <row r="245" spans="1:12" x14ac:dyDescent="0.25">
      <c r="A245" t="s">
        <v>487</v>
      </c>
      <c r="B245" t="s">
        <v>455</v>
      </c>
      <c r="C245" t="s">
        <v>477</v>
      </c>
      <c r="D245" t="s">
        <v>168</v>
      </c>
      <c r="E245" t="s">
        <v>170</v>
      </c>
      <c r="F245">
        <v>1</v>
      </c>
      <c r="G245" t="s">
        <v>488</v>
      </c>
      <c r="H245" s="4">
        <v>1005665</v>
      </c>
      <c r="I245" s="4">
        <v>1010408.7414588567</v>
      </c>
      <c r="J245" s="3">
        <v>0.004717019543144818</v>
      </c>
      <c r="K245" s="3">
        <v>-0.004694873731998384</v>
      </c>
      <c r="L245" t="s">
        <v>54</v>
      </c>
    </row>
    <row r="246" spans="1:12" x14ac:dyDescent="0.25">
      <c r="A246" t="s">
        <v>487</v>
      </c>
      <c r="B246" t="s">
        <v>455</v>
      </c>
      <c r="C246" t="s">
        <v>477</v>
      </c>
      <c r="D246" t="s">
        <v>168</v>
      </c>
      <c r="E246" t="s">
        <v>170</v>
      </c>
      <c r="F246">
        <v>1</v>
      </c>
      <c r="G246" t="s">
        <v>498</v>
      </c>
      <c r="H246" s="4">
        <v>1005665</v>
      </c>
      <c r="I246" s="4">
        <v>986656</v>
      </c>
      <c r="J246" s="3">
        <v>0.01890192061968946</v>
      </c>
      <c r="K246" s="3">
        <v>0.01926608666039633</v>
      </c>
      <c r="L246" t="s">
        <v>54</v>
      </c>
    </row>
    <row r="247" spans="1:12" x14ac:dyDescent="0.25">
      <c r="A247" t="s">
        <v>487</v>
      </c>
      <c r="B247" t="s">
        <v>455</v>
      </c>
      <c r="C247" t="s">
        <v>477</v>
      </c>
      <c r="D247" t="s">
        <v>168</v>
      </c>
      <c r="E247" t="s">
        <v>170</v>
      </c>
      <c r="F247">
        <v>1</v>
      </c>
      <c r="G247" t="s">
        <v>499</v>
      </c>
      <c r="H247" s="4">
        <v>1005665</v>
      </c>
      <c r="I247" s="4">
        <v>902239</v>
      </c>
      <c r="J247" s="3">
        <v>0.10284339218328171</v>
      </c>
      <c r="K247" s="3">
        <v>0.11463259734948279</v>
      </c>
      <c r="L247" t="s">
        <v>54</v>
      </c>
    </row>
    <row r="248" spans="1:12" x14ac:dyDescent="0.25">
      <c r="A248" t="s">
        <v>487</v>
      </c>
      <c r="B248" t="s">
        <v>455</v>
      </c>
      <c r="C248" t="s">
        <v>477</v>
      </c>
      <c r="D248" t="s">
        <v>168</v>
      </c>
      <c r="E248" t="s">
        <v>172</v>
      </c>
      <c r="F248">
        <v>2</v>
      </c>
      <c r="G248" t="s">
        <v>488</v>
      </c>
      <c r="H248" s="4">
        <v>623553</v>
      </c>
      <c r="I248" s="4">
        <v>820104.048806057</v>
      </c>
      <c r="J248" s="3">
        <v>0.31521145565181624</v>
      </c>
      <c r="K248" s="3">
        <v>-0.23966599005602338</v>
      </c>
      <c r="L248" t="s">
        <v>54</v>
      </c>
    </row>
    <row r="249" spans="1:12" x14ac:dyDescent="0.25">
      <c r="A249" t="s">
        <v>487</v>
      </c>
      <c r="B249" t="s">
        <v>455</v>
      </c>
      <c r="C249" t="s">
        <v>477</v>
      </c>
      <c r="D249" t="s">
        <v>168</v>
      </c>
      <c r="E249" t="s">
        <v>172</v>
      </c>
      <c r="F249">
        <v>2</v>
      </c>
      <c r="G249" t="s">
        <v>498</v>
      </c>
      <c r="H249" s="4">
        <v>623553</v>
      </c>
      <c r="I249" s="4">
        <v>800825</v>
      </c>
      <c r="J249" s="3">
        <v>0.2842933960705826</v>
      </c>
      <c r="K249" s="3">
        <v>-0.22136172072550184</v>
      </c>
      <c r="L249" t="s">
        <v>54</v>
      </c>
    </row>
    <row r="250" spans="1:12" x14ac:dyDescent="0.25">
      <c r="A250" t="s">
        <v>487</v>
      </c>
      <c r="B250" t="s">
        <v>455</v>
      </c>
      <c r="C250" t="s">
        <v>477</v>
      </c>
      <c r="D250" t="s">
        <v>168</v>
      </c>
      <c r="E250" t="s">
        <v>172</v>
      </c>
      <c r="F250">
        <v>2</v>
      </c>
      <c r="G250" t="s">
        <v>499</v>
      </c>
      <c r="H250" s="4">
        <v>623553</v>
      </c>
      <c r="I250" s="4">
        <v>902239</v>
      </c>
      <c r="J250" s="3">
        <v>0.446932337748355</v>
      </c>
      <c r="K250" s="3">
        <v>-0.30888267964475047</v>
      </c>
      <c r="L250" t="s">
        <v>54</v>
      </c>
    </row>
    <row r="251" spans="1:12" x14ac:dyDescent="0.25">
      <c r="A251" t="s">
        <v>487</v>
      </c>
      <c r="B251" t="s">
        <v>455</v>
      </c>
      <c r="C251" t="s">
        <v>477</v>
      </c>
      <c r="D251" t="s">
        <v>168</v>
      </c>
      <c r="E251" t="s">
        <v>174</v>
      </c>
      <c r="F251">
        <v>3</v>
      </c>
      <c r="G251" t="s">
        <v>488</v>
      </c>
      <c r="H251" s="4">
        <v>719142</v>
      </c>
      <c r="I251" s="4">
        <v>926401.9043450573</v>
      </c>
      <c r="J251" s="3">
        <v>0.28820442185974027</v>
      </c>
      <c r="K251" s="3">
        <v>-0.22372568900490855</v>
      </c>
      <c r="L251" t="s">
        <v>54</v>
      </c>
    </row>
    <row r="252" spans="1:12" x14ac:dyDescent="0.25">
      <c r="A252" t="s">
        <v>487</v>
      </c>
      <c r="B252" t="s">
        <v>455</v>
      </c>
      <c r="C252" t="s">
        <v>477</v>
      </c>
      <c r="D252" t="s">
        <v>168</v>
      </c>
      <c r="E252" t="s">
        <v>174</v>
      </c>
      <c r="F252">
        <v>3</v>
      </c>
      <c r="G252" t="s">
        <v>498</v>
      </c>
      <c r="H252" s="4">
        <v>719142</v>
      </c>
      <c r="I252" s="4">
        <v>904624</v>
      </c>
      <c r="J252" s="3">
        <v>0.2579212450392273</v>
      </c>
      <c r="K252" s="3">
        <v>-0.20503767311059623</v>
      </c>
      <c r="L252" t="s">
        <v>54</v>
      </c>
    </row>
    <row r="253" spans="1:12" x14ac:dyDescent="0.25">
      <c r="A253" t="s">
        <v>487</v>
      </c>
      <c r="B253" t="s">
        <v>455</v>
      </c>
      <c r="C253" t="s">
        <v>477</v>
      </c>
      <c r="D253" t="s">
        <v>168</v>
      </c>
      <c r="E253" t="s">
        <v>174</v>
      </c>
      <c r="F253">
        <v>3</v>
      </c>
      <c r="G253" t="s">
        <v>499</v>
      </c>
      <c r="H253" s="4">
        <v>719142</v>
      </c>
      <c r="I253" s="4">
        <v>902239</v>
      </c>
      <c r="J253" s="3">
        <v>0.25460479293380167</v>
      </c>
      <c r="K253" s="3">
        <v>-0.20293625081602545</v>
      </c>
      <c r="L253" t="s">
        <v>54</v>
      </c>
    </row>
    <row r="254" spans="1:12" x14ac:dyDescent="0.25">
      <c r="A254" t="s">
        <v>487</v>
      </c>
      <c r="B254" t="s">
        <v>455</v>
      </c>
      <c r="C254" t="s">
        <v>477</v>
      </c>
      <c r="D254" t="s">
        <v>170</v>
      </c>
      <c r="E254" t="s">
        <v>172</v>
      </c>
      <c r="F254">
        <v>1</v>
      </c>
      <c r="G254" t="s">
        <v>488</v>
      </c>
      <c r="H254" s="4">
        <v>623553</v>
      </c>
      <c r="I254" s="4">
        <v>815959.9961794751</v>
      </c>
      <c r="J254" s="3">
        <v>0.3085655849293887</v>
      </c>
      <c r="K254" s="3">
        <v>-0.23580444762043712</v>
      </c>
      <c r="L254" t="s">
        <v>54</v>
      </c>
    </row>
    <row r="255" spans="1:12" x14ac:dyDescent="0.25">
      <c r="A255" t="s">
        <v>487</v>
      </c>
      <c r="B255" t="s">
        <v>455</v>
      </c>
      <c r="C255" t="s">
        <v>477</v>
      </c>
      <c r="D255" t="s">
        <v>170</v>
      </c>
      <c r="E255" t="s">
        <v>172</v>
      </c>
      <c r="F255">
        <v>1</v>
      </c>
      <c r="G255" t="s">
        <v>498</v>
      </c>
      <c r="H255" s="4">
        <v>623553</v>
      </c>
      <c r="I255" s="4">
        <v>800825</v>
      </c>
      <c r="J255" s="3">
        <v>0.2842933960705826</v>
      </c>
      <c r="K255" s="3">
        <v>-0.22136172072550184</v>
      </c>
      <c r="L255" t="s">
        <v>54</v>
      </c>
    </row>
    <row r="256" spans="1:12" x14ac:dyDescent="0.25">
      <c r="A256" t="s">
        <v>487</v>
      </c>
      <c r="B256" t="s">
        <v>455</v>
      </c>
      <c r="C256" t="s">
        <v>477</v>
      </c>
      <c r="D256" t="s">
        <v>170</v>
      </c>
      <c r="E256" t="s">
        <v>172</v>
      </c>
      <c r="F256">
        <v>1</v>
      </c>
      <c r="G256" t="s">
        <v>499</v>
      </c>
      <c r="H256" s="4">
        <v>623553</v>
      </c>
      <c r="I256" s="4">
        <v>1005665</v>
      </c>
      <c r="J256" s="3">
        <v>0.612797949813408</v>
      </c>
      <c r="K256" s="3">
        <v>-0.3799595292667041</v>
      </c>
      <c r="L256" t="s">
        <v>54</v>
      </c>
    </row>
    <row r="257" spans="1:12" x14ac:dyDescent="0.25">
      <c r="A257" t="s">
        <v>487</v>
      </c>
      <c r="B257" t="s">
        <v>455</v>
      </c>
      <c r="C257" t="s">
        <v>477</v>
      </c>
      <c r="D257" t="s">
        <v>170</v>
      </c>
      <c r="E257" t="s">
        <v>174</v>
      </c>
      <c r="F257">
        <v>2</v>
      </c>
      <c r="G257" t="s">
        <v>488</v>
      </c>
      <c r="H257" s="4">
        <v>719142</v>
      </c>
      <c r="I257" s="4">
        <v>921720.7199873399</v>
      </c>
      <c r="J257" s="3">
        <v>0.28169501988110823</v>
      </c>
      <c r="K257" s="3">
        <v>-0.219783189847487</v>
      </c>
      <c r="L257" t="s">
        <v>54</v>
      </c>
    </row>
    <row r="258" spans="1:12" x14ac:dyDescent="0.25">
      <c r="A258" t="s">
        <v>487</v>
      </c>
      <c r="B258" t="s">
        <v>455</v>
      </c>
      <c r="C258" t="s">
        <v>477</v>
      </c>
      <c r="D258" t="s">
        <v>170</v>
      </c>
      <c r="E258" t="s">
        <v>174</v>
      </c>
      <c r="F258">
        <v>2</v>
      </c>
      <c r="G258" t="s">
        <v>498</v>
      </c>
      <c r="H258" s="4">
        <v>719142</v>
      </c>
      <c r="I258" s="4">
        <v>904624</v>
      </c>
      <c r="J258" s="3">
        <v>0.2579212450392273</v>
      </c>
      <c r="K258" s="3">
        <v>-0.20503767311059623</v>
      </c>
      <c r="L258" t="s">
        <v>54</v>
      </c>
    </row>
    <row r="259" spans="1:12" x14ac:dyDescent="0.25">
      <c r="A259" t="s">
        <v>487</v>
      </c>
      <c r="B259" t="s">
        <v>455</v>
      </c>
      <c r="C259" t="s">
        <v>477</v>
      </c>
      <c r="D259" t="s">
        <v>170</v>
      </c>
      <c r="E259" t="s">
        <v>174</v>
      </c>
      <c r="F259">
        <v>2</v>
      </c>
      <c r="G259" t="s">
        <v>499</v>
      </c>
      <c r="H259" s="4">
        <v>719142</v>
      </c>
      <c r="I259" s="4">
        <v>1005665</v>
      </c>
      <c r="J259" s="3">
        <v>0.39842339899491336</v>
      </c>
      <c r="K259" s="3">
        <v>-0.28490899056842983</v>
      </c>
      <c r="L259" t="s">
        <v>54</v>
      </c>
    </row>
    <row r="260" spans="1:12" x14ac:dyDescent="0.25">
      <c r="A260" t="s">
        <v>487</v>
      </c>
      <c r="B260" t="s">
        <v>455</v>
      </c>
      <c r="C260" t="s">
        <v>477</v>
      </c>
      <c r="D260" t="s">
        <v>170</v>
      </c>
      <c r="E260" t="s">
        <v>176</v>
      </c>
      <c r="F260">
        <v>3</v>
      </c>
      <c r="G260" t="s">
        <v>488</v>
      </c>
      <c r="H260" s="4">
        <v>883247</v>
      </c>
      <c r="I260" s="4">
        <v>847677.3110998021</v>
      </c>
      <c r="J260" s="3">
        <v>0.040271508309904086</v>
      </c>
      <c r="K260" s="3">
        <v>0.04196135538185948</v>
      </c>
      <c r="L260" t="s">
        <v>54</v>
      </c>
    </row>
    <row r="261" spans="1:12" x14ac:dyDescent="0.25">
      <c r="A261" t="s">
        <v>487</v>
      </c>
      <c r="B261" t="s">
        <v>455</v>
      </c>
      <c r="C261" t="s">
        <v>477</v>
      </c>
      <c r="D261" t="s">
        <v>170</v>
      </c>
      <c r="E261" t="s">
        <v>176</v>
      </c>
      <c r="F261">
        <v>3</v>
      </c>
      <c r="G261" t="s">
        <v>498</v>
      </c>
      <c r="H261" s="4">
        <v>883247</v>
      </c>
      <c r="I261" s="4">
        <v>831954</v>
      </c>
      <c r="J261" s="3">
        <v>0.058073223005569226</v>
      </c>
      <c r="K261" s="3">
        <v>0.06165364912002346</v>
      </c>
      <c r="L261" t="s">
        <v>54</v>
      </c>
    </row>
    <row r="262" spans="1:12" x14ac:dyDescent="0.25">
      <c r="A262" t="s">
        <v>487</v>
      </c>
      <c r="B262" t="s">
        <v>455</v>
      </c>
      <c r="C262" t="s">
        <v>477</v>
      </c>
      <c r="D262" t="s">
        <v>170</v>
      </c>
      <c r="E262" t="s">
        <v>176</v>
      </c>
      <c r="F262">
        <v>3</v>
      </c>
      <c r="G262" t="s">
        <v>499</v>
      </c>
      <c r="H262" s="4">
        <v>883247</v>
      </c>
      <c r="I262" s="4">
        <v>1005665</v>
      </c>
      <c r="J262" s="3">
        <v>0.13859996127923446</v>
      </c>
      <c r="K262" s="3">
        <v>-0.12172840856547658</v>
      </c>
      <c r="L262" t="s">
        <v>54</v>
      </c>
    </row>
    <row r="263" spans="1:12" x14ac:dyDescent="0.25">
      <c r="A263" t="s">
        <v>487</v>
      </c>
      <c r="B263" t="s">
        <v>455</v>
      </c>
      <c r="C263" t="s">
        <v>477</v>
      </c>
      <c r="D263" t="s">
        <v>172</v>
      </c>
      <c r="E263" t="s">
        <v>174</v>
      </c>
      <c r="F263">
        <v>1</v>
      </c>
      <c r="G263" t="s">
        <v>488</v>
      </c>
      <c r="H263" s="4">
        <v>719142</v>
      </c>
      <c r="I263" s="4">
        <v>875258.0828650745</v>
      </c>
      <c r="J263" s="3">
        <v>0.21708658771852363</v>
      </c>
      <c r="K263" s="3">
        <v>-0.1783657711038135</v>
      </c>
      <c r="L263" t="s">
        <v>54</v>
      </c>
    </row>
    <row r="264" spans="1:12" x14ac:dyDescent="0.25">
      <c r="A264" t="s">
        <v>487</v>
      </c>
      <c r="B264" t="s">
        <v>455</v>
      </c>
      <c r="C264" t="s">
        <v>477</v>
      </c>
      <c r="D264" t="s">
        <v>172</v>
      </c>
      <c r="E264" t="s">
        <v>174</v>
      </c>
      <c r="F264">
        <v>1</v>
      </c>
      <c r="G264" t="s">
        <v>498</v>
      </c>
      <c r="H264" s="4">
        <v>719142</v>
      </c>
      <c r="I264" s="4">
        <v>904624</v>
      </c>
      <c r="J264" s="3">
        <v>0.2579212450392273</v>
      </c>
      <c r="K264" s="3">
        <v>-0.20503767311059623</v>
      </c>
      <c r="L264" t="s">
        <v>54</v>
      </c>
    </row>
    <row r="265" spans="1:12" x14ac:dyDescent="0.25">
      <c r="A265" t="s">
        <v>487</v>
      </c>
      <c r="B265" t="s">
        <v>455</v>
      </c>
      <c r="C265" t="s">
        <v>477</v>
      </c>
      <c r="D265" t="s">
        <v>172</v>
      </c>
      <c r="E265" t="s">
        <v>174</v>
      </c>
      <c r="F265">
        <v>1</v>
      </c>
      <c r="G265" t="s">
        <v>499</v>
      </c>
      <c r="H265" s="4">
        <v>719142</v>
      </c>
      <c r="I265" s="4">
        <v>623553</v>
      </c>
      <c r="J265" s="3">
        <v>0.13292089740273827</v>
      </c>
      <c r="K265" s="3">
        <v>0.15329731394123675</v>
      </c>
      <c r="L265" t="s">
        <v>54</v>
      </c>
    </row>
    <row r="266" spans="1:12" x14ac:dyDescent="0.25">
      <c r="A266" t="s">
        <v>487</v>
      </c>
      <c r="B266" t="s">
        <v>455</v>
      </c>
      <c r="C266" t="s">
        <v>477</v>
      </c>
      <c r="D266" t="s">
        <v>172</v>
      </c>
      <c r="E266" t="s">
        <v>176</v>
      </c>
      <c r="F266">
        <v>2</v>
      </c>
      <c r="G266" t="s">
        <v>488</v>
      </c>
      <c r="H266" s="4">
        <v>883247</v>
      </c>
      <c r="I266" s="4">
        <v>804947.0974370901</v>
      </c>
      <c r="J266" s="3">
        <v>0.08865006341703949</v>
      </c>
      <c r="K266" s="3">
        <v>0.09727335226403414</v>
      </c>
      <c r="L266" t="s">
        <v>54</v>
      </c>
    </row>
    <row r="267" spans="1:12" x14ac:dyDescent="0.25">
      <c r="A267" t="s">
        <v>487</v>
      </c>
      <c r="B267" t="s">
        <v>455</v>
      </c>
      <c r="C267" t="s">
        <v>477</v>
      </c>
      <c r="D267" t="s">
        <v>172</v>
      </c>
      <c r="E267" t="s">
        <v>176</v>
      </c>
      <c r="F267">
        <v>2</v>
      </c>
      <c r="G267" t="s">
        <v>498</v>
      </c>
      <c r="H267" s="4">
        <v>883247</v>
      </c>
      <c r="I267" s="4">
        <v>831954</v>
      </c>
      <c r="J267" s="3">
        <v>0.058073223005569226</v>
      </c>
      <c r="K267" s="3">
        <v>0.06165364912002346</v>
      </c>
      <c r="L267" t="s">
        <v>54</v>
      </c>
    </row>
    <row r="268" spans="1:12" x14ac:dyDescent="0.25">
      <c r="A268" t="s">
        <v>487</v>
      </c>
      <c r="B268" t="s">
        <v>455</v>
      </c>
      <c r="C268" t="s">
        <v>477</v>
      </c>
      <c r="D268" t="s">
        <v>172</v>
      </c>
      <c r="E268" t="s">
        <v>176</v>
      </c>
      <c r="F268">
        <v>2</v>
      </c>
      <c r="G268" t="s">
        <v>499</v>
      </c>
      <c r="H268" s="4">
        <v>883247</v>
      </c>
      <c r="I268" s="4">
        <v>623553</v>
      </c>
      <c r="J268" s="3">
        <v>0.294021944031511</v>
      </c>
      <c r="K268" s="3">
        <v>0.4164746220449585</v>
      </c>
      <c r="L268" t="s">
        <v>54</v>
      </c>
    </row>
    <row r="269" spans="1:12" x14ac:dyDescent="0.25">
      <c r="A269" t="s">
        <v>487</v>
      </c>
      <c r="B269" t="s">
        <v>455</v>
      </c>
      <c r="C269" t="s">
        <v>477</v>
      </c>
      <c r="D269" t="s">
        <v>172</v>
      </c>
      <c r="E269" t="s">
        <v>178</v>
      </c>
      <c r="F269">
        <v>3</v>
      </c>
      <c r="G269" t="s">
        <v>488</v>
      </c>
      <c r="H269" s="4">
        <v>600330</v>
      </c>
      <c r="I269" s="4">
        <v>552830.8867876194</v>
      </c>
      <c r="J269" s="3">
        <v>0.07912167176782862</v>
      </c>
      <c r="K269" s="3">
        <v>0.08591978912102329</v>
      </c>
      <c r="L269" t="s">
        <v>54</v>
      </c>
    </row>
    <row r="270" spans="1:12" x14ac:dyDescent="0.25">
      <c r="A270" t="s">
        <v>487</v>
      </c>
      <c r="B270" t="s">
        <v>455</v>
      </c>
      <c r="C270" t="s">
        <v>477</v>
      </c>
      <c r="D270" t="s">
        <v>172</v>
      </c>
      <c r="E270" t="s">
        <v>178</v>
      </c>
      <c r="F270">
        <v>3</v>
      </c>
      <c r="G270" t="s">
        <v>498</v>
      </c>
      <c r="H270" s="4">
        <v>600330</v>
      </c>
      <c r="I270" s="4">
        <v>571379</v>
      </c>
      <c r="J270" s="3">
        <v>0.04822514283810571</v>
      </c>
      <c r="K270" s="3">
        <v>0.050668645504997556</v>
      </c>
      <c r="L270" t="s">
        <v>54</v>
      </c>
    </row>
    <row r="271" spans="1:12" x14ac:dyDescent="0.25">
      <c r="A271" t="s">
        <v>487</v>
      </c>
      <c r="B271" t="s">
        <v>455</v>
      </c>
      <c r="C271" t="s">
        <v>477</v>
      </c>
      <c r="D271" t="s">
        <v>172</v>
      </c>
      <c r="E271" t="s">
        <v>178</v>
      </c>
      <c r="F271">
        <v>3</v>
      </c>
      <c r="G271" t="s">
        <v>499</v>
      </c>
      <c r="H271" s="4">
        <v>600330</v>
      </c>
      <c r="I271" s="4">
        <v>623553</v>
      </c>
      <c r="J271" s="3">
        <v>0.038683723951826496</v>
      </c>
      <c r="K271" s="3">
        <v>-0.03724302505159946</v>
      </c>
      <c r="L271" t="s">
        <v>54</v>
      </c>
    </row>
    <row r="272" spans="1:12" x14ac:dyDescent="0.25">
      <c r="A272" t="s">
        <v>487</v>
      </c>
      <c r="B272" t="s">
        <v>455</v>
      </c>
      <c r="C272" t="s">
        <v>477</v>
      </c>
      <c r="D272" t="s">
        <v>174</v>
      </c>
      <c r="E272" t="s">
        <v>176</v>
      </c>
      <c r="F272">
        <v>1</v>
      </c>
      <c r="G272" t="s">
        <v>488</v>
      </c>
      <c r="H272" s="4">
        <v>883247</v>
      </c>
      <c r="I272" s="4">
        <v>789144.622597971</v>
      </c>
      <c r="J272" s="3">
        <v>0.1065414062001105</v>
      </c>
      <c r="K272" s="3">
        <v>0.119246047818499</v>
      </c>
      <c r="L272" t="s">
        <v>54</v>
      </c>
    </row>
    <row r="273" spans="1:12" x14ac:dyDescent="0.25">
      <c r="A273" t="s">
        <v>487</v>
      </c>
      <c r="B273" t="s">
        <v>455</v>
      </c>
      <c r="C273" t="s">
        <v>477</v>
      </c>
      <c r="D273" t="s">
        <v>174</v>
      </c>
      <c r="E273" t="s">
        <v>176</v>
      </c>
      <c r="F273">
        <v>1</v>
      </c>
      <c r="G273" t="s">
        <v>498</v>
      </c>
      <c r="H273" s="4">
        <v>883247</v>
      </c>
      <c r="I273" s="4">
        <v>831954</v>
      </c>
      <c r="J273" s="3">
        <v>0.058073223005569226</v>
      </c>
      <c r="K273" s="3">
        <v>0.06165364912002346</v>
      </c>
      <c r="L273" t="s">
        <v>54</v>
      </c>
    </row>
    <row r="274" spans="1:12" x14ac:dyDescent="0.25">
      <c r="A274" t="s">
        <v>487</v>
      </c>
      <c r="B274" t="s">
        <v>455</v>
      </c>
      <c r="C274" t="s">
        <v>477</v>
      </c>
      <c r="D274" t="s">
        <v>174</v>
      </c>
      <c r="E274" t="s">
        <v>176</v>
      </c>
      <c r="F274">
        <v>1</v>
      </c>
      <c r="G274" t="s">
        <v>499</v>
      </c>
      <c r="H274" s="4">
        <v>883247</v>
      </c>
      <c r="I274" s="4">
        <v>719142</v>
      </c>
      <c r="J274" s="3">
        <v>0.18579740435008554</v>
      </c>
      <c r="K274" s="3">
        <v>0.2281955441345381</v>
      </c>
      <c r="L274" t="s">
        <v>54</v>
      </c>
    </row>
    <row r="275" spans="1:12" x14ac:dyDescent="0.25">
      <c r="A275" t="s">
        <v>487</v>
      </c>
      <c r="B275" t="s">
        <v>455</v>
      </c>
      <c r="C275" t="s">
        <v>477</v>
      </c>
      <c r="D275" t="s">
        <v>174</v>
      </c>
      <c r="E275" t="s">
        <v>178</v>
      </c>
      <c r="F275">
        <v>2</v>
      </c>
      <c r="G275" t="s">
        <v>488</v>
      </c>
      <c r="H275" s="4">
        <v>600330</v>
      </c>
      <c r="I275" s="4">
        <v>541977.8801657376</v>
      </c>
      <c r="J275" s="3">
        <v>0.0972000730169447</v>
      </c>
      <c r="K275" s="3">
        <v>0.10766513167736338</v>
      </c>
      <c r="L275" t="s">
        <v>54</v>
      </c>
    </row>
    <row r="276" spans="1:12" x14ac:dyDescent="0.25">
      <c r="A276" t="s">
        <v>487</v>
      </c>
      <c r="B276" t="s">
        <v>455</v>
      </c>
      <c r="C276" t="s">
        <v>477</v>
      </c>
      <c r="D276" t="s">
        <v>174</v>
      </c>
      <c r="E276" t="s">
        <v>178</v>
      </c>
      <c r="F276">
        <v>2</v>
      </c>
      <c r="G276" t="s">
        <v>498</v>
      </c>
      <c r="H276" s="4">
        <v>600330</v>
      </c>
      <c r="I276" s="4">
        <v>571379</v>
      </c>
      <c r="J276" s="3">
        <v>0.04822514283810571</v>
      </c>
      <c r="K276" s="3">
        <v>0.050668645504997556</v>
      </c>
      <c r="L276" t="s">
        <v>54</v>
      </c>
    </row>
    <row r="277" spans="1:12" x14ac:dyDescent="0.25">
      <c r="A277" t="s">
        <v>487</v>
      </c>
      <c r="B277" t="s">
        <v>455</v>
      </c>
      <c r="C277" t="s">
        <v>477</v>
      </c>
      <c r="D277" t="s">
        <v>174</v>
      </c>
      <c r="E277" t="s">
        <v>178</v>
      </c>
      <c r="F277">
        <v>2</v>
      </c>
      <c r="G277" t="s">
        <v>499</v>
      </c>
      <c r="H277" s="4">
        <v>600330</v>
      </c>
      <c r="I277" s="4">
        <v>719142</v>
      </c>
      <c r="J277" s="3">
        <v>0.19791114886812253</v>
      </c>
      <c r="K277" s="3">
        <v>-0.16521354614248646</v>
      </c>
      <c r="L277" t="s">
        <v>54</v>
      </c>
    </row>
    <row r="278" spans="1:12" x14ac:dyDescent="0.25">
      <c r="A278" t="s">
        <v>487</v>
      </c>
      <c r="B278" t="s">
        <v>455</v>
      </c>
      <c r="C278" t="s">
        <v>477</v>
      </c>
      <c r="D278" t="s">
        <v>174</v>
      </c>
      <c r="E278" t="s">
        <v>180</v>
      </c>
      <c r="F278">
        <v>3</v>
      </c>
      <c r="G278" t="s">
        <v>488</v>
      </c>
      <c r="H278" s="4">
        <v>615642</v>
      </c>
      <c r="I278" s="4">
        <v>748167.5400955341</v>
      </c>
      <c r="J278" s="3">
        <v>0.21526396850041754</v>
      </c>
      <c r="K278" s="3">
        <v>-0.17713350685945528</v>
      </c>
      <c r="L278" t="s">
        <v>54</v>
      </c>
    </row>
    <row r="279" spans="1:12" x14ac:dyDescent="0.25">
      <c r="A279" t="s">
        <v>487</v>
      </c>
      <c r="B279" t="s">
        <v>455</v>
      </c>
      <c r="C279" t="s">
        <v>477</v>
      </c>
      <c r="D279" t="s">
        <v>174</v>
      </c>
      <c r="E279" t="s">
        <v>180</v>
      </c>
      <c r="F279">
        <v>3</v>
      </c>
      <c r="G279" t="s">
        <v>498</v>
      </c>
      <c r="H279" s="4">
        <v>615642</v>
      </c>
      <c r="I279" s="4">
        <v>788754</v>
      </c>
      <c r="J279" s="3">
        <v>0.2811893925365716</v>
      </c>
      <c r="K279" s="3">
        <v>-0.21947527365946798</v>
      </c>
      <c r="L279" t="s">
        <v>54</v>
      </c>
    </row>
    <row r="280" spans="1:12" x14ac:dyDescent="0.25">
      <c r="A280" t="s">
        <v>487</v>
      </c>
      <c r="B280" t="s">
        <v>455</v>
      </c>
      <c r="C280" t="s">
        <v>477</v>
      </c>
      <c r="D280" t="s">
        <v>174</v>
      </c>
      <c r="E280" t="s">
        <v>180</v>
      </c>
      <c r="F280">
        <v>3</v>
      </c>
      <c r="G280" t="s">
        <v>499</v>
      </c>
      <c r="H280" s="4">
        <v>615642</v>
      </c>
      <c r="I280" s="4">
        <v>719142</v>
      </c>
      <c r="J280" s="3">
        <v>0.16811718498737904</v>
      </c>
      <c r="K280" s="3">
        <v>-0.14392150646186705</v>
      </c>
      <c r="L280" t="s">
        <v>54</v>
      </c>
    </row>
    <row r="281" spans="1:12" x14ac:dyDescent="0.25">
      <c r="A281" t="s">
        <v>487</v>
      </c>
      <c r="B281" t="s">
        <v>455</v>
      </c>
      <c r="C281" t="s">
        <v>477</v>
      </c>
      <c r="D281" t="s">
        <v>176</v>
      </c>
      <c r="E281" t="s">
        <v>178</v>
      </c>
      <c r="F281">
        <v>1</v>
      </c>
      <c r="G281" t="s">
        <v>488</v>
      </c>
      <c r="H281" s="4">
        <v>600330</v>
      </c>
      <c r="I281" s="4">
        <v>545742.1046790773</v>
      </c>
      <c r="J281" s="3">
        <v>0.09092981413709579</v>
      </c>
      <c r="K281" s="3">
        <v>0.1000250756774998</v>
      </c>
      <c r="L281" t="s">
        <v>54</v>
      </c>
    </row>
    <row r="282" spans="1:12" x14ac:dyDescent="0.25">
      <c r="A282" t="s">
        <v>487</v>
      </c>
      <c r="B282" t="s">
        <v>455</v>
      </c>
      <c r="C282" t="s">
        <v>477</v>
      </c>
      <c r="D282" t="s">
        <v>176</v>
      </c>
      <c r="E282" t="s">
        <v>178</v>
      </c>
      <c r="F282">
        <v>1</v>
      </c>
      <c r="G282" t="s">
        <v>498</v>
      </c>
      <c r="H282" s="4">
        <v>600330</v>
      </c>
      <c r="I282" s="4">
        <v>571379</v>
      </c>
      <c r="J282" s="3">
        <v>0.04822514283810571</v>
      </c>
      <c r="K282" s="3">
        <v>0.050668645504997556</v>
      </c>
      <c r="L282" t="s">
        <v>54</v>
      </c>
    </row>
    <row r="283" spans="1:12" x14ac:dyDescent="0.25">
      <c r="A283" t="s">
        <v>487</v>
      </c>
      <c r="B283" t="s">
        <v>455</v>
      </c>
      <c r="C283" t="s">
        <v>477</v>
      </c>
      <c r="D283" t="s">
        <v>176</v>
      </c>
      <c r="E283" t="s">
        <v>178</v>
      </c>
      <c r="F283">
        <v>1</v>
      </c>
      <c r="G283" t="s">
        <v>499</v>
      </c>
      <c r="H283" s="4">
        <v>600330</v>
      </c>
      <c r="I283" s="4">
        <v>883247</v>
      </c>
      <c r="J283" s="3">
        <v>0.47126913530891346</v>
      </c>
      <c r="K283" s="3">
        <v>-0.32031470245582494</v>
      </c>
      <c r="L283" t="s">
        <v>54</v>
      </c>
    </row>
    <row r="284" spans="1:12" x14ac:dyDescent="0.25">
      <c r="A284" t="s">
        <v>487</v>
      </c>
      <c r="B284" t="s">
        <v>455</v>
      </c>
      <c r="C284" t="s">
        <v>477</v>
      </c>
      <c r="D284" t="s">
        <v>176</v>
      </c>
      <c r="E284" t="s">
        <v>180</v>
      </c>
      <c r="F284">
        <v>2</v>
      </c>
      <c r="G284" t="s">
        <v>488</v>
      </c>
      <c r="H284" s="4">
        <v>615642</v>
      </c>
      <c r="I284" s="4">
        <v>753363.8233712491</v>
      </c>
      <c r="J284" s="3">
        <v>0.22370439861355973</v>
      </c>
      <c r="K284" s="3">
        <v>-0.18280918076866745</v>
      </c>
      <c r="L284" t="s">
        <v>54</v>
      </c>
    </row>
    <row r="285" spans="1:12" x14ac:dyDescent="0.25">
      <c r="A285" t="s">
        <v>487</v>
      </c>
      <c r="B285" t="s">
        <v>455</v>
      </c>
      <c r="C285" t="s">
        <v>477</v>
      </c>
      <c r="D285" t="s">
        <v>176</v>
      </c>
      <c r="E285" t="s">
        <v>180</v>
      </c>
      <c r="F285">
        <v>2</v>
      </c>
      <c r="G285" t="s">
        <v>498</v>
      </c>
      <c r="H285" s="4">
        <v>615642</v>
      </c>
      <c r="I285" s="4">
        <v>788754</v>
      </c>
      <c r="J285" s="3">
        <v>0.2811893925365716</v>
      </c>
      <c r="K285" s="3">
        <v>-0.21947527365946798</v>
      </c>
      <c r="L285" t="s">
        <v>54</v>
      </c>
    </row>
    <row r="286" spans="1:12" x14ac:dyDescent="0.25">
      <c r="A286" t="s">
        <v>487</v>
      </c>
      <c r="B286" t="s">
        <v>455</v>
      </c>
      <c r="C286" t="s">
        <v>477</v>
      </c>
      <c r="D286" t="s">
        <v>176</v>
      </c>
      <c r="E286" t="s">
        <v>180</v>
      </c>
      <c r="F286">
        <v>2</v>
      </c>
      <c r="G286" t="s">
        <v>499</v>
      </c>
      <c r="H286" s="4">
        <v>615642</v>
      </c>
      <c r="I286" s="4">
        <v>883247</v>
      </c>
      <c r="J286" s="3">
        <v>0.4346763216284789</v>
      </c>
      <c r="K286" s="3">
        <v>-0.30297866848118366</v>
      </c>
      <c r="L286" t="s">
        <v>54</v>
      </c>
    </row>
    <row r="287" spans="1:12" x14ac:dyDescent="0.25">
      <c r="A287" t="s">
        <v>487</v>
      </c>
      <c r="B287" t="s">
        <v>455</v>
      </c>
      <c r="C287" t="s">
        <v>477</v>
      </c>
      <c r="D287" t="s">
        <v>176</v>
      </c>
      <c r="E287" t="s">
        <v>182</v>
      </c>
      <c r="F287">
        <v>3</v>
      </c>
      <c r="G287" t="s">
        <v>488</v>
      </c>
      <c r="H287" s="4">
        <v>885218</v>
      </c>
      <c r="I287" s="4">
        <v>640845.5073330082</v>
      </c>
      <c r="J287" s="3">
        <v>0.27605910935723377</v>
      </c>
      <c r="K287" s="3">
        <v>0.3813282450617327</v>
      </c>
      <c r="L287" t="s">
        <v>54</v>
      </c>
    </row>
    <row r="288" spans="1:12" x14ac:dyDescent="0.25">
      <c r="A288" t="s">
        <v>487</v>
      </c>
      <c r="B288" t="s">
        <v>455</v>
      </c>
      <c r="C288" t="s">
        <v>477</v>
      </c>
      <c r="D288" t="s">
        <v>176</v>
      </c>
      <c r="E288" t="s">
        <v>182</v>
      </c>
      <c r="F288">
        <v>3</v>
      </c>
      <c r="G288" t="s">
        <v>498</v>
      </c>
      <c r="H288" s="4">
        <v>885218</v>
      </c>
      <c r="I288" s="4">
        <v>670950</v>
      </c>
      <c r="J288" s="3">
        <v>0.24205111057389253</v>
      </c>
      <c r="K288" s="3">
        <v>0.319350175124823</v>
      </c>
      <c r="L288" t="s">
        <v>54</v>
      </c>
    </row>
    <row r="289" spans="1:12" x14ac:dyDescent="0.25">
      <c r="A289" t="s">
        <v>487</v>
      </c>
      <c r="B289" t="s">
        <v>455</v>
      </c>
      <c r="C289" t="s">
        <v>477</v>
      </c>
      <c r="D289" t="s">
        <v>176</v>
      </c>
      <c r="E289" t="s">
        <v>182</v>
      </c>
      <c r="F289">
        <v>3</v>
      </c>
      <c r="G289" t="s">
        <v>499</v>
      </c>
      <c r="H289" s="4">
        <v>885218</v>
      </c>
      <c r="I289" s="4">
        <v>883247</v>
      </c>
      <c r="J289" s="3">
        <v>0.0022265701781933943</v>
      </c>
      <c r="K289" s="3">
        <v>0.0022315388560617813</v>
      </c>
      <c r="L289" t="s">
        <v>54</v>
      </c>
    </row>
    <row r="290" spans="1:12" x14ac:dyDescent="0.25">
      <c r="A290" t="s">
        <v>487</v>
      </c>
      <c r="B290" t="s">
        <v>455</v>
      </c>
      <c r="C290" t="s">
        <v>477</v>
      </c>
      <c r="D290" t="s">
        <v>178</v>
      </c>
      <c r="E290" t="s">
        <v>180</v>
      </c>
      <c r="F290">
        <v>1</v>
      </c>
      <c r="G290" t="s">
        <v>488</v>
      </c>
      <c r="H290" s="4">
        <v>615642</v>
      </c>
      <c r="I290" s="4">
        <v>772249.0606846258</v>
      </c>
      <c r="J290" s="3">
        <v>0.2543800791444147</v>
      </c>
      <c r="K290" s="3">
        <v>-0.2027934621840629</v>
      </c>
      <c r="L290" t="s">
        <v>54</v>
      </c>
    </row>
    <row r="291" spans="1:12" x14ac:dyDescent="0.25">
      <c r="A291" t="s">
        <v>487</v>
      </c>
      <c r="B291" t="s">
        <v>455</v>
      </c>
      <c r="C291" t="s">
        <v>477</v>
      </c>
      <c r="D291" t="s">
        <v>178</v>
      </c>
      <c r="E291" t="s">
        <v>180</v>
      </c>
      <c r="F291">
        <v>1</v>
      </c>
      <c r="G291" t="s">
        <v>498</v>
      </c>
      <c r="H291" s="4">
        <v>615642</v>
      </c>
      <c r="I291" s="4">
        <v>788754</v>
      </c>
      <c r="J291" s="3">
        <v>0.2811893925365716</v>
      </c>
      <c r="K291" s="3">
        <v>-0.21947527365946798</v>
      </c>
      <c r="L291" t="s">
        <v>54</v>
      </c>
    </row>
    <row r="292" spans="1:12" x14ac:dyDescent="0.25">
      <c r="A292" t="s">
        <v>487</v>
      </c>
      <c r="B292" t="s">
        <v>455</v>
      </c>
      <c r="C292" t="s">
        <v>477</v>
      </c>
      <c r="D292" t="s">
        <v>178</v>
      </c>
      <c r="E292" t="s">
        <v>180</v>
      </c>
      <c r="F292">
        <v>1</v>
      </c>
      <c r="G292" t="s">
        <v>499</v>
      </c>
      <c r="H292" s="4">
        <v>615642</v>
      </c>
      <c r="I292" s="4">
        <v>600330</v>
      </c>
      <c r="J292" s="3">
        <v>0.02487159745436471</v>
      </c>
      <c r="K292" s="3">
        <v>0.025505971715556443</v>
      </c>
      <c r="L292" t="s">
        <v>54</v>
      </c>
    </row>
    <row r="293" spans="1:12" x14ac:dyDescent="0.25">
      <c r="A293" t="s">
        <v>487</v>
      </c>
      <c r="B293" t="s">
        <v>455</v>
      </c>
      <c r="C293" t="s">
        <v>477</v>
      </c>
      <c r="D293" t="s">
        <v>178</v>
      </c>
      <c r="E293" t="s">
        <v>182</v>
      </c>
      <c r="F293">
        <v>2</v>
      </c>
      <c r="G293" t="s">
        <v>488</v>
      </c>
      <c r="H293" s="4">
        <v>885218</v>
      </c>
      <c r="I293" s="4">
        <v>656910.1484954113</v>
      </c>
      <c r="J293" s="3">
        <v>0.2579114427232487</v>
      </c>
      <c r="K293" s="3">
        <v>0.3475480657857176</v>
      </c>
      <c r="L293" t="s">
        <v>54</v>
      </c>
    </row>
    <row r="294" spans="1:12" x14ac:dyDescent="0.25">
      <c r="A294" t="s">
        <v>487</v>
      </c>
      <c r="B294" t="s">
        <v>455</v>
      </c>
      <c r="C294" t="s">
        <v>477</v>
      </c>
      <c r="D294" t="s">
        <v>178</v>
      </c>
      <c r="E294" t="s">
        <v>182</v>
      </c>
      <c r="F294">
        <v>2</v>
      </c>
      <c r="G294" t="s">
        <v>498</v>
      </c>
      <c r="H294" s="4">
        <v>885218</v>
      </c>
      <c r="I294" s="4">
        <v>670950</v>
      </c>
      <c r="J294" s="3">
        <v>0.24205111057389253</v>
      </c>
      <c r="K294" s="3">
        <v>0.319350175124823</v>
      </c>
      <c r="L294" t="s">
        <v>54</v>
      </c>
    </row>
    <row r="295" spans="1:12" x14ac:dyDescent="0.25">
      <c r="A295" t="s">
        <v>487</v>
      </c>
      <c r="B295" t="s">
        <v>455</v>
      </c>
      <c r="C295" t="s">
        <v>477</v>
      </c>
      <c r="D295" t="s">
        <v>178</v>
      </c>
      <c r="E295" t="s">
        <v>182</v>
      </c>
      <c r="F295">
        <v>2</v>
      </c>
      <c r="G295" t="s">
        <v>499</v>
      </c>
      <c r="H295" s="4">
        <v>885218</v>
      </c>
      <c r="I295" s="4">
        <v>600330</v>
      </c>
      <c r="J295" s="3">
        <v>0.3218280694698933</v>
      </c>
      <c r="K295" s="3">
        <v>0.4745523295520797</v>
      </c>
      <c r="L295" t="s">
        <v>54</v>
      </c>
    </row>
    <row r="296" spans="1:12" x14ac:dyDescent="0.25">
      <c r="A296" t="s">
        <v>487</v>
      </c>
      <c r="B296" t="s">
        <v>455</v>
      </c>
      <c r="C296" t="s">
        <v>477</v>
      </c>
      <c r="D296" t="s">
        <v>178</v>
      </c>
      <c r="E296" t="s">
        <v>184</v>
      </c>
      <c r="F296">
        <v>3</v>
      </c>
      <c r="G296" t="s">
        <v>488</v>
      </c>
      <c r="H296" s="4">
        <v>650832</v>
      </c>
      <c r="I296" s="4">
        <v>589608.5558170081</v>
      </c>
      <c r="J296" s="3">
        <v>0.09406950516107362</v>
      </c>
      <c r="K296" s="3">
        <v>0.10383744194172323</v>
      </c>
      <c r="L296" t="s">
        <v>54</v>
      </c>
    </row>
    <row r="297" spans="1:12" x14ac:dyDescent="0.25">
      <c r="A297" t="s">
        <v>487</v>
      </c>
      <c r="B297" t="s">
        <v>455</v>
      </c>
      <c r="C297" t="s">
        <v>477</v>
      </c>
      <c r="D297" t="s">
        <v>178</v>
      </c>
      <c r="E297" t="s">
        <v>184</v>
      </c>
      <c r="F297">
        <v>3</v>
      </c>
      <c r="G297" t="s">
        <v>498</v>
      </c>
      <c r="H297" s="4">
        <v>650832</v>
      </c>
      <c r="I297" s="4">
        <v>602210</v>
      </c>
      <c r="J297" s="3">
        <v>0.07470745138530373</v>
      </c>
      <c r="K297" s="3">
        <v>0.0807392769963966</v>
      </c>
      <c r="L297" t="s">
        <v>54</v>
      </c>
    </row>
    <row r="298" spans="1:12" x14ac:dyDescent="0.25">
      <c r="A298" t="s">
        <v>487</v>
      </c>
      <c r="B298" t="s">
        <v>455</v>
      </c>
      <c r="C298" t="s">
        <v>477</v>
      </c>
      <c r="D298" t="s">
        <v>178</v>
      </c>
      <c r="E298" t="s">
        <v>184</v>
      </c>
      <c r="F298">
        <v>3</v>
      </c>
      <c r="G298" t="s">
        <v>499</v>
      </c>
      <c r="H298" s="4">
        <v>650832</v>
      </c>
      <c r="I298" s="4">
        <v>600330</v>
      </c>
      <c r="J298" s="3">
        <v>0.07759606165646434</v>
      </c>
      <c r="K298" s="3">
        <v>0.08412373194742892</v>
      </c>
      <c r="L298" t="s">
        <v>54</v>
      </c>
    </row>
    <row r="299" spans="1:12" x14ac:dyDescent="0.25">
      <c r="A299" t="s">
        <v>487</v>
      </c>
      <c r="B299" t="s">
        <v>455</v>
      </c>
      <c r="C299" t="s">
        <v>477</v>
      </c>
      <c r="D299" t="s">
        <v>180</v>
      </c>
      <c r="E299" t="s">
        <v>182</v>
      </c>
      <c r="F299">
        <v>1</v>
      </c>
      <c r="G299" t="s">
        <v>488</v>
      </c>
      <c r="H299" s="4">
        <v>885218</v>
      </c>
      <c r="I299" s="4">
        <v>655476.3669586123</v>
      </c>
      <c r="J299" s="3">
        <v>0.2595311358799614</v>
      </c>
      <c r="K299" s="3">
        <v>0.3504956770712892</v>
      </c>
      <c r="L299" t="s">
        <v>54</v>
      </c>
    </row>
    <row r="300" spans="1:12" x14ac:dyDescent="0.25">
      <c r="A300" t="s">
        <v>487</v>
      </c>
      <c r="B300" t="s">
        <v>455</v>
      </c>
      <c r="C300" t="s">
        <v>477</v>
      </c>
      <c r="D300" t="s">
        <v>180</v>
      </c>
      <c r="E300" t="s">
        <v>182</v>
      </c>
      <c r="F300">
        <v>1</v>
      </c>
      <c r="G300" t="s">
        <v>498</v>
      </c>
      <c r="H300" s="4">
        <v>885218</v>
      </c>
      <c r="I300" s="4">
        <v>670950</v>
      </c>
      <c r="J300" s="3">
        <v>0.24205111057389253</v>
      </c>
      <c r="K300" s="3">
        <v>0.319350175124823</v>
      </c>
      <c r="L300" t="s">
        <v>54</v>
      </c>
    </row>
    <row r="301" spans="1:12" x14ac:dyDescent="0.25">
      <c r="A301" t="s">
        <v>487</v>
      </c>
      <c r="B301" t="s">
        <v>455</v>
      </c>
      <c r="C301" t="s">
        <v>477</v>
      </c>
      <c r="D301" t="s">
        <v>180</v>
      </c>
      <c r="E301" t="s">
        <v>182</v>
      </c>
      <c r="F301">
        <v>1</v>
      </c>
      <c r="G301" t="s">
        <v>499</v>
      </c>
      <c r="H301" s="4">
        <v>885218</v>
      </c>
      <c r="I301" s="4">
        <v>615642</v>
      </c>
      <c r="J301" s="3">
        <v>0.3045306353915081</v>
      </c>
      <c r="K301" s="3">
        <v>0.4378778575860646</v>
      </c>
      <c r="L301" t="s">
        <v>54</v>
      </c>
    </row>
    <row r="302" spans="1:12" x14ac:dyDescent="0.25">
      <c r="A302" t="s">
        <v>487</v>
      </c>
      <c r="B302" t="s">
        <v>455</v>
      </c>
      <c r="C302" t="s">
        <v>477</v>
      </c>
      <c r="D302" t="s">
        <v>180</v>
      </c>
      <c r="E302" t="s">
        <v>184</v>
      </c>
      <c r="F302">
        <v>2</v>
      </c>
      <c r="G302" t="s">
        <v>488</v>
      </c>
      <c r="H302" s="4">
        <v>650832</v>
      </c>
      <c r="I302" s="4">
        <v>588321.6677042192</v>
      </c>
      <c r="J302" s="3">
        <v>0.09604680208683772</v>
      </c>
      <c r="K302" s="3">
        <v>0.10625196338545881</v>
      </c>
      <c r="L302" t="s">
        <v>54</v>
      </c>
    </row>
    <row r="303" spans="1:12" x14ac:dyDescent="0.25">
      <c r="A303" t="s">
        <v>487</v>
      </c>
      <c r="B303" t="s">
        <v>455</v>
      </c>
      <c r="C303" t="s">
        <v>477</v>
      </c>
      <c r="D303" t="s">
        <v>180</v>
      </c>
      <c r="E303" t="s">
        <v>184</v>
      </c>
      <c r="F303">
        <v>2</v>
      </c>
      <c r="G303" t="s">
        <v>498</v>
      </c>
      <c r="H303" s="4">
        <v>650832</v>
      </c>
      <c r="I303" s="4">
        <v>602210</v>
      </c>
      <c r="J303" s="3">
        <v>0.07470745138530373</v>
      </c>
      <c r="K303" s="3">
        <v>0.0807392769963966</v>
      </c>
      <c r="L303" t="s">
        <v>54</v>
      </c>
    </row>
    <row r="304" spans="1:12" x14ac:dyDescent="0.25">
      <c r="A304" t="s">
        <v>487</v>
      </c>
      <c r="B304" t="s">
        <v>455</v>
      </c>
      <c r="C304" t="s">
        <v>477</v>
      </c>
      <c r="D304" t="s">
        <v>180</v>
      </c>
      <c r="E304" t="s">
        <v>184</v>
      </c>
      <c r="F304">
        <v>2</v>
      </c>
      <c r="G304" t="s">
        <v>499</v>
      </c>
      <c r="H304" s="4">
        <v>650832</v>
      </c>
      <c r="I304" s="4">
        <v>615642</v>
      </c>
      <c r="J304" s="3">
        <v>0.05406925289475625</v>
      </c>
      <c r="K304" s="3">
        <v>0.05715984289570887</v>
      </c>
      <c r="L304" t="s">
        <v>54</v>
      </c>
    </row>
    <row r="305" spans="1:12" x14ac:dyDescent="0.25">
      <c r="A305" t="s">
        <v>487</v>
      </c>
      <c r="B305" t="s">
        <v>455</v>
      </c>
      <c r="C305" t="s">
        <v>477</v>
      </c>
      <c r="D305" t="s">
        <v>180</v>
      </c>
      <c r="E305" t="s">
        <v>186</v>
      </c>
      <c r="F305">
        <v>3</v>
      </c>
      <c r="G305" t="s">
        <v>488</v>
      </c>
      <c r="H305" s="4">
        <v>605989</v>
      </c>
      <c r="I305" s="4">
        <v>776190.7000786272</v>
      </c>
      <c r="J305" s="3">
        <v>0.28086598944638796</v>
      </c>
      <c r="K305" s="3">
        <v>-0.2192782006553106</v>
      </c>
      <c r="L305" t="s">
        <v>54</v>
      </c>
    </row>
    <row r="306" spans="1:12" x14ac:dyDescent="0.25">
      <c r="A306" t="s">
        <v>487</v>
      </c>
      <c r="B306" t="s">
        <v>455</v>
      </c>
      <c r="C306" t="s">
        <v>477</v>
      </c>
      <c r="D306" t="s">
        <v>180</v>
      </c>
      <c r="E306" t="s">
        <v>186</v>
      </c>
      <c r="F306">
        <v>3</v>
      </c>
      <c r="G306" t="s">
        <v>498</v>
      </c>
      <c r="H306" s="4">
        <v>605989</v>
      </c>
      <c r="I306" s="4">
        <v>794514</v>
      </c>
      <c r="J306" s="3">
        <v>0.3111030068202558</v>
      </c>
      <c r="K306" s="3">
        <v>-0.2372834210599184</v>
      </c>
      <c r="L306" t="s">
        <v>54</v>
      </c>
    </row>
    <row r="307" spans="1:12" x14ac:dyDescent="0.25">
      <c r="A307" t="s">
        <v>487</v>
      </c>
      <c r="B307" t="s">
        <v>455</v>
      </c>
      <c r="C307" t="s">
        <v>477</v>
      </c>
      <c r="D307" t="s">
        <v>180</v>
      </c>
      <c r="E307" t="s">
        <v>186</v>
      </c>
      <c r="F307">
        <v>3</v>
      </c>
      <c r="G307" t="s">
        <v>499</v>
      </c>
      <c r="H307" s="4">
        <v>605989</v>
      </c>
      <c r="I307" s="4">
        <v>615642</v>
      </c>
      <c r="J307" s="3">
        <v>0.015929332050581776</v>
      </c>
      <c r="K307" s="3">
        <v>-0.015679567021093428</v>
      </c>
      <c r="L307" t="s">
        <v>54</v>
      </c>
    </row>
    <row r="308" spans="1:12" x14ac:dyDescent="0.25">
      <c r="A308" t="s">
        <v>487</v>
      </c>
      <c r="B308" t="s">
        <v>455</v>
      </c>
      <c r="C308" t="s">
        <v>477</v>
      </c>
      <c r="D308" t="s">
        <v>182</v>
      </c>
      <c r="E308" t="s">
        <v>184</v>
      </c>
      <c r="F308">
        <v>1</v>
      </c>
      <c r="G308" t="s">
        <v>488</v>
      </c>
      <c r="H308" s="4">
        <v>650832</v>
      </c>
      <c r="I308" s="4">
        <v>600198.3953596437</v>
      </c>
      <c r="J308" s="3">
        <v>0.07779827150532898</v>
      </c>
      <c r="K308" s="3">
        <v>0.08436144620149509</v>
      </c>
      <c r="L308" t="s">
        <v>54</v>
      </c>
    </row>
    <row r="309" spans="1:12" x14ac:dyDescent="0.25">
      <c r="A309" t="s">
        <v>487</v>
      </c>
      <c r="B309" t="s">
        <v>455</v>
      </c>
      <c r="C309" t="s">
        <v>477</v>
      </c>
      <c r="D309" t="s">
        <v>182</v>
      </c>
      <c r="E309" t="s">
        <v>184</v>
      </c>
      <c r="F309">
        <v>1</v>
      </c>
      <c r="G309" t="s">
        <v>498</v>
      </c>
      <c r="H309" s="4">
        <v>650832</v>
      </c>
      <c r="I309" s="4">
        <v>602210</v>
      </c>
      <c r="J309" s="3">
        <v>0.07470745138530373</v>
      </c>
      <c r="K309" s="3">
        <v>0.0807392769963966</v>
      </c>
      <c r="L309" t="s">
        <v>54</v>
      </c>
    </row>
    <row r="310" spans="1:12" x14ac:dyDescent="0.25">
      <c r="A310" t="s">
        <v>487</v>
      </c>
      <c r="B310" t="s">
        <v>455</v>
      </c>
      <c r="C310" t="s">
        <v>477</v>
      </c>
      <c r="D310" t="s">
        <v>182</v>
      </c>
      <c r="E310" t="s">
        <v>184</v>
      </c>
      <c r="F310">
        <v>1</v>
      </c>
      <c r="G310" t="s">
        <v>499</v>
      </c>
      <c r="H310" s="4">
        <v>650832</v>
      </c>
      <c r="I310" s="4">
        <v>885218</v>
      </c>
      <c r="J310" s="3">
        <v>0.3601328760724734</v>
      </c>
      <c r="K310" s="3">
        <v>-0.2647777157717082</v>
      </c>
      <c r="L310" t="s">
        <v>54</v>
      </c>
    </row>
    <row r="311" spans="1:12" x14ac:dyDescent="0.25">
      <c r="A311" t="s">
        <v>487</v>
      </c>
      <c r="B311" t="s">
        <v>455</v>
      </c>
      <c r="C311" t="s">
        <v>477</v>
      </c>
      <c r="D311" t="s">
        <v>182</v>
      </c>
      <c r="E311" t="s">
        <v>186</v>
      </c>
      <c r="F311">
        <v>2</v>
      </c>
      <c r="G311" t="s">
        <v>488</v>
      </c>
      <c r="H311" s="4">
        <v>605989</v>
      </c>
      <c r="I311" s="4">
        <v>791860.0287121967</v>
      </c>
      <c r="J311" s="3">
        <v>0.3067234367491765</v>
      </c>
      <c r="K311" s="3">
        <v>-0.2347271259726029</v>
      </c>
      <c r="L311" t="s">
        <v>54</v>
      </c>
    </row>
    <row r="312" spans="1:12" x14ac:dyDescent="0.25">
      <c r="A312" t="s">
        <v>487</v>
      </c>
      <c r="B312" t="s">
        <v>455</v>
      </c>
      <c r="C312" t="s">
        <v>477</v>
      </c>
      <c r="D312" t="s">
        <v>182</v>
      </c>
      <c r="E312" t="s">
        <v>186</v>
      </c>
      <c r="F312">
        <v>2</v>
      </c>
      <c r="G312" t="s">
        <v>498</v>
      </c>
      <c r="H312" s="4">
        <v>605989</v>
      </c>
      <c r="I312" s="4">
        <v>794514</v>
      </c>
      <c r="J312" s="3">
        <v>0.3111030068202558</v>
      </c>
      <c r="K312" s="3">
        <v>-0.2372834210599184</v>
      </c>
      <c r="L312" t="s">
        <v>54</v>
      </c>
    </row>
    <row r="313" spans="1:12" x14ac:dyDescent="0.25">
      <c r="A313" t="s">
        <v>487</v>
      </c>
      <c r="B313" t="s">
        <v>455</v>
      </c>
      <c r="C313" t="s">
        <v>477</v>
      </c>
      <c r="D313" t="s">
        <v>182</v>
      </c>
      <c r="E313" t="s">
        <v>186</v>
      </c>
      <c r="F313">
        <v>2</v>
      </c>
      <c r="G313" t="s">
        <v>499</v>
      </c>
      <c r="H313" s="4">
        <v>605989</v>
      </c>
      <c r="I313" s="4">
        <v>885218</v>
      </c>
      <c r="J313" s="3">
        <v>0.4607822914277322</v>
      </c>
      <c r="K313" s="3">
        <v>-0.3154352939050042</v>
      </c>
      <c r="L313" t="s">
        <v>54</v>
      </c>
    </row>
    <row r="314" spans="1:12" x14ac:dyDescent="0.25">
      <c r="A314" t="s">
        <v>487</v>
      </c>
      <c r="B314" t="s">
        <v>455</v>
      </c>
      <c r="C314" t="s">
        <v>477</v>
      </c>
      <c r="D314" t="s">
        <v>182</v>
      </c>
      <c r="E314" t="s">
        <v>188</v>
      </c>
      <c r="F314">
        <v>3</v>
      </c>
      <c r="G314" t="s">
        <v>488</v>
      </c>
      <c r="H314" s="4">
        <v>950367</v>
      </c>
      <c r="I314" s="4">
        <v>1200837.3142754373</v>
      </c>
      <c r="J314" s="3">
        <v>0.26355114842522653</v>
      </c>
      <c r="K314" s="3">
        <v>-0.2085797229132294</v>
      </c>
      <c r="L314" t="s">
        <v>54</v>
      </c>
    </row>
    <row r="315" spans="1:12" x14ac:dyDescent="0.25">
      <c r="A315" t="s">
        <v>487</v>
      </c>
      <c r="B315" t="s">
        <v>455</v>
      </c>
      <c r="C315" t="s">
        <v>477</v>
      </c>
      <c r="D315" t="s">
        <v>182</v>
      </c>
      <c r="E315" t="s">
        <v>188</v>
      </c>
      <c r="F315">
        <v>3</v>
      </c>
      <c r="G315" t="s">
        <v>498</v>
      </c>
      <c r="H315" s="4">
        <v>950367</v>
      </c>
      <c r="I315" s="4">
        <v>1204862</v>
      </c>
      <c r="J315" s="3">
        <v>0.267786023715049</v>
      </c>
      <c r="K315" s="3">
        <v>-0.2112233600196537</v>
      </c>
      <c r="L315" t="s">
        <v>54</v>
      </c>
    </row>
    <row r="316" spans="1:12" x14ac:dyDescent="0.25">
      <c r="A316" t="s">
        <v>487</v>
      </c>
      <c r="B316" t="s">
        <v>455</v>
      </c>
      <c r="C316" t="s">
        <v>477</v>
      </c>
      <c r="D316" t="s">
        <v>182</v>
      </c>
      <c r="E316" t="s">
        <v>188</v>
      </c>
      <c r="F316">
        <v>3</v>
      </c>
      <c r="G316" t="s">
        <v>499</v>
      </c>
      <c r="H316" s="4">
        <v>950367</v>
      </c>
      <c r="I316" s="4">
        <v>885218</v>
      </c>
      <c r="J316" s="3">
        <v>0.06855141224390157</v>
      </c>
      <c r="K316" s="3">
        <v>0.07359656039529246</v>
      </c>
      <c r="L316" t="s">
        <v>54</v>
      </c>
    </row>
    <row r="317" spans="1:12" x14ac:dyDescent="0.25">
      <c r="A317" t="s">
        <v>487</v>
      </c>
      <c r="B317" t="s">
        <v>455</v>
      </c>
      <c r="C317" t="s">
        <v>477</v>
      </c>
      <c r="D317" t="s">
        <v>184</v>
      </c>
      <c r="E317" t="s">
        <v>186</v>
      </c>
      <c r="F317">
        <v>1</v>
      </c>
      <c r="G317" t="s">
        <v>488</v>
      </c>
      <c r="H317" s="4">
        <v>605989</v>
      </c>
      <c r="I317" s="4">
        <v>818152.1534449585</v>
      </c>
      <c r="J317" s="3">
        <v>0.3501105687478791</v>
      </c>
      <c r="K317" s="3">
        <v>-0.25931992301384543</v>
      </c>
      <c r="L317" t="s">
        <v>54</v>
      </c>
    </row>
    <row r="318" spans="1:12" x14ac:dyDescent="0.25">
      <c r="A318" t="s">
        <v>487</v>
      </c>
      <c r="B318" t="s">
        <v>455</v>
      </c>
      <c r="C318" t="s">
        <v>477</v>
      </c>
      <c r="D318" t="s">
        <v>184</v>
      </c>
      <c r="E318" t="s">
        <v>186</v>
      </c>
      <c r="F318">
        <v>1</v>
      </c>
      <c r="G318" t="s">
        <v>498</v>
      </c>
      <c r="H318" s="4">
        <v>605989</v>
      </c>
      <c r="I318" s="4">
        <v>794514</v>
      </c>
      <c r="J318" s="3">
        <v>0.3111030068202558</v>
      </c>
      <c r="K318" s="3">
        <v>-0.2372834210599184</v>
      </c>
      <c r="L318" t="s">
        <v>54</v>
      </c>
    </row>
    <row r="319" spans="1:12" x14ac:dyDescent="0.25">
      <c r="A319" t="s">
        <v>487</v>
      </c>
      <c r="B319" t="s">
        <v>455</v>
      </c>
      <c r="C319" t="s">
        <v>477</v>
      </c>
      <c r="D319" t="s">
        <v>184</v>
      </c>
      <c r="E319" t="s">
        <v>186</v>
      </c>
      <c r="F319">
        <v>1</v>
      </c>
      <c r="G319" t="s">
        <v>499</v>
      </c>
      <c r="H319" s="4">
        <v>605989</v>
      </c>
      <c r="I319" s="4">
        <v>650832</v>
      </c>
      <c r="J319" s="3">
        <v>0.07399969306373548</v>
      </c>
      <c r="K319" s="3">
        <v>-0.06890103744130589</v>
      </c>
      <c r="L319" t="s">
        <v>54</v>
      </c>
    </row>
    <row r="320" spans="1:12" x14ac:dyDescent="0.25">
      <c r="A320" t="s">
        <v>487</v>
      </c>
      <c r="B320" t="s">
        <v>455</v>
      </c>
      <c r="C320" t="s">
        <v>477</v>
      </c>
      <c r="D320" t="s">
        <v>184</v>
      </c>
      <c r="E320" t="s">
        <v>188</v>
      </c>
      <c r="F320">
        <v>2</v>
      </c>
      <c r="G320" t="s">
        <v>488</v>
      </c>
      <c r="H320" s="4">
        <v>950367</v>
      </c>
      <c r="I320" s="4">
        <v>1240708.7098578496</v>
      </c>
      <c r="J320" s="3">
        <v>0.3055048311419164</v>
      </c>
      <c r="K320" s="3">
        <v>-0.23401279248786336</v>
      </c>
      <c r="L320" t="s">
        <v>54</v>
      </c>
    </row>
    <row r="321" spans="1:12" x14ac:dyDescent="0.25">
      <c r="A321" t="s">
        <v>487</v>
      </c>
      <c r="B321" t="s">
        <v>455</v>
      </c>
      <c r="C321" t="s">
        <v>477</v>
      </c>
      <c r="D321" t="s">
        <v>184</v>
      </c>
      <c r="E321" t="s">
        <v>188</v>
      </c>
      <c r="F321">
        <v>2</v>
      </c>
      <c r="G321" t="s">
        <v>498</v>
      </c>
      <c r="H321" s="4">
        <v>950367</v>
      </c>
      <c r="I321" s="4">
        <v>1204862</v>
      </c>
      <c r="J321" s="3">
        <v>0.267786023715049</v>
      </c>
      <c r="K321" s="3">
        <v>-0.2112233600196537</v>
      </c>
      <c r="L321" t="s">
        <v>54</v>
      </c>
    </row>
    <row r="322" spans="1:12" x14ac:dyDescent="0.25">
      <c r="A322" t="s">
        <v>487</v>
      </c>
      <c r="B322" t="s">
        <v>455</v>
      </c>
      <c r="C322" t="s">
        <v>477</v>
      </c>
      <c r="D322" t="s">
        <v>184</v>
      </c>
      <c r="E322" t="s">
        <v>188</v>
      </c>
      <c r="F322">
        <v>2</v>
      </c>
      <c r="G322" t="s">
        <v>499</v>
      </c>
      <c r="H322" s="4">
        <v>950367</v>
      </c>
      <c r="I322" s="4">
        <v>650832</v>
      </c>
      <c r="J322" s="3">
        <v>0.3151782416687448</v>
      </c>
      <c r="K322" s="3">
        <v>0.46023397743196404</v>
      </c>
      <c r="L322" t="s">
        <v>54</v>
      </c>
    </row>
    <row r="323" spans="1:12" x14ac:dyDescent="0.25">
      <c r="A323" t="s">
        <v>487</v>
      </c>
      <c r="B323" t="s">
        <v>455</v>
      </c>
      <c r="C323" t="s">
        <v>477</v>
      </c>
      <c r="D323" t="s">
        <v>184</v>
      </c>
      <c r="E323" t="s">
        <v>190</v>
      </c>
      <c r="F323">
        <v>3</v>
      </c>
      <c r="G323" t="s">
        <v>488</v>
      </c>
      <c r="H323" s="4">
        <v>1041511</v>
      </c>
      <c r="I323" s="4">
        <v>845469.4069188909</v>
      </c>
      <c r="J323" s="3">
        <v>0.188228058158876</v>
      </c>
      <c r="K323" s="3">
        <v>0.23187307722408948</v>
      </c>
      <c r="L323" t="s">
        <v>54</v>
      </c>
    </row>
    <row r="324" spans="1:12" x14ac:dyDescent="0.25">
      <c r="A324" t="s">
        <v>487</v>
      </c>
      <c r="B324" t="s">
        <v>455</v>
      </c>
      <c r="C324" t="s">
        <v>477</v>
      </c>
      <c r="D324" t="s">
        <v>184</v>
      </c>
      <c r="E324" t="s">
        <v>190</v>
      </c>
      <c r="F324">
        <v>3</v>
      </c>
      <c r="G324" t="s">
        <v>498</v>
      </c>
      <c r="H324" s="4">
        <v>1041511</v>
      </c>
      <c r="I324" s="4">
        <v>821042</v>
      </c>
      <c r="J324" s="3">
        <v>0.2116818737392116</v>
      </c>
      <c r="K324" s="3">
        <v>0.26852341293137255</v>
      </c>
      <c r="L324" t="s">
        <v>54</v>
      </c>
    </row>
    <row r="325" spans="1:12" x14ac:dyDescent="0.25">
      <c r="A325" t="s">
        <v>487</v>
      </c>
      <c r="B325" t="s">
        <v>455</v>
      </c>
      <c r="C325" t="s">
        <v>477</v>
      </c>
      <c r="D325" t="s">
        <v>184</v>
      </c>
      <c r="E325" t="s">
        <v>190</v>
      </c>
      <c r="F325">
        <v>3</v>
      </c>
      <c r="G325" t="s">
        <v>499</v>
      </c>
      <c r="H325" s="4">
        <v>1041511</v>
      </c>
      <c r="I325" s="4">
        <v>650832</v>
      </c>
      <c r="J325" s="3">
        <v>0.37510789612399675</v>
      </c>
      <c r="K325" s="3">
        <v>0.6002762617695504</v>
      </c>
      <c r="L325" t="s">
        <v>54</v>
      </c>
    </row>
    <row r="326" spans="1:12" x14ac:dyDescent="0.25">
      <c r="A326" t="s">
        <v>487</v>
      </c>
      <c r="B326" t="s">
        <v>455</v>
      </c>
      <c r="C326" t="s">
        <v>477</v>
      </c>
      <c r="D326" t="s">
        <v>186</v>
      </c>
      <c r="E326" t="s">
        <v>188</v>
      </c>
      <c r="F326">
        <v>1</v>
      </c>
      <c r="G326" t="s">
        <v>488</v>
      </c>
      <c r="H326" s="4">
        <v>950367</v>
      </c>
      <c r="I326" s="4">
        <v>1187472.4191913002</v>
      </c>
      <c r="J326" s="3">
        <v>0.2494882705221248</v>
      </c>
      <c r="K326" s="3">
        <v>-0.19967235900331493</v>
      </c>
      <c r="L326" t="s">
        <v>54</v>
      </c>
    </row>
    <row r="327" spans="1:12" x14ac:dyDescent="0.25">
      <c r="A327" t="s">
        <v>487</v>
      </c>
      <c r="B327" t="s">
        <v>455</v>
      </c>
      <c r="C327" t="s">
        <v>477</v>
      </c>
      <c r="D327" t="s">
        <v>186</v>
      </c>
      <c r="E327" t="s">
        <v>188</v>
      </c>
      <c r="F327">
        <v>1</v>
      </c>
      <c r="G327" t="s">
        <v>498</v>
      </c>
      <c r="H327" s="4">
        <v>950367</v>
      </c>
      <c r="I327" s="4">
        <v>1204862</v>
      </c>
      <c r="J327" s="3">
        <v>0.267786023715049</v>
      </c>
      <c r="K327" s="3">
        <v>-0.2112233600196537</v>
      </c>
      <c r="L327" t="s">
        <v>54</v>
      </c>
    </row>
    <row r="328" spans="1:12" x14ac:dyDescent="0.25">
      <c r="A328" t="s">
        <v>487</v>
      </c>
      <c r="B328" t="s">
        <v>455</v>
      </c>
      <c r="C328" t="s">
        <v>477</v>
      </c>
      <c r="D328" t="s">
        <v>186</v>
      </c>
      <c r="E328" t="s">
        <v>188</v>
      </c>
      <c r="F328">
        <v>1</v>
      </c>
      <c r="G328" t="s">
        <v>499</v>
      </c>
      <c r="H328" s="4">
        <v>950367</v>
      </c>
      <c r="I328" s="4">
        <v>605989</v>
      </c>
      <c r="J328" s="3">
        <v>0.36236317128014756</v>
      </c>
      <c r="K328" s="3">
        <v>0.568290843563167</v>
      </c>
      <c r="L328" t="s">
        <v>54</v>
      </c>
    </row>
    <row r="329" spans="1:12" x14ac:dyDescent="0.25">
      <c r="A329" t="s">
        <v>487</v>
      </c>
      <c r="B329" t="s">
        <v>455</v>
      </c>
      <c r="C329" t="s">
        <v>477</v>
      </c>
      <c r="D329" t="s">
        <v>186</v>
      </c>
      <c r="E329" t="s">
        <v>190</v>
      </c>
      <c r="F329">
        <v>2</v>
      </c>
      <c r="G329" t="s">
        <v>488</v>
      </c>
      <c r="H329" s="4">
        <v>1041511</v>
      </c>
      <c r="I329" s="4">
        <v>809192.0319486078</v>
      </c>
      <c r="J329" s="3">
        <v>0.2230595433474944</v>
      </c>
      <c r="K329" s="3">
        <v>0.28709992051200395</v>
      </c>
      <c r="L329" t="s">
        <v>54</v>
      </c>
    </row>
    <row r="330" spans="1:12" x14ac:dyDescent="0.25">
      <c r="A330" t="s">
        <v>487</v>
      </c>
      <c r="B330" t="s">
        <v>455</v>
      </c>
      <c r="C330" t="s">
        <v>477</v>
      </c>
      <c r="D330" t="s">
        <v>186</v>
      </c>
      <c r="E330" t="s">
        <v>190</v>
      </c>
      <c r="F330">
        <v>2</v>
      </c>
      <c r="G330" t="s">
        <v>498</v>
      </c>
      <c r="H330" s="4">
        <v>1041511</v>
      </c>
      <c r="I330" s="4">
        <v>821042</v>
      </c>
      <c r="J330" s="3">
        <v>0.2116818737392116</v>
      </c>
      <c r="K330" s="3">
        <v>0.26852341293137255</v>
      </c>
      <c r="L330" t="s">
        <v>54</v>
      </c>
    </row>
    <row r="331" spans="1:12" x14ac:dyDescent="0.25">
      <c r="A331" t="s">
        <v>487</v>
      </c>
      <c r="B331" t="s">
        <v>455</v>
      </c>
      <c r="C331" t="s">
        <v>477</v>
      </c>
      <c r="D331" t="s">
        <v>186</v>
      </c>
      <c r="E331" t="s">
        <v>190</v>
      </c>
      <c r="F331">
        <v>2</v>
      </c>
      <c r="G331" t="s">
        <v>499</v>
      </c>
      <c r="H331" s="4">
        <v>1041511</v>
      </c>
      <c r="I331" s="4">
        <v>605989</v>
      </c>
      <c r="J331" s="3">
        <v>0.41816361036993366</v>
      </c>
      <c r="K331" s="3">
        <v>0.7186962139576791</v>
      </c>
      <c r="L331" t="s">
        <v>54</v>
      </c>
    </row>
    <row r="332" spans="1:12" x14ac:dyDescent="0.25">
      <c r="A332" t="s">
        <v>487</v>
      </c>
      <c r="B332" t="s">
        <v>455</v>
      </c>
      <c r="C332" t="s">
        <v>477</v>
      </c>
      <c r="D332" t="s">
        <v>186</v>
      </c>
      <c r="E332" t="s">
        <v>192</v>
      </c>
      <c r="F332">
        <v>3</v>
      </c>
      <c r="G332" t="s">
        <v>488</v>
      </c>
      <c r="H332" s="4">
        <v>1114308</v>
      </c>
      <c r="I332" s="4">
        <v>889217.128616173</v>
      </c>
      <c r="J332" s="3">
        <v>0.20200058815320984</v>
      </c>
      <c r="K332" s="3">
        <v>0.25313375568250723</v>
      </c>
      <c r="L332" t="s">
        <v>54</v>
      </c>
    </row>
    <row r="333" spans="1:12" x14ac:dyDescent="0.25">
      <c r="A333" t="s">
        <v>487</v>
      </c>
      <c r="B333" t="s">
        <v>455</v>
      </c>
      <c r="C333" t="s">
        <v>477</v>
      </c>
      <c r="D333" t="s">
        <v>186</v>
      </c>
      <c r="E333" t="s">
        <v>192</v>
      </c>
      <c r="F333">
        <v>3</v>
      </c>
      <c r="G333" t="s">
        <v>498</v>
      </c>
      <c r="H333" s="4">
        <v>1114308</v>
      </c>
      <c r="I333" s="4">
        <v>902239</v>
      </c>
      <c r="J333" s="3">
        <v>0.19031452704279248</v>
      </c>
      <c r="K333" s="3">
        <v>0.23504747633387607</v>
      </c>
      <c r="L333" t="s">
        <v>54</v>
      </c>
    </row>
    <row r="334" spans="1:12" x14ac:dyDescent="0.25">
      <c r="A334" t="s">
        <v>487</v>
      </c>
      <c r="B334" t="s">
        <v>455</v>
      </c>
      <c r="C334" t="s">
        <v>477</v>
      </c>
      <c r="D334" t="s">
        <v>186</v>
      </c>
      <c r="E334" t="s">
        <v>192</v>
      </c>
      <c r="F334">
        <v>3</v>
      </c>
      <c r="G334" t="s">
        <v>499</v>
      </c>
      <c r="H334" s="4">
        <v>1114308</v>
      </c>
      <c r="I334" s="4">
        <v>605989</v>
      </c>
      <c r="J334" s="3">
        <v>0.4561745944568288</v>
      </c>
      <c r="K334" s="3">
        <v>0.8388254572277715</v>
      </c>
      <c r="L334" t="s">
        <v>54</v>
      </c>
    </row>
    <row r="335" spans="1:12" x14ac:dyDescent="0.25">
      <c r="A335" t="s">
        <v>487</v>
      </c>
      <c r="B335" t="s">
        <v>455</v>
      </c>
      <c r="C335" t="s">
        <v>477</v>
      </c>
      <c r="D335" t="s">
        <v>188</v>
      </c>
      <c r="E335" t="s">
        <v>190</v>
      </c>
      <c r="F335">
        <v>1</v>
      </c>
      <c r="G335" t="s">
        <v>488</v>
      </c>
      <c r="H335" s="4">
        <v>1041511</v>
      </c>
      <c r="I335" s="4">
        <v>784372.760509239</v>
      </c>
      <c r="J335" s="3">
        <v>0.2468896050937157</v>
      </c>
      <c r="K335" s="3">
        <v>0.3278265799590221</v>
      </c>
      <c r="L335" t="s">
        <v>54</v>
      </c>
    </row>
    <row r="336" spans="1:12" x14ac:dyDescent="0.25">
      <c r="A336" t="s">
        <v>487</v>
      </c>
      <c r="B336" t="s">
        <v>455</v>
      </c>
      <c r="C336" t="s">
        <v>477</v>
      </c>
      <c r="D336" t="s">
        <v>188</v>
      </c>
      <c r="E336" t="s">
        <v>190</v>
      </c>
      <c r="F336">
        <v>1</v>
      </c>
      <c r="G336" t="s">
        <v>498</v>
      </c>
      <c r="H336" s="4">
        <v>1041511</v>
      </c>
      <c r="I336" s="4">
        <v>821042</v>
      </c>
      <c r="J336" s="3">
        <v>0.2116818737392116</v>
      </c>
      <c r="K336" s="3">
        <v>0.26852341293137255</v>
      </c>
      <c r="L336" t="s">
        <v>54</v>
      </c>
    </row>
    <row r="337" spans="1:12" x14ac:dyDescent="0.25">
      <c r="A337" t="s">
        <v>487</v>
      </c>
      <c r="B337" t="s">
        <v>455</v>
      </c>
      <c r="C337" t="s">
        <v>477</v>
      </c>
      <c r="D337" t="s">
        <v>188</v>
      </c>
      <c r="E337" t="s">
        <v>190</v>
      </c>
      <c r="F337">
        <v>1</v>
      </c>
      <c r="G337" t="s">
        <v>499</v>
      </c>
      <c r="H337" s="4">
        <v>1041511</v>
      </c>
      <c r="I337" s="4">
        <v>950367</v>
      </c>
      <c r="J337" s="3">
        <v>0.08751131769131579</v>
      </c>
      <c r="K337" s="3">
        <v>0.09590400340079148</v>
      </c>
      <c r="L337" t="s">
        <v>54</v>
      </c>
    </row>
    <row r="338" spans="1:12" x14ac:dyDescent="0.25">
      <c r="A338" t="s">
        <v>487</v>
      </c>
      <c r="B338" t="s">
        <v>455</v>
      </c>
      <c r="C338" t="s">
        <v>477</v>
      </c>
      <c r="D338" t="s">
        <v>188</v>
      </c>
      <c r="E338" t="s">
        <v>192</v>
      </c>
      <c r="F338">
        <v>2</v>
      </c>
      <c r="G338" t="s">
        <v>488</v>
      </c>
      <c r="H338" s="4">
        <v>1114308</v>
      </c>
      <c r="I338" s="4">
        <v>861943.3537737355</v>
      </c>
      <c r="J338" s="3">
        <v>0.22647656323589577</v>
      </c>
      <c r="K338" s="3">
        <v>0.2927856513091828</v>
      </c>
      <c r="L338" t="s">
        <v>54</v>
      </c>
    </row>
    <row r="339" spans="1:12" x14ac:dyDescent="0.25">
      <c r="A339" t="s">
        <v>487</v>
      </c>
      <c r="B339" t="s">
        <v>455</v>
      </c>
      <c r="C339" t="s">
        <v>477</v>
      </c>
      <c r="D339" t="s">
        <v>188</v>
      </c>
      <c r="E339" t="s">
        <v>192</v>
      </c>
      <c r="F339">
        <v>2</v>
      </c>
      <c r="G339" t="s">
        <v>498</v>
      </c>
      <c r="H339" s="4">
        <v>1114308</v>
      </c>
      <c r="I339" s="4">
        <v>902239</v>
      </c>
      <c r="J339" s="3">
        <v>0.19031452704279248</v>
      </c>
      <c r="K339" s="3">
        <v>0.23504747633387607</v>
      </c>
      <c r="L339" t="s">
        <v>54</v>
      </c>
    </row>
    <row r="340" spans="1:12" x14ac:dyDescent="0.25">
      <c r="A340" t="s">
        <v>487</v>
      </c>
      <c r="B340" t="s">
        <v>455</v>
      </c>
      <c r="C340" t="s">
        <v>477</v>
      </c>
      <c r="D340" t="s">
        <v>188</v>
      </c>
      <c r="E340" t="s">
        <v>192</v>
      </c>
      <c r="F340">
        <v>2</v>
      </c>
      <c r="G340" t="s">
        <v>499</v>
      </c>
      <c r="H340" s="4">
        <v>1114308</v>
      </c>
      <c r="I340" s="4">
        <v>950367</v>
      </c>
      <c r="J340" s="3">
        <v>0.14712359598961866</v>
      </c>
      <c r="K340" s="3">
        <v>0.17250283311604886</v>
      </c>
      <c r="L340" t="s">
        <v>54</v>
      </c>
    </row>
    <row r="341" spans="1:12" x14ac:dyDescent="0.25">
      <c r="A341" t="s">
        <v>487</v>
      </c>
      <c r="B341" t="s">
        <v>455</v>
      </c>
      <c r="C341" t="s">
        <v>477</v>
      </c>
      <c r="D341" t="s">
        <v>188</v>
      </c>
      <c r="E341" t="s">
        <v>194</v>
      </c>
      <c r="F341">
        <v>3</v>
      </c>
      <c r="G341" t="s">
        <v>488</v>
      </c>
      <c r="H341" s="4">
        <v>992252</v>
      </c>
      <c r="I341" s="4">
        <v>960750.1591849428</v>
      </c>
      <c r="J341" s="3">
        <v>0.03174782294725247</v>
      </c>
      <c r="K341" s="3">
        <v>0.03278879583197978</v>
      </c>
      <c r="L341" t="s">
        <v>54</v>
      </c>
    </row>
    <row r="342" spans="1:12" x14ac:dyDescent="0.25">
      <c r="A342" t="s">
        <v>487</v>
      </c>
      <c r="B342" t="s">
        <v>455</v>
      </c>
      <c r="C342" t="s">
        <v>477</v>
      </c>
      <c r="D342" t="s">
        <v>188</v>
      </c>
      <c r="E342" t="s">
        <v>194</v>
      </c>
      <c r="F342">
        <v>3</v>
      </c>
      <c r="G342" t="s">
        <v>498</v>
      </c>
      <c r="H342" s="4">
        <v>992252</v>
      </c>
      <c r="I342" s="4">
        <v>1005665</v>
      </c>
      <c r="J342" s="3">
        <v>0.013517735413987576</v>
      </c>
      <c r="K342" s="3">
        <v>-0.01333744338323398</v>
      </c>
      <c r="L342" t="s">
        <v>54</v>
      </c>
    </row>
    <row r="343" spans="1:12" x14ac:dyDescent="0.25">
      <c r="A343" t="s">
        <v>487</v>
      </c>
      <c r="B343" t="s">
        <v>455</v>
      </c>
      <c r="C343" t="s">
        <v>477</v>
      </c>
      <c r="D343" t="s">
        <v>188</v>
      </c>
      <c r="E343" t="s">
        <v>194</v>
      </c>
      <c r="F343">
        <v>3</v>
      </c>
      <c r="G343" t="s">
        <v>499</v>
      </c>
      <c r="H343" s="4">
        <v>992252</v>
      </c>
      <c r="I343" s="4">
        <v>950367</v>
      </c>
      <c r="J343" s="3">
        <v>0.04221205903339071</v>
      </c>
      <c r="K343" s="3">
        <v>0.04407244780174396</v>
      </c>
      <c r="L343" t="s">
        <v>54</v>
      </c>
    </row>
    <row r="344" spans="1:12" x14ac:dyDescent="0.25">
      <c r="A344" t="s">
        <v>487</v>
      </c>
      <c r="B344" t="s">
        <v>455</v>
      </c>
      <c r="C344" t="s">
        <v>477</v>
      </c>
      <c r="D344" t="s">
        <v>190</v>
      </c>
      <c r="E344" t="s">
        <v>192</v>
      </c>
      <c r="F344">
        <v>1</v>
      </c>
      <c r="G344" t="s">
        <v>488</v>
      </c>
      <c r="H344" s="4">
        <v>1114308</v>
      </c>
      <c r="I344" s="4">
        <v>903342.5721869844</v>
      </c>
      <c r="J344" s="3">
        <v>0.18932416155409065</v>
      </c>
      <c r="K344" s="3">
        <v>0.23353867547974652</v>
      </c>
      <c r="L344" t="s">
        <v>54</v>
      </c>
    </row>
    <row r="345" spans="1:12" x14ac:dyDescent="0.25">
      <c r="A345" t="s">
        <v>487</v>
      </c>
      <c r="B345" t="s">
        <v>455</v>
      </c>
      <c r="C345" t="s">
        <v>477</v>
      </c>
      <c r="D345" t="s">
        <v>190</v>
      </c>
      <c r="E345" t="s">
        <v>192</v>
      </c>
      <c r="F345">
        <v>1</v>
      </c>
      <c r="G345" t="s">
        <v>498</v>
      </c>
      <c r="H345" s="4">
        <v>1114308</v>
      </c>
      <c r="I345" s="4">
        <v>902239</v>
      </c>
      <c r="J345" s="3">
        <v>0.19031452704279248</v>
      </c>
      <c r="K345" s="3">
        <v>0.23504747633387607</v>
      </c>
      <c r="L345" t="s">
        <v>54</v>
      </c>
    </row>
    <row r="346" spans="1:12" x14ac:dyDescent="0.25">
      <c r="A346" t="s">
        <v>487</v>
      </c>
      <c r="B346" t="s">
        <v>455</v>
      </c>
      <c r="C346" t="s">
        <v>477</v>
      </c>
      <c r="D346" t="s">
        <v>190</v>
      </c>
      <c r="E346" t="s">
        <v>192</v>
      </c>
      <c r="F346">
        <v>1</v>
      </c>
      <c r="G346" t="s">
        <v>499</v>
      </c>
      <c r="H346" s="4">
        <v>1114308</v>
      </c>
      <c r="I346" s="4">
        <v>1041511</v>
      </c>
      <c r="J346" s="3">
        <v>0.06532933443895225</v>
      </c>
      <c r="K346" s="3">
        <v>0.06989556519326248</v>
      </c>
      <c r="L346" t="s">
        <v>54</v>
      </c>
    </row>
    <row r="347" spans="1:12" x14ac:dyDescent="0.25">
      <c r="A347" t="s">
        <v>487</v>
      </c>
      <c r="B347" t="s">
        <v>455</v>
      </c>
      <c r="C347" t="s">
        <v>477</v>
      </c>
      <c r="D347" t="s">
        <v>190</v>
      </c>
      <c r="E347" t="s">
        <v>194</v>
      </c>
      <c r="F347">
        <v>2</v>
      </c>
      <c r="G347" t="s">
        <v>488</v>
      </c>
      <c r="H347" s="4">
        <v>992252</v>
      </c>
      <c r="I347" s="4">
        <v>1006895.077533141</v>
      </c>
      <c r="J347" s="3">
        <v>0.014757418007865957</v>
      </c>
      <c r="K347" s="3">
        <v>-0.01454280377357297</v>
      </c>
      <c r="L347" t="s">
        <v>54</v>
      </c>
    </row>
    <row r="348" spans="1:12" x14ac:dyDescent="0.25">
      <c r="A348" t="s">
        <v>487</v>
      </c>
      <c r="B348" t="s">
        <v>455</v>
      </c>
      <c r="C348" t="s">
        <v>477</v>
      </c>
      <c r="D348" t="s">
        <v>190</v>
      </c>
      <c r="E348" t="s">
        <v>194</v>
      </c>
      <c r="F348">
        <v>2</v>
      </c>
      <c r="G348" t="s">
        <v>498</v>
      </c>
      <c r="H348" s="4">
        <v>992252</v>
      </c>
      <c r="I348" s="4">
        <v>1005665</v>
      </c>
      <c r="J348" s="3">
        <v>0.013517735413987576</v>
      </c>
      <c r="K348" s="3">
        <v>-0.01333744338323398</v>
      </c>
      <c r="L348" t="s">
        <v>54</v>
      </c>
    </row>
    <row r="349" spans="1:12" x14ac:dyDescent="0.25">
      <c r="A349" t="s">
        <v>487</v>
      </c>
      <c r="B349" t="s">
        <v>455</v>
      </c>
      <c r="C349" t="s">
        <v>477</v>
      </c>
      <c r="D349" t="s">
        <v>190</v>
      </c>
      <c r="E349" t="s">
        <v>194</v>
      </c>
      <c r="F349">
        <v>2</v>
      </c>
      <c r="G349" t="s">
        <v>499</v>
      </c>
      <c r="H349" s="4">
        <v>992252</v>
      </c>
      <c r="I349" s="4">
        <v>1041511</v>
      </c>
      <c r="J349" s="3">
        <v>0.04964363891430806</v>
      </c>
      <c r="K349" s="3">
        <v>-0.04729570787058418</v>
      </c>
      <c r="L349" t="s">
        <v>54</v>
      </c>
    </row>
    <row r="350" spans="1:12" x14ac:dyDescent="0.25">
      <c r="A350" t="s">
        <v>487</v>
      </c>
      <c r="B350" t="s">
        <v>455</v>
      </c>
      <c r="C350" t="s">
        <v>477</v>
      </c>
      <c r="D350" t="s">
        <v>190</v>
      </c>
      <c r="E350" t="s">
        <v>196</v>
      </c>
      <c r="F350">
        <v>3</v>
      </c>
      <c r="G350" t="s">
        <v>488</v>
      </c>
      <c r="H350" s="4">
        <v>789779</v>
      </c>
      <c r="I350" s="4">
        <v>624315.6978526872</v>
      </c>
      <c r="J350" s="3">
        <v>0.2095058264999611</v>
      </c>
      <c r="K350" s="3">
        <v>0.26503146199337646</v>
      </c>
      <c r="L350" t="s">
        <v>54</v>
      </c>
    </row>
    <row r="351" spans="1:12" x14ac:dyDescent="0.25">
      <c r="A351" t="s">
        <v>487</v>
      </c>
      <c r="B351" t="s">
        <v>455</v>
      </c>
      <c r="C351" t="s">
        <v>477</v>
      </c>
      <c r="D351" t="s">
        <v>190</v>
      </c>
      <c r="E351" t="s">
        <v>196</v>
      </c>
      <c r="F351">
        <v>3</v>
      </c>
      <c r="G351" t="s">
        <v>498</v>
      </c>
      <c r="H351" s="4">
        <v>789779</v>
      </c>
      <c r="I351" s="4">
        <v>623553</v>
      </c>
      <c r="J351" s="3">
        <v>0.2104715369742675</v>
      </c>
      <c r="K351" s="3">
        <v>0.266578783198862</v>
      </c>
      <c r="L351" t="s">
        <v>54</v>
      </c>
    </row>
    <row r="352" spans="1:12" x14ac:dyDescent="0.25">
      <c r="A352" t="s">
        <v>487</v>
      </c>
      <c r="B352" t="s">
        <v>455</v>
      </c>
      <c r="C352" t="s">
        <v>477</v>
      </c>
      <c r="D352" t="s">
        <v>190</v>
      </c>
      <c r="E352" t="s">
        <v>196</v>
      </c>
      <c r="F352">
        <v>3</v>
      </c>
      <c r="G352" t="s">
        <v>499</v>
      </c>
      <c r="H352" s="4">
        <v>789779</v>
      </c>
      <c r="I352" s="4">
        <v>1041511</v>
      </c>
      <c r="J352" s="3">
        <v>0.3187372670076059</v>
      </c>
      <c r="K352" s="3">
        <v>-0.24169883947457108</v>
      </c>
      <c r="L352" t="s">
        <v>54</v>
      </c>
    </row>
    <row r="353" spans="1:12" x14ac:dyDescent="0.25">
      <c r="A353" t="s">
        <v>487</v>
      </c>
      <c r="B353" t="s">
        <v>455</v>
      </c>
      <c r="C353" t="s">
        <v>477</v>
      </c>
      <c r="D353" t="s">
        <v>192</v>
      </c>
      <c r="E353" t="s">
        <v>194</v>
      </c>
      <c r="F353">
        <v>1</v>
      </c>
      <c r="G353" t="s">
        <v>488</v>
      </c>
      <c r="H353" s="4">
        <v>992252</v>
      </c>
      <c r="I353" s="4">
        <v>1000709.3572670422</v>
      </c>
      <c r="J353" s="3">
        <v>0.008523396543460892</v>
      </c>
      <c r="K353" s="3">
        <v>-0.008451362231826605</v>
      </c>
      <c r="L353" t="s">
        <v>54</v>
      </c>
    </row>
    <row r="354" spans="1:12" x14ac:dyDescent="0.25">
      <c r="A354" t="s">
        <v>487</v>
      </c>
      <c r="B354" t="s">
        <v>455</v>
      </c>
      <c r="C354" t="s">
        <v>477</v>
      </c>
      <c r="D354" t="s">
        <v>192</v>
      </c>
      <c r="E354" t="s">
        <v>194</v>
      </c>
      <c r="F354">
        <v>1</v>
      </c>
      <c r="G354" t="s">
        <v>498</v>
      </c>
      <c r="H354" s="4">
        <v>992252</v>
      </c>
      <c r="I354" s="4">
        <v>1005665</v>
      </c>
      <c r="J354" s="3">
        <v>0.013517735413987576</v>
      </c>
      <c r="K354" s="3">
        <v>-0.01333744338323398</v>
      </c>
      <c r="L354" t="s">
        <v>54</v>
      </c>
    </row>
    <row r="355" spans="1:12" x14ac:dyDescent="0.25">
      <c r="A355" t="s">
        <v>487</v>
      </c>
      <c r="B355" t="s">
        <v>455</v>
      </c>
      <c r="C355" t="s">
        <v>477</v>
      </c>
      <c r="D355" t="s">
        <v>192</v>
      </c>
      <c r="E355" t="s">
        <v>194</v>
      </c>
      <c r="F355">
        <v>1</v>
      </c>
      <c r="G355" t="s">
        <v>499</v>
      </c>
      <c r="H355" s="4">
        <v>992252</v>
      </c>
      <c r="I355" s="4">
        <v>1114308</v>
      </c>
      <c r="J355" s="3">
        <v>0.12300907430773635</v>
      </c>
      <c r="K355" s="3">
        <v>-0.10953524519253205</v>
      </c>
      <c r="L355" t="s">
        <v>54</v>
      </c>
    </row>
    <row r="356" spans="1:12" x14ac:dyDescent="0.25">
      <c r="A356" t="s">
        <v>487</v>
      </c>
      <c r="B356" t="s">
        <v>455</v>
      </c>
      <c r="C356" t="s">
        <v>477</v>
      </c>
      <c r="D356" t="s">
        <v>192</v>
      </c>
      <c r="E356" t="s">
        <v>196</v>
      </c>
      <c r="F356">
        <v>2</v>
      </c>
      <c r="G356" t="s">
        <v>488</v>
      </c>
      <c r="H356" s="4">
        <v>789779</v>
      </c>
      <c r="I356" s="4">
        <v>620480.3009470708</v>
      </c>
      <c r="J356" s="3">
        <v>0.2143621178240105</v>
      </c>
      <c r="K356" s="3">
        <v>0.27285104586643594</v>
      </c>
      <c r="L356" t="s">
        <v>54</v>
      </c>
    </row>
    <row r="357" spans="1:12" x14ac:dyDescent="0.25">
      <c r="A357" t="s">
        <v>487</v>
      </c>
      <c r="B357" t="s">
        <v>455</v>
      </c>
      <c r="C357" t="s">
        <v>477</v>
      </c>
      <c r="D357" t="s">
        <v>192</v>
      </c>
      <c r="E357" t="s">
        <v>196</v>
      </c>
      <c r="F357">
        <v>2</v>
      </c>
      <c r="G357" t="s">
        <v>498</v>
      </c>
      <c r="H357" s="4">
        <v>789779</v>
      </c>
      <c r="I357" s="4">
        <v>623553</v>
      </c>
      <c r="J357" s="3">
        <v>0.2104715369742675</v>
      </c>
      <c r="K357" s="3">
        <v>0.266578783198862</v>
      </c>
      <c r="L357" t="s">
        <v>54</v>
      </c>
    </row>
    <row r="358" spans="1:12" x14ac:dyDescent="0.25">
      <c r="A358" t="s">
        <v>487</v>
      </c>
      <c r="B358" t="s">
        <v>455</v>
      </c>
      <c r="C358" t="s">
        <v>477</v>
      </c>
      <c r="D358" t="s">
        <v>192</v>
      </c>
      <c r="E358" t="s">
        <v>196</v>
      </c>
      <c r="F358">
        <v>2</v>
      </c>
      <c r="G358" t="s">
        <v>499</v>
      </c>
      <c r="H358" s="4">
        <v>789779</v>
      </c>
      <c r="I358" s="4">
        <v>1114308</v>
      </c>
      <c r="J358" s="3">
        <v>0.41091115362652086</v>
      </c>
      <c r="K358" s="3">
        <v>-0.29123814959598243</v>
      </c>
      <c r="L358" t="s">
        <v>54</v>
      </c>
    </row>
    <row r="359" spans="1:12" x14ac:dyDescent="0.25">
      <c r="A359" t="s">
        <v>487</v>
      </c>
      <c r="B359" t="s">
        <v>455</v>
      </c>
      <c r="C359" t="s">
        <v>477</v>
      </c>
      <c r="D359" t="s">
        <v>192</v>
      </c>
      <c r="E359" t="s">
        <v>198</v>
      </c>
      <c r="F359">
        <v>3</v>
      </c>
      <c r="G359" t="s">
        <v>488</v>
      </c>
      <c r="H359" s="4">
        <v>1407626</v>
      </c>
      <c r="I359" s="4">
        <v>715598.264435707</v>
      </c>
      <c r="J359" s="3">
        <v>0.4916275598520438</v>
      </c>
      <c r="K359" s="3">
        <v>0.9670617858610923</v>
      </c>
      <c r="L359" t="s">
        <v>54</v>
      </c>
    </row>
    <row r="360" spans="1:12" x14ac:dyDescent="0.25">
      <c r="A360" t="s">
        <v>487</v>
      </c>
      <c r="B360" t="s">
        <v>455</v>
      </c>
      <c r="C360" t="s">
        <v>477</v>
      </c>
      <c r="D360" t="s">
        <v>192</v>
      </c>
      <c r="E360" t="s">
        <v>198</v>
      </c>
      <c r="F360">
        <v>3</v>
      </c>
      <c r="G360" t="s">
        <v>498</v>
      </c>
      <c r="H360" s="4">
        <v>1407626</v>
      </c>
      <c r="I360" s="4">
        <v>719142</v>
      </c>
      <c r="J360" s="3">
        <v>0.48911003348900917</v>
      </c>
      <c r="K360" s="3">
        <v>0.9573686420762519</v>
      </c>
      <c r="L360" t="s">
        <v>54</v>
      </c>
    </row>
    <row r="361" spans="1:12" x14ac:dyDescent="0.25">
      <c r="A361" t="s">
        <v>487</v>
      </c>
      <c r="B361" t="s">
        <v>455</v>
      </c>
      <c r="C361" t="s">
        <v>477</v>
      </c>
      <c r="D361" t="s">
        <v>192</v>
      </c>
      <c r="E361" t="s">
        <v>198</v>
      </c>
      <c r="F361">
        <v>3</v>
      </c>
      <c r="G361" t="s">
        <v>499</v>
      </c>
      <c r="H361" s="4">
        <v>1407626</v>
      </c>
      <c r="I361" s="4">
        <v>1114308</v>
      </c>
      <c r="J361" s="3">
        <v>0.20837779353322544</v>
      </c>
      <c r="K361" s="3">
        <v>0.2632288379873428</v>
      </c>
      <c r="L361" t="s">
        <v>54</v>
      </c>
    </row>
    <row r="362" spans="1:12" x14ac:dyDescent="0.25">
      <c r="A362" t="s">
        <v>487</v>
      </c>
      <c r="B362" t="s">
        <v>455</v>
      </c>
      <c r="C362" t="s">
        <v>477</v>
      </c>
      <c r="D362" t="s">
        <v>194</v>
      </c>
      <c r="E362" t="s">
        <v>196</v>
      </c>
      <c r="F362">
        <v>1</v>
      </c>
      <c r="G362" t="s">
        <v>488</v>
      </c>
      <c r="H362" s="4">
        <v>789779</v>
      </c>
      <c r="I362" s="4">
        <v>618786.131866296</v>
      </c>
      <c r="J362" s="3">
        <v>0.21650723573772404</v>
      </c>
      <c r="K362" s="3">
        <v>0.2763359734937485</v>
      </c>
      <c r="L362" t="s">
        <v>54</v>
      </c>
    </row>
    <row r="363" spans="1:12" x14ac:dyDescent="0.25">
      <c r="A363" t="s">
        <v>487</v>
      </c>
      <c r="B363" t="s">
        <v>455</v>
      </c>
      <c r="C363" t="s">
        <v>477</v>
      </c>
      <c r="D363" t="s">
        <v>194</v>
      </c>
      <c r="E363" t="s">
        <v>196</v>
      </c>
      <c r="F363">
        <v>1</v>
      </c>
      <c r="G363" t="s">
        <v>498</v>
      </c>
      <c r="H363" s="4">
        <v>789779</v>
      </c>
      <c r="I363" s="4">
        <v>623553</v>
      </c>
      <c r="J363" s="3">
        <v>0.2104715369742675</v>
      </c>
      <c r="K363" s="3">
        <v>0.266578783198862</v>
      </c>
      <c r="L363" t="s">
        <v>54</v>
      </c>
    </row>
    <row r="364" spans="1:12" x14ac:dyDescent="0.25">
      <c r="A364" t="s">
        <v>487</v>
      </c>
      <c r="B364" t="s">
        <v>455</v>
      </c>
      <c r="C364" t="s">
        <v>477</v>
      </c>
      <c r="D364" t="s">
        <v>194</v>
      </c>
      <c r="E364" t="s">
        <v>196</v>
      </c>
      <c r="F364">
        <v>1</v>
      </c>
      <c r="G364" t="s">
        <v>499</v>
      </c>
      <c r="H364" s="4">
        <v>789779</v>
      </c>
      <c r="I364" s="4">
        <v>992252</v>
      </c>
      <c r="J364" s="3">
        <v>0.2563666544691616</v>
      </c>
      <c r="K364" s="3">
        <v>-0.20405401047314595</v>
      </c>
      <c r="L364" t="s">
        <v>54</v>
      </c>
    </row>
    <row r="365" spans="1:12" x14ac:dyDescent="0.25">
      <c r="A365" t="s">
        <v>487</v>
      </c>
      <c r="B365" t="s">
        <v>455</v>
      </c>
      <c r="C365" t="s">
        <v>477</v>
      </c>
      <c r="D365" t="s">
        <v>194</v>
      </c>
      <c r="E365" t="s">
        <v>198</v>
      </c>
      <c r="F365">
        <v>2</v>
      </c>
      <c r="G365" t="s">
        <v>488</v>
      </c>
      <c r="H365" s="4">
        <v>1407626</v>
      </c>
      <c r="I365" s="4">
        <v>713644.3837854872</v>
      </c>
      <c r="J365" s="3">
        <v>0.49301562788305475</v>
      </c>
      <c r="K365" s="3">
        <v>0.9724473869370704</v>
      </c>
      <c r="L365" t="s">
        <v>54</v>
      </c>
    </row>
    <row r="366" spans="1:12" x14ac:dyDescent="0.25">
      <c r="A366" t="s">
        <v>487</v>
      </c>
      <c r="B366" t="s">
        <v>455</v>
      </c>
      <c r="C366" t="s">
        <v>477</v>
      </c>
      <c r="D366" t="s">
        <v>194</v>
      </c>
      <c r="E366" t="s">
        <v>198</v>
      </c>
      <c r="F366">
        <v>2</v>
      </c>
      <c r="G366" t="s">
        <v>498</v>
      </c>
      <c r="H366" s="4">
        <v>1407626</v>
      </c>
      <c r="I366" s="4">
        <v>719142</v>
      </c>
      <c r="J366" s="3">
        <v>0.48911003348900917</v>
      </c>
      <c r="K366" s="3">
        <v>0.9573686420762519</v>
      </c>
      <c r="L366" t="s">
        <v>54</v>
      </c>
    </row>
    <row r="367" spans="1:12" x14ac:dyDescent="0.25">
      <c r="A367" t="s">
        <v>487</v>
      </c>
      <c r="B367" t="s">
        <v>455</v>
      </c>
      <c r="C367" t="s">
        <v>477</v>
      </c>
      <c r="D367" t="s">
        <v>194</v>
      </c>
      <c r="E367" t="s">
        <v>198</v>
      </c>
      <c r="F367">
        <v>2</v>
      </c>
      <c r="G367" t="s">
        <v>499</v>
      </c>
      <c r="H367" s="4">
        <v>1407626</v>
      </c>
      <c r="I367" s="4">
        <v>992252</v>
      </c>
      <c r="J367" s="3">
        <v>0.29508832601841684</v>
      </c>
      <c r="K367" s="3">
        <v>0.4186174479870033</v>
      </c>
      <c r="L367" t="s">
        <v>54</v>
      </c>
    </row>
    <row r="368" spans="1:12" x14ac:dyDescent="0.25">
      <c r="A368" t="s">
        <v>487</v>
      </c>
      <c r="B368" t="s">
        <v>455</v>
      </c>
      <c r="C368" t="s">
        <v>477</v>
      </c>
      <c r="D368" t="s">
        <v>194</v>
      </c>
      <c r="E368" t="s">
        <v>200</v>
      </c>
      <c r="F368">
        <v>3</v>
      </c>
      <c r="G368" t="s">
        <v>488</v>
      </c>
      <c r="H368" s="4">
        <v>665321</v>
      </c>
      <c r="I368" s="4">
        <v>876494.8522619735</v>
      </c>
      <c r="J368" s="3">
        <v>0.3174014532262976</v>
      </c>
      <c r="K368" s="3">
        <v>-0.24092994010974098</v>
      </c>
      <c r="L368" t="s">
        <v>54</v>
      </c>
    </row>
    <row r="369" spans="1:12" x14ac:dyDescent="0.25">
      <c r="A369" t="s">
        <v>487</v>
      </c>
      <c r="B369" t="s">
        <v>455</v>
      </c>
      <c r="C369" t="s">
        <v>477</v>
      </c>
      <c r="D369" t="s">
        <v>194</v>
      </c>
      <c r="E369" t="s">
        <v>200</v>
      </c>
      <c r="F369">
        <v>3</v>
      </c>
      <c r="G369" t="s">
        <v>498</v>
      </c>
      <c r="H369" s="4">
        <v>665321</v>
      </c>
      <c r="I369" s="4">
        <v>883247</v>
      </c>
      <c r="J369" s="3">
        <v>0.3275501599979559</v>
      </c>
      <c r="K369" s="3">
        <v>-0.2467327938843834</v>
      </c>
      <c r="L369" t="s">
        <v>54</v>
      </c>
    </row>
    <row r="370" spans="1:12" x14ac:dyDescent="0.25">
      <c r="A370" t="s">
        <v>487</v>
      </c>
      <c r="B370" t="s">
        <v>455</v>
      </c>
      <c r="C370" t="s">
        <v>477</v>
      </c>
      <c r="D370" t="s">
        <v>194</v>
      </c>
      <c r="E370" t="s">
        <v>200</v>
      </c>
      <c r="F370">
        <v>3</v>
      </c>
      <c r="G370" t="s">
        <v>499</v>
      </c>
      <c r="H370" s="4">
        <v>665321</v>
      </c>
      <c r="I370" s="4">
        <v>992252</v>
      </c>
      <c r="J370" s="3">
        <v>0.49138836741963654</v>
      </c>
      <c r="K370" s="3">
        <v>-0.32948384079850684</v>
      </c>
      <c r="L370" t="s">
        <v>54</v>
      </c>
    </row>
    <row r="371" spans="1:12" x14ac:dyDescent="0.25">
      <c r="A371" t="s">
        <v>487</v>
      </c>
      <c r="B371" t="s">
        <v>455</v>
      </c>
      <c r="C371" t="s">
        <v>477</v>
      </c>
      <c r="D371" t="s">
        <v>196</v>
      </c>
      <c r="E371" t="s">
        <v>198</v>
      </c>
      <c r="F371">
        <v>1</v>
      </c>
      <c r="G371" t="s">
        <v>488</v>
      </c>
      <c r="H371" s="4">
        <v>1407626</v>
      </c>
      <c r="I371" s="4">
        <v>742885.9262749185</v>
      </c>
      <c r="J371" s="3">
        <v>0.4722419689072819</v>
      </c>
      <c r="K371" s="3">
        <v>0.8948077359041021</v>
      </c>
      <c r="L371" t="s">
        <v>54</v>
      </c>
    </row>
    <row r="372" spans="1:12" x14ac:dyDescent="0.25">
      <c r="A372" t="s">
        <v>487</v>
      </c>
      <c r="B372" t="s">
        <v>455</v>
      </c>
      <c r="C372" t="s">
        <v>477</v>
      </c>
      <c r="D372" t="s">
        <v>196</v>
      </c>
      <c r="E372" t="s">
        <v>198</v>
      </c>
      <c r="F372">
        <v>1</v>
      </c>
      <c r="G372" t="s">
        <v>498</v>
      </c>
      <c r="H372" s="4">
        <v>1407626</v>
      </c>
      <c r="I372" s="4">
        <v>719142</v>
      </c>
      <c r="J372" s="3">
        <v>0.48911003348900917</v>
      </c>
      <c r="K372" s="3">
        <v>0.9573686420762519</v>
      </c>
      <c r="L372" t="s">
        <v>54</v>
      </c>
    </row>
    <row r="373" spans="1:12" x14ac:dyDescent="0.25">
      <c r="A373" t="s">
        <v>487</v>
      </c>
      <c r="B373" t="s">
        <v>455</v>
      </c>
      <c r="C373" t="s">
        <v>477</v>
      </c>
      <c r="D373" t="s">
        <v>196</v>
      </c>
      <c r="E373" t="s">
        <v>198</v>
      </c>
      <c r="F373">
        <v>1</v>
      </c>
      <c r="G373" t="s">
        <v>499</v>
      </c>
      <c r="H373" s="4">
        <v>1407626</v>
      </c>
      <c r="I373" s="4">
        <v>789779</v>
      </c>
      <c r="J373" s="3">
        <v>0.4389283801236976</v>
      </c>
      <c r="K373" s="3">
        <v>0.7823036570990113</v>
      </c>
      <c r="L373" t="s">
        <v>54</v>
      </c>
    </row>
    <row r="374" spans="1:12" x14ac:dyDescent="0.25">
      <c r="A374" t="s">
        <v>487</v>
      </c>
      <c r="B374" t="s">
        <v>455</v>
      </c>
      <c r="C374" t="s">
        <v>477</v>
      </c>
      <c r="D374" t="s">
        <v>196</v>
      </c>
      <c r="E374" t="s">
        <v>200</v>
      </c>
      <c r="F374">
        <v>2</v>
      </c>
      <c r="G374" t="s">
        <v>488</v>
      </c>
      <c r="H374" s="4">
        <v>665321</v>
      </c>
      <c r="I374" s="4">
        <v>912409.1844511139</v>
      </c>
      <c r="J374" s="3">
        <v>0.37138191106415386</v>
      </c>
      <c r="K374" s="3">
        <v>-0.270808523918747</v>
      </c>
      <c r="L374" t="s">
        <v>54</v>
      </c>
    </row>
    <row r="375" spans="1:12" x14ac:dyDescent="0.25">
      <c r="A375" t="s">
        <v>487</v>
      </c>
      <c r="B375" t="s">
        <v>455</v>
      </c>
      <c r="C375" t="s">
        <v>477</v>
      </c>
      <c r="D375" t="s">
        <v>196</v>
      </c>
      <c r="E375" t="s">
        <v>200</v>
      </c>
      <c r="F375">
        <v>2</v>
      </c>
      <c r="G375" t="s">
        <v>498</v>
      </c>
      <c r="H375" s="4">
        <v>665321</v>
      </c>
      <c r="I375" s="4">
        <v>883247</v>
      </c>
      <c r="J375" s="3">
        <v>0.3275501599979559</v>
      </c>
      <c r="K375" s="3">
        <v>-0.2467327938843834</v>
      </c>
      <c r="L375" t="s">
        <v>54</v>
      </c>
    </row>
    <row r="376" spans="1:12" x14ac:dyDescent="0.25">
      <c r="A376" t="s">
        <v>487</v>
      </c>
      <c r="B376" t="s">
        <v>455</v>
      </c>
      <c r="C376" t="s">
        <v>477</v>
      </c>
      <c r="D376" t="s">
        <v>196</v>
      </c>
      <c r="E376" t="s">
        <v>200</v>
      </c>
      <c r="F376">
        <v>2</v>
      </c>
      <c r="G376" t="s">
        <v>499</v>
      </c>
      <c r="H376" s="4">
        <v>665321</v>
      </c>
      <c r="I376" s="4">
        <v>789779</v>
      </c>
      <c r="J376" s="3">
        <v>0.187064589874662</v>
      </c>
      <c r="K376" s="3">
        <v>-0.15758585629650826</v>
      </c>
      <c r="L376" t="s">
        <v>54</v>
      </c>
    </row>
    <row r="377" spans="1:12" x14ac:dyDescent="0.25">
      <c r="A377" t="s">
        <v>487</v>
      </c>
      <c r="B377" t="s">
        <v>455</v>
      </c>
      <c r="C377" t="s">
        <v>477</v>
      </c>
      <c r="D377" t="s">
        <v>196</v>
      </c>
      <c r="E377" t="s">
        <v>202</v>
      </c>
      <c r="F377">
        <v>3</v>
      </c>
      <c r="G377" t="s">
        <v>488</v>
      </c>
      <c r="H377" s="4">
        <v>373970</v>
      </c>
      <c r="I377" s="4">
        <v>620151.1080156935</v>
      </c>
      <c r="J377" s="3">
        <v>0.6582910608222411</v>
      </c>
      <c r="K377" s="3">
        <v>-0.3969695527972251</v>
      </c>
      <c r="L377" t="s">
        <v>54</v>
      </c>
    </row>
    <row r="378" spans="1:12" x14ac:dyDescent="0.25">
      <c r="A378" t="s">
        <v>487</v>
      </c>
      <c r="B378" t="s">
        <v>455</v>
      </c>
      <c r="C378" t="s">
        <v>477</v>
      </c>
      <c r="D378" t="s">
        <v>196</v>
      </c>
      <c r="E378" t="s">
        <v>202</v>
      </c>
      <c r="F378">
        <v>3</v>
      </c>
      <c r="G378" t="s">
        <v>498</v>
      </c>
      <c r="H378" s="4">
        <v>373970</v>
      </c>
      <c r="I378" s="4">
        <v>600330</v>
      </c>
      <c r="J378" s="3">
        <v>0.6052891943204001</v>
      </c>
      <c r="K378" s="3">
        <v>-0.37705928406043343</v>
      </c>
      <c r="L378" t="s">
        <v>54</v>
      </c>
    </row>
    <row r="379" spans="1:12" x14ac:dyDescent="0.25">
      <c r="A379" t="s">
        <v>487</v>
      </c>
      <c r="B379" t="s">
        <v>455</v>
      </c>
      <c r="C379" t="s">
        <v>477</v>
      </c>
      <c r="D379" t="s">
        <v>196</v>
      </c>
      <c r="E379" t="s">
        <v>202</v>
      </c>
      <c r="F379">
        <v>3</v>
      </c>
      <c r="G379" t="s">
        <v>499</v>
      </c>
      <c r="H379" s="4">
        <v>373970</v>
      </c>
      <c r="I379" s="4">
        <v>789779</v>
      </c>
      <c r="J379" s="3">
        <v>1.1118779581249834</v>
      </c>
      <c r="K379" s="3">
        <v>-0.5264877896221601</v>
      </c>
      <c r="L379" t="s">
        <v>54</v>
      </c>
    </row>
    <row r="380" spans="1:12" x14ac:dyDescent="0.25">
      <c r="A380" t="s">
        <v>487</v>
      </c>
      <c r="B380" t="s">
        <v>455</v>
      </c>
      <c r="C380" t="s">
        <v>477</v>
      </c>
      <c r="D380" t="s">
        <v>198</v>
      </c>
      <c r="E380" t="s">
        <v>200</v>
      </c>
      <c r="F380">
        <v>1</v>
      </c>
      <c r="G380" t="s">
        <v>488</v>
      </c>
      <c r="H380" s="4">
        <v>665321</v>
      </c>
      <c r="I380" s="4">
        <v>997966.8420069338</v>
      </c>
      <c r="J380" s="3">
        <v>0.4999779685398984</v>
      </c>
      <c r="K380" s="3">
        <v>-0.33332354142946824</v>
      </c>
      <c r="L380" t="s">
        <v>54</v>
      </c>
    </row>
    <row r="381" spans="1:12" x14ac:dyDescent="0.25">
      <c r="A381" t="s">
        <v>487</v>
      </c>
      <c r="B381" t="s">
        <v>455</v>
      </c>
      <c r="C381" t="s">
        <v>477</v>
      </c>
      <c r="D381" t="s">
        <v>198</v>
      </c>
      <c r="E381" t="s">
        <v>200</v>
      </c>
      <c r="F381">
        <v>1</v>
      </c>
      <c r="G381" t="s">
        <v>498</v>
      </c>
      <c r="H381" s="4">
        <v>665321</v>
      </c>
      <c r="I381" s="4">
        <v>883247</v>
      </c>
      <c r="J381" s="3">
        <v>0.3275501599979559</v>
      </c>
      <c r="K381" s="3">
        <v>-0.2467327938843834</v>
      </c>
      <c r="L381" t="s">
        <v>54</v>
      </c>
    </row>
    <row r="382" spans="1:12" x14ac:dyDescent="0.25">
      <c r="A382" t="s">
        <v>487</v>
      </c>
      <c r="B382" t="s">
        <v>455</v>
      </c>
      <c r="C382" t="s">
        <v>477</v>
      </c>
      <c r="D382" t="s">
        <v>198</v>
      </c>
      <c r="E382" t="s">
        <v>200</v>
      </c>
      <c r="F382">
        <v>1</v>
      </c>
      <c r="G382" t="s">
        <v>499</v>
      </c>
      <c r="H382" s="4">
        <v>665321</v>
      </c>
      <c r="I382" s="4">
        <v>1407626</v>
      </c>
      <c r="J382" s="3">
        <v>1.115709559746348</v>
      </c>
      <c r="K382" s="3">
        <v>-0.5273453317855737</v>
      </c>
      <c r="L382" t="s">
        <v>54</v>
      </c>
    </row>
    <row r="383" spans="1:12" x14ac:dyDescent="0.25">
      <c r="A383" t="s">
        <v>487</v>
      </c>
      <c r="B383" t="s">
        <v>455</v>
      </c>
      <c r="C383" t="s">
        <v>477</v>
      </c>
      <c r="D383" t="s">
        <v>198</v>
      </c>
      <c r="E383" t="s">
        <v>202</v>
      </c>
      <c r="F383">
        <v>2</v>
      </c>
      <c r="G383" t="s">
        <v>488</v>
      </c>
      <c r="H383" s="4">
        <v>373970</v>
      </c>
      <c r="I383" s="4">
        <v>678303.3899487036</v>
      </c>
      <c r="J383" s="3">
        <v>0.8137909189205113</v>
      </c>
      <c r="K383" s="3">
        <v>-0.44866853749871227</v>
      </c>
      <c r="L383" t="s">
        <v>54</v>
      </c>
    </row>
    <row r="384" spans="1:12" x14ac:dyDescent="0.25">
      <c r="A384" t="s">
        <v>487</v>
      </c>
      <c r="B384" t="s">
        <v>455</v>
      </c>
      <c r="C384" t="s">
        <v>477</v>
      </c>
      <c r="D384" t="s">
        <v>198</v>
      </c>
      <c r="E384" t="s">
        <v>202</v>
      </c>
      <c r="F384">
        <v>2</v>
      </c>
      <c r="G384" t="s">
        <v>498</v>
      </c>
      <c r="H384" s="4">
        <v>373970</v>
      </c>
      <c r="I384" s="4">
        <v>600330</v>
      </c>
      <c r="J384" s="3">
        <v>0.6052891943204001</v>
      </c>
      <c r="K384" s="3">
        <v>-0.37705928406043343</v>
      </c>
      <c r="L384" t="s">
        <v>54</v>
      </c>
    </row>
    <row r="385" spans="1:12" x14ac:dyDescent="0.25">
      <c r="A385" t="s">
        <v>487</v>
      </c>
      <c r="B385" t="s">
        <v>455</v>
      </c>
      <c r="C385" t="s">
        <v>477</v>
      </c>
      <c r="D385" t="s">
        <v>198</v>
      </c>
      <c r="E385" t="s">
        <v>202</v>
      </c>
      <c r="F385">
        <v>2</v>
      </c>
      <c r="G385" t="s">
        <v>499</v>
      </c>
      <c r="H385" s="4">
        <v>373970</v>
      </c>
      <c r="I385" s="4">
        <v>1407626</v>
      </c>
      <c r="J385" s="3">
        <v>2.76400780811295</v>
      </c>
      <c r="K385" s="3">
        <v>-0.7343257370920969</v>
      </c>
      <c r="L385" t="s">
        <v>54</v>
      </c>
    </row>
    <row r="386" spans="1:12" x14ac:dyDescent="0.25">
      <c r="A386" t="s">
        <v>487</v>
      </c>
      <c r="B386" t="s">
        <v>455</v>
      </c>
      <c r="C386" t="s">
        <v>477</v>
      </c>
      <c r="D386" t="s">
        <v>198</v>
      </c>
      <c r="E386" t="s">
        <v>204</v>
      </c>
      <c r="F386">
        <v>3</v>
      </c>
      <c r="G386" t="s">
        <v>488</v>
      </c>
      <c r="H386" s="4">
        <v>763644</v>
      </c>
      <c r="I386" s="4">
        <v>695604.1770273012</v>
      </c>
      <c r="J386" s="3">
        <v>0.0890988771897623</v>
      </c>
      <c r="K386" s="3">
        <v>0.09781399425096954</v>
      </c>
      <c r="L386" t="s">
        <v>54</v>
      </c>
    </row>
    <row r="387" spans="1:12" x14ac:dyDescent="0.25">
      <c r="A387" t="s">
        <v>487</v>
      </c>
      <c r="B387" t="s">
        <v>455</v>
      </c>
      <c r="C387" t="s">
        <v>477</v>
      </c>
      <c r="D387" t="s">
        <v>198</v>
      </c>
      <c r="E387" t="s">
        <v>204</v>
      </c>
      <c r="F387">
        <v>3</v>
      </c>
      <c r="G387" t="s">
        <v>498</v>
      </c>
      <c r="H387" s="4">
        <v>763644</v>
      </c>
      <c r="I387" s="4">
        <v>615642</v>
      </c>
      <c r="J387" s="3">
        <v>0.1938102047550953</v>
      </c>
      <c r="K387" s="3">
        <v>0.24040270157006832</v>
      </c>
      <c r="L387" t="s">
        <v>54</v>
      </c>
    </row>
    <row r="388" spans="1:12" x14ac:dyDescent="0.25">
      <c r="A388" t="s">
        <v>487</v>
      </c>
      <c r="B388" t="s">
        <v>455</v>
      </c>
      <c r="C388" t="s">
        <v>477</v>
      </c>
      <c r="D388" t="s">
        <v>198</v>
      </c>
      <c r="E388" t="s">
        <v>204</v>
      </c>
      <c r="F388">
        <v>3</v>
      </c>
      <c r="G388" t="s">
        <v>499</v>
      </c>
      <c r="H388" s="4">
        <v>763644</v>
      </c>
      <c r="I388" s="4">
        <v>1407626</v>
      </c>
      <c r="J388" s="3">
        <v>0.843301328891473</v>
      </c>
      <c r="K388" s="3">
        <v>-0.45749510168183877</v>
      </c>
      <c r="L388" t="s">
        <v>54</v>
      </c>
    </row>
    <row r="389" spans="1:12" x14ac:dyDescent="0.25">
      <c r="A389" t="s">
        <v>487</v>
      </c>
      <c r="B389" t="s">
        <v>455</v>
      </c>
      <c r="C389" t="s">
        <v>477</v>
      </c>
      <c r="D389" t="s">
        <v>200</v>
      </c>
      <c r="E389" t="s">
        <v>202</v>
      </c>
      <c r="F389">
        <v>1</v>
      </c>
      <c r="G389" t="s">
        <v>488</v>
      </c>
      <c r="H389" s="4">
        <v>373970</v>
      </c>
      <c r="I389" s="4">
        <v>662875.5871713005</v>
      </c>
      <c r="J389" s="3">
        <v>0.7725368002013545</v>
      </c>
      <c r="K389" s="3">
        <v>-0.4358368187975543</v>
      </c>
      <c r="L389" t="s">
        <v>54</v>
      </c>
    </row>
    <row r="390" spans="1:12" x14ac:dyDescent="0.25">
      <c r="A390" t="s">
        <v>487</v>
      </c>
      <c r="B390" t="s">
        <v>455</v>
      </c>
      <c r="C390" t="s">
        <v>477</v>
      </c>
      <c r="D390" t="s">
        <v>200</v>
      </c>
      <c r="E390" t="s">
        <v>202</v>
      </c>
      <c r="F390">
        <v>1</v>
      </c>
      <c r="G390" t="s">
        <v>498</v>
      </c>
      <c r="H390" s="4">
        <v>373970</v>
      </c>
      <c r="I390" s="4">
        <v>600330</v>
      </c>
      <c r="J390" s="3">
        <v>0.6052891943204001</v>
      </c>
      <c r="K390" s="3">
        <v>-0.37705928406043343</v>
      </c>
      <c r="L390" t="s">
        <v>54</v>
      </c>
    </row>
    <row r="391" spans="1:12" x14ac:dyDescent="0.25">
      <c r="A391" t="s">
        <v>487</v>
      </c>
      <c r="B391" t="s">
        <v>455</v>
      </c>
      <c r="C391" t="s">
        <v>477</v>
      </c>
      <c r="D391" t="s">
        <v>200</v>
      </c>
      <c r="E391" t="s">
        <v>202</v>
      </c>
      <c r="F391">
        <v>1</v>
      </c>
      <c r="G391" t="s">
        <v>499</v>
      </c>
      <c r="H391" s="4">
        <v>373970</v>
      </c>
      <c r="I391" s="4">
        <v>665321</v>
      </c>
      <c r="J391" s="3">
        <v>0.7790758617001364</v>
      </c>
      <c r="K391" s="3">
        <v>-0.43791042218718484</v>
      </c>
      <c r="L391" t="s">
        <v>54</v>
      </c>
    </row>
    <row r="392" spans="1:12" x14ac:dyDescent="0.25">
      <c r="A392" t="s">
        <v>487</v>
      </c>
      <c r="B392" t="s">
        <v>455</v>
      </c>
      <c r="C392" t="s">
        <v>477</v>
      </c>
      <c r="D392" t="s">
        <v>200</v>
      </c>
      <c r="E392" t="s">
        <v>204</v>
      </c>
      <c r="F392">
        <v>2</v>
      </c>
      <c r="G392" t="s">
        <v>488</v>
      </c>
      <c r="H392" s="4">
        <v>763644</v>
      </c>
      <c r="I392" s="4">
        <v>679782.8731486246</v>
      </c>
      <c r="J392" s="3">
        <v>0.10981704413493126</v>
      </c>
      <c r="K392" s="3">
        <v>0.12336457737298781</v>
      </c>
      <c r="L392" t="s">
        <v>54</v>
      </c>
    </row>
    <row r="393" spans="1:12" x14ac:dyDescent="0.25">
      <c r="A393" t="s">
        <v>487</v>
      </c>
      <c r="B393" t="s">
        <v>455</v>
      </c>
      <c r="C393" t="s">
        <v>477</v>
      </c>
      <c r="D393" t="s">
        <v>200</v>
      </c>
      <c r="E393" t="s">
        <v>204</v>
      </c>
      <c r="F393">
        <v>2</v>
      </c>
      <c r="G393" t="s">
        <v>498</v>
      </c>
      <c r="H393" s="4">
        <v>763644</v>
      </c>
      <c r="I393" s="4">
        <v>615642</v>
      </c>
      <c r="J393" s="3">
        <v>0.1938102047550953</v>
      </c>
      <c r="K393" s="3">
        <v>0.24040270157006832</v>
      </c>
      <c r="L393" t="s">
        <v>54</v>
      </c>
    </row>
    <row r="394" spans="1:12" x14ac:dyDescent="0.25">
      <c r="A394" t="s">
        <v>487</v>
      </c>
      <c r="B394" t="s">
        <v>455</v>
      </c>
      <c r="C394" t="s">
        <v>477</v>
      </c>
      <c r="D394" t="s">
        <v>200</v>
      </c>
      <c r="E394" t="s">
        <v>204</v>
      </c>
      <c r="F394">
        <v>2</v>
      </c>
      <c r="G394" t="s">
        <v>499</v>
      </c>
      <c r="H394" s="4">
        <v>763644</v>
      </c>
      <c r="I394" s="4">
        <v>665321</v>
      </c>
      <c r="J394" s="3">
        <v>0.1287550219735898</v>
      </c>
      <c r="K394" s="3">
        <v>0.14778279958095417</v>
      </c>
      <c r="L394" t="s">
        <v>54</v>
      </c>
    </row>
    <row r="395" spans="1:12" x14ac:dyDescent="0.25">
      <c r="A395" t="s">
        <v>487</v>
      </c>
      <c r="B395" t="s">
        <v>455</v>
      </c>
      <c r="C395" t="s">
        <v>477</v>
      </c>
      <c r="D395" t="s">
        <v>200</v>
      </c>
      <c r="E395" t="s">
        <v>206</v>
      </c>
      <c r="F395">
        <v>3</v>
      </c>
      <c r="G395" t="s">
        <v>488</v>
      </c>
      <c r="H395" s="4">
        <v>812095</v>
      </c>
      <c r="I395" s="4">
        <v>977444.7412666439</v>
      </c>
      <c r="J395" s="3">
        <v>0.2036088650547582</v>
      </c>
      <c r="K395" s="3">
        <v>-0.16916530857015166</v>
      </c>
      <c r="L395" t="s">
        <v>54</v>
      </c>
    </row>
    <row r="396" spans="1:12" x14ac:dyDescent="0.25">
      <c r="A396" t="s">
        <v>487</v>
      </c>
      <c r="B396" t="s">
        <v>455</v>
      </c>
      <c r="C396" t="s">
        <v>477</v>
      </c>
      <c r="D396" t="s">
        <v>200</v>
      </c>
      <c r="E396" t="s">
        <v>206</v>
      </c>
      <c r="F396">
        <v>3</v>
      </c>
      <c r="G396" t="s">
        <v>498</v>
      </c>
      <c r="H396" s="4">
        <v>812095</v>
      </c>
      <c r="I396" s="4">
        <v>885218</v>
      </c>
      <c r="J396" s="3">
        <v>0.09004242114530936</v>
      </c>
      <c r="K396" s="3">
        <v>-0.08260451097921642</v>
      </c>
      <c r="L396" t="s">
        <v>54</v>
      </c>
    </row>
    <row r="397" spans="1:12" x14ac:dyDescent="0.25">
      <c r="A397" t="s">
        <v>487</v>
      </c>
      <c r="B397" t="s">
        <v>455</v>
      </c>
      <c r="C397" t="s">
        <v>477</v>
      </c>
      <c r="D397" t="s">
        <v>200</v>
      </c>
      <c r="E397" t="s">
        <v>206</v>
      </c>
      <c r="F397">
        <v>3</v>
      </c>
      <c r="G397" t="s">
        <v>499</v>
      </c>
      <c r="H397" s="4">
        <v>812095</v>
      </c>
      <c r="I397" s="4">
        <v>665321</v>
      </c>
      <c r="J397" s="3">
        <v>0.1807350125293223</v>
      </c>
      <c r="K397" s="3">
        <v>0.22060629380404345</v>
      </c>
      <c r="L397" t="s">
        <v>54</v>
      </c>
    </row>
    <row r="398" spans="1:12" x14ac:dyDescent="0.25">
      <c r="A398" t="s">
        <v>487</v>
      </c>
      <c r="B398" t="s">
        <v>455</v>
      </c>
      <c r="C398" t="s">
        <v>477</v>
      </c>
      <c r="D398" t="s">
        <v>202</v>
      </c>
      <c r="E398" t="s">
        <v>204</v>
      </c>
      <c r="F398">
        <v>1</v>
      </c>
      <c r="G398" t="s">
        <v>488</v>
      </c>
      <c r="H398" s="4">
        <v>763644</v>
      </c>
      <c r="I398" s="4">
        <v>657838.9333141645</v>
      </c>
      <c r="J398" s="3">
        <v>0.13855286846467135</v>
      </c>
      <c r="K398" s="3">
        <v>0.16083734380510753</v>
      </c>
      <c r="L398" t="s">
        <v>54</v>
      </c>
    </row>
    <row r="399" spans="1:12" x14ac:dyDescent="0.25">
      <c r="A399" t="s">
        <v>487</v>
      </c>
      <c r="B399" t="s">
        <v>455</v>
      </c>
      <c r="C399" t="s">
        <v>477</v>
      </c>
      <c r="D399" t="s">
        <v>202</v>
      </c>
      <c r="E399" t="s">
        <v>204</v>
      </c>
      <c r="F399">
        <v>1</v>
      </c>
      <c r="G399" t="s">
        <v>498</v>
      </c>
      <c r="H399" s="4">
        <v>763644</v>
      </c>
      <c r="I399" s="4">
        <v>615642</v>
      </c>
      <c r="J399" s="3">
        <v>0.1938102047550953</v>
      </c>
      <c r="K399" s="3">
        <v>0.24040270157006832</v>
      </c>
      <c r="L399" t="s">
        <v>54</v>
      </c>
    </row>
    <row r="400" spans="1:12" x14ac:dyDescent="0.25">
      <c r="A400" t="s">
        <v>487</v>
      </c>
      <c r="B400" t="s">
        <v>455</v>
      </c>
      <c r="C400" t="s">
        <v>477</v>
      </c>
      <c r="D400" t="s">
        <v>202</v>
      </c>
      <c r="E400" t="s">
        <v>204</v>
      </c>
      <c r="F400">
        <v>1</v>
      </c>
      <c r="G400" t="s">
        <v>499</v>
      </c>
      <c r="H400" s="4">
        <v>763644</v>
      </c>
      <c r="I400" s="4">
        <v>373970</v>
      </c>
      <c r="J400" s="3">
        <v>0.5102822781295997</v>
      </c>
      <c r="K400" s="3">
        <v>1.041992673209081</v>
      </c>
      <c r="L400" t="s">
        <v>54</v>
      </c>
    </row>
    <row r="401" spans="1:12" x14ac:dyDescent="0.25">
      <c r="A401" t="s">
        <v>487</v>
      </c>
      <c r="B401" t="s">
        <v>455</v>
      </c>
      <c r="C401" t="s">
        <v>477</v>
      </c>
      <c r="D401" t="s">
        <v>202</v>
      </c>
      <c r="E401" t="s">
        <v>206</v>
      </c>
      <c r="F401">
        <v>2</v>
      </c>
      <c r="G401" t="s">
        <v>488</v>
      </c>
      <c r="H401" s="4">
        <v>812095</v>
      </c>
      <c r="I401" s="4">
        <v>945892.0360704729</v>
      </c>
      <c r="J401" s="3">
        <v>0.1647553993935105</v>
      </c>
      <c r="K401" s="3">
        <v>-0.14145064232309962</v>
      </c>
      <c r="L401" t="s">
        <v>54</v>
      </c>
    </row>
    <row r="402" spans="1:12" x14ac:dyDescent="0.25">
      <c r="A402" t="s">
        <v>487</v>
      </c>
      <c r="B402" t="s">
        <v>455</v>
      </c>
      <c r="C402" t="s">
        <v>477</v>
      </c>
      <c r="D402" t="s">
        <v>202</v>
      </c>
      <c r="E402" t="s">
        <v>206</v>
      </c>
      <c r="F402">
        <v>2</v>
      </c>
      <c r="G402" t="s">
        <v>498</v>
      </c>
      <c r="H402" s="4">
        <v>812095</v>
      </c>
      <c r="I402" s="4">
        <v>885218</v>
      </c>
      <c r="J402" s="3">
        <v>0.09004242114530936</v>
      </c>
      <c r="K402" s="3">
        <v>-0.08260451097921642</v>
      </c>
      <c r="L402" t="s">
        <v>54</v>
      </c>
    </row>
    <row r="403" spans="1:12" x14ac:dyDescent="0.25">
      <c r="A403" t="s">
        <v>487</v>
      </c>
      <c r="B403" t="s">
        <v>455</v>
      </c>
      <c r="C403" t="s">
        <v>477</v>
      </c>
      <c r="D403" t="s">
        <v>202</v>
      </c>
      <c r="E403" t="s">
        <v>206</v>
      </c>
      <c r="F403">
        <v>2</v>
      </c>
      <c r="G403" t="s">
        <v>499</v>
      </c>
      <c r="H403" s="4">
        <v>812095</v>
      </c>
      <c r="I403" s="4">
        <v>373970</v>
      </c>
      <c r="J403" s="3">
        <v>0.5394996890757855</v>
      </c>
      <c r="K403" s="3">
        <v>1.1715511939460383</v>
      </c>
      <c r="L403" t="s">
        <v>54</v>
      </c>
    </row>
    <row r="404" spans="1:12" x14ac:dyDescent="0.25">
      <c r="A404" t="s">
        <v>487</v>
      </c>
      <c r="B404" t="s">
        <v>455</v>
      </c>
      <c r="C404" t="s">
        <v>477</v>
      </c>
      <c r="D404" t="s">
        <v>202</v>
      </c>
      <c r="E404" t="s">
        <v>208</v>
      </c>
      <c r="F404">
        <v>3</v>
      </c>
      <c r="G404" t="s">
        <v>488</v>
      </c>
      <c r="H404" s="4">
        <v>1045756</v>
      </c>
      <c r="I404" s="4">
        <v>695440.9033930829</v>
      </c>
      <c r="J404" s="3">
        <v>0.33498741255791703</v>
      </c>
      <c r="K404" s="3">
        <v>0.5037309351487902</v>
      </c>
      <c r="L404" t="s">
        <v>54</v>
      </c>
    </row>
    <row r="405" spans="1:12" x14ac:dyDescent="0.25">
      <c r="A405" t="s">
        <v>487</v>
      </c>
      <c r="B405" t="s">
        <v>455</v>
      </c>
      <c r="C405" t="s">
        <v>477</v>
      </c>
      <c r="D405" t="s">
        <v>202</v>
      </c>
      <c r="E405" t="s">
        <v>208</v>
      </c>
      <c r="F405">
        <v>3</v>
      </c>
      <c r="G405" t="s">
        <v>498</v>
      </c>
      <c r="H405" s="4">
        <v>1045756</v>
      </c>
      <c r="I405" s="4">
        <v>650832</v>
      </c>
      <c r="J405" s="3">
        <v>0.3776444983342195</v>
      </c>
      <c r="K405" s="3">
        <v>0.606798682302038</v>
      </c>
      <c r="L405" t="s">
        <v>54</v>
      </c>
    </row>
    <row r="406" spans="1:12" x14ac:dyDescent="0.25">
      <c r="A406" t="s">
        <v>487</v>
      </c>
      <c r="B406" t="s">
        <v>455</v>
      </c>
      <c r="C406" t="s">
        <v>477</v>
      </c>
      <c r="D406" t="s">
        <v>202</v>
      </c>
      <c r="E406" t="s">
        <v>208</v>
      </c>
      <c r="F406">
        <v>3</v>
      </c>
      <c r="G406" t="s">
        <v>499</v>
      </c>
      <c r="H406" s="4">
        <v>1045756</v>
      </c>
      <c r="I406" s="4">
        <v>373970</v>
      </c>
      <c r="J406" s="3">
        <v>0.6423926805105589</v>
      </c>
      <c r="K406" s="3">
        <v>1.7963633446533145</v>
      </c>
      <c r="L406" t="s">
        <v>54</v>
      </c>
    </row>
    <row r="407" spans="1:12" x14ac:dyDescent="0.25">
      <c r="A407" t="s">
        <v>487</v>
      </c>
      <c r="B407" t="s">
        <v>455</v>
      </c>
      <c r="C407" t="s">
        <v>477</v>
      </c>
      <c r="D407" t="s">
        <v>204</v>
      </c>
      <c r="E407" t="s">
        <v>206</v>
      </c>
      <c r="F407">
        <v>1</v>
      </c>
      <c r="G407" t="s">
        <v>488</v>
      </c>
      <c r="H407" s="4">
        <v>812095</v>
      </c>
      <c r="I407" s="4">
        <v>979816.3911935346</v>
      </c>
      <c r="J407" s="3">
        <v>0.20652927452272776</v>
      </c>
      <c r="K407" s="3">
        <v>-0.17117634763103903</v>
      </c>
      <c r="L407" t="s">
        <v>54</v>
      </c>
    </row>
    <row r="408" spans="1:12" x14ac:dyDescent="0.25">
      <c r="A408" t="s">
        <v>487</v>
      </c>
      <c r="B408" t="s">
        <v>455</v>
      </c>
      <c r="C408" t="s">
        <v>477</v>
      </c>
      <c r="D408" t="s">
        <v>204</v>
      </c>
      <c r="E408" t="s">
        <v>206</v>
      </c>
      <c r="F408">
        <v>1</v>
      </c>
      <c r="G408" t="s">
        <v>498</v>
      </c>
      <c r="H408" s="4">
        <v>812095</v>
      </c>
      <c r="I408" s="4">
        <v>885218</v>
      </c>
      <c r="J408" s="3">
        <v>0.09004242114530936</v>
      </c>
      <c r="K408" s="3">
        <v>-0.08260451097921642</v>
      </c>
      <c r="L408" t="s">
        <v>54</v>
      </c>
    </row>
    <row r="409" spans="1:12" x14ac:dyDescent="0.25">
      <c r="A409" t="s">
        <v>487</v>
      </c>
      <c r="B409" t="s">
        <v>455</v>
      </c>
      <c r="C409" t="s">
        <v>477</v>
      </c>
      <c r="D409" t="s">
        <v>204</v>
      </c>
      <c r="E409" t="s">
        <v>206</v>
      </c>
      <c r="F409">
        <v>1</v>
      </c>
      <c r="G409" t="s">
        <v>499</v>
      </c>
      <c r="H409" s="4">
        <v>812095</v>
      </c>
      <c r="I409" s="4">
        <v>763644</v>
      </c>
      <c r="J409" s="3">
        <v>0.05966173908225023</v>
      </c>
      <c r="K409" s="3">
        <v>0.06344710362420185</v>
      </c>
      <c r="L409" t="s">
        <v>54</v>
      </c>
    </row>
    <row r="410" spans="1:12" x14ac:dyDescent="0.25">
      <c r="A410" t="s">
        <v>487</v>
      </c>
      <c r="B410" t="s">
        <v>455</v>
      </c>
      <c r="C410" t="s">
        <v>477</v>
      </c>
      <c r="D410" t="s">
        <v>204</v>
      </c>
      <c r="E410" t="s">
        <v>208</v>
      </c>
      <c r="F410">
        <v>2</v>
      </c>
      <c r="G410" t="s">
        <v>488</v>
      </c>
      <c r="H410" s="4">
        <v>1045756</v>
      </c>
      <c r="I410" s="4">
        <v>720382.845257632</v>
      </c>
      <c r="J410" s="3">
        <v>0.311136780226332</v>
      </c>
      <c r="K410" s="3">
        <v>0.45166699468808724</v>
      </c>
      <c r="L410" t="s">
        <v>54</v>
      </c>
    </row>
    <row r="411" spans="1:12" x14ac:dyDescent="0.25">
      <c r="A411" t="s">
        <v>487</v>
      </c>
      <c r="B411" t="s">
        <v>455</v>
      </c>
      <c r="C411" t="s">
        <v>477</v>
      </c>
      <c r="D411" t="s">
        <v>204</v>
      </c>
      <c r="E411" t="s">
        <v>208</v>
      </c>
      <c r="F411">
        <v>2</v>
      </c>
      <c r="G411" t="s">
        <v>498</v>
      </c>
      <c r="H411" s="4">
        <v>1045756</v>
      </c>
      <c r="I411" s="4">
        <v>650832</v>
      </c>
      <c r="J411" s="3">
        <v>0.3776444983342195</v>
      </c>
      <c r="K411" s="3">
        <v>0.606798682302038</v>
      </c>
      <c r="L411" t="s">
        <v>54</v>
      </c>
    </row>
    <row r="412" spans="1:12" x14ac:dyDescent="0.25">
      <c r="A412" t="s">
        <v>487</v>
      </c>
      <c r="B412" t="s">
        <v>455</v>
      </c>
      <c r="C412" t="s">
        <v>477</v>
      </c>
      <c r="D412" t="s">
        <v>204</v>
      </c>
      <c r="E412" t="s">
        <v>208</v>
      </c>
      <c r="F412">
        <v>2</v>
      </c>
      <c r="G412" t="s">
        <v>499</v>
      </c>
      <c r="H412" s="4">
        <v>1045756</v>
      </c>
      <c r="I412" s="4">
        <v>763644</v>
      </c>
      <c r="J412" s="3">
        <v>0.2697684737166222</v>
      </c>
      <c r="K412" s="3">
        <v>0.3694286866655143</v>
      </c>
      <c r="L412" t="s">
        <v>54</v>
      </c>
    </row>
    <row r="413" spans="1:12" x14ac:dyDescent="0.25">
      <c r="A413" t="s">
        <v>487</v>
      </c>
      <c r="B413" t="s">
        <v>455</v>
      </c>
      <c r="C413" t="s">
        <v>477</v>
      </c>
      <c r="D413" t="s">
        <v>204</v>
      </c>
      <c r="E413" t="s">
        <v>210</v>
      </c>
      <c r="F413">
        <v>3</v>
      </c>
      <c r="G413" t="s">
        <v>488</v>
      </c>
      <c r="H413" s="4">
        <v>847222</v>
      </c>
      <c r="I413" s="4">
        <v>670747.7198644615</v>
      </c>
      <c r="J413" s="3">
        <v>0.2082975656150791</v>
      </c>
      <c r="K413" s="3">
        <v>0.26310082749323227</v>
      </c>
      <c r="L413" t="s">
        <v>54</v>
      </c>
    </row>
    <row r="414" spans="1:12" x14ac:dyDescent="0.25">
      <c r="A414" t="s">
        <v>487</v>
      </c>
      <c r="B414" t="s">
        <v>455</v>
      </c>
      <c r="C414" t="s">
        <v>477</v>
      </c>
      <c r="D414" t="s">
        <v>204</v>
      </c>
      <c r="E414" t="s">
        <v>210</v>
      </c>
      <c r="F414">
        <v>3</v>
      </c>
      <c r="G414" t="s">
        <v>498</v>
      </c>
      <c r="H414" s="4">
        <v>847222</v>
      </c>
      <c r="I414" s="4">
        <v>605989</v>
      </c>
      <c r="J414" s="3">
        <v>0.2847341074712413</v>
      </c>
      <c r="K414" s="3">
        <v>0.3980814833272551</v>
      </c>
      <c r="L414" t="s">
        <v>54</v>
      </c>
    </row>
    <row r="415" spans="1:12" x14ac:dyDescent="0.25">
      <c r="A415" t="s">
        <v>487</v>
      </c>
      <c r="B415" t="s">
        <v>455</v>
      </c>
      <c r="C415" t="s">
        <v>477</v>
      </c>
      <c r="D415" t="s">
        <v>204</v>
      </c>
      <c r="E415" t="s">
        <v>210</v>
      </c>
      <c r="F415">
        <v>3</v>
      </c>
      <c r="G415" t="s">
        <v>499</v>
      </c>
      <c r="H415" s="4">
        <v>847222</v>
      </c>
      <c r="I415" s="4">
        <v>763644</v>
      </c>
      <c r="J415" s="3">
        <v>0.09864946849822125</v>
      </c>
      <c r="K415" s="3">
        <v>0.10944628648951606</v>
      </c>
      <c r="L415" t="s">
        <v>54</v>
      </c>
    </row>
    <row r="416" spans="1:12" x14ac:dyDescent="0.25">
      <c r="A416" t="s">
        <v>487</v>
      </c>
      <c r="B416" t="s">
        <v>455</v>
      </c>
      <c r="C416" t="s">
        <v>477</v>
      </c>
      <c r="D416" t="s">
        <v>206</v>
      </c>
      <c r="E416" t="s">
        <v>208</v>
      </c>
      <c r="F416">
        <v>1</v>
      </c>
      <c r="G416" t="s">
        <v>488</v>
      </c>
      <c r="H416" s="4">
        <v>1045756</v>
      </c>
      <c r="I416" s="4">
        <v>698582.4309020933</v>
      </c>
      <c r="J416" s="3">
        <v>0.3319833394194312</v>
      </c>
      <c r="K416" s="3">
        <v>0.49696865214545205</v>
      </c>
      <c r="L416" t="s">
        <v>54</v>
      </c>
    </row>
    <row r="417" spans="1:12" x14ac:dyDescent="0.25">
      <c r="A417" t="s">
        <v>487</v>
      </c>
      <c r="B417" t="s">
        <v>455</v>
      </c>
      <c r="C417" t="s">
        <v>477</v>
      </c>
      <c r="D417" t="s">
        <v>206</v>
      </c>
      <c r="E417" t="s">
        <v>208</v>
      </c>
      <c r="F417">
        <v>1</v>
      </c>
      <c r="G417" t="s">
        <v>498</v>
      </c>
      <c r="H417" s="4">
        <v>1045756</v>
      </c>
      <c r="I417" s="4">
        <v>650832</v>
      </c>
      <c r="J417" s="3">
        <v>0.3776444983342195</v>
      </c>
      <c r="K417" s="3">
        <v>0.606798682302038</v>
      </c>
      <c r="L417" t="s">
        <v>54</v>
      </c>
    </row>
    <row r="418" spans="1:12" x14ac:dyDescent="0.25">
      <c r="A418" t="s">
        <v>487</v>
      </c>
      <c r="B418" t="s">
        <v>455</v>
      </c>
      <c r="C418" t="s">
        <v>477</v>
      </c>
      <c r="D418" t="s">
        <v>206</v>
      </c>
      <c r="E418" t="s">
        <v>208</v>
      </c>
      <c r="F418">
        <v>1</v>
      </c>
      <c r="G418" t="s">
        <v>499</v>
      </c>
      <c r="H418" s="4">
        <v>1045756</v>
      </c>
      <c r="I418" s="4">
        <v>812095</v>
      </c>
      <c r="J418" s="3">
        <v>0.22343739839886168</v>
      </c>
      <c r="K418" s="3">
        <v>0.2877261896699278</v>
      </c>
      <c r="L418" t="s">
        <v>54</v>
      </c>
    </row>
    <row r="419" spans="1:12" x14ac:dyDescent="0.25">
      <c r="A419" t="s">
        <v>487</v>
      </c>
      <c r="B419" t="s">
        <v>455</v>
      </c>
      <c r="C419" t="s">
        <v>477</v>
      </c>
      <c r="D419" t="s">
        <v>206</v>
      </c>
      <c r="E419" t="s">
        <v>210</v>
      </c>
      <c r="F419">
        <v>2</v>
      </c>
      <c r="G419" t="s">
        <v>488</v>
      </c>
      <c r="H419" s="4">
        <v>847222</v>
      </c>
      <c r="I419" s="4">
        <v>650449.3766746697</v>
      </c>
      <c r="J419" s="3">
        <v>0.23225627205777272</v>
      </c>
      <c r="K419" s="3">
        <v>0.3025179673955604</v>
      </c>
      <c r="L419" t="s">
        <v>54</v>
      </c>
    </row>
    <row r="420" spans="1:12" x14ac:dyDescent="0.25">
      <c r="A420" t="s">
        <v>487</v>
      </c>
      <c r="B420" t="s">
        <v>455</v>
      </c>
      <c r="C420" t="s">
        <v>477</v>
      </c>
      <c r="D420" t="s">
        <v>206</v>
      </c>
      <c r="E420" t="s">
        <v>210</v>
      </c>
      <c r="F420">
        <v>2</v>
      </c>
      <c r="G420" t="s">
        <v>498</v>
      </c>
      <c r="H420" s="4">
        <v>847222</v>
      </c>
      <c r="I420" s="4">
        <v>605989</v>
      </c>
      <c r="J420" s="3">
        <v>0.2847341074712413</v>
      </c>
      <c r="K420" s="3">
        <v>0.3980814833272551</v>
      </c>
      <c r="L420" t="s">
        <v>54</v>
      </c>
    </row>
    <row r="421" spans="1:12" x14ac:dyDescent="0.25">
      <c r="A421" t="s">
        <v>487</v>
      </c>
      <c r="B421" t="s">
        <v>455</v>
      </c>
      <c r="C421" t="s">
        <v>477</v>
      </c>
      <c r="D421" t="s">
        <v>206</v>
      </c>
      <c r="E421" t="s">
        <v>210</v>
      </c>
      <c r="F421">
        <v>2</v>
      </c>
      <c r="G421" t="s">
        <v>499</v>
      </c>
      <c r="H421" s="4">
        <v>847222</v>
      </c>
      <c r="I421" s="4">
        <v>812095</v>
      </c>
      <c r="J421" s="3">
        <v>0.04146138792429847</v>
      </c>
      <c r="K421" s="3">
        <v>0.04325479161920711</v>
      </c>
      <c r="L421" t="s">
        <v>54</v>
      </c>
    </row>
    <row r="422" spans="1:12" x14ac:dyDescent="0.25">
      <c r="A422" t="s">
        <v>487</v>
      </c>
      <c r="B422" t="s">
        <v>455</v>
      </c>
      <c r="C422" t="s">
        <v>477</v>
      </c>
      <c r="D422" t="s">
        <v>206</v>
      </c>
      <c r="E422" t="s">
        <v>212</v>
      </c>
      <c r="F422">
        <v>3</v>
      </c>
      <c r="G422" t="s">
        <v>488</v>
      </c>
      <c r="H422" s="4">
        <v>770936</v>
      </c>
      <c r="I422" s="4">
        <v>1020093.8016402539</v>
      </c>
      <c r="J422" s="3">
        <v>0.32318869742787193</v>
      </c>
      <c r="K422" s="3">
        <v>-0.24424989274478684</v>
      </c>
      <c r="L422" t="s">
        <v>54</v>
      </c>
    </row>
    <row r="423" spans="1:12" x14ac:dyDescent="0.25">
      <c r="A423" t="s">
        <v>487</v>
      </c>
      <c r="B423" t="s">
        <v>455</v>
      </c>
      <c r="C423" t="s">
        <v>477</v>
      </c>
      <c r="D423" t="s">
        <v>206</v>
      </c>
      <c r="E423" t="s">
        <v>212</v>
      </c>
      <c r="F423">
        <v>3</v>
      </c>
      <c r="G423" t="s">
        <v>498</v>
      </c>
      <c r="H423" s="4">
        <v>770936</v>
      </c>
      <c r="I423" s="4">
        <v>950367</v>
      </c>
      <c r="J423" s="3">
        <v>0.23274435231977753</v>
      </c>
      <c r="K423" s="3">
        <v>-0.18880179972579014</v>
      </c>
      <c r="L423" t="s">
        <v>54</v>
      </c>
    </row>
    <row r="424" spans="1:12" x14ac:dyDescent="0.25">
      <c r="A424" t="s">
        <v>487</v>
      </c>
      <c r="B424" t="s">
        <v>455</v>
      </c>
      <c r="C424" t="s">
        <v>477</v>
      </c>
      <c r="D424" t="s">
        <v>206</v>
      </c>
      <c r="E424" t="s">
        <v>212</v>
      </c>
      <c r="F424">
        <v>3</v>
      </c>
      <c r="G424" t="s">
        <v>499</v>
      </c>
      <c r="H424" s="4">
        <v>770936</v>
      </c>
      <c r="I424" s="4">
        <v>812095</v>
      </c>
      <c r="J424" s="3">
        <v>0.05338834870858281</v>
      </c>
      <c r="K424" s="3">
        <v>-0.0506824940431846</v>
      </c>
      <c r="L424" t="s">
        <v>54</v>
      </c>
    </row>
    <row r="425" spans="1:12" x14ac:dyDescent="0.25">
      <c r="A425" t="s">
        <v>487</v>
      </c>
      <c r="B425" t="s">
        <v>455</v>
      </c>
      <c r="C425" t="s">
        <v>477</v>
      </c>
      <c r="D425" t="s">
        <v>208</v>
      </c>
      <c r="E425" t="s">
        <v>210</v>
      </c>
      <c r="F425">
        <v>1</v>
      </c>
      <c r="G425" t="s">
        <v>488</v>
      </c>
      <c r="H425" s="4">
        <v>847222</v>
      </c>
      <c r="I425" s="4">
        <v>677014.8944214829</v>
      </c>
      <c r="J425" s="3">
        <v>0.20090024288618222</v>
      </c>
      <c r="K425" s="3">
        <v>0.25140821417815484</v>
      </c>
      <c r="L425" t="s">
        <v>54</v>
      </c>
    </row>
    <row r="426" spans="1:12" x14ac:dyDescent="0.25">
      <c r="A426" t="s">
        <v>487</v>
      </c>
      <c r="B426" t="s">
        <v>455</v>
      </c>
      <c r="C426" t="s">
        <v>477</v>
      </c>
      <c r="D426" t="s">
        <v>208</v>
      </c>
      <c r="E426" t="s">
        <v>210</v>
      </c>
      <c r="F426">
        <v>1</v>
      </c>
      <c r="G426" t="s">
        <v>498</v>
      </c>
      <c r="H426" s="4">
        <v>847222</v>
      </c>
      <c r="I426" s="4">
        <v>605989</v>
      </c>
      <c r="J426" s="3">
        <v>0.2847341074712413</v>
      </c>
      <c r="K426" s="3">
        <v>0.3980814833272551</v>
      </c>
      <c r="L426" t="s">
        <v>54</v>
      </c>
    </row>
    <row r="427" spans="1:12" x14ac:dyDescent="0.25">
      <c r="A427" t="s">
        <v>487</v>
      </c>
      <c r="B427" t="s">
        <v>455</v>
      </c>
      <c r="C427" t="s">
        <v>477</v>
      </c>
      <c r="D427" t="s">
        <v>208</v>
      </c>
      <c r="E427" t="s">
        <v>210</v>
      </c>
      <c r="F427">
        <v>1</v>
      </c>
      <c r="G427" t="s">
        <v>499</v>
      </c>
      <c r="H427" s="4">
        <v>847222</v>
      </c>
      <c r="I427" s="4">
        <v>1045756</v>
      </c>
      <c r="J427" s="3">
        <v>0.23433527457974415</v>
      </c>
      <c r="K427" s="3">
        <v>-0.1898473448873351</v>
      </c>
      <c r="L427" t="s">
        <v>54</v>
      </c>
    </row>
    <row r="428" spans="1:12" x14ac:dyDescent="0.25">
      <c r="A428" t="s">
        <v>487</v>
      </c>
      <c r="B428" t="s">
        <v>455</v>
      </c>
      <c r="C428" t="s">
        <v>477</v>
      </c>
      <c r="D428" t="s">
        <v>208</v>
      </c>
      <c r="E428" t="s">
        <v>212</v>
      </c>
      <c r="F428">
        <v>2</v>
      </c>
      <c r="G428" t="s">
        <v>488</v>
      </c>
      <c r="H428" s="4">
        <v>770936</v>
      </c>
      <c r="I428" s="4">
        <v>1061756.259877096</v>
      </c>
      <c r="J428" s="3">
        <v>0.3772300941674743</v>
      </c>
      <c r="K428" s="3">
        <v>-0.27390491666209715</v>
      </c>
      <c r="L428" t="s">
        <v>54</v>
      </c>
    </row>
    <row r="429" spans="1:12" x14ac:dyDescent="0.25">
      <c r="A429" t="s">
        <v>487</v>
      </c>
      <c r="B429" t="s">
        <v>455</v>
      </c>
      <c r="C429" t="s">
        <v>477</v>
      </c>
      <c r="D429" t="s">
        <v>208</v>
      </c>
      <c r="E429" t="s">
        <v>212</v>
      </c>
      <c r="F429">
        <v>2</v>
      </c>
      <c r="G429" t="s">
        <v>498</v>
      </c>
      <c r="H429" s="4">
        <v>770936</v>
      </c>
      <c r="I429" s="4">
        <v>950367</v>
      </c>
      <c r="J429" s="3">
        <v>0.23274435231977753</v>
      </c>
      <c r="K429" s="3">
        <v>-0.18880179972579014</v>
      </c>
      <c r="L429" t="s">
        <v>54</v>
      </c>
    </row>
    <row r="430" spans="1:12" x14ac:dyDescent="0.25">
      <c r="A430" t="s">
        <v>487</v>
      </c>
      <c r="B430" t="s">
        <v>455</v>
      </c>
      <c r="C430" t="s">
        <v>477</v>
      </c>
      <c r="D430" t="s">
        <v>208</v>
      </c>
      <c r="E430" t="s">
        <v>212</v>
      </c>
      <c r="F430">
        <v>2</v>
      </c>
      <c r="G430" t="s">
        <v>499</v>
      </c>
      <c r="H430" s="4">
        <v>770936</v>
      </c>
      <c r="I430" s="4">
        <v>1045756</v>
      </c>
      <c r="J430" s="3">
        <v>0.3564757645252005</v>
      </c>
      <c r="K430" s="3">
        <v>-0.2627955278286713</v>
      </c>
      <c r="L430" t="s">
        <v>54</v>
      </c>
    </row>
    <row r="431" spans="1:12" x14ac:dyDescent="0.25">
      <c r="A431" t="s">
        <v>487</v>
      </c>
      <c r="B431" t="s">
        <v>455</v>
      </c>
      <c r="C431" t="s">
        <v>477</v>
      </c>
      <c r="D431" t="s">
        <v>208</v>
      </c>
      <c r="E431" t="s">
        <v>214</v>
      </c>
      <c r="F431">
        <v>3</v>
      </c>
      <c r="G431" t="s">
        <v>488</v>
      </c>
      <c r="H431" s="4">
        <v>639678</v>
      </c>
      <c r="I431" s="4">
        <v>1163582.9358351605</v>
      </c>
      <c r="J431" s="3">
        <v>0.8190135284239266</v>
      </c>
      <c r="K431" s="3">
        <v>-0.45025147731229687</v>
      </c>
      <c r="L431" t="s">
        <v>54</v>
      </c>
    </row>
    <row r="432" spans="1:12" x14ac:dyDescent="0.25">
      <c r="A432" t="s">
        <v>487</v>
      </c>
      <c r="B432" t="s">
        <v>455</v>
      </c>
      <c r="C432" t="s">
        <v>477</v>
      </c>
      <c r="D432" t="s">
        <v>208</v>
      </c>
      <c r="E432" t="s">
        <v>214</v>
      </c>
      <c r="F432">
        <v>3</v>
      </c>
      <c r="G432" t="s">
        <v>498</v>
      </c>
      <c r="H432" s="4">
        <v>639678</v>
      </c>
      <c r="I432" s="4">
        <v>1041511</v>
      </c>
      <c r="J432" s="3">
        <v>0.6281801156206717</v>
      </c>
      <c r="K432" s="3">
        <v>-0.38581733654277295</v>
      </c>
      <c r="L432" t="s">
        <v>54</v>
      </c>
    </row>
    <row r="433" spans="1:12" x14ac:dyDescent="0.25">
      <c r="A433" t="s">
        <v>487</v>
      </c>
      <c r="B433" t="s">
        <v>455</v>
      </c>
      <c r="C433" t="s">
        <v>477</v>
      </c>
      <c r="D433" t="s">
        <v>208</v>
      </c>
      <c r="E433" t="s">
        <v>214</v>
      </c>
      <c r="F433">
        <v>3</v>
      </c>
      <c r="G433" t="s">
        <v>499</v>
      </c>
      <c r="H433" s="4">
        <v>639678</v>
      </c>
      <c r="I433" s="4">
        <v>1045756</v>
      </c>
      <c r="J433" s="3">
        <v>0.6348162669343013</v>
      </c>
      <c r="K433" s="3">
        <v>-0.38831046630380317</v>
      </c>
      <c r="L433" t="s">
        <v>54</v>
      </c>
    </row>
    <row r="434" spans="1:12" x14ac:dyDescent="0.25">
      <c r="A434" t="s">
        <v>487</v>
      </c>
      <c r="B434" t="s">
        <v>455</v>
      </c>
      <c r="C434" t="s">
        <v>477</v>
      </c>
      <c r="D434" t="s">
        <v>210</v>
      </c>
      <c r="E434" t="s">
        <v>212</v>
      </c>
      <c r="F434">
        <v>1</v>
      </c>
      <c r="G434" t="s">
        <v>488</v>
      </c>
      <c r="H434" s="4">
        <v>770936</v>
      </c>
      <c r="I434" s="4">
        <v>1112075.4130510732</v>
      </c>
      <c r="J434" s="3">
        <v>0.4425003022962648</v>
      </c>
      <c r="K434" s="3">
        <v>-0.3067592440652278</v>
      </c>
      <c r="L434" t="s">
        <v>54</v>
      </c>
    </row>
    <row r="435" spans="1:12" x14ac:dyDescent="0.25">
      <c r="A435" t="s">
        <v>487</v>
      </c>
      <c r="B435" t="s">
        <v>455</v>
      </c>
      <c r="C435" t="s">
        <v>477</v>
      </c>
      <c r="D435" t="s">
        <v>210</v>
      </c>
      <c r="E435" t="s">
        <v>212</v>
      </c>
      <c r="F435">
        <v>1</v>
      </c>
      <c r="G435" t="s">
        <v>498</v>
      </c>
      <c r="H435" s="4">
        <v>770936</v>
      </c>
      <c r="I435" s="4">
        <v>950367</v>
      </c>
      <c r="J435" s="3">
        <v>0.23274435231977753</v>
      </c>
      <c r="K435" s="3">
        <v>-0.18880179972579014</v>
      </c>
      <c r="L435" t="s">
        <v>54</v>
      </c>
    </row>
    <row r="436" spans="1:12" x14ac:dyDescent="0.25">
      <c r="A436" t="s">
        <v>487</v>
      </c>
      <c r="B436" t="s">
        <v>455</v>
      </c>
      <c r="C436" t="s">
        <v>477</v>
      </c>
      <c r="D436" t="s">
        <v>210</v>
      </c>
      <c r="E436" t="s">
        <v>212</v>
      </c>
      <c r="F436">
        <v>1</v>
      </c>
      <c r="G436" t="s">
        <v>499</v>
      </c>
      <c r="H436" s="4">
        <v>770936</v>
      </c>
      <c r="I436" s="4">
        <v>847222</v>
      </c>
      <c r="J436" s="3">
        <v>0.09895244222607325</v>
      </c>
      <c r="K436" s="3">
        <v>-0.09004251542098765</v>
      </c>
      <c r="L436" t="s">
        <v>54</v>
      </c>
    </row>
    <row r="437" spans="1:12" x14ac:dyDescent="0.25">
      <c r="A437" t="s">
        <v>487</v>
      </c>
      <c r="B437" t="s">
        <v>455</v>
      </c>
      <c r="C437" t="s">
        <v>477</v>
      </c>
      <c r="D437" t="s">
        <v>210</v>
      </c>
      <c r="E437" t="s">
        <v>214</v>
      </c>
      <c r="F437">
        <v>2</v>
      </c>
      <c r="G437" t="s">
        <v>488</v>
      </c>
      <c r="H437" s="4">
        <v>639678</v>
      </c>
      <c r="I437" s="4">
        <v>1218727.8972462597</v>
      </c>
      <c r="J437" s="3">
        <v>0.9052209037144622</v>
      </c>
      <c r="K437" s="3">
        <v>-0.47512648110758327</v>
      </c>
      <c r="L437" t="s">
        <v>54</v>
      </c>
    </row>
    <row r="438" spans="1:12" x14ac:dyDescent="0.25">
      <c r="A438" t="s">
        <v>487</v>
      </c>
      <c r="B438" t="s">
        <v>455</v>
      </c>
      <c r="C438" t="s">
        <v>477</v>
      </c>
      <c r="D438" t="s">
        <v>210</v>
      </c>
      <c r="E438" t="s">
        <v>214</v>
      </c>
      <c r="F438">
        <v>2</v>
      </c>
      <c r="G438" t="s">
        <v>498</v>
      </c>
      <c r="H438" s="4">
        <v>639678</v>
      </c>
      <c r="I438" s="4">
        <v>1041511</v>
      </c>
      <c r="J438" s="3">
        <v>0.6281801156206717</v>
      </c>
      <c r="K438" s="3">
        <v>-0.38581733654277295</v>
      </c>
      <c r="L438" t="s">
        <v>54</v>
      </c>
    </row>
    <row r="439" spans="1:12" x14ac:dyDescent="0.25">
      <c r="A439" t="s">
        <v>487</v>
      </c>
      <c r="B439" t="s">
        <v>455</v>
      </c>
      <c r="C439" t="s">
        <v>477</v>
      </c>
      <c r="D439" t="s">
        <v>210</v>
      </c>
      <c r="E439" t="s">
        <v>214</v>
      </c>
      <c r="F439">
        <v>2</v>
      </c>
      <c r="G439" t="s">
        <v>499</v>
      </c>
      <c r="H439" s="4">
        <v>639678</v>
      </c>
      <c r="I439" s="4">
        <v>847222</v>
      </c>
      <c r="J439" s="3">
        <v>0.32445073927819934</v>
      </c>
      <c r="K439" s="3">
        <v>-0.24497003146754923</v>
      </c>
      <c r="L439" t="s">
        <v>54</v>
      </c>
    </row>
    <row r="440" spans="1:12" x14ac:dyDescent="0.25">
      <c r="A440" t="s">
        <v>487</v>
      </c>
      <c r="B440" t="s">
        <v>455</v>
      </c>
      <c r="C440" t="s">
        <v>477</v>
      </c>
      <c r="D440" t="s">
        <v>210</v>
      </c>
      <c r="E440" t="s">
        <v>216</v>
      </c>
      <c r="F440">
        <v>3</v>
      </c>
      <c r="G440" t="s">
        <v>488</v>
      </c>
      <c r="H440" s="4">
        <v>886099</v>
      </c>
      <c r="I440" s="4">
        <v>1303911.5724410834</v>
      </c>
      <c r="J440" s="3">
        <v>0.4715190655232467</v>
      </c>
      <c r="K440" s="3">
        <v>-0.3204301436322761</v>
      </c>
      <c r="L440" t="s">
        <v>54</v>
      </c>
    </row>
    <row r="441" spans="1:12" x14ac:dyDescent="0.25">
      <c r="A441" t="s">
        <v>487</v>
      </c>
      <c r="B441" t="s">
        <v>455</v>
      </c>
      <c r="C441" t="s">
        <v>477</v>
      </c>
      <c r="D441" t="s">
        <v>210</v>
      </c>
      <c r="E441" t="s">
        <v>216</v>
      </c>
      <c r="F441">
        <v>3</v>
      </c>
      <c r="G441" t="s">
        <v>498</v>
      </c>
      <c r="H441" s="4">
        <v>886099</v>
      </c>
      <c r="I441" s="4">
        <v>1114308</v>
      </c>
      <c r="J441" s="3">
        <v>0.2575434573337742</v>
      </c>
      <c r="K441" s="3">
        <v>-0.2047988527408939</v>
      </c>
      <c r="L441" t="s">
        <v>54</v>
      </c>
    </row>
    <row r="442" spans="1:12" x14ac:dyDescent="0.25">
      <c r="A442" t="s">
        <v>487</v>
      </c>
      <c r="B442" t="s">
        <v>455</v>
      </c>
      <c r="C442" t="s">
        <v>477</v>
      </c>
      <c r="D442" t="s">
        <v>210</v>
      </c>
      <c r="E442" t="s">
        <v>216</v>
      </c>
      <c r="F442">
        <v>3</v>
      </c>
      <c r="G442" t="s">
        <v>499</v>
      </c>
      <c r="H442" s="4">
        <v>886099</v>
      </c>
      <c r="I442" s="4">
        <v>847222</v>
      </c>
      <c r="J442" s="3">
        <v>0.043874330069213485</v>
      </c>
      <c r="K442" s="3">
        <v>0.04588761859347373</v>
      </c>
      <c r="L442" t="s">
        <v>54</v>
      </c>
    </row>
    <row r="443" spans="1:12" x14ac:dyDescent="0.25">
      <c r="A443" t="s">
        <v>487</v>
      </c>
      <c r="B443" t="s">
        <v>455</v>
      </c>
      <c r="C443" t="s">
        <v>477</v>
      </c>
      <c r="D443" t="s">
        <v>212</v>
      </c>
      <c r="E443" t="s">
        <v>214</v>
      </c>
      <c r="F443">
        <v>1</v>
      </c>
      <c r="G443" t="s">
        <v>488</v>
      </c>
      <c r="H443" s="4">
        <v>639678</v>
      </c>
      <c r="I443" s="4">
        <v>1220673.9223865282</v>
      </c>
      <c r="J443" s="3">
        <v>0.9082630986004337</v>
      </c>
      <c r="K443" s="3">
        <v>-0.47596324598352074</v>
      </c>
      <c r="L443" t="s">
        <v>54</v>
      </c>
    </row>
    <row r="444" spans="1:12" x14ac:dyDescent="0.25">
      <c r="A444" t="s">
        <v>487</v>
      </c>
      <c r="B444" t="s">
        <v>455</v>
      </c>
      <c r="C444" t="s">
        <v>477</v>
      </c>
      <c r="D444" t="s">
        <v>212</v>
      </c>
      <c r="E444" t="s">
        <v>214</v>
      </c>
      <c r="F444">
        <v>1</v>
      </c>
      <c r="G444" t="s">
        <v>498</v>
      </c>
      <c r="H444" s="4">
        <v>639678</v>
      </c>
      <c r="I444" s="4">
        <v>1041511</v>
      </c>
      <c r="J444" s="3">
        <v>0.6281801156206717</v>
      </c>
      <c r="K444" s="3">
        <v>-0.38581733654277295</v>
      </c>
      <c r="L444" t="s">
        <v>54</v>
      </c>
    </row>
    <row r="445" spans="1:12" x14ac:dyDescent="0.25">
      <c r="A445" t="s">
        <v>487</v>
      </c>
      <c r="B445" t="s">
        <v>455</v>
      </c>
      <c r="C445" t="s">
        <v>477</v>
      </c>
      <c r="D445" t="s">
        <v>212</v>
      </c>
      <c r="E445" t="s">
        <v>214</v>
      </c>
      <c r="F445">
        <v>1</v>
      </c>
      <c r="G445" t="s">
        <v>499</v>
      </c>
      <c r="H445" s="4">
        <v>639678</v>
      </c>
      <c r="I445" s="4">
        <v>770936</v>
      </c>
      <c r="J445" s="3">
        <v>0.2051938631624036</v>
      </c>
      <c r="K445" s="3">
        <v>-0.170257972127388</v>
      </c>
      <c r="L445" t="s">
        <v>54</v>
      </c>
    </row>
    <row r="446" spans="1:12" x14ac:dyDescent="0.25">
      <c r="A446" t="s">
        <v>487</v>
      </c>
      <c r="B446" t="s">
        <v>455</v>
      </c>
      <c r="C446" t="s">
        <v>477</v>
      </c>
      <c r="D446" t="s">
        <v>212</v>
      </c>
      <c r="E446" t="s">
        <v>216</v>
      </c>
      <c r="F446">
        <v>2</v>
      </c>
      <c r="G446" t="s">
        <v>488</v>
      </c>
      <c r="H446" s="4">
        <v>886099</v>
      </c>
      <c r="I446" s="4">
        <v>1305993.6161084112</v>
      </c>
      <c r="J446" s="3">
        <v>0.4738687393941436</v>
      </c>
      <c r="K446" s="3">
        <v>-0.3215135288023916</v>
      </c>
      <c r="L446" t="s">
        <v>54</v>
      </c>
    </row>
    <row r="447" spans="1:12" x14ac:dyDescent="0.25">
      <c r="A447" t="s">
        <v>487</v>
      </c>
      <c r="B447" t="s">
        <v>455</v>
      </c>
      <c r="C447" t="s">
        <v>477</v>
      </c>
      <c r="D447" t="s">
        <v>212</v>
      </c>
      <c r="E447" t="s">
        <v>216</v>
      </c>
      <c r="F447">
        <v>2</v>
      </c>
      <c r="G447" t="s">
        <v>498</v>
      </c>
      <c r="H447" s="4">
        <v>886099</v>
      </c>
      <c r="I447" s="4">
        <v>1114308</v>
      </c>
      <c r="J447" s="3">
        <v>0.2575434573337742</v>
      </c>
      <c r="K447" s="3">
        <v>-0.2047988527408939</v>
      </c>
      <c r="L447" t="s">
        <v>54</v>
      </c>
    </row>
    <row r="448" spans="1:12" x14ac:dyDescent="0.25">
      <c r="A448" t="s">
        <v>487</v>
      </c>
      <c r="B448" t="s">
        <v>455</v>
      </c>
      <c r="C448" t="s">
        <v>477</v>
      </c>
      <c r="D448" t="s">
        <v>212</v>
      </c>
      <c r="E448" t="s">
        <v>216</v>
      </c>
      <c r="F448">
        <v>2</v>
      </c>
      <c r="G448" t="s">
        <v>499</v>
      </c>
      <c r="H448" s="4">
        <v>886099</v>
      </c>
      <c r="I448" s="4">
        <v>770936</v>
      </c>
      <c r="J448" s="3">
        <v>0.12996629044835847</v>
      </c>
      <c r="K448" s="3">
        <v>0.14938075274730978</v>
      </c>
      <c r="L448" t="s">
        <v>54</v>
      </c>
    </row>
    <row r="449" spans="1:12" x14ac:dyDescent="0.25">
      <c r="A449" t="s">
        <v>487</v>
      </c>
      <c r="B449" t="s">
        <v>455</v>
      </c>
      <c r="C449" t="s">
        <v>477</v>
      </c>
      <c r="D449" t="s">
        <v>212</v>
      </c>
      <c r="E449" t="s">
        <v>218</v>
      </c>
      <c r="F449">
        <v>3</v>
      </c>
      <c r="G449" t="s">
        <v>488</v>
      </c>
      <c r="H449" s="4">
        <v>560969</v>
      </c>
      <c r="I449" s="4">
        <v>1162941.2851480949</v>
      </c>
      <c r="J449" s="3">
        <v>1.0730936738894572</v>
      </c>
      <c r="K449" s="3">
        <v>-0.5176291295492503</v>
      </c>
      <c r="L449" t="s">
        <v>54</v>
      </c>
    </row>
    <row r="450" spans="1:12" x14ac:dyDescent="0.25">
      <c r="A450" t="s">
        <v>487</v>
      </c>
      <c r="B450" t="s">
        <v>455</v>
      </c>
      <c r="C450" t="s">
        <v>477</v>
      </c>
      <c r="D450" t="s">
        <v>212</v>
      </c>
      <c r="E450" t="s">
        <v>218</v>
      </c>
      <c r="F450">
        <v>3</v>
      </c>
      <c r="G450" t="s">
        <v>498</v>
      </c>
      <c r="H450" s="4">
        <v>560969</v>
      </c>
      <c r="I450" s="4">
        <v>992252</v>
      </c>
      <c r="J450" s="3">
        <v>0.768817884767251</v>
      </c>
      <c r="K450" s="3">
        <v>-0.43465067341763985</v>
      </c>
      <c r="L450" t="s">
        <v>54</v>
      </c>
    </row>
    <row r="451" spans="1:12" x14ac:dyDescent="0.25">
      <c r="A451" t="s">
        <v>487</v>
      </c>
      <c r="B451" t="s">
        <v>455</v>
      </c>
      <c r="C451" t="s">
        <v>477</v>
      </c>
      <c r="D451" t="s">
        <v>212</v>
      </c>
      <c r="E451" t="s">
        <v>218</v>
      </c>
      <c r="F451">
        <v>3</v>
      </c>
      <c r="G451" t="s">
        <v>499</v>
      </c>
      <c r="H451" s="4">
        <v>560969</v>
      </c>
      <c r="I451" s="4">
        <v>770936</v>
      </c>
      <c r="J451" s="3">
        <v>0.3742934101527892</v>
      </c>
      <c r="K451" s="3">
        <v>-0.2723533471001484</v>
      </c>
      <c r="L451" t="s">
        <v>54</v>
      </c>
    </row>
    <row r="452" spans="1:12" x14ac:dyDescent="0.25">
      <c r="A452" t="s">
        <v>487</v>
      </c>
      <c r="B452" t="s">
        <v>455</v>
      </c>
      <c r="C452" t="s">
        <v>477</v>
      </c>
      <c r="D452" t="s">
        <v>214</v>
      </c>
      <c r="E452" t="s">
        <v>216</v>
      </c>
      <c r="F452">
        <v>1</v>
      </c>
      <c r="G452" t="s">
        <v>488</v>
      </c>
      <c r="H452" s="4">
        <v>886099</v>
      </c>
      <c r="I452" s="4">
        <v>1245232.1884529917</v>
      </c>
      <c r="J452" s="3">
        <v>0.4052969120301362</v>
      </c>
      <c r="K452" s="3">
        <v>-0.2884066054373033</v>
      </c>
      <c r="L452" t="s">
        <v>54</v>
      </c>
    </row>
    <row r="453" spans="1:12" x14ac:dyDescent="0.25">
      <c r="A453" t="s">
        <v>487</v>
      </c>
      <c r="B453" t="s">
        <v>455</v>
      </c>
      <c r="C453" t="s">
        <v>477</v>
      </c>
      <c r="D453" t="s">
        <v>214</v>
      </c>
      <c r="E453" t="s">
        <v>216</v>
      </c>
      <c r="F453">
        <v>1</v>
      </c>
      <c r="G453" t="s">
        <v>498</v>
      </c>
      <c r="H453" s="4">
        <v>886099</v>
      </c>
      <c r="I453" s="4">
        <v>1114308</v>
      </c>
      <c r="J453" s="3">
        <v>0.2575434573337742</v>
      </c>
      <c r="K453" s="3">
        <v>-0.2047988527408939</v>
      </c>
      <c r="L453" t="s">
        <v>54</v>
      </c>
    </row>
    <row r="454" spans="1:12" x14ac:dyDescent="0.25">
      <c r="A454" t="s">
        <v>487</v>
      </c>
      <c r="B454" t="s">
        <v>455</v>
      </c>
      <c r="C454" t="s">
        <v>477</v>
      </c>
      <c r="D454" t="s">
        <v>214</v>
      </c>
      <c r="E454" t="s">
        <v>216</v>
      </c>
      <c r="F454">
        <v>1</v>
      </c>
      <c r="G454" t="s">
        <v>499</v>
      </c>
      <c r="H454" s="4">
        <v>886099</v>
      </c>
      <c r="I454" s="4">
        <v>639678</v>
      </c>
      <c r="J454" s="3">
        <v>0.27809646551908984</v>
      </c>
      <c r="K454" s="3">
        <v>0.38522662964804166</v>
      </c>
      <c r="L454" t="s">
        <v>54</v>
      </c>
    </row>
    <row r="455" spans="1:12" x14ac:dyDescent="0.25">
      <c r="A455" t="s">
        <v>487</v>
      </c>
      <c r="B455" t="s">
        <v>455</v>
      </c>
      <c r="C455" t="s">
        <v>477</v>
      </c>
      <c r="D455" t="s">
        <v>214</v>
      </c>
      <c r="E455" t="s">
        <v>218</v>
      </c>
      <c r="F455">
        <v>2</v>
      </c>
      <c r="G455" t="s">
        <v>488</v>
      </c>
      <c r="H455" s="4">
        <v>560969</v>
      </c>
      <c r="I455" s="4">
        <v>1108835.37536916</v>
      </c>
      <c r="J455" s="3">
        <v>0.976642872189301</v>
      </c>
      <c r="K455" s="3">
        <v>-0.4940917177960354</v>
      </c>
      <c r="L455" t="s">
        <v>54</v>
      </c>
    </row>
    <row r="456" spans="1:12" x14ac:dyDescent="0.25">
      <c r="A456" t="s">
        <v>487</v>
      </c>
      <c r="B456" t="s">
        <v>455</v>
      </c>
      <c r="C456" t="s">
        <v>477</v>
      </c>
      <c r="D456" t="s">
        <v>214</v>
      </c>
      <c r="E456" t="s">
        <v>218</v>
      </c>
      <c r="F456">
        <v>2</v>
      </c>
      <c r="G456" t="s">
        <v>498</v>
      </c>
      <c r="H456" s="4">
        <v>560969</v>
      </c>
      <c r="I456" s="4">
        <v>992252</v>
      </c>
      <c r="J456" s="3">
        <v>0.768817884767251</v>
      </c>
      <c r="K456" s="3">
        <v>-0.43465067341763985</v>
      </c>
      <c r="L456" t="s">
        <v>54</v>
      </c>
    </row>
    <row r="457" spans="1:12" x14ac:dyDescent="0.25">
      <c r="A457" t="s">
        <v>487</v>
      </c>
      <c r="B457" t="s">
        <v>455</v>
      </c>
      <c r="C457" t="s">
        <v>477</v>
      </c>
      <c r="D457" t="s">
        <v>214</v>
      </c>
      <c r="E457" t="s">
        <v>218</v>
      </c>
      <c r="F457">
        <v>2</v>
      </c>
      <c r="G457" t="s">
        <v>499</v>
      </c>
      <c r="H457" s="4">
        <v>560969</v>
      </c>
      <c r="I457" s="4">
        <v>639678</v>
      </c>
      <c r="J457" s="3">
        <v>0.14030900103214258</v>
      </c>
      <c r="K457" s="3">
        <v>-0.12304471937443526</v>
      </c>
      <c r="L457" t="s">
        <v>54</v>
      </c>
    </row>
    <row r="458" spans="1:12" x14ac:dyDescent="0.25">
      <c r="A458" t="s">
        <v>487</v>
      </c>
      <c r="B458" t="s">
        <v>455</v>
      </c>
      <c r="C458" t="s">
        <v>477</v>
      </c>
      <c r="D458" t="s">
        <v>214</v>
      </c>
      <c r="E458" t="s">
        <v>220</v>
      </c>
      <c r="F458">
        <v>3</v>
      </c>
      <c r="G458" t="s">
        <v>488</v>
      </c>
      <c r="H458" s="4">
        <v>785194</v>
      </c>
      <c r="I458" s="4">
        <v>882573.0700705867</v>
      </c>
      <c r="J458" s="3">
        <v>0.12401912147900614</v>
      </c>
      <c r="K458" s="3">
        <v>-0.11033541966423079</v>
      </c>
      <c r="L458" t="s">
        <v>54</v>
      </c>
    </row>
    <row r="459" spans="1:12" x14ac:dyDescent="0.25">
      <c r="A459" t="s">
        <v>487</v>
      </c>
      <c r="B459" t="s">
        <v>455</v>
      </c>
      <c r="C459" t="s">
        <v>477</v>
      </c>
      <c r="D459" t="s">
        <v>214</v>
      </c>
      <c r="E459" t="s">
        <v>220</v>
      </c>
      <c r="F459">
        <v>3</v>
      </c>
      <c r="G459" t="s">
        <v>498</v>
      </c>
      <c r="H459" s="4">
        <v>785194</v>
      </c>
      <c r="I459" s="4">
        <v>789779</v>
      </c>
      <c r="J459" s="3">
        <v>0.0058393212378087455</v>
      </c>
      <c r="K459" s="3">
        <v>-0.005805421516652126</v>
      </c>
      <c r="L459" t="s">
        <v>54</v>
      </c>
    </row>
    <row r="460" spans="1:12" x14ac:dyDescent="0.25">
      <c r="A460" t="s">
        <v>487</v>
      </c>
      <c r="B460" t="s">
        <v>455</v>
      </c>
      <c r="C460" t="s">
        <v>477</v>
      </c>
      <c r="D460" t="s">
        <v>214</v>
      </c>
      <c r="E460" t="s">
        <v>220</v>
      </c>
      <c r="F460">
        <v>3</v>
      </c>
      <c r="G460" t="s">
        <v>499</v>
      </c>
      <c r="H460" s="4">
        <v>785194</v>
      </c>
      <c r="I460" s="4">
        <v>639678</v>
      </c>
      <c r="J460" s="3">
        <v>0.18532490059781404</v>
      </c>
      <c r="K460" s="3">
        <v>0.2274832024862509</v>
      </c>
      <c r="L460" t="s">
        <v>54</v>
      </c>
    </row>
    <row r="461" spans="1:12" x14ac:dyDescent="0.25">
      <c r="A461" t="s">
        <v>487</v>
      </c>
      <c r="B461" t="s">
        <v>455</v>
      </c>
      <c r="C461" t="s">
        <v>477</v>
      </c>
      <c r="D461" t="s">
        <v>216</v>
      </c>
      <c r="E461" t="s">
        <v>218</v>
      </c>
      <c r="F461">
        <v>1</v>
      </c>
      <c r="G461" t="s">
        <v>488</v>
      </c>
      <c r="H461" s="4">
        <v>560969</v>
      </c>
      <c r="I461" s="4">
        <v>1072465.5087260683</v>
      </c>
      <c r="J461" s="3">
        <v>0.9118088677379111</v>
      </c>
      <c r="K461" s="3">
        <v>-0.4769351597457443</v>
      </c>
      <c r="L461" t="s">
        <v>54</v>
      </c>
    </row>
    <row r="462" spans="1:12" x14ac:dyDescent="0.25">
      <c r="A462" t="s">
        <v>487</v>
      </c>
      <c r="B462" t="s">
        <v>455</v>
      </c>
      <c r="C462" t="s">
        <v>477</v>
      </c>
      <c r="D462" t="s">
        <v>216</v>
      </c>
      <c r="E462" t="s">
        <v>218</v>
      </c>
      <c r="F462">
        <v>1</v>
      </c>
      <c r="G462" t="s">
        <v>498</v>
      </c>
      <c r="H462" s="4">
        <v>560969</v>
      </c>
      <c r="I462" s="4">
        <v>992252</v>
      </c>
      <c r="J462" s="3">
        <v>0.768817884767251</v>
      </c>
      <c r="K462" s="3">
        <v>-0.43465067341763985</v>
      </c>
      <c r="L462" t="s">
        <v>54</v>
      </c>
    </row>
    <row r="463" spans="1:12" x14ac:dyDescent="0.25">
      <c r="A463" t="s">
        <v>487</v>
      </c>
      <c r="B463" t="s">
        <v>455</v>
      </c>
      <c r="C463" t="s">
        <v>477</v>
      </c>
      <c r="D463" t="s">
        <v>216</v>
      </c>
      <c r="E463" t="s">
        <v>218</v>
      </c>
      <c r="F463">
        <v>1</v>
      </c>
      <c r="G463" t="s">
        <v>499</v>
      </c>
      <c r="H463" s="4">
        <v>560969</v>
      </c>
      <c r="I463" s="4">
        <v>886099</v>
      </c>
      <c r="J463" s="3">
        <v>0.5795863942570801</v>
      </c>
      <c r="K463" s="3">
        <v>-0.3669228833347064</v>
      </c>
      <c r="L463" t="s">
        <v>54</v>
      </c>
    </row>
    <row r="464" spans="1:12" x14ac:dyDescent="0.25">
      <c r="A464" t="s">
        <v>487</v>
      </c>
      <c r="B464" t="s">
        <v>455</v>
      </c>
      <c r="C464" t="s">
        <v>477</v>
      </c>
      <c r="D464" t="s">
        <v>216</v>
      </c>
      <c r="E464" t="s">
        <v>220</v>
      </c>
      <c r="F464">
        <v>2</v>
      </c>
      <c r="G464" t="s">
        <v>488</v>
      </c>
      <c r="H464" s="4">
        <v>785194</v>
      </c>
      <c r="I464" s="4">
        <v>853624.6205763913</v>
      </c>
      <c r="J464" s="3">
        <v>0.08715122705521355</v>
      </c>
      <c r="K464" s="3">
        <v>-0.08016476906463296</v>
      </c>
      <c r="L464" t="s">
        <v>54</v>
      </c>
    </row>
    <row r="465" spans="1:12" x14ac:dyDescent="0.25">
      <c r="A465" t="s">
        <v>487</v>
      </c>
      <c r="B465" t="s">
        <v>455</v>
      </c>
      <c r="C465" t="s">
        <v>477</v>
      </c>
      <c r="D465" t="s">
        <v>216</v>
      </c>
      <c r="E465" t="s">
        <v>220</v>
      </c>
      <c r="F465">
        <v>2</v>
      </c>
      <c r="G465" t="s">
        <v>498</v>
      </c>
      <c r="H465" s="4">
        <v>785194</v>
      </c>
      <c r="I465" s="4">
        <v>789779</v>
      </c>
      <c r="J465" s="3">
        <v>0.0058393212378087455</v>
      </c>
      <c r="K465" s="3">
        <v>-0.005805421516652126</v>
      </c>
      <c r="L465" t="s">
        <v>54</v>
      </c>
    </row>
    <row r="466" spans="1:12" x14ac:dyDescent="0.25">
      <c r="A466" t="s">
        <v>487</v>
      </c>
      <c r="B466" t="s">
        <v>455</v>
      </c>
      <c r="C466" t="s">
        <v>477</v>
      </c>
      <c r="D466" t="s">
        <v>216</v>
      </c>
      <c r="E466" t="s">
        <v>220</v>
      </c>
      <c r="F466">
        <v>2</v>
      </c>
      <c r="G466" t="s">
        <v>499</v>
      </c>
      <c r="H466" s="4">
        <v>785194</v>
      </c>
      <c r="I466" s="4">
        <v>886099</v>
      </c>
      <c r="J466" s="3">
        <v>0.12850964220307337</v>
      </c>
      <c r="K466" s="3">
        <v>-0.11387553760922876</v>
      </c>
      <c r="L466" t="s">
        <v>54</v>
      </c>
    </row>
    <row r="467" spans="1:12" x14ac:dyDescent="0.25">
      <c r="A467" t="s">
        <v>487</v>
      </c>
      <c r="B467" t="s">
        <v>455</v>
      </c>
      <c r="C467" t="s">
        <v>477</v>
      </c>
      <c r="D467" t="s">
        <v>216</v>
      </c>
      <c r="E467" t="s">
        <v>222</v>
      </c>
      <c r="F467">
        <v>3</v>
      </c>
      <c r="G467" t="s">
        <v>488</v>
      </c>
      <c r="H467" s="4">
        <v>864482</v>
      </c>
      <c r="I467" s="4">
        <v>1521418.2830430581</v>
      </c>
      <c r="J467" s="3">
        <v>0.7599189839037228</v>
      </c>
      <c r="K467" s="3">
        <v>-0.431792026140957</v>
      </c>
      <c r="L467" t="s">
        <v>54</v>
      </c>
    </row>
    <row r="468" spans="1:12" x14ac:dyDescent="0.25">
      <c r="A468" t="s">
        <v>487</v>
      </c>
      <c r="B468" t="s">
        <v>455</v>
      </c>
      <c r="C468" t="s">
        <v>477</v>
      </c>
      <c r="D468" t="s">
        <v>216</v>
      </c>
      <c r="E468" t="s">
        <v>222</v>
      </c>
      <c r="F468">
        <v>3</v>
      </c>
      <c r="G468" t="s">
        <v>498</v>
      </c>
      <c r="H468" s="4">
        <v>864482</v>
      </c>
      <c r="I468" s="4">
        <v>1407626</v>
      </c>
      <c r="J468" s="3">
        <v>0.6282883854146183</v>
      </c>
      <c r="K468" s="3">
        <v>-0.3858581753960214</v>
      </c>
      <c r="L468" t="s">
        <v>54</v>
      </c>
    </row>
    <row r="469" spans="1:12" x14ac:dyDescent="0.25">
      <c r="A469" t="s">
        <v>487</v>
      </c>
      <c r="B469" t="s">
        <v>455</v>
      </c>
      <c r="C469" t="s">
        <v>477</v>
      </c>
      <c r="D469" t="s">
        <v>216</v>
      </c>
      <c r="E469" t="s">
        <v>222</v>
      </c>
      <c r="F469">
        <v>3</v>
      </c>
      <c r="G469" t="s">
        <v>499</v>
      </c>
      <c r="H469" s="4">
        <v>864482</v>
      </c>
      <c r="I469" s="4">
        <v>886099</v>
      </c>
      <c r="J469" s="3">
        <v>0.02500572597231637</v>
      </c>
      <c r="K469" s="3">
        <v>-0.024395693934876353</v>
      </c>
      <c r="L469" t="s">
        <v>54</v>
      </c>
    </row>
    <row r="470" spans="1:12" x14ac:dyDescent="0.25">
      <c r="A470" t="s">
        <v>487</v>
      </c>
      <c r="B470" t="s">
        <v>455</v>
      </c>
      <c r="C470" t="s">
        <v>477</v>
      </c>
      <c r="D470" t="s">
        <v>218</v>
      </c>
      <c r="E470" t="s">
        <v>220</v>
      </c>
      <c r="F470">
        <v>1</v>
      </c>
      <c r="G470" t="s">
        <v>488</v>
      </c>
      <c r="H470" s="4">
        <v>785194</v>
      </c>
      <c r="I470" s="4">
        <v>825895.9254511129</v>
      </c>
      <c r="J470" s="3">
        <v>0.05183677594468744</v>
      </c>
      <c r="K470" s="3">
        <v>-0.049282148266903116</v>
      </c>
      <c r="L470" t="s">
        <v>54</v>
      </c>
    </row>
    <row r="471" spans="1:12" x14ac:dyDescent="0.25">
      <c r="A471" t="s">
        <v>487</v>
      </c>
      <c r="B471" t="s">
        <v>455</v>
      </c>
      <c r="C471" t="s">
        <v>477</v>
      </c>
      <c r="D471" t="s">
        <v>218</v>
      </c>
      <c r="E471" t="s">
        <v>220</v>
      </c>
      <c r="F471">
        <v>1</v>
      </c>
      <c r="G471" t="s">
        <v>498</v>
      </c>
      <c r="H471" s="4">
        <v>785194</v>
      </c>
      <c r="I471" s="4">
        <v>789779</v>
      </c>
      <c r="J471" s="3">
        <v>0.0058393212378087455</v>
      </c>
      <c r="K471" s="3">
        <v>-0.005805421516652126</v>
      </c>
      <c r="L471" t="s">
        <v>54</v>
      </c>
    </row>
    <row r="472" spans="1:12" x14ac:dyDescent="0.25">
      <c r="A472" t="s">
        <v>487</v>
      </c>
      <c r="B472" t="s">
        <v>455</v>
      </c>
      <c r="C472" t="s">
        <v>477</v>
      </c>
      <c r="D472" t="s">
        <v>218</v>
      </c>
      <c r="E472" t="s">
        <v>220</v>
      </c>
      <c r="F472">
        <v>1</v>
      </c>
      <c r="G472" t="s">
        <v>499</v>
      </c>
      <c r="H472" s="4">
        <v>785194</v>
      </c>
      <c r="I472" s="4">
        <v>560969</v>
      </c>
      <c r="J472" s="3">
        <v>0.2855663695850962</v>
      </c>
      <c r="K472" s="3">
        <v>0.39971014441083197</v>
      </c>
      <c r="L472" t="s">
        <v>54</v>
      </c>
    </row>
    <row r="473" spans="1:12" x14ac:dyDescent="0.25">
      <c r="A473" t="s">
        <v>487</v>
      </c>
      <c r="B473" t="s">
        <v>455</v>
      </c>
      <c r="C473" t="s">
        <v>477</v>
      </c>
      <c r="D473" t="s">
        <v>218</v>
      </c>
      <c r="E473" t="s">
        <v>222</v>
      </c>
      <c r="F473">
        <v>2</v>
      </c>
      <c r="G473" t="s">
        <v>488</v>
      </c>
      <c r="H473" s="4">
        <v>864482</v>
      </c>
      <c r="I473" s="4">
        <v>1471997.3283146909</v>
      </c>
      <c r="J473" s="3">
        <v>0.7027506973131781</v>
      </c>
      <c r="K473" s="3">
        <v>-0.412714966684242</v>
      </c>
      <c r="L473" t="s">
        <v>54</v>
      </c>
    </row>
    <row r="474" spans="1:12" x14ac:dyDescent="0.25">
      <c r="A474" t="s">
        <v>487</v>
      </c>
      <c r="B474" t="s">
        <v>455</v>
      </c>
      <c r="C474" t="s">
        <v>477</v>
      </c>
      <c r="D474" t="s">
        <v>218</v>
      </c>
      <c r="E474" t="s">
        <v>222</v>
      </c>
      <c r="F474">
        <v>2</v>
      </c>
      <c r="G474" t="s">
        <v>498</v>
      </c>
      <c r="H474" s="4">
        <v>864482</v>
      </c>
      <c r="I474" s="4">
        <v>1407626</v>
      </c>
      <c r="J474" s="3">
        <v>0.6282883854146183</v>
      </c>
      <c r="K474" s="3">
        <v>-0.3858581753960214</v>
      </c>
      <c r="L474" t="s">
        <v>54</v>
      </c>
    </row>
    <row r="475" spans="1:12" x14ac:dyDescent="0.25">
      <c r="A475" t="s">
        <v>487</v>
      </c>
      <c r="B475" t="s">
        <v>455</v>
      </c>
      <c r="C475" t="s">
        <v>477</v>
      </c>
      <c r="D475" t="s">
        <v>218</v>
      </c>
      <c r="E475" t="s">
        <v>222</v>
      </c>
      <c r="F475">
        <v>2</v>
      </c>
      <c r="G475" t="s">
        <v>499</v>
      </c>
      <c r="H475" s="4">
        <v>864482</v>
      </c>
      <c r="I475" s="4">
        <v>560969</v>
      </c>
      <c r="J475" s="3">
        <v>0.3510923304360299</v>
      </c>
      <c r="K475" s="3">
        <v>0.5410512880390895</v>
      </c>
      <c r="L475" t="s">
        <v>54</v>
      </c>
    </row>
    <row r="476" spans="1:12" x14ac:dyDescent="0.25">
      <c r="A476" t="s">
        <v>487</v>
      </c>
      <c r="B476" t="s">
        <v>455</v>
      </c>
      <c r="C476" t="s">
        <v>477</v>
      </c>
      <c r="D476" t="s">
        <v>218</v>
      </c>
      <c r="E476" t="s">
        <v>224</v>
      </c>
      <c r="F476">
        <v>3</v>
      </c>
      <c r="G476" t="s">
        <v>488</v>
      </c>
      <c r="H476" s="4">
        <v>675371</v>
      </c>
      <c r="I476" s="4">
        <v>695746.4088271022</v>
      </c>
      <c r="J476" s="3">
        <v>0.030169208963817164</v>
      </c>
      <c r="K476" s="3">
        <v>-0.02928568307158247</v>
      </c>
      <c r="L476" t="s">
        <v>54</v>
      </c>
    </row>
    <row r="477" spans="1:12" x14ac:dyDescent="0.25">
      <c r="A477" t="s">
        <v>487</v>
      </c>
      <c r="B477" t="s">
        <v>455</v>
      </c>
      <c r="C477" t="s">
        <v>477</v>
      </c>
      <c r="D477" t="s">
        <v>218</v>
      </c>
      <c r="E477" t="s">
        <v>224</v>
      </c>
      <c r="F477">
        <v>3</v>
      </c>
      <c r="G477" t="s">
        <v>498</v>
      </c>
      <c r="H477" s="4">
        <v>675371</v>
      </c>
      <c r="I477" s="4">
        <v>665321</v>
      </c>
      <c r="J477" s="3">
        <v>0.0148807100097576</v>
      </c>
      <c r="K477" s="3">
        <v>0.015105490432437876</v>
      </c>
      <c r="L477" t="s">
        <v>54</v>
      </c>
    </row>
    <row r="478" spans="1:12" x14ac:dyDescent="0.25">
      <c r="A478" t="s">
        <v>487</v>
      </c>
      <c r="B478" t="s">
        <v>455</v>
      </c>
      <c r="C478" t="s">
        <v>477</v>
      </c>
      <c r="D478" t="s">
        <v>218</v>
      </c>
      <c r="E478" t="s">
        <v>224</v>
      </c>
      <c r="F478">
        <v>3</v>
      </c>
      <c r="G478" t="s">
        <v>499</v>
      </c>
      <c r="H478" s="4">
        <v>675371</v>
      </c>
      <c r="I478" s="4">
        <v>560969</v>
      </c>
      <c r="J478" s="3">
        <v>0.16939134194390934</v>
      </c>
      <c r="K478" s="3">
        <v>0.2039364029028342</v>
      </c>
      <c r="L478" t="s">
        <v>54</v>
      </c>
    </row>
    <row r="479" spans="1:12" x14ac:dyDescent="0.25">
      <c r="A479" t="s">
        <v>487</v>
      </c>
      <c r="B479" t="s">
        <v>455</v>
      </c>
      <c r="C479" t="s">
        <v>477</v>
      </c>
      <c r="D479" t="s">
        <v>220</v>
      </c>
      <c r="E479" t="s">
        <v>222</v>
      </c>
      <c r="F479">
        <v>1</v>
      </c>
      <c r="G479" t="s">
        <v>488</v>
      </c>
      <c r="H479" s="4">
        <v>864482</v>
      </c>
      <c r="I479" s="4">
        <v>1440046.070935784</v>
      </c>
      <c r="J479" s="3">
        <v>0.6657906942374554</v>
      </c>
      <c r="K479" s="3">
        <v>-0.39968448409554397</v>
      </c>
      <c r="L479" t="s">
        <v>54</v>
      </c>
    </row>
    <row r="480" spans="1:12" x14ac:dyDescent="0.25">
      <c r="A480" t="s">
        <v>487</v>
      </c>
      <c r="B480" t="s">
        <v>455</v>
      </c>
      <c r="C480" t="s">
        <v>477</v>
      </c>
      <c r="D480" t="s">
        <v>220</v>
      </c>
      <c r="E480" t="s">
        <v>222</v>
      </c>
      <c r="F480">
        <v>1</v>
      </c>
      <c r="G480" t="s">
        <v>498</v>
      </c>
      <c r="H480" s="4">
        <v>864482</v>
      </c>
      <c r="I480" s="4">
        <v>1407626</v>
      </c>
      <c r="J480" s="3">
        <v>0.6282883854146183</v>
      </c>
      <c r="K480" s="3">
        <v>-0.3858581753960214</v>
      </c>
      <c r="L480" t="s">
        <v>54</v>
      </c>
    </row>
    <row r="481" spans="1:12" x14ac:dyDescent="0.25">
      <c r="A481" t="s">
        <v>487</v>
      </c>
      <c r="B481" t="s">
        <v>455</v>
      </c>
      <c r="C481" t="s">
        <v>477</v>
      </c>
      <c r="D481" t="s">
        <v>220</v>
      </c>
      <c r="E481" t="s">
        <v>222</v>
      </c>
      <c r="F481">
        <v>1</v>
      </c>
      <c r="G481" t="s">
        <v>499</v>
      </c>
      <c r="H481" s="4">
        <v>864482</v>
      </c>
      <c r="I481" s="4">
        <v>785194</v>
      </c>
      <c r="J481" s="3">
        <v>0.09171735212531898</v>
      </c>
      <c r="K481" s="3">
        <v>0.10097886636933039</v>
      </c>
      <c r="L481" t="s">
        <v>54</v>
      </c>
    </row>
    <row r="482" spans="1:12" x14ac:dyDescent="0.25">
      <c r="A482" t="s">
        <v>487</v>
      </c>
      <c r="B482" t="s">
        <v>455</v>
      </c>
      <c r="C482" t="s">
        <v>477</v>
      </c>
      <c r="D482" t="s">
        <v>220</v>
      </c>
      <c r="E482" t="s">
        <v>224</v>
      </c>
      <c r="F482">
        <v>2</v>
      </c>
      <c r="G482" t="s">
        <v>488</v>
      </c>
      <c r="H482" s="4">
        <v>675371</v>
      </c>
      <c r="I482" s="4">
        <v>680644.4978716412</v>
      </c>
      <c r="J482" s="3">
        <v>0.007808297767658348</v>
      </c>
      <c r="K482" s="3">
        <v>-0.007747800633269329</v>
      </c>
      <c r="L482" t="s">
        <v>54</v>
      </c>
    </row>
    <row r="483" spans="1:12" x14ac:dyDescent="0.25">
      <c r="A483" t="s">
        <v>487</v>
      </c>
      <c r="B483" t="s">
        <v>455</v>
      </c>
      <c r="C483" t="s">
        <v>477</v>
      </c>
      <c r="D483" t="s">
        <v>220</v>
      </c>
      <c r="E483" t="s">
        <v>224</v>
      </c>
      <c r="F483">
        <v>2</v>
      </c>
      <c r="G483" t="s">
        <v>498</v>
      </c>
      <c r="H483" s="4">
        <v>675371</v>
      </c>
      <c r="I483" s="4">
        <v>665321</v>
      </c>
      <c r="J483" s="3">
        <v>0.0148807100097576</v>
      </c>
      <c r="K483" s="3">
        <v>0.015105490432437876</v>
      </c>
      <c r="L483" t="s">
        <v>54</v>
      </c>
    </row>
    <row r="484" spans="1:12" x14ac:dyDescent="0.25">
      <c r="A484" t="s">
        <v>487</v>
      </c>
      <c r="B484" t="s">
        <v>455</v>
      </c>
      <c r="C484" t="s">
        <v>477</v>
      </c>
      <c r="D484" t="s">
        <v>220</v>
      </c>
      <c r="E484" t="s">
        <v>224</v>
      </c>
      <c r="F484">
        <v>2</v>
      </c>
      <c r="G484" t="s">
        <v>499</v>
      </c>
      <c r="H484" s="4">
        <v>675371</v>
      </c>
      <c r="I484" s="4">
        <v>785194</v>
      </c>
      <c r="J484" s="3">
        <v>0.162611364716578</v>
      </c>
      <c r="K484" s="3">
        <v>-0.1398673448854678</v>
      </c>
      <c r="L484" t="s">
        <v>54</v>
      </c>
    </row>
    <row r="485" spans="1:12" x14ac:dyDescent="0.25">
      <c r="A485" t="s">
        <v>487</v>
      </c>
      <c r="B485" t="s">
        <v>455</v>
      </c>
      <c r="C485" t="s">
        <v>477</v>
      </c>
      <c r="D485" t="s">
        <v>220</v>
      </c>
      <c r="E485" t="s">
        <v>226</v>
      </c>
      <c r="F485">
        <v>3</v>
      </c>
      <c r="G485" t="s">
        <v>488</v>
      </c>
      <c r="H485" s="4">
        <v>414948</v>
      </c>
      <c r="I485" s="4">
        <v>382583.1784492863</v>
      </c>
      <c r="J485" s="3">
        <v>0.07799729496398025</v>
      </c>
      <c r="K485" s="3">
        <v>0.08459551641004474</v>
      </c>
      <c r="L485" t="s">
        <v>54</v>
      </c>
    </row>
    <row r="486" spans="1:12" x14ac:dyDescent="0.25">
      <c r="A486" t="s">
        <v>487</v>
      </c>
      <c r="B486" t="s">
        <v>455</v>
      </c>
      <c r="C486" t="s">
        <v>477</v>
      </c>
      <c r="D486" t="s">
        <v>220</v>
      </c>
      <c r="E486" t="s">
        <v>226</v>
      </c>
      <c r="F486">
        <v>3</v>
      </c>
      <c r="G486" t="s">
        <v>498</v>
      </c>
      <c r="H486" s="4">
        <v>414948</v>
      </c>
      <c r="I486" s="4">
        <v>373970</v>
      </c>
      <c r="J486" s="3">
        <v>0.09875454273788523</v>
      </c>
      <c r="K486" s="3">
        <v>0.10957563440917721</v>
      </c>
      <c r="L486" t="s">
        <v>54</v>
      </c>
    </row>
    <row r="487" spans="1:12" x14ac:dyDescent="0.25">
      <c r="A487" t="s">
        <v>487</v>
      </c>
      <c r="B487" t="s">
        <v>455</v>
      </c>
      <c r="C487" t="s">
        <v>477</v>
      </c>
      <c r="D487" t="s">
        <v>220</v>
      </c>
      <c r="E487" t="s">
        <v>226</v>
      </c>
      <c r="F487">
        <v>3</v>
      </c>
      <c r="G487" t="s">
        <v>499</v>
      </c>
      <c r="H487" s="4">
        <v>414948</v>
      </c>
      <c r="I487" s="4">
        <v>785194</v>
      </c>
      <c r="J487" s="3">
        <v>0.8922708387556995</v>
      </c>
      <c r="K487" s="3">
        <v>-0.47153442333996437</v>
      </c>
      <c r="L487" t="s">
        <v>54</v>
      </c>
    </row>
    <row r="488" spans="1:12" x14ac:dyDescent="0.25">
      <c r="A488" t="s">
        <v>487</v>
      </c>
      <c r="B488" t="s">
        <v>455</v>
      </c>
      <c r="C488" t="s">
        <v>477</v>
      </c>
      <c r="D488" t="s">
        <v>222</v>
      </c>
      <c r="E488" t="s">
        <v>224</v>
      </c>
      <c r="F488">
        <v>1</v>
      </c>
      <c r="G488" t="s">
        <v>488</v>
      </c>
      <c r="H488" s="4">
        <v>675371</v>
      </c>
      <c r="I488" s="4">
        <v>606171.4137526853</v>
      </c>
      <c r="J488" s="3">
        <v>0.10246158962601992</v>
      </c>
      <c r="K488" s="3">
        <v>0.11415844541218792</v>
      </c>
      <c r="L488" t="s">
        <v>54</v>
      </c>
    </row>
    <row r="489" spans="1:12" x14ac:dyDescent="0.25">
      <c r="A489" t="s">
        <v>487</v>
      </c>
      <c r="B489" t="s">
        <v>455</v>
      </c>
      <c r="C489" t="s">
        <v>477</v>
      </c>
      <c r="D489" t="s">
        <v>222</v>
      </c>
      <c r="E489" t="s">
        <v>224</v>
      </c>
      <c r="F489">
        <v>1</v>
      </c>
      <c r="G489" t="s">
        <v>498</v>
      </c>
      <c r="H489" s="4">
        <v>675371</v>
      </c>
      <c r="I489" s="4">
        <v>665321</v>
      </c>
      <c r="J489" s="3">
        <v>0.0148807100097576</v>
      </c>
      <c r="K489" s="3">
        <v>0.015105490432437876</v>
      </c>
      <c r="L489" t="s">
        <v>54</v>
      </c>
    </row>
    <row r="490" spans="1:12" x14ac:dyDescent="0.25">
      <c r="A490" t="s">
        <v>487</v>
      </c>
      <c r="B490" t="s">
        <v>455</v>
      </c>
      <c r="C490" t="s">
        <v>477</v>
      </c>
      <c r="D490" t="s">
        <v>222</v>
      </c>
      <c r="E490" t="s">
        <v>224</v>
      </c>
      <c r="F490">
        <v>1</v>
      </c>
      <c r="G490" t="s">
        <v>499</v>
      </c>
      <c r="H490" s="4">
        <v>675371</v>
      </c>
      <c r="I490" s="4">
        <v>864482</v>
      </c>
      <c r="J490" s="3">
        <v>0.28001054235375816</v>
      </c>
      <c r="K490" s="3">
        <v>-0.21875643448909288</v>
      </c>
      <c r="L490" t="s">
        <v>54</v>
      </c>
    </row>
    <row r="491" spans="1:12" x14ac:dyDescent="0.25">
      <c r="A491" t="s">
        <v>487</v>
      </c>
      <c r="B491" t="s">
        <v>455</v>
      </c>
      <c r="C491" t="s">
        <v>477</v>
      </c>
      <c r="D491" t="s">
        <v>222</v>
      </c>
      <c r="E491" t="s">
        <v>226</v>
      </c>
      <c r="F491">
        <v>2</v>
      </c>
      <c r="G491" t="s">
        <v>488</v>
      </c>
      <c r="H491" s="4">
        <v>414948</v>
      </c>
      <c r="I491" s="4">
        <v>340722.6340384442</v>
      </c>
      <c r="J491" s="3">
        <v>0.17887871724060797</v>
      </c>
      <c r="K491" s="3">
        <v>0.21784688936509233</v>
      </c>
      <c r="L491" t="s">
        <v>54</v>
      </c>
    </row>
    <row r="492" spans="1:12" x14ac:dyDescent="0.25">
      <c r="A492" t="s">
        <v>487</v>
      </c>
      <c r="B492" t="s">
        <v>455</v>
      </c>
      <c r="C492" t="s">
        <v>477</v>
      </c>
      <c r="D492" t="s">
        <v>222</v>
      </c>
      <c r="E492" t="s">
        <v>226</v>
      </c>
      <c r="F492">
        <v>2</v>
      </c>
      <c r="G492" t="s">
        <v>498</v>
      </c>
      <c r="H492" s="4">
        <v>414948</v>
      </c>
      <c r="I492" s="4">
        <v>373970</v>
      </c>
      <c r="J492" s="3">
        <v>0.09875454273788523</v>
      </c>
      <c r="K492" s="3">
        <v>0.10957563440917721</v>
      </c>
      <c r="L492" t="s">
        <v>54</v>
      </c>
    </row>
    <row r="493" spans="1:12" x14ac:dyDescent="0.25">
      <c r="A493" t="s">
        <v>487</v>
      </c>
      <c r="B493" t="s">
        <v>455</v>
      </c>
      <c r="C493" t="s">
        <v>477</v>
      </c>
      <c r="D493" t="s">
        <v>222</v>
      </c>
      <c r="E493" t="s">
        <v>226</v>
      </c>
      <c r="F493">
        <v>2</v>
      </c>
      <c r="G493" t="s">
        <v>499</v>
      </c>
      <c r="H493" s="4">
        <v>414948</v>
      </c>
      <c r="I493" s="4">
        <v>864482</v>
      </c>
      <c r="J493" s="3">
        <v>1.083350202916992</v>
      </c>
      <c r="K493" s="3">
        <v>-0.5200038867206026</v>
      </c>
      <c r="L493" t="s">
        <v>54</v>
      </c>
    </row>
    <row r="494" spans="1:12" x14ac:dyDescent="0.25">
      <c r="A494" t="s">
        <v>487</v>
      </c>
      <c r="B494" t="s">
        <v>455</v>
      </c>
      <c r="C494" t="s">
        <v>477</v>
      </c>
      <c r="D494" t="s">
        <v>222</v>
      </c>
      <c r="E494" t="s">
        <v>228</v>
      </c>
      <c r="F494">
        <v>3</v>
      </c>
      <c r="G494" t="s">
        <v>488</v>
      </c>
      <c r="H494" s="4">
        <v>578172</v>
      </c>
      <c r="I494" s="4">
        <v>695753.122303002</v>
      </c>
      <c r="J494" s="3">
        <v>0.20336702971261503</v>
      </c>
      <c r="K494" s="3">
        <v>-0.16899833940205475</v>
      </c>
      <c r="L494" t="s">
        <v>54</v>
      </c>
    </row>
    <row r="495" spans="1:12" x14ac:dyDescent="0.25">
      <c r="A495" t="s">
        <v>487</v>
      </c>
      <c r="B495" t="s">
        <v>455</v>
      </c>
      <c r="C495" t="s">
        <v>477</v>
      </c>
      <c r="D495" t="s">
        <v>222</v>
      </c>
      <c r="E495" t="s">
        <v>228</v>
      </c>
      <c r="F495">
        <v>3</v>
      </c>
      <c r="G495" t="s">
        <v>498</v>
      </c>
      <c r="H495" s="4">
        <v>578172</v>
      </c>
      <c r="I495" s="4">
        <v>763644</v>
      </c>
      <c r="J495" s="3">
        <v>0.32079035304373094</v>
      </c>
      <c r="K495" s="3">
        <v>-0.24287757122428777</v>
      </c>
      <c r="L495" t="s">
        <v>54</v>
      </c>
    </row>
    <row r="496" spans="1:12" x14ac:dyDescent="0.25">
      <c r="A496" t="s">
        <v>487</v>
      </c>
      <c r="B496" t="s">
        <v>455</v>
      </c>
      <c r="C496" t="s">
        <v>477</v>
      </c>
      <c r="D496" t="s">
        <v>222</v>
      </c>
      <c r="E496" t="s">
        <v>228</v>
      </c>
      <c r="F496">
        <v>3</v>
      </c>
      <c r="G496" t="s">
        <v>499</v>
      </c>
      <c r="H496" s="4">
        <v>578172</v>
      </c>
      <c r="I496" s="4">
        <v>864482</v>
      </c>
      <c r="J496" s="3">
        <v>0.4951986606061864</v>
      </c>
      <c r="K496" s="3">
        <v>-0.33119255230299766</v>
      </c>
      <c r="L496" t="s">
        <v>54</v>
      </c>
    </row>
    <row r="497" spans="1:12" x14ac:dyDescent="0.25">
      <c r="A497" t="s">
        <v>487</v>
      </c>
      <c r="B497" t="s">
        <v>455</v>
      </c>
      <c r="C497" t="s">
        <v>477</v>
      </c>
      <c r="D497" t="s">
        <v>224</v>
      </c>
      <c r="E497" t="s">
        <v>226</v>
      </c>
      <c r="F497">
        <v>1</v>
      </c>
      <c r="G497" t="s">
        <v>488</v>
      </c>
      <c r="H497" s="4">
        <v>414948</v>
      </c>
      <c r="I497" s="4">
        <v>348882.60597060766</v>
      </c>
      <c r="J497" s="3">
        <v>0.15921367021745456</v>
      </c>
      <c r="K497" s="3">
        <v>0.1893628197530666</v>
      </c>
      <c r="L497" t="s">
        <v>54</v>
      </c>
    </row>
    <row r="498" spans="1:12" x14ac:dyDescent="0.25">
      <c r="A498" t="s">
        <v>487</v>
      </c>
      <c r="B498" t="s">
        <v>455</v>
      </c>
      <c r="C498" t="s">
        <v>477</v>
      </c>
      <c r="D498" t="s">
        <v>224</v>
      </c>
      <c r="E498" t="s">
        <v>226</v>
      </c>
      <c r="F498">
        <v>1</v>
      </c>
      <c r="G498" t="s">
        <v>498</v>
      </c>
      <c r="H498" s="4">
        <v>414948</v>
      </c>
      <c r="I498" s="4">
        <v>373970</v>
      </c>
      <c r="J498" s="3">
        <v>0.09875454273788523</v>
      </c>
      <c r="K498" s="3">
        <v>0.10957563440917721</v>
      </c>
      <c r="L498" t="s">
        <v>54</v>
      </c>
    </row>
    <row r="499" spans="1:12" x14ac:dyDescent="0.25">
      <c r="A499" t="s">
        <v>487</v>
      </c>
      <c r="B499" t="s">
        <v>455</v>
      </c>
      <c r="C499" t="s">
        <v>477</v>
      </c>
      <c r="D499" t="s">
        <v>224</v>
      </c>
      <c r="E499" t="s">
        <v>226</v>
      </c>
      <c r="F499">
        <v>1</v>
      </c>
      <c r="G499" t="s">
        <v>499</v>
      </c>
      <c r="H499" s="4">
        <v>414948</v>
      </c>
      <c r="I499" s="4">
        <v>675371</v>
      </c>
      <c r="J499" s="3">
        <v>0.6276039407347427</v>
      </c>
      <c r="K499" s="3">
        <v>-0.38559991471354266</v>
      </c>
      <c r="L499" t="s">
        <v>54</v>
      </c>
    </row>
    <row r="500" spans="1:12" x14ac:dyDescent="0.25">
      <c r="A500" t="s">
        <v>487</v>
      </c>
      <c r="B500" t="s">
        <v>455</v>
      </c>
      <c r="C500" t="s">
        <v>477</v>
      </c>
      <c r="D500" t="s">
        <v>224</v>
      </c>
      <c r="E500" t="s">
        <v>228</v>
      </c>
      <c r="F500">
        <v>2</v>
      </c>
      <c r="G500" t="s">
        <v>488</v>
      </c>
      <c r="H500" s="4">
        <v>578172</v>
      </c>
      <c r="I500" s="4">
        <v>712415.7252020716</v>
      </c>
      <c r="J500" s="3">
        <v>0.23218648637787995</v>
      </c>
      <c r="K500" s="3">
        <v>-0.1884345340131204</v>
      </c>
      <c r="L500" t="s">
        <v>54</v>
      </c>
    </row>
    <row r="501" spans="1:12" x14ac:dyDescent="0.25">
      <c r="A501" t="s">
        <v>487</v>
      </c>
      <c r="B501" t="s">
        <v>455</v>
      </c>
      <c r="C501" t="s">
        <v>477</v>
      </c>
      <c r="D501" t="s">
        <v>224</v>
      </c>
      <c r="E501" t="s">
        <v>228</v>
      </c>
      <c r="F501">
        <v>2</v>
      </c>
      <c r="G501" t="s">
        <v>498</v>
      </c>
      <c r="H501" s="4">
        <v>578172</v>
      </c>
      <c r="I501" s="4">
        <v>763644</v>
      </c>
      <c r="J501" s="3">
        <v>0.32079035304373094</v>
      </c>
      <c r="K501" s="3">
        <v>-0.24287757122428777</v>
      </c>
      <c r="L501" t="s">
        <v>54</v>
      </c>
    </row>
    <row r="502" spans="1:12" x14ac:dyDescent="0.25">
      <c r="A502" t="s">
        <v>487</v>
      </c>
      <c r="B502" t="s">
        <v>455</v>
      </c>
      <c r="C502" t="s">
        <v>477</v>
      </c>
      <c r="D502" t="s">
        <v>224</v>
      </c>
      <c r="E502" t="s">
        <v>228</v>
      </c>
      <c r="F502">
        <v>2</v>
      </c>
      <c r="G502" t="s">
        <v>499</v>
      </c>
      <c r="H502" s="4">
        <v>578172</v>
      </c>
      <c r="I502" s="4">
        <v>675371</v>
      </c>
      <c r="J502" s="3">
        <v>0.16811433275910975</v>
      </c>
      <c r="K502" s="3">
        <v>-0.14391941614312725</v>
      </c>
      <c r="L502" t="s">
        <v>54</v>
      </c>
    </row>
    <row r="503" spans="1:12" x14ac:dyDescent="0.25">
      <c r="A503" t="s">
        <v>487</v>
      </c>
      <c r="B503" t="s">
        <v>455</v>
      </c>
      <c r="C503" t="s">
        <v>477</v>
      </c>
      <c r="D503" t="s">
        <v>224</v>
      </c>
      <c r="E503" t="s">
        <v>230</v>
      </c>
      <c r="F503">
        <v>3</v>
      </c>
      <c r="G503" t="s">
        <v>488</v>
      </c>
      <c r="H503" s="4">
        <v>752074</v>
      </c>
      <c r="I503" s="4">
        <v>757616.4395424784</v>
      </c>
      <c r="J503" s="3">
        <v>0.007369540154929456</v>
      </c>
      <c r="K503" s="3">
        <v>-0.007315627345448672</v>
      </c>
      <c r="L503" t="s">
        <v>54</v>
      </c>
    </row>
    <row r="504" spans="1:12" x14ac:dyDescent="0.25">
      <c r="A504" t="s">
        <v>487</v>
      </c>
      <c r="B504" t="s">
        <v>455</v>
      </c>
      <c r="C504" t="s">
        <v>477</v>
      </c>
      <c r="D504" t="s">
        <v>224</v>
      </c>
      <c r="E504" t="s">
        <v>230</v>
      </c>
      <c r="F504">
        <v>3</v>
      </c>
      <c r="G504" t="s">
        <v>498</v>
      </c>
      <c r="H504" s="4">
        <v>752074</v>
      </c>
      <c r="I504" s="4">
        <v>812095</v>
      </c>
      <c r="J504" s="3">
        <v>0.07980730619593285</v>
      </c>
      <c r="K504" s="3">
        <v>-0.07390884071444843</v>
      </c>
      <c r="L504" t="s">
        <v>54</v>
      </c>
    </row>
    <row r="505" spans="1:12" x14ac:dyDescent="0.25">
      <c r="A505" t="s">
        <v>487</v>
      </c>
      <c r="B505" t="s">
        <v>455</v>
      </c>
      <c r="C505" t="s">
        <v>477</v>
      </c>
      <c r="D505" t="s">
        <v>224</v>
      </c>
      <c r="E505" t="s">
        <v>230</v>
      </c>
      <c r="F505">
        <v>3</v>
      </c>
      <c r="G505" t="s">
        <v>499</v>
      </c>
      <c r="H505" s="4">
        <v>752074</v>
      </c>
      <c r="I505" s="4">
        <v>675371</v>
      </c>
      <c r="J505" s="3">
        <v>0.10198863409717661</v>
      </c>
      <c r="K505" s="3">
        <v>0.11357165172919773</v>
      </c>
      <c r="L505" t="s">
        <v>54</v>
      </c>
    </row>
    <row r="506" spans="1:12" x14ac:dyDescent="0.25">
      <c r="A506" t="s">
        <v>487</v>
      </c>
      <c r="B506" t="s">
        <v>455</v>
      </c>
      <c r="C506" t="s">
        <v>477</v>
      </c>
      <c r="D506" t="s">
        <v>226</v>
      </c>
      <c r="E506" t="s">
        <v>228</v>
      </c>
      <c r="F506">
        <v>1</v>
      </c>
      <c r="G506" t="s">
        <v>488</v>
      </c>
      <c r="H506" s="4">
        <v>578172</v>
      </c>
      <c r="I506" s="4">
        <v>743383.7115087222</v>
      </c>
      <c r="J506" s="3">
        <v>0.2857483785252869</v>
      </c>
      <c r="K506" s="3">
        <v>-0.2222428457215177</v>
      </c>
      <c r="L506" t="s">
        <v>54</v>
      </c>
    </row>
    <row r="507" spans="1:12" x14ac:dyDescent="0.25">
      <c r="A507" t="s">
        <v>487</v>
      </c>
      <c r="B507" t="s">
        <v>455</v>
      </c>
      <c r="C507" t="s">
        <v>477</v>
      </c>
      <c r="D507" t="s">
        <v>226</v>
      </c>
      <c r="E507" t="s">
        <v>228</v>
      </c>
      <c r="F507">
        <v>1</v>
      </c>
      <c r="G507" t="s">
        <v>498</v>
      </c>
      <c r="H507" s="4">
        <v>578172</v>
      </c>
      <c r="I507" s="4">
        <v>763644</v>
      </c>
      <c r="J507" s="3">
        <v>0.32079035304373094</v>
      </c>
      <c r="K507" s="3">
        <v>-0.24287757122428777</v>
      </c>
      <c r="L507" t="s">
        <v>54</v>
      </c>
    </row>
    <row r="508" spans="1:12" x14ac:dyDescent="0.25">
      <c r="A508" t="s">
        <v>487</v>
      </c>
      <c r="B508" t="s">
        <v>455</v>
      </c>
      <c r="C508" t="s">
        <v>477</v>
      </c>
      <c r="D508" t="s">
        <v>226</v>
      </c>
      <c r="E508" t="s">
        <v>228</v>
      </c>
      <c r="F508">
        <v>1</v>
      </c>
      <c r="G508" t="s">
        <v>499</v>
      </c>
      <c r="H508" s="4">
        <v>578172</v>
      </c>
      <c r="I508" s="4">
        <v>414948</v>
      </c>
      <c r="J508" s="3">
        <v>0.28231045432846974</v>
      </c>
      <c r="K508" s="3">
        <v>0.3933601318719454</v>
      </c>
      <c r="L508" t="s">
        <v>54</v>
      </c>
    </row>
    <row r="509" spans="1:12" x14ac:dyDescent="0.25">
      <c r="A509" t="s">
        <v>487</v>
      </c>
      <c r="B509" t="s">
        <v>455</v>
      </c>
      <c r="C509" t="s">
        <v>477</v>
      </c>
      <c r="D509" t="s">
        <v>226</v>
      </c>
      <c r="E509" t="s">
        <v>230</v>
      </c>
      <c r="F509">
        <v>2</v>
      </c>
      <c r="G509" t="s">
        <v>488</v>
      </c>
      <c r="H509" s="4">
        <v>752074</v>
      </c>
      <c r="I509" s="4">
        <v>790549.2548853599</v>
      </c>
      <c r="J509" s="3">
        <v>0.051158868522725026</v>
      </c>
      <c r="K509" s="3">
        <v>-0.04866901669642244</v>
      </c>
      <c r="L509" t="s">
        <v>54</v>
      </c>
    </row>
    <row r="510" spans="1:12" x14ac:dyDescent="0.25">
      <c r="A510" t="s">
        <v>487</v>
      </c>
      <c r="B510" t="s">
        <v>455</v>
      </c>
      <c r="C510" t="s">
        <v>477</v>
      </c>
      <c r="D510" t="s">
        <v>226</v>
      </c>
      <c r="E510" t="s">
        <v>230</v>
      </c>
      <c r="F510">
        <v>2</v>
      </c>
      <c r="G510" t="s">
        <v>498</v>
      </c>
      <c r="H510" s="4">
        <v>752074</v>
      </c>
      <c r="I510" s="4">
        <v>812095</v>
      </c>
      <c r="J510" s="3">
        <v>0.07980730619593285</v>
      </c>
      <c r="K510" s="3">
        <v>-0.07390884071444843</v>
      </c>
      <c r="L510" t="s">
        <v>54</v>
      </c>
    </row>
    <row r="511" spans="1:12" x14ac:dyDescent="0.25">
      <c r="A511" t="s">
        <v>487</v>
      </c>
      <c r="B511" t="s">
        <v>455</v>
      </c>
      <c r="C511" t="s">
        <v>477</v>
      </c>
      <c r="D511" t="s">
        <v>226</v>
      </c>
      <c r="E511" t="s">
        <v>230</v>
      </c>
      <c r="F511">
        <v>2</v>
      </c>
      <c r="G511" t="s">
        <v>499</v>
      </c>
      <c r="H511" s="4">
        <v>752074</v>
      </c>
      <c r="I511" s="4">
        <v>414948</v>
      </c>
      <c r="J511" s="3">
        <v>0.4482617402010972</v>
      </c>
      <c r="K511" s="3">
        <v>0.8124536086449387</v>
      </c>
      <c r="L511" t="s">
        <v>54</v>
      </c>
    </row>
    <row r="512" spans="1:12" x14ac:dyDescent="0.25">
      <c r="A512" t="s">
        <v>487</v>
      </c>
      <c r="B512" t="s">
        <v>455</v>
      </c>
      <c r="C512" t="s">
        <v>477</v>
      </c>
      <c r="D512" t="s">
        <v>226</v>
      </c>
      <c r="E512" t="s">
        <v>232</v>
      </c>
      <c r="F512">
        <v>3</v>
      </c>
      <c r="G512" t="s">
        <v>488</v>
      </c>
      <c r="H512" s="4">
        <v>712380</v>
      </c>
      <c r="I512" s="4">
        <v>1018010.979739925</v>
      </c>
      <c r="J512" s="3">
        <v>0.42902801838895677</v>
      </c>
      <c r="K512" s="3">
        <v>-0.3002236575267643</v>
      </c>
      <c r="L512" t="s">
        <v>54</v>
      </c>
    </row>
    <row r="513" spans="1:12" x14ac:dyDescent="0.25">
      <c r="A513" t="s">
        <v>487</v>
      </c>
      <c r="B513" t="s">
        <v>455</v>
      </c>
      <c r="C513" t="s">
        <v>477</v>
      </c>
      <c r="D513" t="s">
        <v>226</v>
      </c>
      <c r="E513" t="s">
        <v>232</v>
      </c>
      <c r="F513">
        <v>3</v>
      </c>
      <c r="G513" t="s">
        <v>498</v>
      </c>
      <c r="H513" s="4">
        <v>712380</v>
      </c>
      <c r="I513" s="4">
        <v>1045756</v>
      </c>
      <c r="J513" s="3">
        <v>0.46797495718577165</v>
      </c>
      <c r="K513" s="3">
        <v>-0.3187894690539667</v>
      </c>
      <c r="L513" t="s">
        <v>54</v>
      </c>
    </row>
    <row r="514" spans="1:12" x14ac:dyDescent="0.25">
      <c r="A514" t="s">
        <v>487</v>
      </c>
      <c r="B514" t="s">
        <v>455</v>
      </c>
      <c r="C514" t="s">
        <v>477</v>
      </c>
      <c r="D514" t="s">
        <v>226</v>
      </c>
      <c r="E514" t="s">
        <v>232</v>
      </c>
      <c r="F514">
        <v>3</v>
      </c>
      <c r="G514" t="s">
        <v>499</v>
      </c>
      <c r="H514" s="4">
        <v>712380</v>
      </c>
      <c r="I514" s="4">
        <v>414948</v>
      </c>
      <c r="J514" s="3">
        <v>0.4175187399983155</v>
      </c>
      <c r="K514" s="3">
        <v>0.7167934295381589</v>
      </c>
      <c r="L514" t="s">
        <v>54</v>
      </c>
    </row>
    <row r="515" spans="1:12" x14ac:dyDescent="0.25">
      <c r="A515" t="s">
        <v>487</v>
      </c>
      <c r="B515" t="s">
        <v>455</v>
      </c>
      <c r="C515" t="s">
        <v>477</v>
      </c>
      <c r="D515" t="s">
        <v>228</v>
      </c>
      <c r="E515" t="s">
        <v>230</v>
      </c>
      <c r="F515">
        <v>1</v>
      </c>
      <c r="G515" t="s">
        <v>488</v>
      </c>
      <c r="H515" s="4">
        <v>752074</v>
      </c>
      <c r="I515" s="4">
        <v>757843.4637907821</v>
      </c>
      <c r="J515" s="3">
        <v>0.007671404397415873</v>
      </c>
      <c r="K515" s="3">
        <v>-0.007613001980544786</v>
      </c>
      <c r="L515" t="s">
        <v>54</v>
      </c>
    </row>
    <row r="516" spans="1:12" x14ac:dyDescent="0.25">
      <c r="A516" t="s">
        <v>487</v>
      </c>
      <c r="B516" t="s">
        <v>455</v>
      </c>
      <c r="C516" t="s">
        <v>477</v>
      </c>
      <c r="D516" t="s">
        <v>228</v>
      </c>
      <c r="E516" t="s">
        <v>230</v>
      </c>
      <c r="F516">
        <v>1</v>
      </c>
      <c r="G516" t="s">
        <v>498</v>
      </c>
      <c r="H516" s="4">
        <v>752074</v>
      </c>
      <c r="I516" s="4">
        <v>812095</v>
      </c>
      <c r="J516" s="3">
        <v>0.07980730619593285</v>
      </c>
      <c r="K516" s="3">
        <v>-0.07390884071444843</v>
      </c>
      <c r="L516" t="s">
        <v>54</v>
      </c>
    </row>
    <row r="517" spans="1:12" x14ac:dyDescent="0.25">
      <c r="A517" t="s">
        <v>487</v>
      </c>
      <c r="B517" t="s">
        <v>455</v>
      </c>
      <c r="C517" t="s">
        <v>477</v>
      </c>
      <c r="D517" t="s">
        <v>228</v>
      </c>
      <c r="E517" t="s">
        <v>230</v>
      </c>
      <c r="F517">
        <v>1</v>
      </c>
      <c r="G517" t="s">
        <v>499</v>
      </c>
      <c r="H517" s="4">
        <v>752074</v>
      </c>
      <c r="I517" s="4">
        <v>578172</v>
      </c>
      <c r="J517" s="3">
        <v>0.23122990556780318</v>
      </c>
      <c r="K517" s="3">
        <v>0.3007790069391115</v>
      </c>
      <c r="L517" t="s">
        <v>54</v>
      </c>
    </row>
    <row r="518" spans="1:12" x14ac:dyDescent="0.25">
      <c r="A518" t="s">
        <v>487</v>
      </c>
      <c r="B518" t="s">
        <v>455</v>
      </c>
      <c r="C518" t="s">
        <v>477</v>
      </c>
      <c r="D518" t="s">
        <v>228</v>
      </c>
      <c r="E518" t="s">
        <v>232</v>
      </c>
      <c r="F518">
        <v>2</v>
      </c>
      <c r="G518" t="s">
        <v>488</v>
      </c>
      <c r="H518" s="4">
        <v>712380</v>
      </c>
      <c r="I518" s="4">
        <v>975894.8759935638</v>
      </c>
      <c r="J518" s="3">
        <v>0.36990774024195483</v>
      </c>
      <c r="K518" s="3">
        <v>-0.2700238339967488</v>
      </c>
      <c r="L518" t="s">
        <v>54</v>
      </c>
    </row>
    <row r="519" spans="1:12" x14ac:dyDescent="0.25">
      <c r="A519" t="s">
        <v>487</v>
      </c>
      <c r="B519" t="s">
        <v>455</v>
      </c>
      <c r="C519" t="s">
        <v>477</v>
      </c>
      <c r="D519" t="s">
        <v>228</v>
      </c>
      <c r="E519" t="s">
        <v>232</v>
      </c>
      <c r="F519">
        <v>2</v>
      </c>
      <c r="G519" t="s">
        <v>498</v>
      </c>
      <c r="H519" s="4">
        <v>712380</v>
      </c>
      <c r="I519" s="4">
        <v>1045756</v>
      </c>
      <c r="J519" s="3">
        <v>0.46797495718577165</v>
      </c>
      <c r="K519" s="3">
        <v>-0.3187894690539667</v>
      </c>
      <c r="L519" t="s">
        <v>54</v>
      </c>
    </row>
    <row r="520" spans="1:12" x14ac:dyDescent="0.25">
      <c r="A520" t="s">
        <v>487</v>
      </c>
      <c r="B520" t="s">
        <v>455</v>
      </c>
      <c r="C520" t="s">
        <v>477</v>
      </c>
      <c r="D520" t="s">
        <v>228</v>
      </c>
      <c r="E520" t="s">
        <v>232</v>
      </c>
      <c r="F520">
        <v>2</v>
      </c>
      <c r="G520" t="s">
        <v>499</v>
      </c>
      <c r="H520" s="4">
        <v>712380</v>
      </c>
      <c r="I520" s="4">
        <v>578172</v>
      </c>
      <c r="J520" s="3">
        <v>0.18839383475111598</v>
      </c>
      <c r="K520" s="3">
        <v>0.23212469645710965</v>
      </c>
      <c r="L520" t="s">
        <v>54</v>
      </c>
    </row>
    <row r="521" spans="1:12" x14ac:dyDescent="0.25">
      <c r="A521" t="s">
        <v>487</v>
      </c>
      <c r="B521" t="s">
        <v>455</v>
      </c>
      <c r="C521" t="s">
        <v>477</v>
      </c>
      <c r="D521" t="s">
        <v>228</v>
      </c>
      <c r="E521" t="s">
        <v>234</v>
      </c>
      <c r="F521">
        <v>3</v>
      </c>
      <c r="G521" t="s">
        <v>488</v>
      </c>
      <c r="H521" s="4">
        <v>538658</v>
      </c>
      <c r="I521" s="4">
        <v>790623.8248970306</v>
      </c>
      <c r="J521" s="3">
        <v>0.4677658642348774</v>
      </c>
      <c r="K521" s="3">
        <v>-0.31869242611028853</v>
      </c>
      <c r="L521" t="s">
        <v>54</v>
      </c>
    </row>
    <row r="522" spans="1:12" x14ac:dyDescent="0.25">
      <c r="A522" t="s">
        <v>487</v>
      </c>
      <c r="B522" t="s">
        <v>455</v>
      </c>
      <c r="C522" t="s">
        <v>477</v>
      </c>
      <c r="D522" t="s">
        <v>228</v>
      </c>
      <c r="E522" t="s">
        <v>234</v>
      </c>
      <c r="F522">
        <v>3</v>
      </c>
      <c r="G522" t="s">
        <v>498</v>
      </c>
      <c r="H522" s="4">
        <v>538658</v>
      </c>
      <c r="I522" s="4">
        <v>847222</v>
      </c>
      <c r="J522" s="3">
        <v>0.5728384243805903</v>
      </c>
      <c r="K522" s="3">
        <v>-0.36420678405423845</v>
      </c>
      <c r="L522" t="s">
        <v>54</v>
      </c>
    </row>
    <row r="523" spans="1:12" x14ac:dyDescent="0.25">
      <c r="A523" t="s">
        <v>487</v>
      </c>
      <c r="B523" t="s">
        <v>455</v>
      </c>
      <c r="C523" t="s">
        <v>477</v>
      </c>
      <c r="D523" t="s">
        <v>228</v>
      </c>
      <c r="E523" t="s">
        <v>234</v>
      </c>
      <c r="F523">
        <v>3</v>
      </c>
      <c r="G523" t="s">
        <v>499</v>
      </c>
      <c r="H523" s="4">
        <v>538658</v>
      </c>
      <c r="I523" s="4">
        <v>578172</v>
      </c>
      <c r="J523" s="3">
        <v>0.07335637825856109</v>
      </c>
      <c r="K523" s="3">
        <v>-0.06834298444061629</v>
      </c>
      <c r="L523" t="s">
        <v>54</v>
      </c>
    </row>
    <row r="524" spans="1:12" x14ac:dyDescent="0.25">
      <c r="A524" t="s">
        <v>487</v>
      </c>
      <c r="B524" t="s">
        <v>455</v>
      </c>
      <c r="C524" t="s">
        <v>477</v>
      </c>
      <c r="D524" t="s">
        <v>230</v>
      </c>
      <c r="E524" t="s">
        <v>232</v>
      </c>
      <c r="F524">
        <v>1</v>
      </c>
      <c r="G524" t="s">
        <v>488</v>
      </c>
      <c r="H524" s="4">
        <v>712380</v>
      </c>
      <c r="I524" s="4">
        <v>976652.6717730141</v>
      </c>
      <c r="J524" s="3">
        <v>0.370971492424007</v>
      </c>
      <c r="K524" s="3">
        <v>-0.27059023070428284</v>
      </c>
      <c r="L524" t="s">
        <v>54</v>
      </c>
    </row>
    <row r="525" spans="1:12" x14ac:dyDescent="0.25">
      <c r="A525" t="s">
        <v>487</v>
      </c>
      <c r="B525" t="s">
        <v>455</v>
      </c>
      <c r="C525" t="s">
        <v>477</v>
      </c>
      <c r="D525" t="s">
        <v>230</v>
      </c>
      <c r="E525" t="s">
        <v>232</v>
      </c>
      <c r="F525">
        <v>1</v>
      </c>
      <c r="G525" t="s">
        <v>498</v>
      </c>
      <c r="H525" s="4">
        <v>712380</v>
      </c>
      <c r="I525" s="4">
        <v>1045756</v>
      </c>
      <c r="J525" s="3">
        <v>0.46797495718577165</v>
      </c>
      <c r="K525" s="3">
        <v>-0.3187894690539667</v>
      </c>
      <c r="L525" t="s">
        <v>54</v>
      </c>
    </row>
    <row r="526" spans="1:12" x14ac:dyDescent="0.25">
      <c r="A526" t="s">
        <v>487</v>
      </c>
      <c r="B526" t="s">
        <v>455</v>
      </c>
      <c r="C526" t="s">
        <v>477</v>
      </c>
      <c r="D526" t="s">
        <v>230</v>
      </c>
      <c r="E526" t="s">
        <v>232</v>
      </c>
      <c r="F526">
        <v>1</v>
      </c>
      <c r="G526" t="s">
        <v>499</v>
      </c>
      <c r="H526" s="4">
        <v>712380</v>
      </c>
      <c r="I526" s="4">
        <v>752074</v>
      </c>
      <c r="J526" s="3">
        <v>0.05572026165810382</v>
      </c>
      <c r="K526" s="3">
        <v>-0.052779380752425956</v>
      </c>
      <c r="L526" t="s">
        <v>54</v>
      </c>
    </row>
    <row r="527" spans="1:12" x14ac:dyDescent="0.25">
      <c r="A527" t="s">
        <v>487</v>
      </c>
      <c r="B527" t="s">
        <v>455</v>
      </c>
      <c r="C527" t="s">
        <v>477</v>
      </c>
      <c r="D527" t="s">
        <v>230</v>
      </c>
      <c r="E527" t="s">
        <v>234</v>
      </c>
      <c r="F527">
        <v>2</v>
      </c>
      <c r="G527" t="s">
        <v>488</v>
      </c>
      <c r="H527" s="4">
        <v>538658</v>
      </c>
      <c r="I527" s="4">
        <v>791237.7551597854</v>
      </c>
      <c r="J527" s="3">
        <v>0.468905604594725</v>
      </c>
      <c r="K527" s="3">
        <v>-0.3192210603104733</v>
      </c>
      <c r="L527" t="s">
        <v>54</v>
      </c>
    </row>
    <row r="528" spans="1:12" x14ac:dyDescent="0.25">
      <c r="A528" t="s">
        <v>487</v>
      </c>
      <c r="B528" t="s">
        <v>455</v>
      </c>
      <c r="C528" t="s">
        <v>477</v>
      </c>
      <c r="D528" t="s">
        <v>230</v>
      </c>
      <c r="E528" t="s">
        <v>234</v>
      </c>
      <c r="F528">
        <v>2</v>
      </c>
      <c r="G528" t="s">
        <v>498</v>
      </c>
      <c r="H528" s="4">
        <v>538658</v>
      </c>
      <c r="I528" s="4">
        <v>847222</v>
      </c>
      <c r="J528" s="3">
        <v>0.5728384243805903</v>
      </c>
      <c r="K528" s="3">
        <v>-0.36420678405423845</v>
      </c>
      <c r="L528" t="s">
        <v>54</v>
      </c>
    </row>
    <row r="529" spans="1:12" x14ac:dyDescent="0.25">
      <c r="A529" t="s">
        <v>487</v>
      </c>
      <c r="B529" t="s">
        <v>455</v>
      </c>
      <c r="C529" t="s">
        <v>477</v>
      </c>
      <c r="D529" t="s">
        <v>230</v>
      </c>
      <c r="E529" t="s">
        <v>234</v>
      </c>
      <c r="F529">
        <v>2</v>
      </c>
      <c r="G529" t="s">
        <v>499</v>
      </c>
      <c r="H529" s="4">
        <v>538658</v>
      </c>
      <c r="I529" s="4">
        <v>752074</v>
      </c>
      <c r="J529" s="3">
        <v>0.3961994438029325</v>
      </c>
      <c r="K529" s="3">
        <v>-0.2837699481699939</v>
      </c>
      <c r="L529" t="s">
        <v>54</v>
      </c>
    </row>
    <row r="530" spans="1:12" x14ac:dyDescent="0.25">
      <c r="A530" t="s">
        <v>487</v>
      </c>
      <c r="B530" t="s">
        <v>455</v>
      </c>
      <c r="C530" t="s">
        <v>477</v>
      </c>
      <c r="D530" t="s">
        <v>230</v>
      </c>
      <c r="E530" t="s">
        <v>236</v>
      </c>
      <c r="F530">
        <v>3</v>
      </c>
      <c r="G530" t="s">
        <v>488</v>
      </c>
      <c r="H530" s="4">
        <v>1062459</v>
      </c>
      <c r="I530" s="4">
        <v>719992.7173891427</v>
      </c>
      <c r="J530" s="3">
        <v>0.3223336454497136</v>
      </c>
      <c r="K530" s="3">
        <v>0.4756524258366361</v>
      </c>
      <c r="L530" t="s">
        <v>54</v>
      </c>
    </row>
    <row r="531" spans="1:12" x14ac:dyDescent="0.25">
      <c r="A531" t="s">
        <v>487</v>
      </c>
      <c r="B531" t="s">
        <v>455</v>
      </c>
      <c r="C531" t="s">
        <v>477</v>
      </c>
      <c r="D531" t="s">
        <v>230</v>
      </c>
      <c r="E531" t="s">
        <v>236</v>
      </c>
      <c r="F531">
        <v>3</v>
      </c>
      <c r="G531" t="s">
        <v>498</v>
      </c>
      <c r="H531" s="4">
        <v>1062459</v>
      </c>
      <c r="I531" s="4">
        <v>770936</v>
      </c>
      <c r="J531" s="3">
        <v>0.27438517627503745</v>
      </c>
      <c r="K531" s="3">
        <v>0.3781416356221528</v>
      </c>
      <c r="L531" t="s">
        <v>54</v>
      </c>
    </row>
    <row r="532" spans="1:12" x14ac:dyDescent="0.25">
      <c r="A532" t="s">
        <v>487</v>
      </c>
      <c r="B532" t="s">
        <v>455</v>
      </c>
      <c r="C532" t="s">
        <v>477</v>
      </c>
      <c r="D532" t="s">
        <v>230</v>
      </c>
      <c r="E532" t="s">
        <v>236</v>
      </c>
      <c r="F532">
        <v>3</v>
      </c>
      <c r="G532" t="s">
        <v>499</v>
      </c>
      <c r="H532" s="4">
        <v>1062459</v>
      </c>
      <c r="I532" s="4">
        <v>752074</v>
      </c>
      <c r="J532" s="3">
        <v>0.2921383319262202</v>
      </c>
      <c r="K532" s="3">
        <v>0.41270539867087547</v>
      </c>
      <c r="L532" t="s">
        <v>54</v>
      </c>
    </row>
    <row r="533" spans="1:12" x14ac:dyDescent="0.25">
      <c r="A533" t="s">
        <v>487</v>
      </c>
      <c r="B533" t="s">
        <v>455</v>
      </c>
      <c r="C533" t="s">
        <v>477</v>
      </c>
      <c r="D533" t="s">
        <v>232</v>
      </c>
      <c r="E533" t="s">
        <v>234</v>
      </c>
      <c r="F533">
        <v>1</v>
      </c>
      <c r="G533" t="s">
        <v>488</v>
      </c>
      <c r="H533" s="4">
        <v>538658</v>
      </c>
      <c r="I533" s="4">
        <v>725889.5347624407</v>
      </c>
      <c r="J533" s="3">
        <v>0.347588887127715</v>
      </c>
      <c r="K533" s="3">
        <v>-0.25793392216863315</v>
      </c>
      <c r="L533" t="s">
        <v>54</v>
      </c>
    </row>
    <row r="534" spans="1:12" x14ac:dyDescent="0.25">
      <c r="A534" t="s">
        <v>487</v>
      </c>
      <c r="B534" t="s">
        <v>455</v>
      </c>
      <c r="C534" t="s">
        <v>477</v>
      </c>
      <c r="D534" t="s">
        <v>232</v>
      </c>
      <c r="E534" t="s">
        <v>234</v>
      </c>
      <c r="F534">
        <v>1</v>
      </c>
      <c r="G534" t="s">
        <v>498</v>
      </c>
      <c r="H534" s="4">
        <v>538658</v>
      </c>
      <c r="I534" s="4">
        <v>847222</v>
      </c>
      <c r="J534" s="3">
        <v>0.5728384243805903</v>
      </c>
      <c r="K534" s="3">
        <v>-0.36420678405423845</v>
      </c>
      <c r="L534" t="s">
        <v>54</v>
      </c>
    </row>
    <row r="535" spans="1:12" x14ac:dyDescent="0.25">
      <c r="A535" t="s">
        <v>487</v>
      </c>
      <c r="B535" t="s">
        <v>455</v>
      </c>
      <c r="C535" t="s">
        <v>477</v>
      </c>
      <c r="D535" t="s">
        <v>232</v>
      </c>
      <c r="E535" t="s">
        <v>234</v>
      </c>
      <c r="F535">
        <v>1</v>
      </c>
      <c r="G535" t="s">
        <v>499</v>
      </c>
      <c r="H535" s="4">
        <v>538658</v>
      </c>
      <c r="I535" s="4">
        <v>712380</v>
      </c>
      <c r="J535" s="3">
        <v>0.32250890175213215</v>
      </c>
      <c r="K535" s="3">
        <v>-0.2438614222746287</v>
      </c>
      <c r="L535" t="s">
        <v>54</v>
      </c>
    </row>
    <row r="536" spans="1:12" x14ac:dyDescent="0.25">
      <c r="A536" t="s">
        <v>487</v>
      </c>
      <c r="B536" t="s">
        <v>455</v>
      </c>
      <c r="C536" t="s">
        <v>477</v>
      </c>
      <c r="D536" t="s">
        <v>232</v>
      </c>
      <c r="E536" t="s">
        <v>236</v>
      </c>
      <c r="F536">
        <v>2</v>
      </c>
      <c r="G536" t="s">
        <v>488</v>
      </c>
      <c r="H536" s="4">
        <v>1062459</v>
      </c>
      <c r="I536" s="4">
        <v>660528.61513466</v>
      </c>
      <c r="J536" s="3">
        <v>0.37830201905705535</v>
      </c>
      <c r="K536" s="3">
        <v>0.6084980660276158</v>
      </c>
      <c r="L536" t="s">
        <v>54</v>
      </c>
    </row>
    <row r="537" spans="1:12" x14ac:dyDescent="0.25">
      <c r="A537" t="s">
        <v>487</v>
      </c>
      <c r="B537" t="s">
        <v>455</v>
      </c>
      <c r="C537" t="s">
        <v>477</v>
      </c>
      <c r="D537" t="s">
        <v>232</v>
      </c>
      <c r="E537" t="s">
        <v>236</v>
      </c>
      <c r="F537">
        <v>2</v>
      </c>
      <c r="G537" t="s">
        <v>498</v>
      </c>
      <c r="H537" s="4">
        <v>1062459</v>
      </c>
      <c r="I537" s="4">
        <v>770936</v>
      </c>
      <c r="J537" s="3">
        <v>0.27438517627503745</v>
      </c>
      <c r="K537" s="3">
        <v>0.3781416356221528</v>
      </c>
      <c r="L537" t="s">
        <v>54</v>
      </c>
    </row>
    <row r="538" spans="1:12" x14ac:dyDescent="0.25">
      <c r="A538" t="s">
        <v>487</v>
      </c>
      <c r="B538" t="s">
        <v>455</v>
      </c>
      <c r="C538" t="s">
        <v>477</v>
      </c>
      <c r="D538" t="s">
        <v>232</v>
      </c>
      <c r="E538" t="s">
        <v>236</v>
      </c>
      <c r="F538">
        <v>2</v>
      </c>
      <c r="G538" t="s">
        <v>499</v>
      </c>
      <c r="H538" s="4">
        <v>1062459</v>
      </c>
      <c r="I538" s="4">
        <v>712380</v>
      </c>
      <c r="J538" s="3">
        <v>0.32949883242553357</v>
      </c>
      <c r="K538" s="3">
        <v>0.49142171313063254</v>
      </c>
      <c r="L538" t="s">
        <v>54</v>
      </c>
    </row>
    <row r="539" spans="1:12" x14ac:dyDescent="0.25">
      <c r="A539" t="s">
        <v>487</v>
      </c>
      <c r="B539" t="s">
        <v>455</v>
      </c>
      <c r="C539" t="s">
        <v>477</v>
      </c>
      <c r="D539" t="s">
        <v>232</v>
      </c>
      <c r="E539" t="s">
        <v>238</v>
      </c>
      <c r="F539">
        <v>3</v>
      </c>
      <c r="G539" t="s">
        <v>488</v>
      </c>
      <c r="H539" s="4">
        <v>343332</v>
      </c>
      <c r="I539" s="4">
        <v>548068.3525897209</v>
      </c>
      <c r="J539" s="3">
        <v>0.5963217893750681</v>
      </c>
      <c r="K539" s="3">
        <v>-0.37355988832835363</v>
      </c>
      <c r="L539" t="s">
        <v>54</v>
      </c>
    </row>
    <row r="540" spans="1:12" x14ac:dyDescent="0.25">
      <c r="A540" t="s">
        <v>487</v>
      </c>
      <c r="B540" t="s">
        <v>455</v>
      </c>
      <c r="C540" t="s">
        <v>477</v>
      </c>
      <c r="D540" t="s">
        <v>232</v>
      </c>
      <c r="E540" t="s">
        <v>238</v>
      </c>
      <c r="F540">
        <v>3</v>
      </c>
      <c r="G540" t="s">
        <v>498</v>
      </c>
      <c r="H540" s="4">
        <v>343332</v>
      </c>
      <c r="I540" s="4">
        <v>639678</v>
      </c>
      <c r="J540" s="3">
        <v>0.8631470413477333</v>
      </c>
      <c r="K540" s="3">
        <v>-0.46327370958513503</v>
      </c>
      <c r="L540" t="s">
        <v>54</v>
      </c>
    </row>
    <row r="541" spans="1:12" x14ac:dyDescent="0.25">
      <c r="A541" t="s">
        <v>487</v>
      </c>
      <c r="B541" t="s">
        <v>455</v>
      </c>
      <c r="C541" t="s">
        <v>477</v>
      </c>
      <c r="D541" t="s">
        <v>232</v>
      </c>
      <c r="E541" t="s">
        <v>238</v>
      </c>
      <c r="F541">
        <v>3</v>
      </c>
      <c r="G541" t="s">
        <v>499</v>
      </c>
      <c r="H541" s="4">
        <v>343332</v>
      </c>
      <c r="I541" s="4">
        <v>712380</v>
      </c>
      <c r="J541" s="3">
        <v>1.074901261752473</v>
      </c>
      <c r="K541" s="3">
        <v>-0.5180493556809568</v>
      </c>
      <c r="L541" t="s">
        <v>54</v>
      </c>
    </row>
    <row r="542" spans="1:12" x14ac:dyDescent="0.25">
      <c r="A542" t="s">
        <v>487</v>
      </c>
      <c r="B542" t="s">
        <v>455</v>
      </c>
      <c r="C542" t="s">
        <v>477</v>
      </c>
      <c r="D542" t="s">
        <v>234</v>
      </c>
      <c r="E542" t="s">
        <v>236</v>
      </c>
      <c r="F542">
        <v>1</v>
      </c>
      <c r="G542" t="s">
        <v>488</v>
      </c>
      <c r="H542" s="4">
        <v>1062459</v>
      </c>
      <c r="I542" s="4">
        <v>611555.659492825</v>
      </c>
      <c r="J542" s="3">
        <v>0.4243959912873579</v>
      </c>
      <c r="K542" s="3">
        <v>0.7373054823515456</v>
      </c>
      <c r="L542" t="s">
        <v>54</v>
      </c>
    </row>
    <row r="543" spans="1:12" x14ac:dyDescent="0.25">
      <c r="A543" t="s">
        <v>487</v>
      </c>
      <c r="B543" t="s">
        <v>455</v>
      </c>
      <c r="C543" t="s">
        <v>477</v>
      </c>
      <c r="D543" t="s">
        <v>234</v>
      </c>
      <c r="E543" t="s">
        <v>236</v>
      </c>
      <c r="F543">
        <v>1</v>
      </c>
      <c r="G543" t="s">
        <v>498</v>
      </c>
      <c r="H543" s="4">
        <v>1062459</v>
      </c>
      <c r="I543" s="4">
        <v>770936</v>
      </c>
      <c r="J543" s="3">
        <v>0.27438517627503745</v>
      </c>
      <c r="K543" s="3">
        <v>0.3781416356221528</v>
      </c>
      <c r="L543" t="s">
        <v>54</v>
      </c>
    </row>
    <row r="544" spans="1:12" x14ac:dyDescent="0.25">
      <c r="A544" t="s">
        <v>487</v>
      </c>
      <c r="B544" t="s">
        <v>455</v>
      </c>
      <c r="C544" t="s">
        <v>477</v>
      </c>
      <c r="D544" t="s">
        <v>234</v>
      </c>
      <c r="E544" t="s">
        <v>236</v>
      </c>
      <c r="F544">
        <v>1</v>
      </c>
      <c r="G544" t="s">
        <v>499</v>
      </c>
      <c r="H544" s="4">
        <v>1062459</v>
      </c>
      <c r="I544" s="4">
        <v>538658</v>
      </c>
      <c r="J544" s="3">
        <v>0.49300820078704216</v>
      </c>
      <c r="K544" s="3">
        <v>0.9724184918816763</v>
      </c>
      <c r="L544" t="s">
        <v>54</v>
      </c>
    </row>
    <row r="545" spans="1:12" x14ac:dyDescent="0.25">
      <c r="A545" t="s">
        <v>487</v>
      </c>
      <c r="B545" t="s">
        <v>455</v>
      </c>
      <c r="C545" t="s">
        <v>477</v>
      </c>
      <c r="D545" t="s">
        <v>234</v>
      </c>
      <c r="E545" t="s">
        <v>238</v>
      </c>
      <c r="F545">
        <v>2</v>
      </c>
      <c r="G545" t="s">
        <v>488</v>
      </c>
      <c r="H545" s="4">
        <v>343332</v>
      </c>
      <c r="I545" s="4">
        <v>507433.4330645493</v>
      </c>
      <c r="J545" s="3">
        <v>0.4779671952062414</v>
      </c>
      <c r="K545" s="3">
        <v>-0.3233949960165009</v>
      </c>
      <c r="L545" t="s">
        <v>54</v>
      </c>
    </row>
    <row r="546" spans="1:12" x14ac:dyDescent="0.25">
      <c r="A546" t="s">
        <v>487</v>
      </c>
      <c r="B546" t="s">
        <v>455</v>
      </c>
      <c r="C546" t="s">
        <v>477</v>
      </c>
      <c r="D546" t="s">
        <v>234</v>
      </c>
      <c r="E546" t="s">
        <v>238</v>
      </c>
      <c r="F546">
        <v>2</v>
      </c>
      <c r="G546" t="s">
        <v>498</v>
      </c>
      <c r="H546" s="4">
        <v>343332</v>
      </c>
      <c r="I546" s="4">
        <v>639678</v>
      </c>
      <c r="J546" s="3">
        <v>0.8631470413477333</v>
      </c>
      <c r="K546" s="3">
        <v>-0.46327370958513503</v>
      </c>
      <c r="L546" t="s">
        <v>54</v>
      </c>
    </row>
    <row r="547" spans="1:12" x14ac:dyDescent="0.25">
      <c r="A547" t="s">
        <v>487</v>
      </c>
      <c r="B547" t="s">
        <v>455</v>
      </c>
      <c r="C547" t="s">
        <v>477</v>
      </c>
      <c r="D547" t="s">
        <v>234</v>
      </c>
      <c r="E547" t="s">
        <v>238</v>
      </c>
      <c r="F547">
        <v>2</v>
      </c>
      <c r="G547" t="s">
        <v>499</v>
      </c>
      <c r="H547" s="4">
        <v>343332</v>
      </c>
      <c r="I547" s="4">
        <v>538658</v>
      </c>
      <c r="J547" s="3">
        <v>0.5689128889820931</v>
      </c>
      <c r="K547" s="3">
        <v>-0.3626159826828897</v>
      </c>
      <c r="L547" t="s">
        <v>54</v>
      </c>
    </row>
    <row r="548" spans="1:12" x14ac:dyDescent="0.25">
      <c r="A548" t="s">
        <v>487</v>
      </c>
      <c r="B548" t="s">
        <v>455</v>
      </c>
      <c r="C548" t="s">
        <v>477</v>
      </c>
      <c r="D548" t="s">
        <v>234</v>
      </c>
      <c r="E548" t="s">
        <v>240</v>
      </c>
      <c r="F548">
        <v>3</v>
      </c>
      <c r="G548" t="s">
        <v>488</v>
      </c>
      <c r="H548" s="4">
        <v>623545</v>
      </c>
      <c r="I548" s="4">
        <v>702910.3042547407</v>
      </c>
      <c r="J548" s="3">
        <v>0.12728079650184143</v>
      </c>
      <c r="K548" s="3">
        <v>-0.11290957576569832</v>
      </c>
      <c r="L548" t="s">
        <v>54</v>
      </c>
    </row>
    <row r="549" spans="1:12" x14ac:dyDescent="0.25">
      <c r="A549" t="s">
        <v>487</v>
      </c>
      <c r="B549" t="s">
        <v>455</v>
      </c>
      <c r="C549" t="s">
        <v>477</v>
      </c>
      <c r="D549" t="s">
        <v>234</v>
      </c>
      <c r="E549" t="s">
        <v>240</v>
      </c>
      <c r="F549">
        <v>3</v>
      </c>
      <c r="G549" t="s">
        <v>498</v>
      </c>
      <c r="H549" s="4">
        <v>623545</v>
      </c>
      <c r="I549" s="4">
        <v>886099</v>
      </c>
      <c r="J549" s="3">
        <v>0.4210666431452421</v>
      </c>
      <c r="K549" s="3">
        <v>-0.29630323474013626</v>
      </c>
      <c r="L549" t="s">
        <v>54</v>
      </c>
    </row>
    <row r="550" spans="1:12" x14ac:dyDescent="0.25">
      <c r="A550" t="s">
        <v>487</v>
      </c>
      <c r="B550" t="s">
        <v>455</v>
      </c>
      <c r="C550" t="s">
        <v>477</v>
      </c>
      <c r="D550" t="s">
        <v>234</v>
      </c>
      <c r="E550" t="s">
        <v>240</v>
      </c>
      <c r="F550">
        <v>3</v>
      </c>
      <c r="G550" t="s">
        <v>499</v>
      </c>
      <c r="H550" s="4">
        <v>623545</v>
      </c>
      <c r="I550" s="4">
        <v>538658</v>
      </c>
      <c r="J550" s="3">
        <v>0.1361361248987643</v>
      </c>
      <c r="K550" s="3">
        <v>0.15758978795450918</v>
      </c>
      <c r="L550" t="s">
        <v>54</v>
      </c>
    </row>
    <row r="551" spans="1:12" x14ac:dyDescent="0.25">
      <c r="A551" t="s">
        <v>487</v>
      </c>
      <c r="B551" t="s">
        <v>455</v>
      </c>
      <c r="C551" t="s">
        <v>477</v>
      </c>
      <c r="D551" t="s">
        <v>236</v>
      </c>
      <c r="E551" t="s">
        <v>238</v>
      </c>
      <c r="F551">
        <v>1</v>
      </c>
      <c r="G551" t="s">
        <v>488</v>
      </c>
      <c r="H551" s="4">
        <v>343332</v>
      </c>
      <c r="I551" s="4">
        <v>537655.2033009244</v>
      </c>
      <c r="J551" s="3">
        <v>0.5659921105545781</v>
      </c>
      <c r="K551" s="3">
        <v>-0.36142717880879904</v>
      </c>
      <c r="L551" t="s">
        <v>54</v>
      </c>
    </row>
    <row r="552" spans="1:12" x14ac:dyDescent="0.25">
      <c r="A552" t="s">
        <v>487</v>
      </c>
      <c r="B552" t="s">
        <v>455</v>
      </c>
      <c r="C552" t="s">
        <v>477</v>
      </c>
      <c r="D552" t="s">
        <v>236</v>
      </c>
      <c r="E552" t="s">
        <v>238</v>
      </c>
      <c r="F552">
        <v>1</v>
      </c>
      <c r="G552" t="s">
        <v>498</v>
      </c>
      <c r="H552" s="4">
        <v>343332</v>
      </c>
      <c r="I552" s="4">
        <v>639678</v>
      </c>
      <c r="J552" s="3">
        <v>0.8631470413477333</v>
      </c>
      <c r="K552" s="3">
        <v>-0.46327370958513503</v>
      </c>
      <c r="L552" t="s">
        <v>54</v>
      </c>
    </row>
    <row r="553" spans="1:12" x14ac:dyDescent="0.25">
      <c r="A553" t="s">
        <v>487</v>
      </c>
      <c r="B553" t="s">
        <v>455</v>
      </c>
      <c r="C553" t="s">
        <v>477</v>
      </c>
      <c r="D553" t="s">
        <v>236</v>
      </c>
      <c r="E553" t="s">
        <v>238</v>
      </c>
      <c r="F553">
        <v>1</v>
      </c>
      <c r="G553" t="s">
        <v>499</v>
      </c>
      <c r="H553" s="4">
        <v>343332</v>
      </c>
      <c r="I553" s="4">
        <v>1062459</v>
      </c>
      <c r="J553" s="3">
        <v>2.094552794379784</v>
      </c>
      <c r="K553" s="3">
        <v>-0.6768515302708151</v>
      </c>
      <c r="L553" t="s">
        <v>54</v>
      </c>
    </row>
    <row r="554" spans="1:12" x14ac:dyDescent="0.25">
      <c r="A554" t="s">
        <v>487</v>
      </c>
      <c r="B554" t="s">
        <v>455</v>
      </c>
      <c r="C554" t="s">
        <v>477</v>
      </c>
      <c r="D554" t="s">
        <v>236</v>
      </c>
      <c r="E554" t="s">
        <v>240</v>
      </c>
      <c r="F554">
        <v>2</v>
      </c>
      <c r="G554" t="s">
        <v>488</v>
      </c>
      <c r="H554" s="4">
        <v>623545</v>
      </c>
      <c r="I554" s="4">
        <v>744774.3051812722</v>
      </c>
      <c r="J554" s="3">
        <v>0.1944194968787693</v>
      </c>
      <c r="K554" s="3">
        <v>-0.16277321107602652</v>
      </c>
      <c r="L554" t="s">
        <v>54</v>
      </c>
    </row>
    <row r="555" spans="1:12" x14ac:dyDescent="0.25">
      <c r="A555" t="s">
        <v>487</v>
      </c>
      <c r="B555" t="s">
        <v>455</v>
      </c>
      <c r="C555" t="s">
        <v>477</v>
      </c>
      <c r="D555" t="s">
        <v>236</v>
      </c>
      <c r="E555" t="s">
        <v>240</v>
      </c>
      <c r="F555">
        <v>2</v>
      </c>
      <c r="G555" t="s">
        <v>498</v>
      </c>
      <c r="H555" s="4">
        <v>623545</v>
      </c>
      <c r="I555" s="4">
        <v>886099</v>
      </c>
      <c r="J555" s="3">
        <v>0.4210666431452421</v>
      </c>
      <c r="K555" s="3">
        <v>-0.29630323474013626</v>
      </c>
      <c r="L555" t="s">
        <v>54</v>
      </c>
    </row>
    <row r="556" spans="1:12" x14ac:dyDescent="0.25">
      <c r="A556" t="s">
        <v>487</v>
      </c>
      <c r="B556" t="s">
        <v>455</v>
      </c>
      <c r="C556" t="s">
        <v>477</v>
      </c>
      <c r="D556" t="s">
        <v>236</v>
      </c>
      <c r="E556" t="s">
        <v>240</v>
      </c>
      <c r="F556">
        <v>2</v>
      </c>
      <c r="G556" t="s">
        <v>499</v>
      </c>
      <c r="H556" s="4">
        <v>623545</v>
      </c>
      <c r="I556" s="4">
        <v>1062459</v>
      </c>
      <c r="J556" s="3">
        <v>0.7039010817182401</v>
      </c>
      <c r="K556" s="3">
        <v>-0.413111470654397</v>
      </c>
      <c r="L556" t="s">
        <v>54</v>
      </c>
    </row>
    <row r="557" spans="1:12" x14ac:dyDescent="0.25">
      <c r="A557" t="s">
        <v>487</v>
      </c>
      <c r="B557" t="s">
        <v>455</v>
      </c>
      <c r="C557" t="s">
        <v>477</v>
      </c>
      <c r="D557" t="s">
        <v>236</v>
      </c>
      <c r="E557" t="s">
        <v>242</v>
      </c>
      <c r="F557">
        <v>3</v>
      </c>
      <c r="G557" t="s">
        <v>488</v>
      </c>
      <c r="H557" s="4">
        <v>711700</v>
      </c>
      <c r="I557" s="4">
        <v>471499.5696905572</v>
      </c>
      <c r="J557" s="3">
        <v>0.3375023609799674</v>
      </c>
      <c r="K557" s="3">
        <v>0.5094393415185621</v>
      </c>
      <c r="L557" t="s">
        <v>54</v>
      </c>
    </row>
    <row r="558" spans="1:12" x14ac:dyDescent="0.25">
      <c r="A558" t="s">
        <v>487</v>
      </c>
      <c r="B558" t="s">
        <v>455</v>
      </c>
      <c r="C558" t="s">
        <v>477</v>
      </c>
      <c r="D558" t="s">
        <v>236</v>
      </c>
      <c r="E558" t="s">
        <v>242</v>
      </c>
      <c r="F558">
        <v>3</v>
      </c>
      <c r="G558" t="s">
        <v>498</v>
      </c>
      <c r="H558" s="4">
        <v>711700</v>
      </c>
      <c r="I558" s="4">
        <v>560969</v>
      </c>
      <c r="J558" s="3">
        <v>0.21179008008992553</v>
      </c>
      <c r="K558" s="3">
        <v>0.26869755726252254</v>
      </c>
      <c r="L558" t="s">
        <v>54</v>
      </c>
    </row>
    <row r="559" spans="1:12" x14ac:dyDescent="0.25">
      <c r="A559" t="s">
        <v>487</v>
      </c>
      <c r="B559" t="s">
        <v>455</v>
      </c>
      <c r="C559" t="s">
        <v>477</v>
      </c>
      <c r="D559" t="s">
        <v>236</v>
      </c>
      <c r="E559" t="s">
        <v>242</v>
      </c>
      <c r="F559">
        <v>3</v>
      </c>
      <c r="G559" t="s">
        <v>499</v>
      </c>
      <c r="H559" s="4">
        <v>711700</v>
      </c>
      <c r="I559" s="4">
        <v>1062459</v>
      </c>
      <c r="J559" s="3">
        <v>0.49284670507236195</v>
      </c>
      <c r="K559" s="3">
        <v>-0.3301388571229572</v>
      </c>
      <c r="L559" t="s">
        <v>54</v>
      </c>
    </row>
    <row r="560" spans="1:12" x14ac:dyDescent="0.25">
      <c r="A560" t="s">
        <v>487</v>
      </c>
      <c r="B560" t="s">
        <v>455</v>
      </c>
      <c r="C560" t="s">
        <v>477</v>
      </c>
      <c r="D560" t="s">
        <v>238</v>
      </c>
      <c r="E560" t="s">
        <v>240</v>
      </c>
      <c r="F560">
        <v>1</v>
      </c>
      <c r="G560" t="s">
        <v>488</v>
      </c>
      <c r="H560" s="4">
        <v>623545</v>
      </c>
      <c r="I560" s="4">
        <v>739054.8039565668</v>
      </c>
      <c r="J560" s="3">
        <v>0.185246941209643</v>
      </c>
      <c r="K560" s="3">
        <v>-0.15629396269150722</v>
      </c>
      <c r="L560" t="s">
        <v>54</v>
      </c>
    </row>
    <row r="561" spans="1:12" x14ac:dyDescent="0.25">
      <c r="A561" t="s">
        <v>487</v>
      </c>
      <c r="B561" t="s">
        <v>455</v>
      </c>
      <c r="C561" t="s">
        <v>477</v>
      </c>
      <c r="D561" t="s">
        <v>238</v>
      </c>
      <c r="E561" t="s">
        <v>240</v>
      </c>
      <c r="F561">
        <v>1</v>
      </c>
      <c r="G561" t="s">
        <v>498</v>
      </c>
      <c r="H561" s="4">
        <v>623545</v>
      </c>
      <c r="I561" s="4">
        <v>886099</v>
      </c>
      <c r="J561" s="3">
        <v>0.4210666431452421</v>
      </c>
      <c r="K561" s="3">
        <v>-0.29630323474013626</v>
      </c>
      <c r="L561" t="s">
        <v>54</v>
      </c>
    </row>
    <row r="562" spans="1:12" x14ac:dyDescent="0.25">
      <c r="A562" t="s">
        <v>487</v>
      </c>
      <c r="B562" t="s">
        <v>455</v>
      </c>
      <c r="C562" t="s">
        <v>477</v>
      </c>
      <c r="D562" t="s">
        <v>238</v>
      </c>
      <c r="E562" t="s">
        <v>240</v>
      </c>
      <c r="F562">
        <v>1</v>
      </c>
      <c r="G562" t="s">
        <v>499</v>
      </c>
      <c r="H562" s="4">
        <v>623545</v>
      </c>
      <c r="I562" s="4">
        <v>343332</v>
      </c>
      <c r="J562" s="3">
        <v>0.449386972872848</v>
      </c>
      <c r="K562" s="3">
        <v>0.8161575384758776</v>
      </c>
      <c r="L562" t="s">
        <v>54</v>
      </c>
    </row>
    <row r="563" spans="1:12" x14ac:dyDescent="0.25">
      <c r="A563" t="s">
        <v>487</v>
      </c>
      <c r="B563" t="s">
        <v>455</v>
      </c>
      <c r="C563" t="s">
        <v>477</v>
      </c>
      <c r="D563" t="s">
        <v>238</v>
      </c>
      <c r="E563" t="s">
        <v>242</v>
      </c>
      <c r="F563">
        <v>2</v>
      </c>
      <c r="G563" t="s">
        <v>488</v>
      </c>
      <c r="H563" s="4">
        <v>711700</v>
      </c>
      <c r="I563" s="4">
        <v>467878.6843464572</v>
      </c>
      <c r="J563" s="3">
        <v>0.3425900177793211</v>
      </c>
      <c r="K563" s="3">
        <v>0.5211208029152206</v>
      </c>
      <c r="L563" t="s">
        <v>54</v>
      </c>
    </row>
    <row r="564" spans="1:12" x14ac:dyDescent="0.25">
      <c r="A564" t="s">
        <v>487</v>
      </c>
      <c r="B564" t="s">
        <v>455</v>
      </c>
      <c r="C564" t="s">
        <v>477</v>
      </c>
      <c r="D564" t="s">
        <v>238</v>
      </c>
      <c r="E564" t="s">
        <v>242</v>
      </c>
      <c r="F564">
        <v>2</v>
      </c>
      <c r="G564" t="s">
        <v>498</v>
      </c>
      <c r="H564" s="4">
        <v>711700</v>
      </c>
      <c r="I564" s="4">
        <v>560969</v>
      </c>
      <c r="J564" s="3">
        <v>0.21179008008992553</v>
      </c>
      <c r="K564" s="3">
        <v>0.26869755726252254</v>
      </c>
      <c r="L564" t="s">
        <v>54</v>
      </c>
    </row>
    <row r="565" spans="1:12" x14ac:dyDescent="0.25">
      <c r="A565" t="s">
        <v>487</v>
      </c>
      <c r="B565" t="s">
        <v>455</v>
      </c>
      <c r="C565" t="s">
        <v>477</v>
      </c>
      <c r="D565" t="s">
        <v>238</v>
      </c>
      <c r="E565" t="s">
        <v>242</v>
      </c>
      <c r="F565">
        <v>2</v>
      </c>
      <c r="G565" t="s">
        <v>499</v>
      </c>
      <c r="H565" s="4">
        <v>711700</v>
      </c>
      <c r="I565" s="4">
        <v>343332</v>
      </c>
      <c r="J565" s="3">
        <v>0.5175888717156105</v>
      </c>
      <c r="K565" s="3">
        <v>1.0729206715365884</v>
      </c>
      <c r="L565" t="s">
        <v>54</v>
      </c>
    </row>
    <row r="566" spans="1:12" x14ac:dyDescent="0.25">
      <c r="A566" t="s">
        <v>487</v>
      </c>
      <c r="B566" t="s">
        <v>455</v>
      </c>
      <c r="C566" t="s">
        <v>477</v>
      </c>
      <c r="D566" t="s">
        <v>238</v>
      </c>
      <c r="E566" t="s">
        <v>244</v>
      </c>
      <c r="F566">
        <v>3</v>
      </c>
      <c r="G566" t="s">
        <v>488</v>
      </c>
      <c r="H566" s="4">
        <v>649307</v>
      </c>
      <c r="I566" s="4">
        <v>654894.5408333297</v>
      </c>
      <c r="J566" s="3">
        <v>0.008605391337733408</v>
      </c>
      <c r="K566" s="3">
        <v>-0.0085319703936144</v>
      </c>
      <c r="L566" t="s">
        <v>54</v>
      </c>
    </row>
    <row r="567" spans="1:12" x14ac:dyDescent="0.25">
      <c r="A567" t="s">
        <v>487</v>
      </c>
      <c r="B567" t="s">
        <v>455</v>
      </c>
      <c r="C567" t="s">
        <v>477</v>
      </c>
      <c r="D567" t="s">
        <v>238</v>
      </c>
      <c r="E567" t="s">
        <v>244</v>
      </c>
      <c r="F567">
        <v>3</v>
      </c>
      <c r="G567" t="s">
        <v>498</v>
      </c>
      <c r="H567" s="4">
        <v>649307</v>
      </c>
      <c r="I567" s="4">
        <v>785194</v>
      </c>
      <c r="J567" s="3">
        <v>0.20928004780481343</v>
      </c>
      <c r="K567" s="3">
        <v>-0.17306168921311166</v>
      </c>
      <c r="L567" t="s">
        <v>54</v>
      </c>
    </row>
    <row r="568" spans="1:12" x14ac:dyDescent="0.25">
      <c r="A568" t="s">
        <v>487</v>
      </c>
      <c r="B568" t="s">
        <v>455</v>
      </c>
      <c r="C568" t="s">
        <v>477</v>
      </c>
      <c r="D568" t="s">
        <v>238</v>
      </c>
      <c r="E568" t="s">
        <v>244</v>
      </c>
      <c r="F568">
        <v>3</v>
      </c>
      <c r="G568" t="s">
        <v>499</v>
      </c>
      <c r="H568" s="4">
        <v>649307</v>
      </c>
      <c r="I568" s="4">
        <v>343332</v>
      </c>
      <c r="J568" s="3">
        <v>0.4712331762941105</v>
      </c>
      <c r="K568" s="3">
        <v>0.8911927813311896</v>
      </c>
      <c r="L568" t="s">
        <v>54</v>
      </c>
    </row>
    <row r="569" spans="1:12" x14ac:dyDescent="0.25">
      <c r="A569" t="s">
        <v>487</v>
      </c>
      <c r="B569" t="s">
        <v>455</v>
      </c>
      <c r="C569" t="s">
        <v>477</v>
      </c>
      <c r="D569" t="s">
        <v>240</v>
      </c>
      <c r="E569" t="s">
        <v>242</v>
      </c>
      <c r="F569">
        <v>1</v>
      </c>
      <c r="G569" t="s">
        <v>488</v>
      </c>
      <c r="H569" s="4">
        <v>711700</v>
      </c>
      <c r="I569" s="4">
        <v>463601.0908743128</v>
      </c>
      <c r="J569" s="3">
        <v>0.3486004062465747</v>
      </c>
      <c r="K569" s="3">
        <v>0.5351560080624346</v>
      </c>
      <c r="L569" t="s">
        <v>54</v>
      </c>
    </row>
    <row r="570" spans="1:12" x14ac:dyDescent="0.25">
      <c r="A570" t="s">
        <v>487</v>
      </c>
      <c r="B570" t="s">
        <v>455</v>
      </c>
      <c r="C570" t="s">
        <v>477</v>
      </c>
      <c r="D570" t="s">
        <v>240</v>
      </c>
      <c r="E570" t="s">
        <v>242</v>
      </c>
      <c r="F570">
        <v>1</v>
      </c>
      <c r="G570" t="s">
        <v>498</v>
      </c>
      <c r="H570" s="4">
        <v>711700</v>
      </c>
      <c r="I570" s="4">
        <v>560969</v>
      </c>
      <c r="J570" s="3">
        <v>0.21179008008992553</v>
      </c>
      <c r="K570" s="3">
        <v>0.26869755726252254</v>
      </c>
      <c r="L570" t="s">
        <v>54</v>
      </c>
    </row>
    <row r="571" spans="1:12" x14ac:dyDescent="0.25">
      <c r="A571" t="s">
        <v>487</v>
      </c>
      <c r="B571" t="s">
        <v>455</v>
      </c>
      <c r="C571" t="s">
        <v>477</v>
      </c>
      <c r="D571" t="s">
        <v>240</v>
      </c>
      <c r="E571" t="s">
        <v>242</v>
      </c>
      <c r="F571">
        <v>1</v>
      </c>
      <c r="G571" t="s">
        <v>499</v>
      </c>
      <c r="H571" s="4">
        <v>711700</v>
      </c>
      <c r="I571" s="4">
        <v>623545</v>
      </c>
      <c r="J571" s="3">
        <v>0.12386539272165238</v>
      </c>
      <c r="K571" s="3">
        <v>0.14137712594920976</v>
      </c>
      <c r="L571" t="s">
        <v>54</v>
      </c>
    </row>
    <row r="572" spans="1:12" x14ac:dyDescent="0.25">
      <c r="A572" t="s">
        <v>487</v>
      </c>
      <c r="B572" t="s">
        <v>455</v>
      </c>
      <c r="C572" t="s">
        <v>477</v>
      </c>
      <c r="D572" t="s">
        <v>240</v>
      </c>
      <c r="E572" t="s">
        <v>244</v>
      </c>
      <c r="F572">
        <v>2</v>
      </c>
      <c r="G572" t="s">
        <v>488</v>
      </c>
      <c r="H572" s="4">
        <v>649307</v>
      </c>
      <c r="I572" s="4">
        <v>648907.1498567036</v>
      </c>
      <c r="J572" s="3">
        <v>0.0006158106154660449</v>
      </c>
      <c r="K572" s="3">
        <v>0.0006161900718534371</v>
      </c>
      <c r="L572" t="s">
        <v>54</v>
      </c>
    </row>
    <row r="573" spans="1:12" x14ac:dyDescent="0.25">
      <c r="A573" t="s">
        <v>487</v>
      </c>
      <c r="B573" t="s">
        <v>455</v>
      </c>
      <c r="C573" t="s">
        <v>477</v>
      </c>
      <c r="D573" t="s">
        <v>240</v>
      </c>
      <c r="E573" t="s">
        <v>244</v>
      </c>
      <c r="F573">
        <v>2</v>
      </c>
      <c r="G573" t="s">
        <v>498</v>
      </c>
      <c r="H573" s="4">
        <v>649307</v>
      </c>
      <c r="I573" s="4">
        <v>785194</v>
      </c>
      <c r="J573" s="3">
        <v>0.20928004780481343</v>
      </c>
      <c r="K573" s="3">
        <v>-0.17306168921311166</v>
      </c>
      <c r="L573" t="s">
        <v>54</v>
      </c>
    </row>
    <row r="574" spans="1:12" x14ac:dyDescent="0.25">
      <c r="A574" t="s">
        <v>487</v>
      </c>
      <c r="B574" t="s">
        <v>455</v>
      </c>
      <c r="C574" t="s">
        <v>477</v>
      </c>
      <c r="D574" t="s">
        <v>240</v>
      </c>
      <c r="E574" t="s">
        <v>244</v>
      </c>
      <c r="F574">
        <v>2</v>
      </c>
      <c r="G574" t="s">
        <v>499</v>
      </c>
      <c r="H574" s="4">
        <v>649307</v>
      </c>
      <c r="I574" s="4">
        <v>623545</v>
      </c>
      <c r="J574" s="3">
        <v>0.0396761470306034</v>
      </c>
      <c r="K574" s="3">
        <v>0.041315382209784375</v>
      </c>
      <c r="L574" t="s">
        <v>54</v>
      </c>
    </row>
    <row r="575" spans="1:12" x14ac:dyDescent="0.25">
      <c r="A575" t="s">
        <v>487</v>
      </c>
      <c r="B575" t="s">
        <v>455</v>
      </c>
      <c r="C575" t="s">
        <v>477</v>
      </c>
      <c r="D575" t="s">
        <v>240</v>
      </c>
      <c r="E575" t="s">
        <v>246</v>
      </c>
      <c r="F575">
        <v>3</v>
      </c>
      <c r="G575" t="s">
        <v>488</v>
      </c>
      <c r="H575" s="4">
        <v>715510</v>
      </c>
      <c r="I575" s="4">
        <v>714433.0582281867</v>
      </c>
      <c r="J575" s="3">
        <v>0.001505138672853376</v>
      </c>
      <c r="K575" s="3">
        <v>0.0015074075302228649</v>
      </c>
      <c r="L575" t="s">
        <v>54</v>
      </c>
    </row>
    <row r="576" spans="1:12" x14ac:dyDescent="0.25">
      <c r="A576" t="s">
        <v>487</v>
      </c>
      <c r="B576" t="s">
        <v>455</v>
      </c>
      <c r="C576" t="s">
        <v>477</v>
      </c>
      <c r="D576" t="s">
        <v>240</v>
      </c>
      <c r="E576" t="s">
        <v>246</v>
      </c>
      <c r="F576">
        <v>3</v>
      </c>
      <c r="G576" t="s">
        <v>498</v>
      </c>
      <c r="H576" s="4">
        <v>715510</v>
      </c>
      <c r="I576" s="4">
        <v>864482</v>
      </c>
      <c r="J576" s="3">
        <v>0.20820393844949756</v>
      </c>
      <c r="K576" s="3">
        <v>-0.17232516119479643</v>
      </c>
      <c r="L576" t="s">
        <v>54</v>
      </c>
    </row>
    <row r="577" spans="1:12" x14ac:dyDescent="0.25">
      <c r="A577" t="s">
        <v>487</v>
      </c>
      <c r="B577" t="s">
        <v>455</v>
      </c>
      <c r="C577" t="s">
        <v>477</v>
      </c>
      <c r="D577" t="s">
        <v>240</v>
      </c>
      <c r="E577" t="s">
        <v>246</v>
      </c>
      <c r="F577">
        <v>3</v>
      </c>
      <c r="G577" t="s">
        <v>499</v>
      </c>
      <c r="H577" s="4">
        <v>715510</v>
      </c>
      <c r="I577" s="4">
        <v>623545</v>
      </c>
      <c r="J577" s="3">
        <v>0.1285306983829716</v>
      </c>
      <c r="K577" s="3">
        <v>0.14748735055208526</v>
      </c>
      <c r="L577" t="s">
        <v>54</v>
      </c>
    </row>
    <row r="578" spans="1:12" x14ac:dyDescent="0.25">
      <c r="A578" t="s">
        <v>487</v>
      </c>
      <c r="B578" t="s">
        <v>455</v>
      </c>
      <c r="C578" t="s">
        <v>477</v>
      </c>
      <c r="D578" t="s">
        <v>242</v>
      </c>
      <c r="E578" t="s">
        <v>244</v>
      </c>
      <c r="F578">
        <v>1</v>
      </c>
      <c r="G578" t="s">
        <v>488</v>
      </c>
      <c r="H578" s="4">
        <v>649307</v>
      </c>
      <c r="I578" s="4">
        <v>694929.2174100935</v>
      </c>
      <c r="J578" s="3">
        <v>0.07026293788622874</v>
      </c>
      <c r="K578" s="3">
        <v>-0.06565016445864992</v>
      </c>
      <c r="L578" t="s">
        <v>54</v>
      </c>
    </row>
    <row r="579" spans="1:12" x14ac:dyDescent="0.25">
      <c r="A579" t="s">
        <v>487</v>
      </c>
      <c r="B579" t="s">
        <v>455</v>
      </c>
      <c r="C579" t="s">
        <v>477</v>
      </c>
      <c r="D579" t="s">
        <v>242</v>
      </c>
      <c r="E579" t="s">
        <v>244</v>
      </c>
      <c r="F579">
        <v>1</v>
      </c>
      <c r="G579" t="s">
        <v>498</v>
      </c>
      <c r="H579" s="4">
        <v>649307</v>
      </c>
      <c r="I579" s="4">
        <v>785194</v>
      </c>
      <c r="J579" s="3">
        <v>0.20928004780481343</v>
      </c>
      <c r="K579" s="3">
        <v>-0.17306168921311166</v>
      </c>
      <c r="L579" t="s">
        <v>54</v>
      </c>
    </row>
    <row r="580" spans="1:12" x14ac:dyDescent="0.25">
      <c r="A580" t="s">
        <v>487</v>
      </c>
      <c r="B580" t="s">
        <v>455</v>
      </c>
      <c r="C580" t="s">
        <v>477</v>
      </c>
      <c r="D580" t="s">
        <v>242</v>
      </c>
      <c r="E580" t="s">
        <v>244</v>
      </c>
      <c r="F580">
        <v>1</v>
      </c>
      <c r="G580" t="s">
        <v>499</v>
      </c>
      <c r="H580" s="4">
        <v>649307</v>
      </c>
      <c r="I580" s="4">
        <v>711700</v>
      </c>
      <c r="J580" s="3">
        <v>0.09609167928268138</v>
      </c>
      <c r="K580" s="3">
        <v>-0.08766755655472812</v>
      </c>
      <c r="L580" t="s">
        <v>54</v>
      </c>
    </row>
    <row r="581" spans="1:12" x14ac:dyDescent="0.25">
      <c r="A581" t="s">
        <v>487</v>
      </c>
      <c r="B581" t="s">
        <v>455</v>
      </c>
      <c r="C581" t="s">
        <v>477</v>
      </c>
      <c r="D581" t="s">
        <v>242</v>
      </c>
      <c r="E581" t="s">
        <v>246</v>
      </c>
      <c r="F581">
        <v>2</v>
      </c>
      <c r="G581" t="s">
        <v>488</v>
      </c>
      <c r="H581" s="4">
        <v>715510</v>
      </c>
      <c r="I581" s="4">
        <v>765102.3819910907</v>
      </c>
      <c r="J581" s="3">
        <v>0.06931053652791816</v>
      </c>
      <c r="K581" s="3">
        <v>-0.06481796836396231</v>
      </c>
      <c r="L581" t="s">
        <v>54</v>
      </c>
    </row>
    <row r="582" spans="1:12" x14ac:dyDescent="0.25">
      <c r="A582" t="s">
        <v>487</v>
      </c>
      <c r="B582" t="s">
        <v>455</v>
      </c>
      <c r="C582" t="s">
        <v>477</v>
      </c>
      <c r="D582" t="s">
        <v>242</v>
      </c>
      <c r="E582" t="s">
        <v>246</v>
      </c>
      <c r="F582">
        <v>2</v>
      </c>
      <c r="G582" t="s">
        <v>498</v>
      </c>
      <c r="H582" s="4">
        <v>715510</v>
      </c>
      <c r="I582" s="4">
        <v>864482</v>
      </c>
      <c r="J582" s="3">
        <v>0.20820393844949756</v>
      </c>
      <c r="K582" s="3">
        <v>-0.17232516119479643</v>
      </c>
      <c r="L582" t="s">
        <v>54</v>
      </c>
    </row>
    <row r="583" spans="1:12" x14ac:dyDescent="0.25">
      <c r="A583" t="s">
        <v>487</v>
      </c>
      <c r="B583" t="s">
        <v>455</v>
      </c>
      <c r="C583" t="s">
        <v>477</v>
      </c>
      <c r="D583" t="s">
        <v>242</v>
      </c>
      <c r="E583" t="s">
        <v>246</v>
      </c>
      <c r="F583">
        <v>2</v>
      </c>
      <c r="G583" t="s">
        <v>499</v>
      </c>
      <c r="H583" s="4">
        <v>715510</v>
      </c>
      <c r="I583" s="4">
        <v>711700</v>
      </c>
      <c r="J583" s="3">
        <v>0.005324873167391091</v>
      </c>
      <c r="K583" s="3">
        <v>0.0053533792328228184</v>
      </c>
      <c r="L583" t="s">
        <v>54</v>
      </c>
    </row>
    <row r="584" spans="1:12" x14ac:dyDescent="0.25">
      <c r="A584" t="s">
        <v>487</v>
      </c>
      <c r="B584" t="s">
        <v>455</v>
      </c>
      <c r="C584" t="s">
        <v>477</v>
      </c>
      <c r="D584" t="s">
        <v>242</v>
      </c>
      <c r="E584" t="s">
        <v>248</v>
      </c>
      <c r="F584">
        <v>3</v>
      </c>
      <c r="G584" t="s">
        <v>488</v>
      </c>
      <c r="H584" s="4">
        <v>438943</v>
      </c>
      <c r="I584" s="4">
        <v>597731.3128876077</v>
      </c>
      <c r="J584" s="3">
        <v>0.36175155518508717</v>
      </c>
      <c r="K584" s="3">
        <v>-0.2656516556251837</v>
      </c>
      <c r="L584" t="s">
        <v>54</v>
      </c>
    </row>
    <row r="585" spans="1:12" x14ac:dyDescent="0.25">
      <c r="A585" t="s">
        <v>487</v>
      </c>
      <c r="B585" t="s">
        <v>455</v>
      </c>
      <c r="C585" t="s">
        <v>477</v>
      </c>
      <c r="D585" t="s">
        <v>242</v>
      </c>
      <c r="E585" t="s">
        <v>248</v>
      </c>
      <c r="F585">
        <v>3</v>
      </c>
      <c r="G585" t="s">
        <v>498</v>
      </c>
      <c r="H585" s="4">
        <v>438943</v>
      </c>
      <c r="I585" s="4">
        <v>675371</v>
      </c>
      <c r="J585" s="3">
        <v>0.5386303005173793</v>
      </c>
      <c r="K585" s="3">
        <v>-0.3500712941479572</v>
      </c>
      <c r="L585" t="s">
        <v>54</v>
      </c>
    </row>
    <row r="586" spans="1:12" x14ac:dyDescent="0.25">
      <c r="A586" t="s">
        <v>487</v>
      </c>
      <c r="B586" t="s">
        <v>455</v>
      </c>
      <c r="C586" t="s">
        <v>477</v>
      </c>
      <c r="D586" t="s">
        <v>242</v>
      </c>
      <c r="E586" t="s">
        <v>248</v>
      </c>
      <c r="F586">
        <v>3</v>
      </c>
      <c r="G586" t="s">
        <v>499</v>
      </c>
      <c r="H586" s="4">
        <v>438943</v>
      </c>
      <c r="I586" s="4">
        <v>711700</v>
      </c>
      <c r="J586" s="3">
        <v>0.6213950330680749</v>
      </c>
      <c r="K586" s="3">
        <v>-0.383247154700014</v>
      </c>
      <c r="L586" t="s">
        <v>54</v>
      </c>
    </row>
    <row r="587" spans="1:12" x14ac:dyDescent="0.25">
      <c r="A587" t="s">
        <v>487</v>
      </c>
      <c r="B587" t="s">
        <v>455</v>
      </c>
      <c r="C587" t="s">
        <v>477</v>
      </c>
      <c r="D587" t="s">
        <v>244</v>
      </c>
      <c r="E587" t="s">
        <v>246</v>
      </c>
      <c r="F587">
        <v>1</v>
      </c>
      <c r="G587" t="s">
        <v>488</v>
      </c>
      <c r="H587" s="4">
        <v>715510</v>
      </c>
      <c r="I587" s="4">
        <v>753053.2125901931</v>
      </c>
      <c r="J587" s="3">
        <v>0.05247056308114931</v>
      </c>
      <c r="K587" s="3">
        <v>-0.04985466094893871</v>
      </c>
      <c r="L587" t="s">
        <v>54</v>
      </c>
    </row>
    <row r="588" spans="1:12" x14ac:dyDescent="0.25">
      <c r="A588" t="s">
        <v>487</v>
      </c>
      <c r="B588" t="s">
        <v>455</v>
      </c>
      <c r="C588" t="s">
        <v>477</v>
      </c>
      <c r="D588" t="s">
        <v>244</v>
      </c>
      <c r="E588" t="s">
        <v>246</v>
      </c>
      <c r="F588">
        <v>1</v>
      </c>
      <c r="G588" t="s">
        <v>498</v>
      </c>
      <c r="H588" s="4">
        <v>715510</v>
      </c>
      <c r="I588" s="4">
        <v>864482</v>
      </c>
      <c r="J588" s="3">
        <v>0.20820393844949756</v>
      </c>
      <c r="K588" s="3">
        <v>-0.17232516119479643</v>
      </c>
      <c r="L588" t="s">
        <v>54</v>
      </c>
    </row>
    <row r="589" spans="1:12" x14ac:dyDescent="0.25">
      <c r="A589" t="s">
        <v>487</v>
      </c>
      <c r="B589" t="s">
        <v>455</v>
      </c>
      <c r="C589" t="s">
        <v>477</v>
      </c>
      <c r="D589" t="s">
        <v>244</v>
      </c>
      <c r="E589" t="s">
        <v>246</v>
      </c>
      <c r="F589">
        <v>1</v>
      </c>
      <c r="G589" t="s">
        <v>499</v>
      </c>
      <c r="H589" s="4">
        <v>715510</v>
      </c>
      <c r="I589" s="4">
        <v>649307</v>
      </c>
      <c r="J589" s="3">
        <v>0.0925256111025702</v>
      </c>
      <c r="K589" s="3">
        <v>0.10195947371582317</v>
      </c>
      <c r="L589" t="s">
        <v>54</v>
      </c>
    </row>
    <row r="590" spans="1:12" x14ac:dyDescent="0.25">
      <c r="A590" t="s">
        <v>487</v>
      </c>
      <c r="B590" t="s">
        <v>455</v>
      </c>
      <c r="C590" t="s">
        <v>477</v>
      </c>
      <c r="D590" t="s">
        <v>244</v>
      </c>
      <c r="E590" t="s">
        <v>248</v>
      </c>
      <c r="F590">
        <v>2</v>
      </c>
      <c r="G590" t="s">
        <v>488</v>
      </c>
      <c r="H590" s="4">
        <v>438943</v>
      </c>
      <c r="I590" s="4">
        <v>588317.9768234056</v>
      </c>
      <c r="J590" s="3">
        <v>0.3403060917326523</v>
      </c>
      <c r="K590" s="3">
        <v>-0.25390177201442754</v>
      </c>
      <c r="L590" t="s">
        <v>54</v>
      </c>
    </row>
    <row r="591" spans="1:12" x14ac:dyDescent="0.25">
      <c r="A591" t="s">
        <v>487</v>
      </c>
      <c r="B591" t="s">
        <v>455</v>
      </c>
      <c r="C591" t="s">
        <v>477</v>
      </c>
      <c r="D591" t="s">
        <v>244</v>
      </c>
      <c r="E591" t="s">
        <v>248</v>
      </c>
      <c r="F591">
        <v>2</v>
      </c>
      <c r="G591" t="s">
        <v>498</v>
      </c>
      <c r="H591" s="4">
        <v>438943</v>
      </c>
      <c r="I591" s="4">
        <v>675371</v>
      </c>
      <c r="J591" s="3">
        <v>0.5386303005173793</v>
      </c>
      <c r="K591" s="3">
        <v>-0.3500712941479572</v>
      </c>
      <c r="L591" t="s">
        <v>54</v>
      </c>
    </row>
    <row r="592" spans="1:12" x14ac:dyDescent="0.25">
      <c r="A592" t="s">
        <v>487</v>
      </c>
      <c r="B592" t="s">
        <v>455</v>
      </c>
      <c r="C592" t="s">
        <v>477</v>
      </c>
      <c r="D592" t="s">
        <v>244</v>
      </c>
      <c r="E592" t="s">
        <v>248</v>
      </c>
      <c r="F592">
        <v>2</v>
      </c>
      <c r="G592" t="s">
        <v>499</v>
      </c>
      <c r="H592" s="4">
        <v>438943</v>
      </c>
      <c r="I592" s="4">
        <v>649307</v>
      </c>
      <c r="J592" s="3">
        <v>0.4792512923090242</v>
      </c>
      <c r="K592" s="3">
        <v>-0.3239823380927666</v>
      </c>
      <c r="L592" t="s">
        <v>54</v>
      </c>
    </row>
    <row r="593" spans="1:12" x14ac:dyDescent="0.25">
      <c r="A593" t="s">
        <v>487</v>
      </c>
      <c r="B593" t="s">
        <v>455</v>
      </c>
      <c r="C593" t="s">
        <v>477</v>
      </c>
      <c r="D593" t="s">
        <v>244</v>
      </c>
      <c r="E593" t="s">
        <v>250</v>
      </c>
      <c r="F593">
        <v>3</v>
      </c>
      <c r="G593" t="s">
        <v>488</v>
      </c>
      <c r="H593" s="4">
        <v>368660</v>
      </c>
      <c r="I593" s="4">
        <v>361462.61513585644</v>
      </c>
      <c r="J593" s="3">
        <v>0.019523096794183153</v>
      </c>
      <c r="K593" s="3">
        <v>0.019911837525544405</v>
      </c>
      <c r="L593" t="s">
        <v>54</v>
      </c>
    </row>
    <row r="594" spans="1:12" x14ac:dyDescent="0.25">
      <c r="A594" t="s">
        <v>487</v>
      </c>
      <c r="B594" t="s">
        <v>455</v>
      </c>
      <c r="C594" t="s">
        <v>477</v>
      </c>
      <c r="D594" t="s">
        <v>244</v>
      </c>
      <c r="E594" t="s">
        <v>250</v>
      </c>
      <c r="F594">
        <v>3</v>
      </c>
      <c r="G594" t="s">
        <v>498</v>
      </c>
      <c r="H594" s="4">
        <v>368660</v>
      </c>
      <c r="I594" s="4">
        <v>414948</v>
      </c>
      <c r="J594" s="3">
        <v>0.1255574241848858</v>
      </c>
      <c r="K594" s="3">
        <v>-0.11155132691325179</v>
      </c>
      <c r="L594" t="s">
        <v>54</v>
      </c>
    </row>
    <row r="595" spans="1:12" x14ac:dyDescent="0.25">
      <c r="A595" t="s">
        <v>487</v>
      </c>
      <c r="B595" t="s">
        <v>455</v>
      </c>
      <c r="C595" t="s">
        <v>477</v>
      </c>
      <c r="D595" t="s">
        <v>244</v>
      </c>
      <c r="E595" t="s">
        <v>250</v>
      </c>
      <c r="F595">
        <v>3</v>
      </c>
      <c r="G595" t="s">
        <v>499</v>
      </c>
      <c r="H595" s="4">
        <v>368660</v>
      </c>
      <c r="I595" s="4">
        <v>649307</v>
      </c>
      <c r="J595" s="3">
        <v>0.7612624098084957</v>
      </c>
      <c r="K595" s="3">
        <v>-0.4322254341936865</v>
      </c>
      <c r="L595" t="s">
        <v>54</v>
      </c>
    </row>
    <row r="596" spans="1:12" x14ac:dyDescent="0.25">
      <c r="A596" t="s">
        <v>487</v>
      </c>
      <c r="B596" t="s">
        <v>455</v>
      </c>
      <c r="C596" t="s">
        <v>477</v>
      </c>
      <c r="D596" t="s">
        <v>246</v>
      </c>
      <c r="E596" t="s">
        <v>248</v>
      </c>
      <c r="F596">
        <v>1</v>
      </c>
      <c r="G596" t="s">
        <v>488</v>
      </c>
      <c r="H596" s="4">
        <v>438943</v>
      </c>
      <c r="I596" s="4">
        <v>600335.8106012469</v>
      </c>
      <c r="J596" s="3">
        <v>0.3676851222168867</v>
      </c>
      <c r="K596" s="3">
        <v>-0.2688375535012798</v>
      </c>
      <c r="L596" t="s">
        <v>54</v>
      </c>
    </row>
    <row r="597" spans="1:12" x14ac:dyDescent="0.25">
      <c r="A597" t="s">
        <v>487</v>
      </c>
      <c r="B597" t="s">
        <v>455</v>
      </c>
      <c r="C597" t="s">
        <v>477</v>
      </c>
      <c r="D597" t="s">
        <v>246</v>
      </c>
      <c r="E597" t="s">
        <v>248</v>
      </c>
      <c r="F597">
        <v>1</v>
      </c>
      <c r="G597" t="s">
        <v>498</v>
      </c>
      <c r="H597" s="4">
        <v>438943</v>
      </c>
      <c r="I597" s="4">
        <v>675371</v>
      </c>
      <c r="J597" s="3">
        <v>0.5386303005173793</v>
      </c>
      <c r="K597" s="3">
        <v>-0.3500712941479572</v>
      </c>
      <c r="L597" t="s">
        <v>54</v>
      </c>
    </row>
    <row r="598" spans="1:12" x14ac:dyDescent="0.25">
      <c r="A598" t="s">
        <v>487</v>
      </c>
      <c r="B598" t="s">
        <v>455</v>
      </c>
      <c r="C598" t="s">
        <v>477</v>
      </c>
      <c r="D598" t="s">
        <v>246</v>
      </c>
      <c r="E598" t="s">
        <v>248</v>
      </c>
      <c r="F598">
        <v>1</v>
      </c>
      <c r="G598" t="s">
        <v>499</v>
      </c>
      <c r="H598" s="4">
        <v>438943</v>
      </c>
      <c r="I598" s="4">
        <v>715510</v>
      </c>
      <c r="J598" s="3">
        <v>0.6300749755663037</v>
      </c>
      <c r="K598" s="3">
        <v>-0.38653128537686404</v>
      </c>
      <c r="L598" t="s">
        <v>54</v>
      </c>
    </row>
    <row r="599" spans="1:12" x14ac:dyDescent="0.25">
      <c r="A599" t="s">
        <v>487</v>
      </c>
      <c r="B599" t="s">
        <v>455</v>
      </c>
      <c r="C599" t="s">
        <v>477</v>
      </c>
      <c r="D599" t="s">
        <v>246</v>
      </c>
      <c r="E599" t="s">
        <v>250</v>
      </c>
      <c r="F599">
        <v>2</v>
      </c>
      <c r="G599" t="s">
        <v>488</v>
      </c>
      <c r="H599" s="4">
        <v>368660</v>
      </c>
      <c r="I599" s="4">
        <v>368846.3732339206</v>
      </c>
      <c r="J599" s="3">
        <v>0.000505542326047316</v>
      </c>
      <c r="K599" s="3">
        <v>-0.0005052868821415969</v>
      </c>
      <c r="L599" t="s">
        <v>54</v>
      </c>
    </row>
    <row r="600" spans="1:12" x14ac:dyDescent="0.25">
      <c r="A600" t="s">
        <v>487</v>
      </c>
      <c r="B600" t="s">
        <v>455</v>
      </c>
      <c r="C600" t="s">
        <v>477</v>
      </c>
      <c r="D600" t="s">
        <v>246</v>
      </c>
      <c r="E600" t="s">
        <v>250</v>
      </c>
      <c r="F600">
        <v>2</v>
      </c>
      <c r="G600" t="s">
        <v>498</v>
      </c>
      <c r="H600" s="4">
        <v>368660</v>
      </c>
      <c r="I600" s="4">
        <v>414948</v>
      </c>
      <c r="J600" s="3">
        <v>0.1255574241848858</v>
      </c>
      <c r="K600" s="3">
        <v>-0.11155132691325179</v>
      </c>
      <c r="L600" t="s">
        <v>54</v>
      </c>
    </row>
    <row r="601" spans="1:12" x14ac:dyDescent="0.25">
      <c r="A601" t="s">
        <v>487</v>
      </c>
      <c r="B601" t="s">
        <v>455</v>
      </c>
      <c r="C601" t="s">
        <v>477</v>
      </c>
      <c r="D601" t="s">
        <v>246</v>
      </c>
      <c r="E601" t="s">
        <v>250</v>
      </c>
      <c r="F601">
        <v>2</v>
      </c>
      <c r="G601" t="s">
        <v>499</v>
      </c>
      <c r="H601" s="4">
        <v>368660</v>
      </c>
      <c r="I601" s="4">
        <v>715510</v>
      </c>
      <c r="J601" s="3">
        <v>0.9408397981880323</v>
      </c>
      <c r="K601" s="3">
        <v>-0.4847591228634121</v>
      </c>
      <c r="L601" t="s">
        <v>54</v>
      </c>
    </row>
    <row r="602" spans="1:12" x14ac:dyDescent="0.25">
      <c r="A602" t="s">
        <v>487</v>
      </c>
      <c r="B602" t="s">
        <v>455</v>
      </c>
      <c r="C602" t="s">
        <v>477</v>
      </c>
      <c r="D602" t="s">
        <v>246</v>
      </c>
      <c r="E602" t="s">
        <v>252</v>
      </c>
      <c r="F602">
        <v>3</v>
      </c>
      <c r="G602" t="s">
        <v>488</v>
      </c>
      <c r="H602" s="4">
        <v>663727</v>
      </c>
      <c r="I602" s="4">
        <v>513935.8312497044</v>
      </c>
      <c r="J602" s="3">
        <v>0.2256818974522591</v>
      </c>
      <c r="K602" s="3">
        <v>0.29145889358610805</v>
      </c>
      <c r="L602" t="s">
        <v>54</v>
      </c>
    </row>
    <row r="603" spans="1:12" x14ac:dyDescent="0.25">
      <c r="A603" t="s">
        <v>487</v>
      </c>
      <c r="B603" t="s">
        <v>455</v>
      </c>
      <c r="C603" t="s">
        <v>477</v>
      </c>
      <c r="D603" t="s">
        <v>246</v>
      </c>
      <c r="E603" t="s">
        <v>252</v>
      </c>
      <c r="F603">
        <v>3</v>
      </c>
      <c r="G603" t="s">
        <v>498</v>
      </c>
      <c r="H603" s="4">
        <v>663727</v>
      </c>
      <c r="I603" s="4">
        <v>578172</v>
      </c>
      <c r="J603" s="3">
        <v>0.12890088846769832</v>
      </c>
      <c r="K603" s="3">
        <v>0.1479749970596985</v>
      </c>
      <c r="L603" t="s">
        <v>54</v>
      </c>
    </row>
    <row r="604" spans="1:12" x14ac:dyDescent="0.25">
      <c r="A604" t="s">
        <v>487</v>
      </c>
      <c r="B604" t="s">
        <v>455</v>
      </c>
      <c r="C604" t="s">
        <v>477</v>
      </c>
      <c r="D604" t="s">
        <v>246</v>
      </c>
      <c r="E604" t="s">
        <v>252</v>
      </c>
      <c r="F604">
        <v>3</v>
      </c>
      <c r="G604" t="s">
        <v>499</v>
      </c>
      <c r="H604" s="4">
        <v>663727</v>
      </c>
      <c r="I604" s="4">
        <v>715510</v>
      </c>
      <c r="J604" s="3">
        <v>0.07801852267573867</v>
      </c>
      <c r="K604" s="3">
        <v>-0.07237215412782491</v>
      </c>
      <c r="L604" t="s">
        <v>54</v>
      </c>
    </row>
    <row r="605" spans="1:12" x14ac:dyDescent="0.25">
      <c r="A605" t="s">
        <v>487</v>
      </c>
      <c r="B605" t="s">
        <v>455</v>
      </c>
      <c r="C605" t="s">
        <v>477</v>
      </c>
      <c r="D605" t="s">
        <v>248</v>
      </c>
      <c r="E605" t="s">
        <v>250</v>
      </c>
      <c r="F605">
        <v>1</v>
      </c>
      <c r="G605" t="s">
        <v>488</v>
      </c>
      <c r="H605" s="4">
        <v>368660</v>
      </c>
      <c r="I605" s="4">
        <v>356218.9251999151</v>
      </c>
      <c r="J605" s="3">
        <v>0.03374674442598852</v>
      </c>
      <c r="K605" s="3">
        <v>0.03492536168060925</v>
      </c>
      <c r="L605" t="s">
        <v>54</v>
      </c>
    </row>
    <row r="606" spans="1:12" x14ac:dyDescent="0.25">
      <c r="A606" t="s">
        <v>487</v>
      </c>
      <c r="B606" t="s">
        <v>455</v>
      </c>
      <c r="C606" t="s">
        <v>477</v>
      </c>
      <c r="D606" t="s">
        <v>248</v>
      </c>
      <c r="E606" t="s">
        <v>250</v>
      </c>
      <c r="F606">
        <v>1</v>
      </c>
      <c r="G606" t="s">
        <v>498</v>
      </c>
      <c r="H606" s="4">
        <v>368660</v>
      </c>
      <c r="I606" s="4">
        <v>414948</v>
      </c>
      <c r="J606" s="3">
        <v>0.1255574241848858</v>
      </c>
      <c r="K606" s="3">
        <v>-0.11155132691325179</v>
      </c>
      <c r="L606" t="s">
        <v>54</v>
      </c>
    </row>
    <row r="607" spans="1:12" x14ac:dyDescent="0.25">
      <c r="A607" t="s">
        <v>487</v>
      </c>
      <c r="B607" t="s">
        <v>455</v>
      </c>
      <c r="C607" t="s">
        <v>477</v>
      </c>
      <c r="D607" t="s">
        <v>248</v>
      </c>
      <c r="E607" t="s">
        <v>250</v>
      </c>
      <c r="F607">
        <v>1</v>
      </c>
      <c r="G607" t="s">
        <v>499</v>
      </c>
      <c r="H607" s="4">
        <v>368660</v>
      </c>
      <c r="I607" s="4">
        <v>438943</v>
      </c>
      <c r="J607" s="3">
        <v>0.19064449628383875</v>
      </c>
      <c r="K607" s="3">
        <v>-0.16011873979081567</v>
      </c>
      <c r="L607" t="s">
        <v>54</v>
      </c>
    </row>
    <row r="608" spans="1:12" x14ac:dyDescent="0.25">
      <c r="A608" t="s">
        <v>487</v>
      </c>
      <c r="B608" t="s">
        <v>455</v>
      </c>
      <c r="C608" t="s">
        <v>477</v>
      </c>
      <c r="D608" t="s">
        <v>248</v>
      </c>
      <c r="E608" t="s">
        <v>252</v>
      </c>
      <c r="F608">
        <v>2</v>
      </c>
      <c r="G608" t="s">
        <v>488</v>
      </c>
      <c r="H608" s="4">
        <v>663727</v>
      </c>
      <c r="I608" s="4">
        <v>496341.2485918363</v>
      </c>
      <c r="J608" s="3">
        <v>0.2521906618356097</v>
      </c>
      <c r="K608" s="3">
        <v>0.33723925199255905</v>
      </c>
      <c r="L608" t="s">
        <v>54</v>
      </c>
    </row>
    <row r="609" spans="1:12" x14ac:dyDescent="0.25">
      <c r="A609" t="s">
        <v>487</v>
      </c>
      <c r="B609" t="s">
        <v>455</v>
      </c>
      <c r="C609" t="s">
        <v>477</v>
      </c>
      <c r="D609" t="s">
        <v>248</v>
      </c>
      <c r="E609" t="s">
        <v>252</v>
      </c>
      <c r="F609">
        <v>2</v>
      </c>
      <c r="G609" t="s">
        <v>498</v>
      </c>
      <c r="H609" s="4">
        <v>663727</v>
      </c>
      <c r="I609" s="4">
        <v>578172</v>
      </c>
      <c r="J609" s="3">
        <v>0.12890088846769832</v>
      </c>
      <c r="K609" s="3">
        <v>0.1479749970596985</v>
      </c>
      <c r="L609" t="s">
        <v>54</v>
      </c>
    </row>
    <row r="610" spans="1:12" x14ac:dyDescent="0.25">
      <c r="A610" t="s">
        <v>487</v>
      </c>
      <c r="B610" t="s">
        <v>455</v>
      </c>
      <c r="C610" t="s">
        <v>477</v>
      </c>
      <c r="D610" t="s">
        <v>248</v>
      </c>
      <c r="E610" t="s">
        <v>252</v>
      </c>
      <c r="F610">
        <v>2</v>
      </c>
      <c r="G610" t="s">
        <v>499</v>
      </c>
      <c r="H610" s="4">
        <v>663727</v>
      </c>
      <c r="I610" s="4">
        <v>438943</v>
      </c>
      <c r="J610" s="3">
        <v>0.3386693625541827</v>
      </c>
      <c r="K610" s="3">
        <v>0.5121029381947086</v>
      </c>
      <c r="L610" t="s">
        <v>54</v>
      </c>
    </row>
    <row r="611" spans="1:12" x14ac:dyDescent="0.25">
      <c r="A611" t="s">
        <v>487</v>
      </c>
      <c r="B611" t="s">
        <v>455</v>
      </c>
      <c r="C611" t="s">
        <v>477</v>
      </c>
      <c r="D611" t="s">
        <v>248</v>
      </c>
      <c r="E611" t="s">
        <v>254</v>
      </c>
      <c r="F611">
        <v>3</v>
      </c>
      <c r="G611" t="s">
        <v>488</v>
      </c>
      <c r="H611" s="4">
        <v>1030423</v>
      </c>
      <c r="I611" s="4">
        <v>645630.2764462075</v>
      </c>
      <c r="J611" s="3">
        <v>0.37343180766907613</v>
      </c>
      <c r="K611" s="3">
        <v>0.5959954754164205</v>
      </c>
      <c r="L611" t="s">
        <v>54</v>
      </c>
    </row>
    <row r="612" spans="1:12" x14ac:dyDescent="0.25">
      <c r="A612" t="s">
        <v>487</v>
      </c>
      <c r="B612" t="s">
        <v>455</v>
      </c>
      <c r="C612" t="s">
        <v>477</v>
      </c>
      <c r="D612" t="s">
        <v>248</v>
      </c>
      <c r="E612" t="s">
        <v>254</v>
      </c>
      <c r="F612">
        <v>3</v>
      </c>
      <c r="G612" t="s">
        <v>498</v>
      </c>
      <c r="H612" s="4">
        <v>1030423</v>
      </c>
      <c r="I612" s="4">
        <v>752074</v>
      </c>
      <c r="J612" s="3">
        <v>0.2701308103565235</v>
      </c>
      <c r="K612" s="3">
        <v>0.3701085265545678</v>
      </c>
      <c r="L612" t="s">
        <v>54</v>
      </c>
    </row>
    <row r="613" spans="1:12" x14ac:dyDescent="0.25">
      <c r="A613" t="s">
        <v>487</v>
      </c>
      <c r="B613" t="s">
        <v>455</v>
      </c>
      <c r="C613" t="s">
        <v>477</v>
      </c>
      <c r="D613" t="s">
        <v>248</v>
      </c>
      <c r="E613" t="s">
        <v>254</v>
      </c>
      <c r="F613">
        <v>3</v>
      </c>
      <c r="G613" t="s">
        <v>499</v>
      </c>
      <c r="H613" s="4">
        <v>1030423</v>
      </c>
      <c r="I613" s="4">
        <v>438943</v>
      </c>
      <c r="J613" s="3">
        <v>0.5740166902330402</v>
      </c>
      <c r="K613" s="3">
        <v>1.3475098133470633</v>
      </c>
      <c r="L613" t="s">
        <v>54</v>
      </c>
    </row>
    <row r="614" spans="1:12" x14ac:dyDescent="0.25">
      <c r="A614" t="s">
        <v>487</v>
      </c>
      <c r="B614" t="s">
        <v>455</v>
      </c>
      <c r="C614" t="s">
        <v>477</v>
      </c>
      <c r="D614" t="s">
        <v>250</v>
      </c>
      <c r="E614" t="s">
        <v>252</v>
      </c>
      <c r="F614">
        <v>1</v>
      </c>
      <c r="G614" t="s">
        <v>488</v>
      </c>
      <c r="H614" s="4">
        <v>663727</v>
      </c>
      <c r="I614" s="4">
        <v>485687.13046836044</v>
      </c>
      <c r="J614" s="3">
        <v>0.26824262013092665</v>
      </c>
      <c r="K614" s="3">
        <v>0.36657316688616226</v>
      </c>
      <c r="L614" t="s">
        <v>54</v>
      </c>
    </row>
    <row r="615" spans="1:12" x14ac:dyDescent="0.25">
      <c r="A615" t="s">
        <v>487</v>
      </c>
      <c r="B615" t="s">
        <v>455</v>
      </c>
      <c r="C615" t="s">
        <v>477</v>
      </c>
      <c r="D615" t="s">
        <v>250</v>
      </c>
      <c r="E615" t="s">
        <v>252</v>
      </c>
      <c r="F615">
        <v>1</v>
      </c>
      <c r="G615" t="s">
        <v>498</v>
      </c>
      <c r="H615" s="4">
        <v>663727</v>
      </c>
      <c r="I615" s="4">
        <v>578172</v>
      </c>
      <c r="J615" s="3">
        <v>0.12890088846769832</v>
      </c>
      <c r="K615" s="3">
        <v>0.1479749970596985</v>
      </c>
      <c r="L615" t="s">
        <v>54</v>
      </c>
    </row>
    <row r="616" spans="1:12" x14ac:dyDescent="0.25">
      <c r="A616" t="s">
        <v>487</v>
      </c>
      <c r="B616" t="s">
        <v>455</v>
      </c>
      <c r="C616" t="s">
        <v>477</v>
      </c>
      <c r="D616" t="s">
        <v>250</v>
      </c>
      <c r="E616" t="s">
        <v>252</v>
      </c>
      <c r="F616">
        <v>1</v>
      </c>
      <c r="G616" t="s">
        <v>499</v>
      </c>
      <c r="H616" s="4">
        <v>663727</v>
      </c>
      <c r="I616" s="4">
        <v>368660</v>
      </c>
      <c r="J616" s="3">
        <v>0.44456079080706373</v>
      </c>
      <c r="K616" s="3">
        <v>0.8003770411761515</v>
      </c>
      <c r="L616" t="s">
        <v>54</v>
      </c>
    </row>
    <row r="617" spans="1:12" x14ac:dyDescent="0.25">
      <c r="A617" t="s">
        <v>487</v>
      </c>
      <c r="B617" t="s">
        <v>455</v>
      </c>
      <c r="C617" t="s">
        <v>477</v>
      </c>
      <c r="D617" t="s">
        <v>250</v>
      </c>
      <c r="E617" t="s">
        <v>254</v>
      </c>
      <c r="F617">
        <v>2</v>
      </c>
      <c r="G617" t="s">
        <v>488</v>
      </c>
      <c r="H617" s="4">
        <v>1030423</v>
      </c>
      <c r="I617" s="4">
        <v>631771.6232537406</v>
      </c>
      <c r="J617" s="3">
        <v>0.38688128734146987</v>
      </c>
      <c r="K617" s="3">
        <v>0.6310055122342012</v>
      </c>
      <c r="L617" t="s">
        <v>54</v>
      </c>
    </row>
    <row r="618" spans="1:12" x14ac:dyDescent="0.25">
      <c r="A618" t="s">
        <v>487</v>
      </c>
      <c r="B618" t="s">
        <v>455</v>
      </c>
      <c r="C618" t="s">
        <v>477</v>
      </c>
      <c r="D618" t="s">
        <v>250</v>
      </c>
      <c r="E618" t="s">
        <v>254</v>
      </c>
      <c r="F618">
        <v>2</v>
      </c>
      <c r="G618" t="s">
        <v>498</v>
      </c>
      <c r="H618" s="4">
        <v>1030423</v>
      </c>
      <c r="I618" s="4">
        <v>752074</v>
      </c>
      <c r="J618" s="3">
        <v>0.2701308103565235</v>
      </c>
      <c r="K618" s="3">
        <v>0.3701085265545678</v>
      </c>
      <c r="L618" t="s">
        <v>54</v>
      </c>
    </row>
    <row r="619" spans="1:12" x14ac:dyDescent="0.25">
      <c r="A619" t="s">
        <v>487</v>
      </c>
      <c r="B619" t="s">
        <v>455</v>
      </c>
      <c r="C619" t="s">
        <v>477</v>
      </c>
      <c r="D619" t="s">
        <v>250</v>
      </c>
      <c r="E619" t="s">
        <v>254</v>
      </c>
      <c r="F619">
        <v>2</v>
      </c>
      <c r="G619" t="s">
        <v>499</v>
      </c>
      <c r="H619" s="4">
        <v>1030423</v>
      </c>
      <c r="I619" s="4">
        <v>368660</v>
      </c>
      <c r="J619" s="3">
        <v>0.6422246009648465</v>
      </c>
      <c r="K619" s="3">
        <v>1.7950496392339825</v>
      </c>
      <c r="L619" t="s">
        <v>54</v>
      </c>
    </row>
    <row r="620" spans="1:12" x14ac:dyDescent="0.25">
      <c r="A620" t="s">
        <v>487</v>
      </c>
      <c r="B620" t="s">
        <v>455</v>
      </c>
      <c r="C620" t="s">
        <v>477</v>
      </c>
      <c r="D620" t="s">
        <v>250</v>
      </c>
      <c r="E620" t="s">
        <v>256</v>
      </c>
      <c r="F620">
        <v>3</v>
      </c>
      <c r="G620" t="s">
        <v>488</v>
      </c>
      <c r="H620" s="4">
        <v>705830</v>
      </c>
      <c r="I620" s="4">
        <v>598427.1082014532</v>
      </c>
      <c r="J620" s="3">
        <v>0.1521653823137962</v>
      </c>
      <c r="K620" s="3">
        <v>0.17947531174070894</v>
      </c>
      <c r="L620" t="s">
        <v>54</v>
      </c>
    </row>
    <row r="621" spans="1:12" x14ac:dyDescent="0.25">
      <c r="A621" t="s">
        <v>487</v>
      </c>
      <c r="B621" t="s">
        <v>455</v>
      </c>
      <c r="C621" t="s">
        <v>477</v>
      </c>
      <c r="D621" t="s">
        <v>250</v>
      </c>
      <c r="E621" t="s">
        <v>256</v>
      </c>
      <c r="F621">
        <v>3</v>
      </c>
      <c r="G621" t="s">
        <v>498</v>
      </c>
      <c r="H621" s="4">
        <v>705830</v>
      </c>
      <c r="I621" s="4">
        <v>712380</v>
      </c>
      <c r="J621" s="3">
        <v>0.009279854922573424</v>
      </c>
      <c r="K621" s="3">
        <v>-0.009194531008731296</v>
      </c>
      <c r="L621" t="s">
        <v>54</v>
      </c>
    </row>
    <row r="622" spans="1:12" x14ac:dyDescent="0.25">
      <c r="A622" t="s">
        <v>487</v>
      </c>
      <c r="B622" t="s">
        <v>455</v>
      </c>
      <c r="C622" t="s">
        <v>477</v>
      </c>
      <c r="D622" t="s">
        <v>250</v>
      </c>
      <c r="E622" t="s">
        <v>256</v>
      </c>
      <c r="F622">
        <v>3</v>
      </c>
      <c r="G622" t="s">
        <v>499</v>
      </c>
      <c r="H622" s="4">
        <v>705830</v>
      </c>
      <c r="I622" s="4">
        <v>368660</v>
      </c>
      <c r="J622" s="3">
        <v>0.4776929288922262</v>
      </c>
      <c r="K622" s="3">
        <v>0.9145825421797863</v>
      </c>
      <c r="L622" t="s">
        <v>54</v>
      </c>
    </row>
    <row r="623" spans="1:12" x14ac:dyDescent="0.25">
      <c r="A623" t="s">
        <v>487</v>
      </c>
      <c r="B623" t="s">
        <v>455</v>
      </c>
      <c r="C623" t="s">
        <v>477</v>
      </c>
      <c r="D623" t="s">
        <v>252</v>
      </c>
      <c r="E623" t="s">
        <v>254</v>
      </c>
      <c r="F623">
        <v>1</v>
      </c>
      <c r="G623" t="s">
        <v>488</v>
      </c>
      <c r="H623" s="4">
        <v>1030423</v>
      </c>
      <c r="I623" s="4">
        <v>656267.4611237082</v>
      </c>
      <c r="J623" s="3">
        <v>0.3631086834011778</v>
      </c>
      <c r="K623" s="3">
        <v>0.5701266039240097</v>
      </c>
      <c r="L623" t="s">
        <v>54</v>
      </c>
    </row>
    <row r="624" spans="1:12" x14ac:dyDescent="0.25">
      <c r="A624" t="s">
        <v>487</v>
      </c>
      <c r="B624" t="s">
        <v>455</v>
      </c>
      <c r="C624" t="s">
        <v>477</v>
      </c>
      <c r="D624" t="s">
        <v>252</v>
      </c>
      <c r="E624" t="s">
        <v>254</v>
      </c>
      <c r="F624">
        <v>1</v>
      </c>
      <c r="G624" t="s">
        <v>498</v>
      </c>
      <c r="H624" s="4">
        <v>1030423</v>
      </c>
      <c r="I624" s="4">
        <v>752074</v>
      </c>
      <c r="J624" s="3">
        <v>0.2701308103565235</v>
      </c>
      <c r="K624" s="3">
        <v>0.3701085265545678</v>
      </c>
      <c r="L624" t="s">
        <v>54</v>
      </c>
    </row>
    <row r="625" spans="1:12" x14ac:dyDescent="0.25">
      <c r="A625" t="s">
        <v>487</v>
      </c>
      <c r="B625" t="s">
        <v>455</v>
      </c>
      <c r="C625" t="s">
        <v>477</v>
      </c>
      <c r="D625" t="s">
        <v>252</v>
      </c>
      <c r="E625" t="s">
        <v>254</v>
      </c>
      <c r="F625">
        <v>1</v>
      </c>
      <c r="G625" t="s">
        <v>499</v>
      </c>
      <c r="H625" s="4">
        <v>1030423</v>
      </c>
      <c r="I625" s="4">
        <v>663727</v>
      </c>
      <c r="J625" s="3">
        <v>0.3558693856794734</v>
      </c>
      <c r="K625" s="3">
        <v>0.552480161271125</v>
      </c>
      <c r="L625" t="s">
        <v>54</v>
      </c>
    </row>
    <row r="626" spans="1:12" x14ac:dyDescent="0.25">
      <c r="A626" t="s">
        <v>487</v>
      </c>
      <c r="B626" t="s">
        <v>455</v>
      </c>
      <c r="C626" t="s">
        <v>477</v>
      </c>
      <c r="D626" t="s">
        <v>252</v>
      </c>
      <c r="E626" t="s">
        <v>256</v>
      </c>
      <c r="F626">
        <v>2</v>
      </c>
      <c r="G626" t="s">
        <v>488</v>
      </c>
      <c r="H626" s="4">
        <v>705830</v>
      </c>
      <c r="I626" s="4">
        <v>621630.0709176321</v>
      </c>
      <c r="J626" s="3">
        <v>0.11929208036264811</v>
      </c>
      <c r="K626" s="3">
        <v>0.13545021874195123</v>
      </c>
      <c r="L626" t="s">
        <v>54</v>
      </c>
    </row>
    <row r="627" spans="1:12" x14ac:dyDescent="0.25">
      <c r="A627" t="s">
        <v>487</v>
      </c>
      <c r="B627" t="s">
        <v>455</v>
      </c>
      <c r="C627" t="s">
        <v>477</v>
      </c>
      <c r="D627" t="s">
        <v>252</v>
      </c>
      <c r="E627" t="s">
        <v>256</v>
      </c>
      <c r="F627">
        <v>2</v>
      </c>
      <c r="G627" t="s">
        <v>498</v>
      </c>
      <c r="H627" s="4">
        <v>705830</v>
      </c>
      <c r="I627" s="4">
        <v>712380</v>
      </c>
      <c r="J627" s="3">
        <v>0.009279854922573424</v>
      </c>
      <c r="K627" s="3">
        <v>-0.009194531008731296</v>
      </c>
      <c r="L627" t="s">
        <v>54</v>
      </c>
    </row>
    <row r="628" spans="1:12" x14ac:dyDescent="0.25">
      <c r="A628" t="s">
        <v>487</v>
      </c>
      <c r="B628" t="s">
        <v>455</v>
      </c>
      <c r="C628" t="s">
        <v>477</v>
      </c>
      <c r="D628" t="s">
        <v>252</v>
      </c>
      <c r="E628" t="s">
        <v>256</v>
      </c>
      <c r="F628">
        <v>2</v>
      </c>
      <c r="G628" t="s">
        <v>499</v>
      </c>
      <c r="H628" s="4">
        <v>705830</v>
      </c>
      <c r="I628" s="4">
        <v>663727</v>
      </c>
      <c r="J628" s="3">
        <v>0.05965034073360441</v>
      </c>
      <c r="K628" s="3">
        <v>0.063434213162942</v>
      </c>
      <c r="L628" t="s">
        <v>54</v>
      </c>
    </row>
    <row r="629" spans="1:12" x14ac:dyDescent="0.25">
      <c r="A629" t="s">
        <v>487</v>
      </c>
      <c r="B629" t="s">
        <v>455</v>
      </c>
      <c r="C629" t="s">
        <v>477</v>
      </c>
      <c r="D629" t="s">
        <v>252</v>
      </c>
      <c r="E629" t="s">
        <v>258</v>
      </c>
      <c r="F629">
        <v>3</v>
      </c>
      <c r="G629" t="s">
        <v>488</v>
      </c>
      <c r="H629" s="4">
        <v>697441</v>
      </c>
      <c r="I629" s="4">
        <v>470038.47769498</v>
      </c>
      <c r="J629" s="3">
        <v>0.32605270166941724</v>
      </c>
      <c r="K629" s="3">
        <v>0.4837955467394466</v>
      </c>
      <c r="L629" t="s">
        <v>54</v>
      </c>
    </row>
    <row r="630" spans="1:12" x14ac:dyDescent="0.25">
      <c r="A630" t="s">
        <v>487</v>
      </c>
      <c r="B630" t="s">
        <v>455</v>
      </c>
      <c r="C630" t="s">
        <v>477</v>
      </c>
      <c r="D630" t="s">
        <v>252</v>
      </c>
      <c r="E630" t="s">
        <v>258</v>
      </c>
      <c r="F630">
        <v>3</v>
      </c>
      <c r="G630" t="s">
        <v>498</v>
      </c>
      <c r="H630" s="4">
        <v>697441</v>
      </c>
      <c r="I630" s="4">
        <v>538658</v>
      </c>
      <c r="J630" s="3">
        <v>0.2276651358322783</v>
      </c>
      <c r="K630" s="3">
        <v>0.2947751634617884</v>
      </c>
      <c r="L630" t="s">
        <v>54</v>
      </c>
    </row>
    <row r="631" spans="1:12" x14ac:dyDescent="0.25">
      <c r="A631" t="s">
        <v>487</v>
      </c>
      <c r="B631" t="s">
        <v>455</v>
      </c>
      <c r="C631" t="s">
        <v>477</v>
      </c>
      <c r="D631" t="s">
        <v>252</v>
      </c>
      <c r="E631" t="s">
        <v>258</v>
      </c>
      <c r="F631">
        <v>3</v>
      </c>
      <c r="G631" t="s">
        <v>499</v>
      </c>
      <c r="H631" s="4">
        <v>697441</v>
      </c>
      <c r="I631" s="4">
        <v>663727</v>
      </c>
      <c r="J631" s="3">
        <v>0.04833957280974305</v>
      </c>
      <c r="K631" s="3">
        <v>0.05079498046636644</v>
      </c>
      <c r="L631" t="s">
        <v>54</v>
      </c>
    </row>
    <row r="632" spans="1:12" x14ac:dyDescent="0.25">
      <c r="A632" t="s">
        <v>487</v>
      </c>
      <c r="B632" t="s">
        <v>455</v>
      </c>
      <c r="C632" t="s">
        <v>477</v>
      </c>
      <c r="D632" t="s">
        <v>254</v>
      </c>
      <c r="E632" t="s">
        <v>256</v>
      </c>
      <c r="F632">
        <v>1</v>
      </c>
      <c r="G632" t="s">
        <v>488</v>
      </c>
      <c r="H632" s="4">
        <v>705830</v>
      </c>
      <c r="I632" s="4">
        <v>647989.1619255572</v>
      </c>
      <c r="J632" s="3">
        <v>0.08194726502761687</v>
      </c>
      <c r="K632" s="3">
        <v>0.0892620455295327</v>
      </c>
      <c r="L632" t="s">
        <v>54</v>
      </c>
    </row>
    <row r="633" spans="1:12" x14ac:dyDescent="0.25">
      <c r="A633" t="s">
        <v>487</v>
      </c>
      <c r="B633" t="s">
        <v>455</v>
      </c>
      <c r="C633" t="s">
        <v>477</v>
      </c>
      <c r="D633" t="s">
        <v>254</v>
      </c>
      <c r="E633" t="s">
        <v>256</v>
      </c>
      <c r="F633">
        <v>1</v>
      </c>
      <c r="G633" t="s">
        <v>498</v>
      </c>
      <c r="H633" s="4">
        <v>705830</v>
      </c>
      <c r="I633" s="4">
        <v>712380</v>
      </c>
      <c r="J633" s="3">
        <v>0.009279854922573424</v>
      </c>
      <c r="K633" s="3">
        <v>-0.009194531008731296</v>
      </c>
      <c r="L633" t="s">
        <v>54</v>
      </c>
    </row>
    <row r="634" spans="1:12" x14ac:dyDescent="0.25">
      <c r="A634" t="s">
        <v>487</v>
      </c>
      <c r="B634" t="s">
        <v>455</v>
      </c>
      <c r="C634" t="s">
        <v>477</v>
      </c>
      <c r="D634" t="s">
        <v>254</v>
      </c>
      <c r="E634" t="s">
        <v>256</v>
      </c>
      <c r="F634">
        <v>1</v>
      </c>
      <c r="G634" t="s">
        <v>499</v>
      </c>
      <c r="H634" s="4">
        <v>705830</v>
      </c>
      <c r="I634" s="4">
        <v>1030423</v>
      </c>
      <c r="J634" s="3">
        <v>0.4598741906691413</v>
      </c>
      <c r="K634" s="3">
        <v>-0.31500946698588833</v>
      </c>
      <c r="L634" t="s">
        <v>54</v>
      </c>
    </row>
    <row r="635" spans="1:12" x14ac:dyDescent="0.25">
      <c r="A635" t="s">
        <v>487</v>
      </c>
      <c r="B635" t="s">
        <v>455</v>
      </c>
      <c r="C635" t="s">
        <v>477</v>
      </c>
      <c r="D635" t="s">
        <v>254</v>
      </c>
      <c r="E635" t="s">
        <v>258</v>
      </c>
      <c r="F635">
        <v>2</v>
      </c>
      <c r="G635" t="s">
        <v>488</v>
      </c>
      <c r="H635" s="4">
        <v>697441</v>
      </c>
      <c r="I635" s="4">
        <v>489969.6032798461</v>
      </c>
      <c r="J635" s="3">
        <v>0.2974751939162652</v>
      </c>
      <c r="K635" s="3">
        <v>0.42343728127488894</v>
      </c>
      <c r="L635" t="s">
        <v>54</v>
      </c>
    </row>
    <row r="636" spans="1:12" x14ac:dyDescent="0.25">
      <c r="A636" t="s">
        <v>487</v>
      </c>
      <c r="B636" t="s">
        <v>455</v>
      </c>
      <c r="C636" t="s">
        <v>477</v>
      </c>
      <c r="D636" t="s">
        <v>254</v>
      </c>
      <c r="E636" t="s">
        <v>258</v>
      </c>
      <c r="F636">
        <v>2</v>
      </c>
      <c r="G636" t="s">
        <v>498</v>
      </c>
      <c r="H636" s="4">
        <v>697441</v>
      </c>
      <c r="I636" s="4">
        <v>538658</v>
      </c>
      <c r="J636" s="3">
        <v>0.2276651358322783</v>
      </c>
      <c r="K636" s="3">
        <v>0.2947751634617884</v>
      </c>
      <c r="L636" t="s">
        <v>54</v>
      </c>
    </row>
    <row r="637" spans="1:12" x14ac:dyDescent="0.25">
      <c r="A637" t="s">
        <v>487</v>
      </c>
      <c r="B637" t="s">
        <v>455</v>
      </c>
      <c r="C637" t="s">
        <v>477</v>
      </c>
      <c r="D637" t="s">
        <v>254</v>
      </c>
      <c r="E637" t="s">
        <v>258</v>
      </c>
      <c r="F637">
        <v>2</v>
      </c>
      <c r="G637" t="s">
        <v>499</v>
      </c>
      <c r="H637" s="4">
        <v>697441</v>
      </c>
      <c r="I637" s="4">
        <v>1030423</v>
      </c>
      <c r="J637" s="3">
        <v>0.47743393347967783</v>
      </c>
      <c r="K637" s="3">
        <v>-0.3231507837072736</v>
      </c>
      <c r="L637" t="s">
        <v>54</v>
      </c>
    </row>
    <row r="638" spans="1:12" x14ac:dyDescent="0.25">
      <c r="A638" t="s">
        <v>487</v>
      </c>
      <c r="B638" t="s">
        <v>455</v>
      </c>
      <c r="C638" t="s">
        <v>477</v>
      </c>
      <c r="D638" t="s">
        <v>254</v>
      </c>
      <c r="E638" t="s">
        <v>260</v>
      </c>
      <c r="F638">
        <v>3</v>
      </c>
      <c r="G638" t="s">
        <v>488</v>
      </c>
      <c r="H638" s="4">
        <v>529614</v>
      </c>
      <c r="I638" s="4">
        <v>966425.1059690973</v>
      </c>
      <c r="J638" s="3">
        <v>0.8247725814821688</v>
      </c>
      <c r="K638" s="3">
        <v>-0.4519865049771016</v>
      </c>
      <c r="L638" t="s">
        <v>54</v>
      </c>
    </row>
    <row r="639" spans="1:12" x14ac:dyDescent="0.25">
      <c r="A639" t="s">
        <v>487</v>
      </c>
      <c r="B639" t="s">
        <v>455</v>
      </c>
      <c r="C639" t="s">
        <v>477</v>
      </c>
      <c r="D639" t="s">
        <v>254</v>
      </c>
      <c r="E639" t="s">
        <v>260</v>
      </c>
      <c r="F639">
        <v>3</v>
      </c>
      <c r="G639" t="s">
        <v>498</v>
      </c>
      <c r="H639" s="4">
        <v>529614</v>
      </c>
      <c r="I639" s="4">
        <v>1062459</v>
      </c>
      <c r="J639" s="3">
        <v>1.006100669544234</v>
      </c>
      <c r="K639" s="3">
        <v>-0.5015205292627762</v>
      </c>
      <c r="L639" t="s">
        <v>54</v>
      </c>
    </row>
    <row r="640" spans="1:12" x14ac:dyDescent="0.25">
      <c r="A640" t="s">
        <v>487</v>
      </c>
      <c r="B640" t="s">
        <v>455</v>
      </c>
      <c r="C640" t="s">
        <v>477</v>
      </c>
      <c r="D640" t="s">
        <v>254</v>
      </c>
      <c r="E640" t="s">
        <v>260</v>
      </c>
      <c r="F640">
        <v>3</v>
      </c>
      <c r="G640" t="s">
        <v>499</v>
      </c>
      <c r="H640" s="4">
        <v>529614</v>
      </c>
      <c r="I640" s="4">
        <v>1030423</v>
      </c>
      <c r="J640" s="3">
        <v>0.9456113320267213</v>
      </c>
      <c r="K640" s="3">
        <v>-0.4860227304708843</v>
      </c>
      <c r="L640" t="s">
        <v>54</v>
      </c>
    </row>
    <row r="641" spans="1:12" x14ac:dyDescent="0.25">
      <c r="A641" t="s">
        <v>487</v>
      </c>
      <c r="B641" t="s">
        <v>455</v>
      </c>
      <c r="C641" t="s">
        <v>477</v>
      </c>
      <c r="D641" t="s">
        <v>256</v>
      </c>
      <c r="E641" t="s">
        <v>258</v>
      </c>
      <c r="F641">
        <v>1</v>
      </c>
      <c r="G641" t="s">
        <v>488</v>
      </c>
      <c r="H641" s="4">
        <v>697441</v>
      </c>
      <c r="I641" s="4">
        <v>503866.752457977</v>
      </c>
      <c r="J641" s="3">
        <v>0.2775492802144167</v>
      </c>
      <c r="K641" s="3">
        <v>0.3841774568330291</v>
      </c>
      <c r="L641" t="s">
        <v>54</v>
      </c>
    </row>
    <row r="642" spans="1:12" x14ac:dyDescent="0.25">
      <c r="A642" t="s">
        <v>487</v>
      </c>
      <c r="B642" t="s">
        <v>455</v>
      </c>
      <c r="C642" t="s">
        <v>477</v>
      </c>
      <c r="D642" t="s">
        <v>256</v>
      </c>
      <c r="E642" t="s">
        <v>258</v>
      </c>
      <c r="F642">
        <v>1</v>
      </c>
      <c r="G642" t="s">
        <v>498</v>
      </c>
      <c r="H642" s="4">
        <v>697441</v>
      </c>
      <c r="I642" s="4">
        <v>538658</v>
      </c>
      <c r="J642" s="3">
        <v>0.2276651358322783</v>
      </c>
      <c r="K642" s="3">
        <v>0.2947751634617884</v>
      </c>
      <c r="L642" t="s">
        <v>54</v>
      </c>
    </row>
    <row r="643" spans="1:12" x14ac:dyDescent="0.25">
      <c r="A643" t="s">
        <v>487</v>
      </c>
      <c r="B643" t="s">
        <v>455</v>
      </c>
      <c r="C643" t="s">
        <v>477</v>
      </c>
      <c r="D643" t="s">
        <v>256</v>
      </c>
      <c r="E643" t="s">
        <v>258</v>
      </c>
      <c r="F643">
        <v>1</v>
      </c>
      <c r="G643" t="s">
        <v>499</v>
      </c>
      <c r="H643" s="4">
        <v>697441</v>
      </c>
      <c r="I643" s="4">
        <v>705830</v>
      </c>
      <c r="J643" s="3">
        <v>0.012028257587380152</v>
      </c>
      <c r="K643" s="3">
        <v>-0.011885298159613505</v>
      </c>
      <c r="L643" t="s">
        <v>54</v>
      </c>
    </row>
    <row r="644" spans="1:12" x14ac:dyDescent="0.25">
      <c r="A644" t="s">
        <v>487</v>
      </c>
      <c r="B644" t="s">
        <v>455</v>
      </c>
      <c r="C644" t="s">
        <v>477</v>
      </c>
      <c r="D644" t="s">
        <v>256</v>
      </c>
      <c r="E644" t="s">
        <v>260</v>
      </c>
      <c r="F644">
        <v>2</v>
      </c>
      <c r="G644" t="s">
        <v>488</v>
      </c>
      <c r="H644" s="4">
        <v>529614</v>
      </c>
      <c r="I644" s="4">
        <v>993836.099992481</v>
      </c>
      <c r="J644" s="3">
        <v>0.8765291325238399</v>
      </c>
      <c r="K644" s="3">
        <v>-0.46710126548632425</v>
      </c>
      <c r="L644" t="s">
        <v>54</v>
      </c>
    </row>
    <row r="645" spans="1:12" x14ac:dyDescent="0.25">
      <c r="A645" t="s">
        <v>487</v>
      </c>
      <c r="B645" t="s">
        <v>455</v>
      </c>
      <c r="C645" t="s">
        <v>477</v>
      </c>
      <c r="D645" t="s">
        <v>256</v>
      </c>
      <c r="E645" t="s">
        <v>260</v>
      </c>
      <c r="F645">
        <v>2</v>
      </c>
      <c r="G645" t="s">
        <v>498</v>
      </c>
      <c r="H645" s="4">
        <v>529614</v>
      </c>
      <c r="I645" s="4">
        <v>1062459</v>
      </c>
      <c r="J645" s="3">
        <v>1.006100669544234</v>
      </c>
      <c r="K645" s="3">
        <v>-0.5015205292627762</v>
      </c>
      <c r="L645" t="s">
        <v>54</v>
      </c>
    </row>
    <row r="646" spans="1:12" x14ac:dyDescent="0.25">
      <c r="A646" t="s">
        <v>487</v>
      </c>
      <c r="B646" t="s">
        <v>455</v>
      </c>
      <c r="C646" t="s">
        <v>477</v>
      </c>
      <c r="D646" t="s">
        <v>256</v>
      </c>
      <c r="E646" t="s">
        <v>260</v>
      </c>
      <c r="F646">
        <v>2</v>
      </c>
      <c r="G646" t="s">
        <v>499</v>
      </c>
      <c r="H646" s="4">
        <v>529614</v>
      </c>
      <c r="I646" s="4">
        <v>705830</v>
      </c>
      <c r="J646" s="3">
        <v>0.3327253433632797</v>
      </c>
      <c r="K646" s="3">
        <v>-0.2496578496238471</v>
      </c>
      <c r="L646" t="s">
        <v>54</v>
      </c>
    </row>
    <row r="647" spans="1:12" x14ac:dyDescent="0.25">
      <c r="A647" t="s">
        <v>487</v>
      </c>
      <c r="B647" t="s">
        <v>455</v>
      </c>
      <c r="C647" t="s">
        <v>477</v>
      </c>
      <c r="D647" t="s">
        <v>256</v>
      </c>
      <c r="E647" t="s">
        <v>262</v>
      </c>
      <c r="F647">
        <v>3</v>
      </c>
      <c r="G647" t="s">
        <v>488</v>
      </c>
      <c r="H647" s="4">
        <v>574221</v>
      </c>
      <c r="I647" s="4">
        <v>321156.61487419135</v>
      </c>
      <c r="J647" s="3">
        <v>0.44070903907347286</v>
      </c>
      <c r="K647" s="3">
        <v>0.7879781184794936</v>
      </c>
      <c r="L647" t="s">
        <v>54</v>
      </c>
    </row>
    <row r="648" spans="1:12" x14ac:dyDescent="0.25">
      <c r="A648" t="s">
        <v>487</v>
      </c>
      <c r="B648" t="s">
        <v>455</v>
      </c>
      <c r="C648" t="s">
        <v>477</v>
      </c>
      <c r="D648" t="s">
        <v>256</v>
      </c>
      <c r="E648" t="s">
        <v>262</v>
      </c>
      <c r="F648">
        <v>3</v>
      </c>
      <c r="G648" t="s">
        <v>498</v>
      </c>
      <c r="H648" s="4">
        <v>574221</v>
      </c>
      <c r="I648" s="4">
        <v>343332</v>
      </c>
      <c r="J648" s="3">
        <v>0.40209083262367623</v>
      </c>
      <c r="K648" s="3">
        <v>0.6724948446401734</v>
      </c>
      <c r="L648" t="s">
        <v>54</v>
      </c>
    </row>
    <row r="649" spans="1:12" x14ac:dyDescent="0.25">
      <c r="A649" t="s">
        <v>487</v>
      </c>
      <c r="B649" t="s">
        <v>455</v>
      </c>
      <c r="C649" t="s">
        <v>477</v>
      </c>
      <c r="D649" t="s">
        <v>256</v>
      </c>
      <c r="E649" t="s">
        <v>262</v>
      </c>
      <c r="F649">
        <v>3</v>
      </c>
      <c r="G649" t="s">
        <v>499</v>
      </c>
      <c r="H649" s="4">
        <v>574221</v>
      </c>
      <c r="I649" s="4">
        <v>705830</v>
      </c>
      <c r="J649" s="3">
        <v>0.22919572777728436</v>
      </c>
      <c r="K649" s="3">
        <v>-0.18645991244350624</v>
      </c>
      <c r="L649" t="s">
        <v>54</v>
      </c>
    </row>
    <row r="650" spans="1:12" x14ac:dyDescent="0.25">
      <c r="A650" t="s">
        <v>487</v>
      </c>
      <c r="B650" t="s">
        <v>455</v>
      </c>
      <c r="C650" t="s">
        <v>477</v>
      </c>
      <c r="D650" t="s">
        <v>258</v>
      </c>
      <c r="E650" t="s">
        <v>260</v>
      </c>
      <c r="F650">
        <v>1</v>
      </c>
      <c r="G650" t="s">
        <v>488</v>
      </c>
      <c r="H650" s="4">
        <v>529614</v>
      </c>
      <c r="I650" s="4">
        <v>1052181.2084071417</v>
      </c>
      <c r="J650" s="3">
        <v>0.9866944763679618</v>
      </c>
      <c r="K650" s="3">
        <v>-0.49665134126301014</v>
      </c>
      <c r="L650" t="s">
        <v>54</v>
      </c>
    </row>
    <row r="651" spans="1:12" x14ac:dyDescent="0.25">
      <c r="A651" t="s">
        <v>487</v>
      </c>
      <c r="B651" t="s">
        <v>455</v>
      </c>
      <c r="C651" t="s">
        <v>477</v>
      </c>
      <c r="D651" t="s">
        <v>258</v>
      </c>
      <c r="E651" t="s">
        <v>260</v>
      </c>
      <c r="F651">
        <v>1</v>
      </c>
      <c r="G651" t="s">
        <v>498</v>
      </c>
      <c r="H651" s="4">
        <v>529614</v>
      </c>
      <c r="I651" s="4">
        <v>1062459</v>
      </c>
      <c r="J651" s="3">
        <v>1.006100669544234</v>
      </c>
      <c r="K651" s="3">
        <v>-0.5015205292627762</v>
      </c>
      <c r="L651" t="s">
        <v>54</v>
      </c>
    </row>
    <row r="652" spans="1:12" x14ac:dyDescent="0.25">
      <c r="A652" t="s">
        <v>487</v>
      </c>
      <c r="B652" t="s">
        <v>455</v>
      </c>
      <c r="C652" t="s">
        <v>477</v>
      </c>
      <c r="D652" t="s">
        <v>258</v>
      </c>
      <c r="E652" t="s">
        <v>260</v>
      </c>
      <c r="F652">
        <v>1</v>
      </c>
      <c r="G652" t="s">
        <v>499</v>
      </c>
      <c r="H652" s="4">
        <v>529614</v>
      </c>
      <c r="I652" s="4">
        <v>697441</v>
      </c>
      <c r="J652" s="3">
        <v>0.3168855052925338</v>
      </c>
      <c r="K652" s="3">
        <v>-0.240632540960454</v>
      </c>
      <c r="L652" t="s">
        <v>54</v>
      </c>
    </row>
    <row r="653" spans="1:12" x14ac:dyDescent="0.25">
      <c r="A653" t="s">
        <v>487</v>
      </c>
      <c r="B653" t="s">
        <v>455</v>
      </c>
      <c r="C653" t="s">
        <v>477</v>
      </c>
      <c r="D653" t="s">
        <v>258</v>
      </c>
      <c r="E653" t="s">
        <v>262</v>
      </c>
      <c r="F653">
        <v>2</v>
      </c>
      <c r="G653" t="s">
        <v>488</v>
      </c>
      <c r="H653" s="4">
        <v>574221</v>
      </c>
      <c r="I653" s="4">
        <v>340010.7473745724</v>
      </c>
      <c r="J653" s="3">
        <v>0.4078747601105282</v>
      </c>
      <c r="K653" s="3">
        <v>0.6888319102672663</v>
      </c>
      <c r="L653" t="s">
        <v>54</v>
      </c>
    </row>
    <row r="654" spans="1:12" x14ac:dyDescent="0.25">
      <c r="A654" t="s">
        <v>487</v>
      </c>
      <c r="B654" t="s">
        <v>455</v>
      </c>
      <c r="C654" t="s">
        <v>477</v>
      </c>
      <c r="D654" t="s">
        <v>258</v>
      </c>
      <c r="E654" t="s">
        <v>262</v>
      </c>
      <c r="F654">
        <v>2</v>
      </c>
      <c r="G654" t="s">
        <v>498</v>
      </c>
      <c r="H654" s="4">
        <v>574221</v>
      </c>
      <c r="I654" s="4">
        <v>343332</v>
      </c>
      <c r="J654" s="3">
        <v>0.40209083262367623</v>
      </c>
      <c r="K654" s="3">
        <v>0.6724948446401734</v>
      </c>
      <c r="L654" t="s">
        <v>54</v>
      </c>
    </row>
    <row r="655" spans="1:12" x14ac:dyDescent="0.25">
      <c r="A655" t="s">
        <v>487</v>
      </c>
      <c r="B655" t="s">
        <v>455</v>
      </c>
      <c r="C655" t="s">
        <v>477</v>
      </c>
      <c r="D655" t="s">
        <v>258</v>
      </c>
      <c r="E655" t="s">
        <v>262</v>
      </c>
      <c r="F655">
        <v>2</v>
      </c>
      <c r="G655" t="s">
        <v>499</v>
      </c>
      <c r="H655" s="4">
        <v>574221</v>
      </c>
      <c r="I655" s="4">
        <v>697441</v>
      </c>
      <c r="J655" s="3">
        <v>0.2145863700561282</v>
      </c>
      <c r="K655" s="3">
        <v>-0.17667444271271693</v>
      </c>
      <c r="L655" t="s">
        <v>54</v>
      </c>
    </row>
    <row r="656" spans="1:12" x14ac:dyDescent="0.25">
      <c r="A656" t="s">
        <v>487</v>
      </c>
      <c r="B656" t="s">
        <v>455</v>
      </c>
      <c r="C656" t="s">
        <v>477</v>
      </c>
      <c r="D656" t="s">
        <v>258</v>
      </c>
      <c r="E656" t="s">
        <v>264</v>
      </c>
      <c r="F656">
        <v>3</v>
      </c>
      <c r="G656" t="s">
        <v>488</v>
      </c>
      <c r="H656" s="4">
        <v>316190</v>
      </c>
      <c r="I656" s="4">
        <v>617513.0820071468</v>
      </c>
      <c r="J656" s="3">
        <v>0.9529810620422745</v>
      </c>
      <c r="K656" s="3">
        <v>-0.487962264747064</v>
      </c>
      <c r="L656" t="s">
        <v>54</v>
      </c>
    </row>
    <row r="657" spans="1:12" x14ac:dyDescent="0.25">
      <c r="A657" t="s">
        <v>487</v>
      </c>
      <c r="B657" t="s">
        <v>455</v>
      </c>
      <c r="C657" t="s">
        <v>477</v>
      </c>
      <c r="D657" t="s">
        <v>258</v>
      </c>
      <c r="E657" t="s">
        <v>264</v>
      </c>
      <c r="F657">
        <v>3</v>
      </c>
      <c r="G657" t="s">
        <v>498</v>
      </c>
      <c r="H657" s="4">
        <v>316190</v>
      </c>
      <c r="I657" s="4">
        <v>623545</v>
      </c>
      <c r="J657" s="3">
        <v>0.972057939846295</v>
      </c>
      <c r="K657" s="3">
        <v>-0.4929155073009967</v>
      </c>
      <c r="L657" t="s">
        <v>54</v>
      </c>
    </row>
    <row r="658" spans="1:12" x14ac:dyDescent="0.25">
      <c r="A658" t="s">
        <v>487</v>
      </c>
      <c r="B658" t="s">
        <v>455</v>
      </c>
      <c r="C658" t="s">
        <v>477</v>
      </c>
      <c r="D658" t="s">
        <v>258</v>
      </c>
      <c r="E658" t="s">
        <v>264</v>
      </c>
      <c r="F658">
        <v>3</v>
      </c>
      <c r="G658" t="s">
        <v>499</v>
      </c>
      <c r="H658" s="4">
        <v>316190</v>
      </c>
      <c r="I658" s="4">
        <v>697441</v>
      </c>
      <c r="J658" s="3">
        <v>1.205765520731206</v>
      </c>
      <c r="K658" s="3">
        <v>-0.5466426550776338</v>
      </c>
      <c r="L658" t="s">
        <v>54</v>
      </c>
    </row>
    <row r="659" spans="1:12" x14ac:dyDescent="0.25">
      <c r="A659" t="s">
        <v>487</v>
      </c>
      <c r="B659" t="s">
        <v>455</v>
      </c>
      <c r="C659" t="s">
        <v>477</v>
      </c>
      <c r="D659" t="s">
        <v>260</v>
      </c>
      <c r="E659" t="s">
        <v>262</v>
      </c>
      <c r="F659">
        <v>1</v>
      </c>
      <c r="G659" t="s">
        <v>488</v>
      </c>
      <c r="H659" s="4">
        <v>574221</v>
      </c>
      <c r="I659" s="4">
        <v>314842.7331750497</v>
      </c>
      <c r="J659" s="3">
        <v>0.451704599492095</v>
      </c>
      <c r="K659" s="3">
        <v>0.8238343766401568</v>
      </c>
      <c r="L659" t="s">
        <v>54</v>
      </c>
    </row>
    <row r="660" spans="1:12" x14ac:dyDescent="0.25">
      <c r="A660" t="s">
        <v>487</v>
      </c>
      <c r="B660" t="s">
        <v>455</v>
      </c>
      <c r="C660" t="s">
        <v>477</v>
      </c>
      <c r="D660" t="s">
        <v>260</v>
      </c>
      <c r="E660" t="s">
        <v>262</v>
      </c>
      <c r="F660">
        <v>1</v>
      </c>
      <c r="G660" t="s">
        <v>498</v>
      </c>
      <c r="H660" s="4">
        <v>574221</v>
      </c>
      <c r="I660" s="4">
        <v>343332</v>
      </c>
      <c r="J660" s="3">
        <v>0.40209083262367623</v>
      </c>
      <c r="K660" s="3">
        <v>0.6724948446401734</v>
      </c>
      <c r="L660" t="s">
        <v>54</v>
      </c>
    </row>
    <row r="661" spans="1:12" x14ac:dyDescent="0.25">
      <c r="A661" t="s">
        <v>487</v>
      </c>
      <c r="B661" t="s">
        <v>455</v>
      </c>
      <c r="C661" t="s">
        <v>477</v>
      </c>
      <c r="D661" t="s">
        <v>260</v>
      </c>
      <c r="E661" t="s">
        <v>262</v>
      </c>
      <c r="F661">
        <v>1</v>
      </c>
      <c r="G661" t="s">
        <v>499</v>
      </c>
      <c r="H661" s="4">
        <v>574221</v>
      </c>
      <c r="I661" s="4">
        <v>529614</v>
      </c>
      <c r="J661" s="3">
        <v>0.0776826343864122</v>
      </c>
      <c r="K661" s="3">
        <v>0.08422549252852077</v>
      </c>
      <c r="L661" t="s">
        <v>54</v>
      </c>
    </row>
    <row r="662" spans="1:12" x14ac:dyDescent="0.25">
      <c r="A662" t="s">
        <v>487</v>
      </c>
      <c r="B662" t="s">
        <v>455</v>
      </c>
      <c r="C662" t="s">
        <v>477</v>
      </c>
      <c r="D662" t="s">
        <v>260</v>
      </c>
      <c r="E662" t="s">
        <v>264</v>
      </c>
      <c r="F662">
        <v>2</v>
      </c>
      <c r="G662" t="s">
        <v>488</v>
      </c>
      <c r="H662" s="4">
        <v>316190</v>
      </c>
      <c r="I662" s="4">
        <v>571804.0032902157</v>
      </c>
      <c r="J662" s="3">
        <v>0.8084189989886326</v>
      </c>
      <c r="K662" s="3">
        <v>-0.4470308039457366</v>
      </c>
      <c r="L662" t="s">
        <v>54</v>
      </c>
    </row>
    <row r="663" spans="1:12" x14ac:dyDescent="0.25">
      <c r="A663" t="s">
        <v>487</v>
      </c>
      <c r="B663" t="s">
        <v>455</v>
      </c>
      <c r="C663" t="s">
        <v>477</v>
      </c>
      <c r="D663" t="s">
        <v>260</v>
      </c>
      <c r="E663" t="s">
        <v>264</v>
      </c>
      <c r="F663">
        <v>2</v>
      </c>
      <c r="G663" t="s">
        <v>498</v>
      </c>
      <c r="H663" s="4">
        <v>316190</v>
      </c>
      <c r="I663" s="4">
        <v>623545</v>
      </c>
      <c r="J663" s="3">
        <v>0.972057939846295</v>
      </c>
      <c r="K663" s="3">
        <v>-0.4929155073009967</v>
      </c>
      <c r="L663" t="s">
        <v>54</v>
      </c>
    </row>
    <row r="664" spans="1:12" x14ac:dyDescent="0.25">
      <c r="A664" t="s">
        <v>487</v>
      </c>
      <c r="B664" t="s">
        <v>455</v>
      </c>
      <c r="C664" t="s">
        <v>477</v>
      </c>
      <c r="D664" t="s">
        <v>260</v>
      </c>
      <c r="E664" t="s">
        <v>264</v>
      </c>
      <c r="F664">
        <v>2</v>
      </c>
      <c r="G664" t="s">
        <v>499</v>
      </c>
      <c r="H664" s="4">
        <v>316190</v>
      </c>
      <c r="I664" s="4">
        <v>529614</v>
      </c>
      <c r="J664" s="3">
        <v>0.6749865587146968</v>
      </c>
      <c r="K664" s="3">
        <v>-0.4029802837538283</v>
      </c>
      <c r="L664" t="s">
        <v>54</v>
      </c>
    </row>
    <row r="665" spans="1:12" x14ac:dyDescent="0.25">
      <c r="A665" t="s">
        <v>487</v>
      </c>
      <c r="B665" t="s">
        <v>455</v>
      </c>
      <c r="C665" t="s">
        <v>477</v>
      </c>
      <c r="D665" t="s">
        <v>260</v>
      </c>
      <c r="E665" t="s">
        <v>266</v>
      </c>
      <c r="F665">
        <v>3</v>
      </c>
      <c r="G665" t="s">
        <v>488</v>
      </c>
      <c r="H665" s="4">
        <v>765546</v>
      </c>
      <c r="I665" s="4">
        <v>652644.0098816389</v>
      </c>
      <c r="J665" s="3">
        <v>0.14747904125730013</v>
      </c>
      <c r="K665" s="3">
        <v>0.17299168981699006</v>
      </c>
      <c r="L665" t="s">
        <v>54</v>
      </c>
    </row>
    <row r="666" spans="1:12" x14ac:dyDescent="0.25">
      <c r="A666" t="s">
        <v>487</v>
      </c>
      <c r="B666" t="s">
        <v>455</v>
      </c>
      <c r="C666" t="s">
        <v>477</v>
      </c>
      <c r="D666" t="s">
        <v>260</v>
      </c>
      <c r="E666" t="s">
        <v>266</v>
      </c>
      <c r="F666">
        <v>3</v>
      </c>
      <c r="G666" t="s">
        <v>498</v>
      </c>
      <c r="H666" s="4">
        <v>765546</v>
      </c>
      <c r="I666" s="4">
        <v>711700</v>
      </c>
      <c r="J666" s="3">
        <v>0.0703367269896257</v>
      </c>
      <c r="K666" s="3">
        <v>0.07565828298440354</v>
      </c>
      <c r="L666" t="s">
        <v>54</v>
      </c>
    </row>
    <row r="667" spans="1:12" x14ac:dyDescent="0.25">
      <c r="A667" t="s">
        <v>487</v>
      </c>
      <c r="B667" t="s">
        <v>455</v>
      </c>
      <c r="C667" t="s">
        <v>477</v>
      </c>
      <c r="D667" t="s">
        <v>260</v>
      </c>
      <c r="E667" t="s">
        <v>266</v>
      </c>
      <c r="F667">
        <v>3</v>
      </c>
      <c r="G667" t="s">
        <v>499</v>
      </c>
      <c r="H667" s="4">
        <v>765546</v>
      </c>
      <c r="I667" s="4">
        <v>529614</v>
      </c>
      <c r="J667" s="3">
        <v>0.3081878815903943</v>
      </c>
      <c r="K667" s="3">
        <v>0.445479160294101</v>
      </c>
      <c r="L667" t="s">
        <v>54</v>
      </c>
    </row>
    <row r="668" spans="1:12" x14ac:dyDescent="0.25">
      <c r="A668" t="s">
        <v>487</v>
      </c>
      <c r="B668" t="s">
        <v>455</v>
      </c>
      <c r="C668" t="s">
        <v>477</v>
      </c>
      <c r="D668" t="s">
        <v>262</v>
      </c>
      <c r="E668" t="s">
        <v>264</v>
      </c>
      <c r="F668">
        <v>1</v>
      </c>
      <c r="G668" t="s">
        <v>488</v>
      </c>
      <c r="H668" s="4">
        <v>316190</v>
      </c>
      <c r="I668" s="4">
        <v>630820.9035522507</v>
      </c>
      <c r="J668" s="3">
        <v>0.9950691152542798</v>
      </c>
      <c r="K668" s="3">
        <v>-0.4987642320990238</v>
      </c>
      <c r="L668" t="s">
        <v>54</v>
      </c>
    </row>
    <row r="669" spans="1:12" x14ac:dyDescent="0.25">
      <c r="A669" t="s">
        <v>487</v>
      </c>
      <c r="B669" t="s">
        <v>455</v>
      </c>
      <c r="C669" t="s">
        <v>477</v>
      </c>
      <c r="D669" t="s">
        <v>262</v>
      </c>
      <c r="E669" t="s">
        <v>264</v>
      </c>
      <c r="F669">
        <v>1</v>
      </c>
      <c r="G669" t="s">
        <v>498</v>
      </c>
      <c r="H669" s="4">
        <v>316190</v>
      </c>
      <c r="I669" s="4">
        <v>623545</v>
      </c>
      <c r="J669" s="3">
        <v>0.972057939846295</v>
      </c>
      <c r="K669" s="3">
        <v>-0.4929155073009967</v>
      </c>
      <c r="L669" t="s">
        <v>54</v>
      </c>
    </row>
    <row r="670" spans="1:12" x14ac:dyDescent="0.25">
      <c r="A670" t="s">
        <v>487</v>
      </c>
      <c r="B670" t="s">
        <v>455</v>
      </c>
      <c r="C670" t="s">
        <v>477</v>
      </c>
      <c r="D670" t="s">
        <v>262</v>
      </c>
      <c r="E670" t="s">
        <v>264</v>
      </c>
      <c r="F670">
        <v>1</v>
      </c>
      <c r="G670" t="s">
        <v>499</v>
      </c>
      <c r="H670" s="4">
        <v>316190</v>
      </c>
      <c r="I670" s="4">
        <v>574221</v>
      </c>
      <c r="J670" s="3">
        <v>0.8160631266010943</v>
      </c>
      <c r="K670" s="3">
        <v>-0.44935834809245917</v>
      </c>
      <c r="L670" t="s">
        <v>54</v>
      </c>
    </row>
    <row r="671" spans="1:12" x14ac:dyDescent="0.25">
      <c r="A671" t="s">
        <v>487</v>
      </c>
      <c r="B671" t="s">
        <v>455</v>
      </c>
      <c r="C671" t="s">
        <v>477</v>
      </c>
      <c r="D671" t="s">
        <v>262</v>
      </c>
      <c r="E671" t="s">
        <v>266</v>
      </c>
      <c r="F671">
        <v>2</v>
      </c>
      <c r="G671" t="s">
        <v>488</v>
      </c>
      <c r="H671" s="4">
        <v>765546</v>
      </c>
      <c r="I671" s="4">
        <v>720004.5498851516</v>
      </c>
      <c r="J671" s="3">
        <v>0.05948884863202008</v>
      </c>
      <c r="K671" s="3">
        <v>0.06325161434342712</v>
      </c>
      <c r="L671" t="s">
        <v>54</v>
      </c>
    </row>
    <row r="672" spans="1:12" x14ac:dyDescent="0.25">
      <c r="A672" t="s">
        <v>487</v>
      </c>
      <c r="B672" t="s">
        <v>455</v>
      </c>
      <c r="C672" t="s">
        <v>477</v>
      </c>
      <c r="D672" t="s">
        <v>262</v>
      </c>
      <c r="E672" t="s">
        <v>266</v>
      </c>
      <c r="F672">
        <v>2</v>
      </c>
      <c r="G672" t="s">
        <v>498</v>
      </c>
      <c r="H672" s="4">
        <v>765546</v>
      </c>
      <c r="I672" s="4">
        <v>711700</v>
      </c>
      <c r="J672" s="3">
        <v>0.0703367269896257</v>
      </c>
      <c r="K672" s="3">
        <v>0.07565828298440354</v>
      </c>
      <c r="L672" t="s">
        <v>54</v>
      </c>
    </row>
    <row r="673" spans="1:12" x14ac:dyDescent="0.25">
      <c r="A673" t="s">
        <v>487</v>
      </c>
      <c r="B673" t="s">
        <v>455</v>
      </c>
      <c r="C673" t="s">
        <v>477</v>
      </c>
      <c r="D673" t="s">
        <v>262</v>
      </c>
      <c r="E673" t="s">
        <v>266</v>
      </c>
      <c r="F673">
        <v>2</v>
      </c>
      <c r="G673" t="s">
        <v>499</v>
      </c>
      <c r="H673" s="4">
        <v>765546</v>
      </c>
      <c r="I673" s="4">
        <v>574221</v>
      </c>
      <c r="J673" s="3">
        <v>0.24991966518014594</v>
      </c>
      <c r="K673" s="3">
        <v>0.3331905311717962</v>
      </c>
      <c r="L673" t="s">
        <v>54</v>
      </c>
    </row>
    <row r="674" spans="1:12" x14ac:dyDescent="0.25">
      <c r="A674" t="s">
        <v>487</v>
      </c>
      <c r="B674" t="s">
        <v>455</v>
      </c>
      <c r="C674" t="s">
        <v>477</v>
      </c>
      <c r="D674" t="s">
        <v>262</v>
      </c>
      <c r="E674" t="s">
        <v>268</v>
      </c>
      <c r="F674">
        <v>3</v>
      </c>
      <c r="G674" t="s">
        <v>488</v>
      </c>
      <c r="H674" s="4">
        <v>733105</v>
      </c>
      <c r="I674" s="4">
        <v>656883.5102884335</v>
      </c>
      <c r="J674" s="3">
        <v>0.10397076777755776</v>
      </c>
      <c r="K674" s="3">
        <v>0.11603501765190923</v>
      </c>
      <c r="L674" t="s">
        <v>54</v>
      </c>
    </row>
    <row r="675" spans="1:12" x14ac:dyDescent="0.25">
      <c r="A675" t="s">
        <v>487</v>
      </c>
      <c r="B675" t="s">
        <v>455</v>
      </c>
      <c r="C675" t="s">
        <v>477</v>
      </c>
      <c r="D675" t="s">
        <v>262</v>
      </c>
      <c r="E675" t="s">
        <v>268</v>
      </c>
      <c r="F675">
        <v>3</v>
      </c>
      <c r="G675" t="s">
        <v>498</v>
      </c>
      <c r="H675" s="4">
        <v>733105</v>
      </c>
      <c r="I675" s="4">
        <v>649307</v>
      </c>
      <c r="J675" s="3">
        <v>0.11430559060434727</v>
      </c>
      <c r="K675" s="3">
        <v>0.1290575952515528</v>
      </c>
      <c r="L675" t="s">
        <v>54</v>
      </c>
    </row>
    <row r="676" spans="1:12" x14ac:dyDescent="0.25">
      <c r="A676" t="s">
        <v>487</v>
      </c>
      <c r="B676" t="s">
        <v>455</v>
      </c>
      <c r="C676" t="s">
        <v>477</v>
      </c>
      <c r="D676" t="s">
        <v>262</v>
      </c>
      <c r="E676" t="s">
        <v>268</v>
      </c>
      <c r="F676">
        <v>3</v>
      </c>
      <c r="G676" t="s">
        <v>499</v>
      </c>
      <c r="H676" s="4">
        <v>733105</v>
      </c>
      <c r="I676" s="4">
        <v>574221</v>
      </c>
      <c r="J676" s="3">
        <v>0.21672748105660172</v>
      </c>
      <c r="K676" s="3">
        <v>0.27669486138612137</v>
      </c>
      <c r="L676" t="s">
        <v>54</v>
      </c>
    </row>
    <row r="677" spans="1:12" x14ac:dyDescent="0.25">
      <c r="A677" t="s">
        <v>487</v>
      </c>
      <c r="B677" t="s">
        <v>455</v>
      </c>
      <c r="C677" t="s">
        <v>477</v>
      </c>
      <c r="D677" t="s">
        <v>264</v>
      </c>
      <c r="E677" t="s">
        <v>266</v>
      </c>
      <c r="F677">
        <v>1</v>
      </c>
      <c r="G677" t="s">
        <v>488</v>
      </c>
      <c r="H677" s="4">
        <v>765546</v>
      </c>
      <c r="I677" s="4">
        <v>708343.8036866878</v>
      </c>
      <c r="J677" s="3">
        <v>0.07472078270059822</v>
      </c>
      <c r="K677" s="3">
        <v>0.08075484816214139</v>
      </c>
      <c r="L677" t="s">
        <v>54</v>
      </c>
    </row>
    <row r="678" spans="1:12" x14ac:dyDescent="0.25">
      <c r="A678" t="s">
        <v>487</v>
      </c>
      <c r="B678" t="s">
        <v>455</v>
      </c>
      <c r="C678" t="s">
        <v>477</v>
      </c>
      <c r="D678" t="s">
        <v>264</v>
      </c>
      <c r="E678" t="s">
        <v>266</v>
      </c>
      <c r="F678">
        <v>1</v>
      </c>
      <c r="G678" t="s">
        <v>498</v>
      </c>
      <c r="H678" s="4">
        <v>765546</v>
      </c>
      <c r="I678" s="4">
        <v>711700</v>
      </c>
      <c r="J678" s="3">
        <v>0.0703367269896257</v>
      </c>
      <c r="K678" s="3">
        <v>0.07565828298440354</v>
      </c>
      <c r="L678" t="s">
        <v>54</v>
      </c>
    </row>
    <row r="679" spans="1:12" x14ac:dyDescent="0.25">
      <c r="A679" t="s">
        <v>487</v>
      </c>
      <c r="B679" t="s">
        <v>455</v>
      </c>
      <c r="C679" t="s">
        <v>477</v>
      </c>
      <c r="D679" t="s">
        <v>264</v>
      </c>
      <c r="E679" t="s">
        <v>266</v>
      </c>
      <c r="F679">
        <v>1</v>
      </c>
      <c r="G679" t="s">
        <v>499</v>
      </c>
      <c r="H679" s="4">
        <v>765546</v>
      </c>
      <c r="I679" s="4">
        <v>316190</v>
      </c>
      <c r="J679" s="3">
        <v>0.5869745253714342</v>
      </c>
      <c r="K679" s="3">
        <v>1.421158164394826</v>
      </c>
      <c r="L679" t="s">
        <v>54</v>
      </c>
    </row>
    <row r="680" spans="1:12" x14ac:dyDescent="0.25">
      <c r="A680" t="s">
        <v>487</v>
      </c>
      <c r="B680" t="s">
        <v>455</v>
      </c>
      <c r="C680" t="s">
        <v>477</v>
      </c>
      <c r="D680" t="s">
        <v>264</v>
      </c>
      <c r="E680" t="s">
        <v>268</v>
      </c>
      <c r="F680">
        <v>2</v>
      </c>
      <c r="G680" t="s">
        <v>488</v>
      </c>
      <c r="H680" s="4">
        <v>733105</v>
      </c>
      <c r="I680" s="4">
        <v>646245.0332167939</v>
      </c>
      <c r="J680" s="3">
        <v>0.11848230032970188</v>
      </c>
      <c r="K680" s="3">
        <v>0.13440717114814163</v>
      </c>
      <c r="L680" t="s">
        <v>54</v>
      </c>
    </row>
    <row r="681" spans="1:12" x14ac:dyDescent="0.25">
      <c r="A681" t="s">
        <v>487</v>
      </c>
      <c r="B681" t="s">
        <v>455</v>
      </c>
      <c r="C681" t="s">
        <v>477</v>
      </c>
      <c r="D681" t="s">
        <v>264</v>
      </c>
      <c r="E681" t="s">
        <v>268</v>
      </c>
      <c r="F681">
        <v>2</v>
      </c>
      <c r="G681" t="s">
        <v>498</v>
      </c>
      <c r="H681" s="4">
        <v>733105</v>
      </c>
      <c r="I681" s="4">
        <v>649307</v>
      </c>
      <c r="J681" s="3">
        <v>0.11430559060434727</v>
      </c>
      <c r="K681" s="3">
        <v>0.1290575952515528</v>
      </c>
      <c r="L681" t="s">
        <v>54</v>
      </c>
    </row>
    <row r="682" spans="1:12" x14ac:dyDescent="0.25">
      <c r="A682" t="s">
        <v>487</v>
      </c>
      <c r="B682" t="s">
        <v>455</v>
      </c>
      <c r="C682" t="s">
        <v>477</v>
      </c>
      <c r="D682" t="s">
        <v>264</v>
      </c>
      <c r="E682" t="s">
        <v>268</v>
      </c>
      <c r="F682">
        <v>2</v>
      </c>
      <c r="G682" t="s">
        <v>499</v>
      </c>
      <c r="H682" s="4">
        <v>733105</v>
      </c>
      <c r="I682" s="4">
        <v>316190</v>
      </c>
      <c r="J682" s="3">
        <v>0.5686975262752266</v>
      </c>
      <c r="K682" s="3">
        <v>1.3185584616844301</v>
      </c>
      <c r="L682" t="s">
        <v>54</v>
      </c>
    </row>
    <row r="683" spans="1:12" x14ac:dyDescent="0.25">
      <c r="A683" t="s">
        <v>487</v>
      </c>
      <c r="B683" t="s">
        <v>455</v>
      </c>
      <c r="C683" t="s">
        <v>477</v>
      </c>
      <c r="D683" t="s">
        <v>264</v>
      </c>
      <c r="E683" t="s">
        <v>270</v>
      </c>
      <c r="F683">
        <v>3</v>
      </c>
      <c r="G683" t="s">
        <v>488</v>
      </c>
      <c r="H683" s="4">
        <v>579284</v>
      </c>
      <c r="I683" s="4">
        <v>712135.8366950429</v>
      </c>
      <c r="J683" s="3">
        <v>0.22933800466617912</v>
      </c>
      <c r="K683" s="3">
        <v>-0.18655406714482464</v>
      </c>
      <c r="L683" t="s">
        <v>54</v>
      </c>
    </row>
    <row r="684" spans="1:12" x14ac:dyDescent="0.25">
      <c r="A684" t="s">
        <v>487</v>
      </c>
      <c r="B684" t="s">
        <v>455</v>
      </c>
      <c r="C684" t="s">
        <v>477</v>
      </c>
      <c r="D684" t="s">
        <v>264</v>
      </c>
      <c r="E684" t="s">
        <v>270</v>
      </c>
      <c r="F684">
        <v>3</v>
      </c>
      <c r="G684" t="s">
        <v>498</v>
      </c>
      <c r="H684" s="4">
        <v>579284</v>
      </c>
      <c r="I684" s="4">
        <v>715510</v>
      </c>
      <c r="J684" s="3">
        <v>0.23516271811408568</v>
      </c>
      <c r="K684" s="3">
        <v>-0.19039007141759026</v>
      </c>
      <c r="L684" t="s">
        <v>54</v>
      </c>
    </row>
    <row r="685" spans="1:12" x14ac:dyDescent="0.25">
      <c r="A685" t="s">
        <v>487</v>
      </c>
      <c r="B685" t="s">
        <v>455</v>
      </c>
      <c r="C685" t="s">
        <v>477</v>
      </c>
      <c r="D685" t="s">
        <v>264</v>
      </c>
      <c r="E685" t="s">
        <v>270</v>
      </c>
      <c r="F685">
        <v>3</v>
      </c>
      <c r="G685" t="s">
        <v>499</v>
      </c>
      <c r="H685" s="4">
        <v>579284</v>
      </c>
      <c r="I685" s="4">
        <v>316190</v>
      </c>
      <c r="J685" s="3">
        <v>0.45417101111026714</v>
      </c>
      <c r="K685" s="3">
        <v>0.8320756507163415</v>
      </c>
      <c r="L685" t="s">
        <v>54</v>
      </c>
    </row>
    <row r="686" spans="1:12" x14ac:dyDescent="0.25">
      <c r="A686" t="s">
        <v>487</v>
      </c>
      <c r="B686" t="s">
        <v>455</v>
      </c>
      <c r="C686" t="s">
        <v>477</v>
      </c>
      <c r="D686" t="s">
        <v>266</v>
      </c>
      <c r="E686" t="s">
        <v>268</v>
      </c>
      <c r="F686">
        <v>1</v>
      </c>
      <c r="G686" t="s">
        <v>488</v>
      </c>
      <c r="H686" s="4">
        <v>733105</v>
      </c>
      <c r="I686" s="4">
        <v>635799.8872114854</v>
      </c>
      <c r="J686" s="3">
        <v>0.13273011749819547</v>
      </c>
      <c r="K686" s="3">
        <v>0.1530436144228948</v>
      </c>
      <c r="L686" t="s">
        <v>54</v>
      </c>
    </row>
    <row r="687" spans="1:12" x14ac:dyDescent="0.25">
      <c r="A687" t="s">
        <v>487</v>
      </c>
      <c r="B687" t="s">
        <v>455</v>
      </c>
      <c r="C687" t="s">
        <v>477</v>
      </c>
      <c r="D687" t="s">
        <v>266</v>
      </c>
      <c r="E687" t="s">
        <v>268</v>
      </c>
      <c r="F687">
        <v>1</v>
      </c>
      <c r="G687" t="s">
        <v>498</v>
      </c>
      <c r="H687" s="4">
        <v>733105</v>
      </c>
      <c r="I687" s="4">
        <v>649307</v>
      </c>
      <c r="J687" s="3">
        <v>0.11430559060434727</v>
      </c>
      <c r="K687" s="3">
        <v>0.1290575952515528</v>
      </c>
      <c r="L687" t="s">
        <v>54</v>
      </c>
    </row>
    <row r="688" spans="1:12" x14ac:dyDescent="0.25">
      <c r="A688" t="s">
        <v>487</v>
      </c>
      <c r="B688" t="s">
        <v>455</v>
      </c>
      <c r="C688" t="s">
        <v>477</v>
      </c>
      <c r="D688" t="s">
        <v>266</v>
      </c>
      <c r="E688" t="s">
        <v>268</v>
      </c>
      <c r="F688">
        <v>1</v>
      </c>
      <c r="G688" t="s">
        <v>499</v>
      </c>
      <c r="H688" s="4">
        <v>733105</v>
      </c>
      <c r="I688" s="4">
        <v>765546</v>
      </c>
      <c r="J688" s="3">
        <v>0.044251505582419984</v>
      </c>
      <c r="K688" s="3">
        <v>-0.04237629090871091</v>
      </c>
      <c r="L688" t="s">
        <v>54</v>
      </c>
    </row>
    <row r="689" spans="1:12" x14ac:dyDescent="0.25">
      <c r="A689" t="s">
        <v>487</v>
      </c>
      <c r="B689" t="s">
        <v>455</v>
      </c>
      <c r="C689" t="s">
        <v>477</v>
      </c>
      <c r="D689" t="s">
        <v>266</v>
      </c>
      <c r="E689" t="s">
        <v>270</v>
      </c>
      <c r="F689">
        <v>2</v>
      </c>
      <c r="G689" t="s">
        <v>488</v>
      </c>
      <c r="H689" s="4">
        <v>579284</v>
      </c>
      <c r="I689" s="4">
        <v>700625.7091001482</v>
      </c>
      <c r="J689" s="3">
        <v>0.20946842843950148</v>
      </c>
      <c r="K689" s="3">
        <v>-0.17319048890739958</v>
      </c>
      <c r="L689" t="s">
        <v>54</v>
      </c>
    </row>
    <row r="690" spans="1:12" x14ac:dyDescent="0.25">
      <c r="A690" t="s">
        <v>487</v>
      </c>
      <c r="B690" t="s">
        <v>455</v>
      </c>
      <c r="C690" t="s">
        <v>477</v>
      </c>
      <c r="D690" t="s">
        <v>266</v>
      </c>
      <c r="E690" t="s">
        <v>270</v>
      </c>
      <c r="F690">
        <v>2</v>
      </c>
      <c r="G690" t="s">
        <v>498</v>
      </c>
      <c r="H690" s="4">
        <v>579284</v>
      </c>
      <c r="I690" s="4">
        <v>715510</v>
      </c>
      <c r="J690" s="3">
        <v>0.23516271811408568</v>
      </c>
      <c r="K690" s="3">
        <v>-0.19039007141759026</v>
      </c>
      <c r="L690" t="s">
        <v>54</v>
      </c>
    </row>
    <row r="691" spans="1:12" x14ac:dyDescent="0.25">
      <c r="A691" t="s">
        <v>487</v>
      </c>
      <c r="B691" t="s">
        <v>455</v>
      </c>
      <c r="C691" t="s">
        <v>477</v>
      </c>
      <c r="D691" t="s">
        <v>266</v>
      </c>
      <c r="E691" t="s">
        <v>270</v>
      </c>
      <c r="F691">
        <v>2</v>
      </c>
      <c r="G691" t="s">
        <v>499</v>
      </c>
      <c r="H691" s="4">
        <v>579284</v>
      </c>
      <c r="I691" s="4">
        <v>765546</v>
      </c>
      <c r="J691" s="3">
        <v>0.3215383128137494</v>
      </c>
      <c r="K691" s="3">
        <v>-0.24330608480744462</v>
      </c>
      <c r="L691" t="s">
        <v>54</v>
      </c>
    </row>
    <row r="692" spans="1:12" x14ac:dyDescent="0.25">
      <c r="A692" t="s">
        <v>487</v>
      </c>
      <c r="B692" t="s">
        <v>455</v>
      </c>
      <c r="C692" t="s">
        <v>477</v>
      </c>
      <c r="D692" t="s">
        <v>266</v>
      </c>
      <c r="E692" t="s">
        <v>272</v>
      </c>
      <c r="F692">
        <v>3</v>
      </c>
      <c r="G692" t="s">
        <v>488</v>
      </c>
      <c r="H692" s="4">
        <v>962342</v>
      </c>
      <c r="I692" s="4">
        <v>429811.95319359103</v>
      </c>
      <c r="J692" s="3">
        <v>0.5533688094319993</v>
      </c>
      <c r="K692" s="3">
        <v>1.2389837994257755</v>
      </c>
      <c r="L692" t="s">
        <v>54</v>
      </c>
    </row>
    <row r="693" spans="1:12" x14ac:dyDescent="0.25">
      <c r="A693" t="s">
        <v>487</v>
      </c>
      <c r="B693" t="s">
        <v>455</v>
      </c>
      <c r="C693" t="s">
        <v>477</v>
      </c>
      <c r="D693" t="s">
        <v>266</v>
      </c>
      <c r="E693" t="s">
        <v>272</v>
      </c>
      <c r="F693">
        <v>3</v>
      </c>
      <c r="G693" t="s">
        <v>498</v>
      </c>
      <c r="H693" s="4">
        <v>962342</v>
      </c>
      <c r="I693" s="4">
        <v>438943</v>
      </c>
      <c r="J693" s="3">
        <v>0.5438804499855561</v>
      </c>
      <c r="K693" s="3">
        <v>1.1924076702442004</v>
      </c>
      <c r="L693" t="s">
        <v>54</v>
      </c>
    </row>
    <row r="694" spans="1:12" x14ac:dyDescent="0.25">
      <c r="A694" t="s">
        <v>487</v>
      </c>
      <c r="B694" t="s">
        <v>455</v>
      </c>
      <c r="C694" t="s">
        <v>477</v>
      </c>
      <c r="D694" t="s">
        <v>266</v>
      </c>
      <c r="E694" t="s">
        <v>272</v>
      </c>
      <c r="F694">
        <v>3</v>
      </c>
      <c r="G694" t="s">
        <v>499</v>
      </c>
      <c r="H694" s="4">
        <v>962342</v>
      </c>
      <c r="I694" s="4">
        <v>765546</v>
      </c>
      <c r="J694" s="3">
        <v>0.20449694599217327</v>
      </c>
      <c r="K694" s="3">
        <v>0.2570661985040742</v>
      </c>
      <c r="L694" t="s">
        <v>54</v>
      </c>
    </row>
    <row r="695" spans="1:12" x14ac:dyDescent="0.25">
      <c r="A695" t="s">
        <v>487</v>
      </c>
      <c r="B695" t="s">
        <v>455</v>
      </c>
      <c r="C695" t="s">
        <v>477</v>
      </c>
      <c r="D695" t="s">
        <v>268</v>
      </c>
      <c r="E695" t="s">
        <v>270</v>
      </c>
      <c r="F695">
        <v>1</v>
      </c>
      <c r="G695" t="s">
        <v>488</v>
      </c>
      <c r="H695" s="4">
        <v>579284</v>
      </c>
      <c r="I695" s="4">
        <v>718639.8232024242</v>
      </c>
      <c r="J695" s="3">
        <v>0.24056563482233967</v>
      </c>
      <c r="K695" s="3">
        <v>-0.193916088008347</v>
      </c>
      <c r="L695" t="s">
        <v>54</v>
      </c>
    </row>
    <row r="696" spans="1:12" x14ac:dyDescent="0.25">
      <c r="A696" t="s">
        <v>487</v>
      </c>
      <c r="B696" t="s">
        <v>455</v>
      </c>
      <c r="C696" t="s">
        <v>477</v>
      </c>
      <c r="D696" t="s">
        <v>268</v>
      </c>
      <c r="E696" t="s">
        <v>270</v>
      </c>
      <c r="F696">
        <v>1</v>
      </c>
      <c r="G696" t="s">
        <v>498</v>
      </c>
      <c r="H696" s="4">
        <v>579284</v>
      </c>
      <c r="I696" s="4">
        <v>715510</v>
      </c>
      <c r="J696" s="3">
        <v>0.23516271811408568</v>
      </c>
      <c r="K696" s="3">
        <v>-0.19039007141759026</v>
      </c>
      <c r="L696" t="s">
        <v>54</v>
      </c>
    </row>
    <row r="697" spans="1:12" x14ac:dyDescent="0.25">
      <c r="A697" t="s">
        <v>487</v>
      </c>
      <c r="B697" t="s">
        <v>455</v>
      </c>
      <c r="C697" t="s">
        <v>477</v>
      </c>
      <c r="D697" t="s">
        <v>268</v>
      </c>
      <c r="E697" t="s">
        <v>270</v>
      </c>
      <c r="F697">
        <v>1</v>
      </c>
      <c r="G697" t="s">
        <v>499</v>
      </c>
      <c r="H697" s="4">
        <v>579284</v>
      </c>
      <c r="I697" s="4">
        <v>733105</v>
      </c>
      <c r="J697" s="3">
        <v>0.26553642082294693</v>
      </c>
      <c r="K697" s="3">
        <v>-0.20982123979511802</v>
      </c>
      <c r="L697" t="s">
        <v>54</v>
      </c>
    </row>
    <row r="698" spans="1:12" x14ac:dyDescent="0.25">
      <c r="A698" t="s">
        <v>487</v>
      </c>
      <c r="B698" t="s">
        <v>455</v>
      </c>
      <c r="C698" t="s">
        <v>477</v>
      </c>
      <c r="D698" t="s">
        <v>268</v>
      </c>
      <c r="E698" t="s">
        <v>272</v>
      </c>
      <c r="F698">
        <v>2</v>
      </c>
      <c r="G698" t="s">
        <v>488</v>
      </c>
      <c r="H698" s="4">
        <v>962342</v>
      </c>
      <c r="I698" s="4">
        <v>440863.0486169889</v>
      </c>
      <c r="J698" s="3">
        <v>0.5418852667586067</v>
      </c>
      <c r="K698" s="3">
        <v>1.1828592870709367</v>
      </c>
      <c r="L698" t="s">
        <v>54</v>
      </c>
    </row>
    <row r="699" spans="1:12" x14ac:dyDescent="0.25">
      <c r="A699" t="s">
        <v>487</v>
      </c>
      <c r="B699" t="s">
        <v>455</v>
      </c>
      <c r="C699" t="s">
        <v>477</v>
      </c>
      <c r="D699" t="s">
        <v>268</v>
      </c>
      <c r="E699" t="s">
        <v>272</v>
      </c>
      <c r="F699">
        <v>2</v>
      </c>
      <c r="G699" t="s">
        <v>498</v>
      </c>
      <c r="H699" s="4">
        <v>962342</v>
      </c>
      <c r="I699" s="4">
        <v>438943</v>
      </c>
      <c r="J699" s="3">
        <v>0.5438804499855561</v>
      </c>
      <c r="K699" s="3">
        <v>1.1924076702442004</v>
      </c>
      <c r="L699" t="s">
        <v>54</v>
      </c>
    </row>
    <row r="700" spans="1:12" x14ac:dyDescent="0.25">
      <c r="A700" t="s">
        <v>487</v>
      </c>
      <c r="B700" t="s">
        <v>455</v>
      </c>
      <c r="C700" t="s">
        <v>477</v>
      </c>
      <c r="D700" t="s">
        <v>268</v>
      </c>
      <c r="E700" t="s">
        <v>272</v>
      </c>
      <c r="F700">
        <v>2</v>
      </c>
      <c r="G700" t="s">
        <v>499</v>
      </c>
      <c r="H700" s="4">
        <v>962342</v>
      </c>
      <c r="I700" s="4">
        <v>733105</v>
      </c>
      <c r="J700" s="3">
        <v>0.2382074148275769</v>
      </c>
      <c r="K700" s="3">
        <v>0.3126932704046487</v>
      </c>
      <c r="L700" t="s">
        <v>54</v>
      </c>
    </row>
    <row r="701" spans="1:12" x14ac:dyDescent="0.25">
      <c r="A701" t="s">
        <v>487</v>
      </c>
      <c r="B701" t="s">
        <v>455</v>
      </c>
      <c r="C701" t="s">
        <v>477</v>
      </c>
      <c r="D701" t="s">
        <v>268</v>
      </c>
      <c r="E701" t="s">
        <v>274</v>
      </c>
      <c r="F701">
        <v>3</v>
      </c>
      <c r="G701" t="s">
        <v>488</v>
      </c>
      <c r="H701" s="4">
        <v>550255</v>
      </c>
      <c r="I701" s="4">
        <v>370272.6128520995</v>
      </c>
      <c r="J701" s="3">
        <v>0.32708905352591156</v>
      </c>
      <c r="K701" s="3">
        <v>0.4860807440268126</v>
      </c>
      <c r="L701" t="s">
        <v>54</v>
      </c>
    </row>
    <row r="702" spans="1:12" x14ac:dyDescent="0.25">
      <c r="A702" t="s">
        <v>487</v>
      </c>
      <c r="B702" t="s">
        <v>455</v>
      </c>
      <c r="C702" t="s">
        <v>477</v>
      </c>
      <c r="D702" t="s">
        <v>268</v>
      </c>
      <c r="E702" t="s">
        <v>274</v>
      </c>
      <c r="F702">
        <v>3</v>
      </c>
      <c r="G702" t="s">
        <v>498</v>
      </c>
      <c r="H702" s="4">
        <v>550255</v>
      </c>
      <c r="I702" s="4">
        <v>368660</v>
      </c>
      <c r="J702" s="3">
        <v>0.33001971813068487</v>
      </c>
      <c r="K702" s="3">
        <v>0.49258124016709165</v>
      </c>
      <c r="L702" t="s">
        <v>54</v>
      </c>
    </row>
    <row r="703" spans="1:12" x14ac:dyDescent="0.25">
      <c r="A703" t="s">
        <v>487</v>
      </c>
      <c r="B703" t="s">
        <v>455</v>
      </c>
      <c r="C703" t="s">
        <v>477</v>
      </c>
      <c r="D703" t="s">
        <v>268</v>
      </c>
      <c r="E703" t="s">
        <v>274</v>
      </c>
      <c r="F703">
        <v>3</v>
      </c>
      <c r="G703" t="s">
        <v>499</v>
      </c>
      <c r="H703" s="4">
        <v>550255</v>
      </c>
      <c r="I703" s="4">
        <v>733105</v>
      </c>
      <c r="J703" s="3">
        <v>0.3323004788688881</v>
      </c>
      <c r="K703" s="3">
        <v>-0.2494185689635182</v>
      </c>
      <c r="L703" t="s">
        <v>54</v>
      </c>
    </row>
    <row r="704" spans="1:12" x14ac:dyDescent="0.25">
      <c r="A704" t="s">
        <v>487</v>
      </c>
      <c r="B704" t="s">
        <v>455</v>
      </c>
      <c r="C704" t="s">
        <v>477</v>
      </c>
      <c r="D704" t="s">
        <v>270</v>
      </c>
      <c r="E704" t="s">
        <v>272</v>
      </c>
      <c r="F704">
        <v>1</v>
      </c>
      <c r="G704" t="s">
        <v>488</v>
      </c>
      <c r="H704" s="4">
        <v>962342</v>
      </c>
      <c r="I704" s="4">
        <v>440202.2597929952</v>
      </c>
      <c r="J704" s="3">
        <v>0.5425719133187628</v>
      </c>
      <c r="K704" s="3">
        <v>1.1861359831558809</v>
      </c>
      <c r="L704" t="s">
        <v>54</v>
      </c>
    </row>
    <row r="705" spans="1:12" x14ac:dyDescent="0.25">
      <c r="A705" t="s">
        <v>487</v>
      </c>
      <c r="B705" t="s">
        <v>455</v>
      </c>
      <c r="C705" t="s">
        <v>477</v>
      </c>
      <c r="D705" t="s">
        <v>270</v>
      </c>
      <c r="E705" t="s">
        <v>272</v>
      </c>
      <c r="F705">
        <v>1</v>
      </c>
      <c r="G705" t="s">
        <v>498</v>
      </c>
      <c r="H705" s="4">
        <v>962342</v>
      </c>
      <c r="I705" s="4">
        <v>438943</v>
      </c>
      <c r="J705" s="3">
        <v>0.5438804499855561</v>
      </c>
      <c r="K705" s="3">
        <v>1.1924076702442004</v>
      </c>
      <c r="L705" t="s">
        <v>54</v>
      </c>
    </row>
    <row r="706" spans="1:12" x14ac:dyDescent="0.25">
      <c r="A706" t="s">
        <v>487</v>
      </c>
      <c r="B706" t="s">
        <v>455</v>
      </c>
      <c r="C706" t="s">
        <v>477</v>
      </c>
      <c r="D706" t="s">
        <v>270</v>
      </c>
      <c r="E706" t="s">
        <v>272</v>
      </c>
      <c r="F706">
        <v>1</v>
      </c>
      <c r="G706" t="s">
        <v>499</v>
      </c>
      <c r="H706" s="4">
        <v>962342</v>
      </c>
      <c r="I706" s="4">
        <v>579284</v>
      </c>
      <c r="J706" s="3">
        <v>0.3980476795151828</v>
      </c>
      <c r="K706" s="3">
        <v>0.661261143066268</v>
      </c>
      <c r="L706" t="s">
        <v>54</v>
      </c>
    </row>
    <row r="707" spans="1:12" x14ac:dyDescent="0.25">
      <c r="A707" t="s">
        <v>487</v>
      </c>
      <c r="B707" t="s">
        <v>455</v>
      </c>
      <c r="C707" t="s">
        <v>477</v>
      </c>
      <c r="D707" t="s">
        <v>270</v>
      </c>
      <c r="E707" t="s">
        <v>274</v>
      </c>
      <c r="F707">
        <v>2</v>
      </c>
      <c r="G707" t="s">
        <v>488</v>
      </c>
      <c r="H707" s="4">
        <v>550255</v>
      </c>
      <c r="I707" s="4">
        <v>369717.62870187155</v>
      </c>
      <c r="J707" s="3">
        <v>0.3280976479961626</v>
      </c>
      <c r="K707" s="3">
        <v>0.48831150392265443</v>
      </c>
      <c r="L707" t="s">
        <v>54</v>
      </c>
    </row>
    <row r="708" spans="1:12" x14ac:dyDescent="0.25">
      <c r="A708" t="s">
        <v>487</v>
      </c>
      <c r="B708" t="s">
        <v>455</v>
      </c>
      <c r="C708" t="s">
        <v>477</v>
      </c>
      <c r="D708" t="s">
        <v>270</v>
      </c>
      <c r="E708" t="s">
        <v>274</v>
      </c>
      <c r="F708">
        <v>2</v>
      </c>
      <c r="G708" t="s">
        <v>498</v>
      </c>
      <c r="H708" s="4">
        <v>550255</v>
      </c>
      <c r="I708" s="4">
        <v>368660</v>
      </c>
      <c r="J708" s="3">
        <v>0.33001971813068487</v>
      </c>
      <c r="K708" s="3">
        <v>0.49258124016709165</v>
      </c>
      <c r="L708" t="s">
        <v>54</v>
      </c>
    </row>
    <row r="709" spans="1:12" x14ac:dyDescent="0.25">
      <c r="A709" t="s">
        <v>487</v>
      </c>
      <c r="B709" t="s">
        <v>455</v>
      </c>
      <c r="C709" t="s">
        <v>477</v>
      </c>
      <c r="D709" t="s">
        <v>270</v>
      </c>
      <c r="E709" t="s">
        <v>274</v>
      </c>
      <c r="F709">
        <v>2</v>
      </c>
      <c r="G709" t="s">
        <v>499</v>
      </c>
      <c r="H709" s="4">
        <v>550255</v>
      </c>
      <c r="I709" s="4">
        <v>579284</v>
      </c>
      <c r="J709" s="3">
        <v>0.052755540612988525</v>
      </c>
      <c r="K709" s="3">
        <v>-0.05011186222992522</v>
      </c>
      <c r="L709" t="s">
        <v>54</v>
      </c>
    </row>
    <row r="710" spans="1:12" x14ac:dyDescent="0.25">
      <c r="A710" t="s">
        <v>487</v>
      </c>
      <c r="B710" t="s">
        <v>455</v>
      </c>
      <c r="C710" t="s">
        <v>477</v>
      </c>
      <c r="D710" t="s">
        <v>270</v>
      </c>
      <c r="E710" t="s">
        <v>276</v>
      </c>
      <c r="F710">
        <v>3</v>
      </c>
      <c r="G710" t="s">
        <v>488</v>
      </c>
      <c r="H710" s="4">
        <v>633880</v>
      </c>
      <c r="I710" s="4">
        <v>665631.1304329385</v>
      </c>
      <c r="J710" s="3">
        <v>0.050090128151919065</v>
      </c>
      <c r="K710" s="3">
        <v>-0.04770078949325425</v>
      </c>
      <c r="L710" t="s">
        <v>54</v>
      </c>
    </row>
    <row r="711" spans="1:12" x14ac:dyDescent="0.25">
      <c r="A711" t="s">
        <v>487</v>
      </c>
      <c r="B711" t="s">
        <v>455</v>
      </c>
      <c r="C711" t="s">
        <v>477</v>
      </c>
      <c r="D711" t="s">
        <v>270</v>
      </c>
      <c r="E711" t="s">
        <v>276</v>
      </c>
      <c r="F711">
        <v>3</v>
      </c>
      <c r="G711" t="s">
        <v>498</v>
      </c>
      <c r="H711" s="4">
        <v>633880</v>
      </c>
      <c r="I711" s="4">
        <v>663727</v>
      </c>
      <c r="J711" s="3">
        <v>0.04708619928062094</v>
      </c>
      <c r="K711" s="3">
        <v>-0.04496878987897132</v>
      </c>
      <c r="L711" t="s">
        <v>54</v>
      </c>
    </row>
    <row r="712" spans="1:12" x14ac:dyDescent="0.25">
      <c r="A712" t="s">
        <v>487</v>
      </c>
      <c r="B712" t="s">
        <v>455</v>
      </c>
      <c r="C712" t="s">
        <v>477</v>
      </c>
      <c r="D712" t="s">
        <v>270</v>
      </c>
      <c r="E712" t="s">
        <v>276</v>
      </c>
      <c r="F712">
        <v>3</v>
      </c>
      <c r="G712" t="s">
        <v>499</v>
      </c>
      <c r="H712" s="4">
        <v>633880</v>
      </c>
      <c r="I712" s="4">
        <v>579284</v>
      </c>
      <c r="J712" s="3">
        <v>0.08612986685177006</v>
      </c>
      <c r="K712" s="3">
        <v>0.09424738124995684</v>
      </c>
      <c r="L712" t="s">
        <v>54</v>
      </c>
    </row>
    <row r="713" spans="1:12" x14ac:dyDescent="0.25">
      <c r="A713" t="s">
        <v>487</v>
      </c>
      <c r="B713" t="s">
        <v>455</v>
      </c>
      <c r="C713" t="s">
        <v>477</v>
      </c>
      <c r="D713" t="s">
        <v>272</v>
      </c>
      <c r="E713" t="s">
        <v>274</v>
      </c>
      <c r="F713">
        <v>1</v>
      </c>
      <c r="G713" t="s">
        <v>488</v>
      </c>
      <c r="H713" s="4">
        <v>550255</v>
      </c>
      <c r="I713" s="4">
        <v>417105.1532862726</v>
      </c>
      <c r="J713" s="3">
        <v>0.24197844038441704</v>
      </c>
      <c r="K713" s="3">
        <v>0.3192236913513806</v>
      </c>
      <c r="L713" t="s">
        <v>54</v>
      </c>
    </row>
    <row r="714" spans="1:12" x14ac:dyDescent="0.25">
      <c r="A714" t="s">
        <v>487</v>
      </c>
      <c r="B714" t="s">
        <v>455</v>
      </c>
      <c r="C714" t="s">
        <v>477</v>
      </c>
      <c r="D714" t="s">
        <v>272</v>
      </c>
      <c r="E714" t="s">
        <v>274</v>
      </c>
      <c r="F714">
        <v>1</v>
      </c>
      <c r="G714" t="s">
        <v>498</v>
      </c>
      <c r="H714" s="4">
        <v>550255</v>
      </c>
      <c r="I714" s="4">
        <v>368660</v>
      </c>
      <c r="J714" s="3">
        <v>0.33001971813068487</v>
      </c>
      <c r="K714" s="3">
        <v>0.49258124016709165</v>
      </c>
      <c r="L714" t="s">
        <v>54</v>
      </c>
    </row>
    <row r="715" spans="1:12" x14ac:dyDescent="0.25">
      <c r="A715" t="s">
        <v>487</v>
      </c>
      <c r="B715" t="s">
        <v>455</v>
      </c>
      <c r="C715" t="s">
        <v>477</v>
      </c>
      <c r="D715" t="s">
        <v>272</v>
      </c>
      <c r="E715" t="s">
        <v>274</v>
      </c>
      <c r="F715">
        <v>1</v>
      </c>
      <c r="G715" t="s">
        <v>499</v>
      </c>
      <c r="H715" s="4">
        <v>550255</v>
      </c>
      <c r="I715" s="4">
        <v>962342</v>
      </c>
      <c r="J715" s="3">
        <v>0.7489018727680803</v>
      </c>
      <c r="K715" s="3">
        <v>-0.4282126312683017</v>
      </c>
      <c r="L715" t="s">
        <v>54</v>
      </c>
    </row>
    <row r="716" spans="1:12" x14ac:dyDescent="0.25">
      <c r="A716" t="s">
        <v>487</v>
      </c>
      <c r="B716" t="s">
        <v>455</v>
      </c>
      <c r="C716" t="s">
        <v>477</v>
      </c>
      <c r="D716" t="s">
        <v>272</v>
      </c>
      <c r="E716" t="s">
        <v>276</v>
      </c>
      <c r="F716">
        <v>2</v>
      </c>
      <c r="G716" t="s">
        <v>488</v>
      </c>
      <c r="H716" s="4">
        <v>633880</v>
      </c>
      <c r="I716" s="4">
        <v>750946.5417328646</v>
      </c>
      <c r="J716" s="3">
        <v>0.18468249784322674</v>
      </c>
      <c r="K716" s="3">
        <v>-0.15589197795987567</v>
      </c>
      <c r="L716" t="s">
        <v>54</v>
      </c>
    </row>
    <row r="717" spans="1:12" x14ac:dyDescent="0.25">
      <c r="A717" t="s">
        <v>487</v>
      </c>
      <c r="B717" t="s">
        <v>455</v>
      </c>
      <c r="C717" t="s">
        <v>477</v>
      </c>
      <c r="D717" t="s">
        <v>272</v>
      </c>
      <c r="E717" t="s">
        <v>276</v>
      </c>
      <c r="F717">
        <v>2</v>
      </c>
      <c r="G717" t="s">
        <v>498</v>
      </c>
      <c r="H717" s="4">
        <v>633880</v>
      </c>
      <c r="I717" s="4">
        <v>663727</v>
      </c>
      <c r="J717" s="3">
        <v>0.04708619928062094</v>
      </c>
      <c r="K717" s="3">
        <v>-0.04496878987897132</v>
      </c>
      <c r="L717" t="s">
        <v>54</v>
      </c>
    </row>
    <row r="718" spans="1:12" x14ac:dyDescent="0.25">
      <c r="A718" t="s">
        <v>487</v>
      </c>
      <c r="B718" t="s">
        <v>455</v>
      </c>
      <c r="C718" t="s">
        <v>477</v>
      </c>
      <c r="D718" t="s">
        <v>272</v>
      </c>
      <c r="E718" t="s">
        <v>276</v>
      </c>
      <c r="F718">
        <v>2</v>
      </c>
      <c r="G718" t="s">
        <v>499</v>
      </c>
      <c r="H718" s="4">
        <v>633880</v>
      </c>
      <c r="I718" s="4">
        <v>962342</v>
      </c>
      <c r="J718" s="3">
        <v>0.5181769420079511</v>
      </c>
      <c r="K718" s="3">
        <v>-0.341315249672154</v>
      </c>
      <c r="L718" t="s">
        <v>54</v>
      </c>
    </row>
    <row r="719" spans="1:12" x14ac:dyDescent="0.25">
      <c r="A719" t="s">
        <v>487</v>
      </c>
      <c r="B719" t="s">
        <v>455</v>
      </c>
      <c r="C719" t="s">
        <v>477</v>
      </c>
      <c r="D719" t="s">
        <v>272</v>
      </c>
      <c r="E719" t="s">
        <v>278</v>
      </c>
      <c r="F719">
        <v>3</v>
      </c>
      <c r="G719" t="s">
        <v>488</v>
      </c>
      <c r="H719" s="4">
        <v>568979</v>
      </c>
      <c r="I719" s="4">
        <v>1165829.6082154312</v>
      </c>
      <c r="J719" s="3">
        <v>1.0489853021208713</v>
      </c>
      <c r="K719" s="3">
        <v>-0.5119535513676373</v>
      </c>
      <c r="L719" t="s">
        <v>54</v>
      </c>
    </row>
    <row r="720" spans="1:12" x14ac:dyDescent="0.25">
      <c r="A720" t="s">
        <v>487</v>
      </c>
      <c r="B720" t="s">
        <v>455</v>
      </c>
      <c r="C720" t="s">
        <v>477</v>
      </c>
      <c r="D720" t="s">
        <v>272</v>
      </c>
      <c r="E720" t="s">
        <v>278</v>
      </c>
      <c r="F720">
        <v>3</v>
      </c>
      <c r="G720" t="s">
        <v>498</v>
      </c>
      <c r="H720" s="4">
        <v>568979</v>
      </c>
      <c r="I720" s="4">
        <v>1030423</v>
      </c>
      <c r="J720" s="3">
        <v>0.8110035695517761</v>
      </c>
      <c r="K720" s="3">
        <v>-0.44781997296256004</v>
      </c>
      <c r="L720" t="s">
        <v>54</v>
      </c>
    </row>
    <row r="721" spans="1:12" x14ac:dyDescent="0.25">
      <c r="A721" t="s">
        <v>487</v>
      </c>
      <c r="B721" t="s">
        <v>455</v>
      </c>
      <c r="C721" t="s">
        <v>477</v>
      </c>
      <c r="D721" t="s">
        <v>272</v>
      </c>
      <c r="E721" t="s">
        <v>278</v>
      </c>
      <c r="F721">
        <v>3</v>
      </c>
      <c r="G721" t="s">
        <v>499</v>
      </c>
      <c r="H721" s="4">
        <v>568979</v>
      </c>
      <c r="I721" s="4">
        <v>962342</v>
      </c>
      <c r="J721" s="3">
        <v>0.6913488898535798</v>
      </c>
      <c r="K721" s="3">
        <v>-0.40875593084371253</v>
      </c>
      <c r="L721" t="s">
        <v>54</v>
      </c>
    </row>
    <row r="722" spans="1:12" x14ac:dyDescent="0.25">
      <c r="A722" t="s">
        <v>487</v>
      </c>
      <c r="B722" t="s">
        <v>455</v>
      </c>
      <c r="C722" t="s">
        <v>477</v>
      </c>
      <c r="D722" t="s">
        <v>274</v>
      </c>
      <c r="E722" t="s">
        <v>276</v>
      </c>
      <c r="F722">
        <v>1</v>
      </c>
      <c r="G722" t="s">
        <v>488</v>
      </c>
      <c r="H722" s="4">
        <v>633880</v>
      </c>
      <c r="I722" s="4">
        <v>784361.4664287426</v>
      </c>
      <c r="J722" s="3">
        <v>0.2373974039703771</v>
      </c>
      <c r="K722" s="3">
        <v>-0.19185219171193632</v>
      </c>
      <c r="L722" t="s">
        <v>54</v>
      </c>
    </row>
    <row r="723" spans="1:12" x14ac:dyDescent="0.25">
      <c r="A723" t="s">
        <v>487</v>
      </c>
      <c r="B723" t="s">
        <v>455</v>
      </c>
      <c r="C723" t="s">
        <v>477</v>
      </c>
      <c r="D723" t="s">
        <v>274</v>
      </c>
      <c r="E723" t="s">
        <v>276</v>
      </c>
      <c r="F723">
        <v>1</v>
      </c>
      <c r="G723" t="s">
        <v>498</v>
      </c>
      <c r="H723" s="4">
        <v>633880</v>
      </c>
      <c r="I723" s="4">
        <v>663727</v>
      </c>
      <c r="J723" s="3">
        <v>0.04708619928062094</v>
      </c>
      <c r="K723" s="3">
        <v>-0.04496878987897132</v>
      </c>
      <c r="L723" t="s">
        <v>54</v>
      </c>
    </row>
    <row r="724" spans="1:12" x14ac:dyDescent="0.25">
      <c r="A724" t="s">
        <v>487</v>
      </c>
      <c r="B724" t="s">
        <v>455</v>
      </c>
      <c r="C724" t="s">
        <v>477</v>
      </c>
      <c r="D724" t="s">
        <v>274</v>
      </c>
      <c r="E724" t="s">
        <v>276</v>
      </c>
      <c r="F724">
        <v>1</v>
      </c>
      <c r="G724" t="s">
        <v>499</v>
      </c>
      <c r="H724" s="4">
        <v>633880</v>
      </c>
      <c r="I724" s="4">
        <v>550255</v>
      </c>
      <c r="J724" s="3">
        <v>0.13192560106013757</v>
      </c>
      <c r="K724" s="3">
        <v>0.15197499341214527</v>
      </c>
      <c r="L724" t="s">
        <v>54</v>
      </c>
    </row>
    <row r="725" spans="1:12" x14ac:dyDescent="0.25">
      <c r="A725" t="s">
        <v>487</v>
      </c>
      <c r="B725" t="s">
        <v>455</v>
      </c>
      <c r="C725" t="s">
        <v>477</v>
      </c>
      <c r="D725" t="s">
        <v>274</v>
      </c>
      <c r="E725" t="s">
        <v>278</v>
      </c>
      <c r="F725">
        <v>2</v>
      </c>
      <c r="G725" t="s">
        <v>488</v>
      </c>
      <c r="H725" s="4">
        <v>568979</v>
      </c>
      <c r="I725" s="4">
        <v>1217705.6158961505</v>
      </c>
      <c r="J725" s="3">
        <v>1.1401591550762866</v>
      </c>
      <c r="K725" s="3">
        <v>-0.5327450308412438</v>
      </c>
      <c r="L725" t="s">
        <v>54</v>
      </c>
    </row>
    <row r="726" spans="1:12" x14ac:dyDescent="0.25">
      <c r="A726" t="s">
        <v>487</v>
      </c>
      <c r="B726" t="s">
        <v>455</v>
      </c>
      <c r="C726" t="s">
        <v>477</v>
      </c>
      <c r="D726" t="s">
        <v>274</v>
      </c>
      <c r="E726" t="s">
        <v>278</v>
      </c>
      <c r="F726">
        <v>2</v>
      </c>
      <c r="G726" t="s">
        <v>498</v>
      </c>
      <c r="H726" s="4">
        <v>568979</v>
      </c>
      <c r="I726" s="4">
        <v>1030423</v>
      </c>
      <c r="J726" s="3">
        <v>0.8110035695517761</v>
      </c>
      <c r="K726" s="3">
        <v>-0.44781997296256004</v>
      </c>
      <c r="L726" t="s">
        <v>54</v>
      </c>
    </row>
    <row r="727" spans="1:12" x14ac:dyDescent="0.25">
      <c r="A727" t="s">
        <v>487</v>
      </c>
      <c r="B727" t="s">
        <v>455</v>
      </c>
      <c r="C727" t="s">
        <v>477</v>
      </c>
      <c r="D727" t="s">
        <v>274</v>
      </c>
      <c r="E727" t="s">
        <v>278</v>
      </c>
      <c r="F727">
        <v>2</v>
      </c>
      <c r="G727" t="s">
        <v>499</v>
      </c>
      <c r="H727" s="4">
        <v>568979</v>
      </c>
      <c r="I727" s="4">
        <v>550255</v>
      </c>
      <c r="J727" s="3">
        <v>0.03290806866334258</v>
      </c>
      <c r="K727" s="3">
        <v>0.03402785981045152</v>
      </c>
      <c r="L727" t="s">
        <v>54</v>
      </c>
    </row>
    <row r="728" spans="1:12" x14ac:dyDescent="0.25">
      <c r="A728" t="s">
        <v>487</v>
      </c>
      <c r="B728" t="s">
        <v>455</v>
      </c>
      <c r="C728" t="s">
        <v>477</v>
      </c>
      <c r="D728" t="s">
        <v>274</v>
      </c>
      <c r="E728" t="s">
        <v>280</v>
      </c>
      <c r="F728">
        <v>3</v>
      </c>
      <c r="G728" t="s">
        <v>488</v>
      </c>
      <c r="H728" s="4">
        <v>864702</v>
      </c>
      <c r="I728" s="4">
        <v>834116.8188869812</v>
      </c>
      <c r="J728" s="3">
        <v>0.03537077642126278</v>
      </c>
      <c r="K728" s="3">
        <v>0.0366677429593503</v>
      </c>
      <c r="L728" t="s">
        <v>54</v>
      </c>
    </row>
    <row r="729" spans="1:12" x14ac:dyDescent="0.25">
      <c r="A729" t="s">
        <v>487</v>
      </c>
      <c r="B729" t="s">
        <v>455</v>
      </c>
      <c r="C729" t="s">
        <v>477</v>
      </c>
      <c r="D729" t="s">
        <v>274</v>
      </c>
      <c r="E729" t="s">
        <v>280</v>
      </c>
      <c r="F729">
        <v>3</v>
      </c>
      <c r="G729" t="s">
        <v>498</v>
      </c>
      <c r="H729" s="4">
        <v>864702</v>
      </c>
      <c r="I729" s="4">
        <v>705830</v>
      </c>
      <c r="J729" s="3">
        <v>0.18373034872129357</v>
      </c>
      <c r="K729" s="3">
        <v>0.22508536049757025</v>
      </c>
      <c r="L729" t="s">
        <v>54</v>
      </c>
    </row>
    <row r="730" spans="1:12" x14ac:dyDescent="0.25">
      <c r="A730" t="s">
        <v>487</v>
      </c>
      <c r="B730" t="s">
        <v>455</v>
      </c>
      <c r="C730" t="s">
        <v>477</v>
      </c>
      <c r="D730" t="s">
        <v>274</v>
      </c>
      <c r="E730" t="s">
        <v>280</v>
      </c>
      <c r="F730">
        <v>3</v>
      </c>
      <c r="G730" t="s">
        <v>499</v>
      </c>
      <c r="H730" s="4">
        <v>864702</v>
      </c>
      <c r="I730" s="4">
        <v>550255</v>
      </c>
      <c r="J730" s="3">
        <v>0.3636478231807027</v>
      </c>
      <c r="K730" s="3">
        <v>0.5714568699966379</v>
      </c>
      <c r="L730" t="s">
        <v>54</v>
      </c>
    </row>
    <row r="731" spans="1:12" x14ac:dyDescent="0.25">
      <c r="A731" t="s">
        <v>487</v>
      </c>
      <c r="B731" t="s">
        <v>455</v>
      </c>
      <c r="C731" t="s">
        <v>477</v>
      </c>
      <c r="D731" t="s">
        <v>276</v>
      </c>
      <c r="E731" t="s">
        <v>278</v>
      </c>
      <c r="F731">
        <v>1</v>
      </c>
      <c r="G731" t="s">
        <v>488</v>
      </c>
      <c r="H731" s="4">
        <v>568979</v>
      </c>
      <c r="I731" s="4">
        <v>1201137.8062487582</v>
      </c>
      <c r="J731" s="3">
        <v>1.1110406645038888</v>
      </c>
      <c r="K731" s="3">
        <v>-0.52629998236675</v>
      </c>
      <c r="L731" t="s">
        <v>54</v>
      </c>
    </row>
    <row r="732" spans="1:12" x14ac:dyDescent="0.25">
      <c r="A732" t="s">
        <v>487</v>
      </c>
      <c r="B732" t="s">
        <v>455</v>
      </c>
      <c r="C732" t="s">
        <v>477</v>
      </c>
      <c r="D732" t="s">
        <v>276</v>
      </c>
      <c r="E732" t="s">
        <v>278</v>
      </c>
      <c r="F732">
        <v>1</v>
      </c>
      <c r="G732" t="s">
        <v>498</v>
      </c>
      <c r="H732" s="4">
        <v>568979</v>
      </c>
      <c r="I732" s="4">
        <v>1030423</v>
      </c>
      <c r="J732" s="3">
        <v>0.8110035695517761</v>
      </c>
      <c r="K732" s="3">
        <v>-0.44781997296256004</v>
      </c>
      <c r="L732" t="s">
        <v>54</v>
      </c>
    </row>
    <row r="733" spans="1:12" x14ac:dyDescent="0.25">
      <c r="A733" t="s">
        <v>487</v>
      </c>
      <c r="B733" t="s">
        <v>455</v>
      </c>
      <c r="C733" t="s">
        <v>477</v>
      </c>
      <c r="D733" t="s">
        <v>276</v>
      </c>
      <c r="E733" t="s">
        <v>278</v>
      </c>
      <c r="F733">
        <v>1</v>
      </c>
      <c r="G733" t="s">
        <v>499</v>
      </c>
      <c r="H733" s="4">
        <v>568979</v>
      </c>
      <c r="I733" s="4">
        <v>633880</v>
      </c>
      <c r="J733" s="3">
        <v>0.11406572123048478</v>
      </c>
      <c r="K733" s="3">
        <v>-0.10238688710796996</v>
      </c>
      <c r="L733" t="s">
        <v>54</v>
      </c>
    </row>
    <row r="734" spans="1:12" x14ac:dyDescent="0.25">
      <c r="A734" t="s">
        <v>487</v>
      </c>
      <c r="B734" t="s">
        <v>455</v>
      </c>
      <c r="C734" t="s">
        <v>477</v>
      </c>
      <c r="D734" t="s">
        <v>276</v>
      </c>
      <c r="E734" t="s">
        <v>280</v>
      </c>
      <c r="F734">
        <v>2</v>
      </c>
      <c r="G734" t="s">
        <v>488</v>
      </c>
      <c r="H734" s="4">
        <v>864702</v>
      </c>
      <c r="I734" s="4">
        <v>822768.0261257377</v>
      </c>
      <c r="J734" s="3">
        <v>0.048495289561331305</v>
      </c>
      <c r="K734" s="3">
        <v>0.05096694638429451</v>
      </c>
      <c r="L734" t="s">
        <v>54</v>
      </c>
    </row>
    <row r="735" spans="1:12" x14ac:dyDescent="0.25">
      <c r="A735" t="s">
        <v>487</v>
      </c>
      <c r="B735" t="s">
        <v>455</v>
      </c>
      <c r="C735" t="s">
        <v>477</v>
      </c>
      <c r="D735" t="s">
        <v>276</v>
      </c>
      <c r="E735" t="s">
        <v>280</v>
      </c>
      <c r="F735">
        <v>2</v>
      </c>
      <c r="G735" t="s">
        <v>498</v>
      </c>
      <c r="H735" s="4">
        <v>864702</v>
      </c>
      <c r="I735" s="4">
        <v>705830</v>
      </c>
      <c r="J735" s="3">
        <v>0.18373034872129357</v>
      </c>
      <c r="K735" s="3">
        <v>0.22508536049757025</v>
      </c>
      <c r="L735" t="s">
        <v>54</v>
      </c>
    </row>
    <row r="736" spans="1:12" x14ac:dyDescent="0.25">
      <c r="A736" t="s">
        <v>487</v>
      </c>
      <c r="B736" t="s">
        <v>455</v>
      </c>
      <c r="C736" t="s">
        <v>477</v>
      </c>
      <c r="D736" t="s">
        <v>276</v>
      </c>
      <c r="E736" t="s">
        <v>280</v>
      </c>
      <c r="F736">
        <v>2</v>
      </c>
      <c r="G736" t="s">
        <v>499</v>
      </c>
      <c r="H736" s="4">
        <v>864702</v>
      </c>
      <c r="I736" s="4">
        <v>633880</v>
      </c>
      <c r="J736" s="3">
        <v>0.2669382053007857</v>
      </c>
      <c r="K736" s="3">
        <v>0.364141477882249</v>
      </c>
      <c r="L736" t="s">
        <v>54</v>
      </c>
    </row>
    <row r="737" spans="1:12" x14ac:dyDescent="0.25">
      <c r="A737" t="s">
        <v>487</v>
      </c>
      <c r="B737" t="s">
        <v>455</v>
      </c>
      <c r="C737" t="s">
        <v>477</v>
      </c>
      <c r="D737" t="s">
        <v>276</v>
      </c>
      <c r="E737" t="s">
        <v>282</v>
      </c>
      <c r="F737">
        <v>3</v>
      </c>
      <c r="G737" t="s">
        <v>488</v>
      </c>
      <c r="H737" s="4">
        <v>537793</v>
      </c>
      <c r="I737" s="4">
        <v>812989.1828190367</v>
      </c>
      <c r="J737" s="3">
        <v>0.5117139546610623</v>
      </c>
      <c r="K737" s="3">
        <v>-0.33849919363600267</v>
      </c>
      <c r="L737" t="s">
        <v>54</v>
      </c>
    </row>
    <row r="738" spans="1:12" x14ac:dyDescent="0.25">
      <c r="A738" t="s">
        <v>487</v>
      </c>
      <c r="B738" t="s">
        <v>455</v>
      </c>
      <c r="C738" t="s">
        <v>477</v>
      </c>
      <c r="D738" t="s">
        <v>276</v>
      </c>
      <c r="E738" t="s">
        <v>282</v>
      </c>
      <c r="F738">
        <v>3</v>
      </c>
      <c r="G738" t="s">
        <v>498</v>
      </c>
      <c r="H738" s="4">
        <v>537793</v>
      </c>
      <c r="I738" s="4">
        <v>697441</v>
      </c>
      <c r="J738" s="3">
        <v>0.29685771291184526</v>
      </c>
      <c r="K738" s="3">
        <v>-0.22890538411134417</v>
      </c>
      <c r="L738" t="s">
        <v>54</v>
      </c>
    </row>
    <row r="739" spans="1:12" x14ac:dyDescent="0.25">
      <c r="A739" t="s">
        <v>487</v>
      </c>
      <c r="B739" t="s">
        <v>455</v>
      </c>
      <c r="C739" t="s">
        <v>477</v>
      </c>
      <c r="D739" t="s">
        <v>276</v>
      </c>
      <c r="E739" t="s">
        <v>282</v>
      </c>
      <c r="F739">
        <v>3</v>
      </c>
      <c r="G739" t="s">
        <v>499</v>
      </c>
      <c r="H739" s="4">
        <v>537793</v>
      </c>
      <c r="I739" s="4">
        <v>633880</v>
      </c>
      <c r="J739" s="3">
        <v>0.17866911618410802</v>
      </c>
      <c r="K739" s="3">
        <v>-0.151585473591216</v>
      </c>
      <c r="L739" t="s">
        <v>54</v>
      </c>
    </row>
    <row r="740" spans="1:12" x14ac:dyDescent="0.25">
      <c r="A740" t="s">
        <v>487</v>
      </c>
      <c r="B740" t="s">
        <v>455</v>
      </c>
      <c r="C740" t="s">
        <v>477</v>
      </c>
      <c r="D740" t="s">
        <v>278</v>
      </c>
      <c r="E740" t="s">
        <v>280</v>
      </c>
      <c r="F740">
        <v>1</v>
      </c>
      <c r="G740" t="s">
        <v>488</v>
      </c>
      <c r="H740" s="4">
        <v>864702</v>
      </c>
      <c r="I740" s="4">
        <v>774658.1533912233</v>
      </c>
      <c r="J740" s="3">
        <v>0.10413280715064463</v>
      </c>
      <c r="K740" s="3">
        <v>0.11623687973151964</v>
      </c>
      <c r="L740" t="s">
        <v>54</v>
      </c>
    </row>
    <row r="741" spans="1:12" x14ac:dyDescent="0.25">
      <c r="A741" t="s">
        <v>487</v>
      </c>
      <c r="B741" t="s">
        <v>455</v>
      </c>
      <c r="C741" t="s">
        <v>477</v>
      </c>
      <c r="D741" t="s">
        <v>278</v>
      </c>
      <c r="E741" t="s">
        <v>280</v>
      </c>
      <c r="F741">
        <v>1</v>
      </c>
      <c r="G741" t="s">
        <v>498</v>
      </c>
      <c r="H741" s="4">
        <v>864702</v>
      </c>
      <c r="I741" s="4">
        <v>705830</v>
      </c>
      <c r="J741" s="3">
        <v>0.18373034872129357</v>
      </c>
      <c r="K741" s="3">
        <v>0.22508536049757025</v>
      </c>
      <c r="L741" t="s">
        <v>54</v>
      </c>
    </row>
    <row r="742" spans="1:12" x14ac:dyDescent="0.25">
      <c r="A742" t="s">
        <v>487</v>
      </c>
      <c r="B742" t="s">
        <v>455</v>
      </c>
      <c r="C742" t="s">
        <v>477</v>
      </c>
      <c r="D742" t="s">
        <v>278</v>
      </c>
      <c r="E742" t="s">
        <v>280</v>
      </c>
      <c r="F742">
        <v>1</v>
      </c>
      <c r="G742" t="s">
        <v>499</v>
      </c>
      <c r="H742" s="4">
        <v>864702</v>
      </c>
      <c r="I742" s="4">
        <v>568979</v>
      </c>
      <c r="J742" s="3">
        <v>0.34199412051782</v>
      </c>
      <c r="K742" s="3">
        <v>0.5197432594173071</v>
      </c>
      <c r="L742" t="s">
        <v>54</v>
      </c>
    </row>
    <row r="743" spans="1:12" x14ac:dyDescent="0.25">
      <c r="A743" t="s">
        <v>487</v>
      </c>
      <c r="B743" t="s">
        <v>455</v>
      </c>
      <c r="C743" t="s">
        <v>477</v>
      </c>
      <c r="D743" t="s">
        <v>278</v>
      </c>
      <c r="E743" t="s">
        <v>282</v>
      </c>
      <c r="F743">
        <v>2</v>
      </c>
      <c r="G743" t="s">
        <v>488</v>
      </c>
      <c r="H743" s="4">
        <v>537793</v>
      </c>
      <c r="I743" s="4">
        <v>765451.1102663929</v>
      </c>
      <c r="J743" s="3">
        <v>0.423319214393629</v>
      </c>
      <c r="K743" s="3">
        <v>-0.2974169182237689</v>
      </c>
      <c r="L743" t="s">
        <v>54</v>
      </c>
    </row>
    <row r="744" spans="1:12" x14ac:dyDescent="0.25">
      <c r="A744" t="s">
        <v>487</v>
      </c>
      <c r="B744" t="s">
        <v>455</v>
      </c>
      <c r="C744" t="s">
        <v>477</v>
      </c>
      <c r="D744" t="s">
        <v>278</v>
      </c>
      <c r="E744" t="s">
        <v>282</v>
      </c>
      <c r="F744">
        <v>2</v>
      </c>
      <c r="G744" t="s">
        <v>498</v>
      </c>
      <c r="H744" s="4">
        <v>537793</v>
      </c>
      <c r="I744" s="4">
        <v>697441</v>
      </c>
      <c r="J744" s="3">
        <v>0.29685771291184526</v>
      </c>
      <c r="K744" s="3">
        <v>-0.22890538411134417</v>
      </c>
      <c r="L744" t="s">
        <v>54</v>
      </c>
    </row>
    <row r="745" spans="1:12" x14ac:dyDescent="0.25">
      <c r="A745" t="s">
        <v>487</v>
      </c>
      <c r="B745" t="s">
        <v>455</v>
      </c>
      <c r="C745" t="s">
        <v>477</v>
      </c>
      <c r="D745" t="s">
        <v>278</v>
      </c>
      <c r="E745" t="s">
        <v>282</v>
      </c>
      <c r="F745">
        <v>2</v>
      </c>
      <c r="G745" t="s">
        <v>499</v>
      </c>
      <c r="H745" s="4">
        <v>537793</v>
      </c>
      <c r="I745" s="4">
        <v>568979</v>
      </c>
      <c r="J745" s="3">
        <v>0.05798885444771501</v>
      </c>
      <c r="K745" s="3">
        <v>-0.05481045873397788</v>
      </c>
      <c r="L745" t="s">
        <v>54</v>
      </c>
    </row>
    <row r="746" spans="1:12" x14ac:dyDescent="0.25">
      <c r="A746" t="s">
        <v>487</v>
      </c>
      <c r="B746" t="s">
        <v>455</v>
      </c>
      <c r="C746" t="s">
        <v>477</v>
      </c>
      <c r="D746" t="s">
        <v>278</v>
      </c>
      <c r="E746" t="s">
        <v>284</v>
      </c>
      <c r="F746">
        <v>3</v>
      </c>
      <c r="G746" t="s">
        <v>488</v>
      </c>
      <c r="H746" s="4">
        <v>580132</v>
      </c>
      <c r="I746" s="4">
        <v>581258.6646219902</v>
      </c>
      <c r="J746" s="3">
        <v>0.0019420832189746024</v>
      </c>
      <c r="K746" s="3">
        <v>-0.0019383188424776045</v>
      </c>
      <c r="L746" t="s">
        <v>54</v>
      </c>
    </row>
    <row r="747" spans="1:12" x14ac:dyDescent="0.25">
      <c r="A747" t="s">
        <v>487</v>
      </c>
      <c r="B747" t="s">
        <v>455</v>
      </c>
      <c r="C747" t="s">
        <v>477</v>
      </c>
      <c r="D747" t="s">
        <v>278</v>
      </c>
      <c r="E747" t="s">
        <v>284</v>
      </c>
      <c r="F747">
        <v>3</v>
      </c>
      <c r="G747" t="s">
        <v>498</v>
      </c>
      <c r="H747" s="4">
        <v>580132</v>
      </c>
      <c r="I747" s="4">
        <v>529614</v>
      </c>
      <c r="J747" s="3">
        <v>0.08708018175173926</v>
      </c>
      <c r="K747" s="3">
        <v>0.09538645126450584</v>
      </c>
      <c r="L747" t="s">
        <v>54</v>
      </c>
    </row>
    <row r="748" spans="1:12" x14ac:dyDescent="0.25">
      <c r="A748" t="s">
        <v>487</v>
      </c>
      <c r="B748" t="s">
        <v>455</v>
      </c>
      <c r="C748" t="s">
        <v>477</v>
      </c>
      <c r="D748" t="s">
        <v>278</v>
      </c>
      <c r="E748" t="s">
        <v>284</v>
      </c>
      <c r="F748">
        <v>3</v>
      </c>
      <c r="G748" t="s">
        <v>499</v>
      </c>
      <c r="H748" s="4">
        <v>580132</v>
      </c>
      <c r="I748" s="4">
        <v>568979</v>
      </c>
      <c r="J748" s="3">
        <v>0.019224935014789737</v>
      </c>
      <c r="K748" s="3">
        <v>0.019601777921505012</v>
      </c>
      <c r="L748" t="s">
        <v>54</v>
      </c>
    </row>
    <row r="749" spans="1:12" x14ac:dyDescent="0.25">
      <c r="A749" t="s">
        <v>487</v>
      </c>
      <c r="B749" t="s">
        <v>455</v>
      </c>
      <c r="C749" t="s">
        <v>477</v>
      </c>
      <c r="D749" t="s">
        <v>280</v>
      </c>
      <c r="E749" t="s">
        <v>282</v>
      </c>
      <c r="F749">
        <v>1</v>
      </c>
      <c r="G749" t="s">
        <v>488</v>
      </c>
      <c r="H749" s="4">
        <v>537793</v>
      </c>
      <c r="I749" s="4">
        <v>779067.4770840635</v>
      </c>
      <c r="J749" s="3">
        <v>0.44863818808363715</v>
      </c>
      <c r="K749" s="3">
        <v>-0.3096965079162576</v>
      </c>
      <c r="L749" t="s">
        <v>54</v>
      </c>
    </row>
    <row r="750" spans="1:12" x14ac:dyDescent="0.25">
      <c r="A750" t="s">
        <v>487</v>
      </c>
      <c r="B750" t="s">
        <v>455</v>
      </c>
      <c r="C750" t="s">
        <v>477</v>
      </c>
      <c r="D750" t="s">
        <v>280</v>
      </c>
      <c r="E750" t="s">
        <v>282</v>
      </c>
      <c r="F750">
        <v>1</v>
      </c>
      <c r="G750" t="s">
        <v>498</v>
      </c>
      <c r="H750" s="4">
        <v>537793</v>
      </c>
      <c r="I750" s="4">
        <v>697441</v>
      </c>
      <c r="J750" s="3">
        <v>0.29685771291184526</v>
      </c>
      <c r="K750" s="3">
        <v>-0.22890538411134417</v>
      </c>
      <c r="L750" t="s">
        <v>54</v>
      </c>
    </row>
    <row r="751" spans="1:12" x14ac:dyDescent="0.25">
      <c r="A751" t="s">
        <v>487</v>
      </c>
      <c r="B751" t="s">
        <v>455</v>
      </c>
      <c r="C751" t="s">
        <v>477</v>
      </c>
      <c r="D751" t="s">
        <v>280</v>
      </c>
      <c r="E751" t="s">
        <v>282</v>
      </c>
      <c r="F751">
        <v>1</v>
      </c>
      <c r="G751" t="s">
        <v>499</v>
      </c>
      <c r="H751" s="4">
        <v>537793</v>
      </c>
      <c r="I751" s="4">
        <v>864702</v>
      </c>
      <c r="J751" s="3">
        <v>0.6078714300855533</v>
      </c>
      <c r="K751" s="3">
        <v>-0.37805972462189286</v>
      </c>
      <c r="L751" t="s">
        <v>54</v>
      </c>
    </row>
    <row r="752" spans="1:12" x14ac:dyDescent="0.25">
      <c r="A752" t="s">
        <v>487</v>
      </c>
      <c r="B752" t="s">
        <v>455</v>
      </c>
      <c r="C752" t="s">
        <v>477</v>
      </c>
      <c r="D752" t="s">
        <v>280</v>
      </c>
      <c r="E752" t="s">
        <v>284</v>
      </c>
      <c r="F752">
        <v>2</v>
      </c>
      <c r="G752" t="s">
        <v>488</v>
      </c>
      <c r="H752" s="4">
        <v>580132</v>
      </c>
      <c r="I752" s="4">
        <v>591598.490493675</v>
      </c>
      <c r="J752" s="3">
        <v>0.019765312883404114</v>
      </c>
      <c r="K752" s="3">
        <v>-0.019382217294209927</v>
      </c>
      <c r="L752" t="s">
        <v>54</v>
      </c>
    </row>
    <row r="753" spans="1:12" x14ac:dyDescent="0.25">
      <c r="A753" t="s">
        <v>487</v>
      </c>
      <c r="B753" t="s">
        <v>455</v>
      </c>
      <c r="C753" t="s">
        <v>477</v>
      </c>
      <c r="D753" t="s">
        <v>280</v>
      </c>
      <c r="E753" t="s">
        <v>284</v>
      </c>
      <c r="F753">
        <v>2</v>
      </c>
      <c r="G753" t="s">
        <v>498</v>
      </c>
      <c r="H753" s="4">
        <v>580132</v>
      </c>
      <c r="I753" s="4">
        <v>529614</v>
      </c>
      <c r="J753" s="3">
        <v>0.08708018175173926</v>
      </c>
      <c r="K753" s="3">
        <v>0.09538645126450584</v>
      </c>
      <c r="L753" t="s">
        <v>54</v>
      </c>
    </row>
    <row r="754" spans="1:12" x14ac:dyDescent="0.25">
      <c r="A754" t="s">
        <v>487</v>
      </c>
      <c r="B754" t="s">
        <v>455</v>
      </c>
      <c r="C754" t="s">
        <v>477</v>
      </c>
      <c r="D754" t="s">
        <v>280</v>
      </c>
      <c r="E754" t="s">
        <v>284</v>
      </c>
      <c r="F754">
        <v>2</v>
      </c>
      <c r="G754" t="s">
        <v>499</v>
      </c>
      <c r="H754" s="4">
        <v>580132</v>
      </c>
      <c r="I754" s="4">
        <v>864702</v>
      </c>
      <c r="J754" s="3">
        <v>0.4905262940158447</v>
      </c>
      <c r="K754" s="3">
        <v>-0.32909603539716575</v>
      </c>
      <c r="L754" t="s">
        <v>54</v>
      </c>
    </row>
    <row r="755" spans="1:12" x14ac:dyDescent="0.25">
      <c r="A755" t="s">
        <v>487</v>
      </c>
      <c r="B755" t="s">
        <v>455</v>
      </c>
      <c r="C755" t="s">
        <v>477</v>
      </c>
      <c r="D755" t="s">
        <v>280</v>
      </c>
      <c r="E755" t="s">
        <v>286</v>
      </c>
      <c r="F755">
        <v>3</v>
      </c>
      <c r="G755" t="s">
        <v>488</v>
      </c>
      <c r="H755" s="4">
        <v>624779</v>
      </c>
      <c r="I755" s="4">
        <v>641426.1647346341</v>
      </c>
      <c r="J755" s="3">
        <v>0.0266448852068237</v>
      </c>
      <c r="K755" s="3">
        <v>-0.02595336088530352</v>
      </c>
      <c r="L755" t="s">
        <v>54</v>
      </c>
    </row>
    <row r="756" spans="1:12" x14ac:dyDescent="0.25">
      <c r="A756" t="s">
        <v>487</v>
      </c>
      <c r="B756" t="s">
        <v>455</v>
      </c>
      <c r="C756" t="s">
        <v>477</v>
      </c>
      <c r="D756" t="s">
        <v>280</v>
      </c>
      <c r="E756" t="s">
        <v>286</v>
      </c>
      <c r="F756">
        <v>3</v>
      </c>
      <c r="G756" t="s">
        <v>498</v>
      </c>
      <c r="H756" s="4">
        <v>624779</v>
      </c>
      <c r="I756" s="4">
        <v>574221</v>
      </c>
      <c r="J756" s="3">
        <v>0.0809214138119239</v>
      </c>
      <c r="K756" s="3">
        <v>0.08804624003650162</v>
      </c>
      <c r="L756" t="s">
        <v>54</v>
      </c>
    </row>
    <row r="757" spans="1:12" x14ac:dyDescent="0.25">
      <c r="A757" t="s">
        <v>487</v>
      </c>
      <c r="B757" t="s">
        <v>455</v>
      </c>
      <c r="C757" t="s">
        <v>477</v>
      </c>
      <c r="D757" t="s">
        <v>280</v>
      </c>
      <c r="E757" t="s">
        <v>286</v>
      </c>
      <c r="F757">
        <v>3</v>
      </c>
      <c r="G757" t="s">
        <v>499</v>
      </c>
      <c r="H757" s="4">
        <v>624779</v>
      </c>
      <c r="I757" s="4">
        <v>864702</v>
      </c>
      <c r="J757" s="3">
        <v>0.38401258685071044</v>
      </c>
      <c r="K757" s="3">
        <v>-0.27746321854234174</v>
      </c>
      <c r="L757" t="s">
        <v>54</v>
      </c>
    </row>
    <row r="758" spans="1:12" x14ac:dyDescent="0.25">
      <c r="A758" t="s">
        <v>487</v>
      </c>
      <c r="B758" t="s">
        <v>455</v>
      </c>
      <c r="C758" t="s">
        <v>477</v>
      </c>
      <c r="D758" t="s">
        <v>282</v>
      </c>
      <c r="E758" t="s">
        <v>284</v>
      </c>
      <c r="F758">
        <v>1</v>
      </c>
      <c r="G758" t="s">
        <v>488</v>
      </c>
      <c r="H758" s="4">
        <v>580132</v>
      </c>
      <c r="I758" s="4">
        <v>568486.1113668085</v>
      </c>
      <c r="J758" s="3">
        <v>0.02007454964248045</v>
      </c>
      <c r="K758" s="3">
        <v>0.020485792705104637</v>
      </c>
      <c r="L758" t="s">
        <v>54</v>
      </c>
    </row>
    <row r="759" spans="1:12" x14ac:dyDescent="0.25">
      <c r="A759" t="s">
        <v>487</v>
      </c>
      <c r="B759" t="s">
        <v>455</v>
      </c>
      <c r="C759" t="s">
        <v>477</v>
      </c>
      <c r="D759" t="s">
        <v>282</v>
      </c>
      <c r="E759" t="s">
        <v>284</v>
      </c>
      <c r="F759">
        <v>1</v>
      </c>
      <c r="G759" t="s">
        <v>498</v>
      </c>
      <c r="H759" s="4">
        <v>580132</v>
      </c>
      <c r="I759" s="4">
        <v>529614</v>
      </c>
      <c r="J759" s="3">
        <v>0.08708018175173926</v>
      </c>
      <c r="K759" s="3">
        <v>0.09538645126450584</v>
      </c>
      <c r="L759" t="s">
        <v>54</v>
      </c>
    </row>
    <row r="760" spans="1:12" x14ac:dyDescent="0.25">
      <c r="A760" t="s">
        <v>487</v>
      </c>
      <c r="B760" t="s">
        <v>455</v>
      </c>
      <c r="C760" t="s">
        <v>477</v>
      </c>
      <c r="D760" t="s">
        <v>282</v>
      </c>
      <c r="E760" t="s">
        <v>284</v>
      </c>
      <c r="F760">
        <v>1</v>
      </c>
      <c r="G760" t="s">
        <v>499</v>
      </c>
      <c r="H760" s="4">
        <v>580132</v>
      </c>
      <c r="I760" s="4">
        <v>537793</v>
      </c>
      <c r="J760" s="3">
        <v>0.07298166624147608</v>
      </c>
      <c r="K760" s="3">
        <v>0.07872731701602662</v>
      </c>
      <c r="L760" t="s">
        <v>54</v>
      </c>
    </row>
    <row r="761" spans="1:12" x14ac:dyDescent="0.25">
      <c r="A761" t="s">
        <v>487</v>
      </c>
      <c r="B761" t="s">
        <v>455</v>
      </c>
      <c r="C761" t="s">
        <v>477</v>
      </c>
      <c r="D761" t="s">
        <v>282</v>
      </c>
      <c r="E761" t="s">
        <v>286</v>
      </c>
      <c r="F761">
        <v>2</v>
      </c>
      <c r="G761" t="s">
        <v>488</v>
      </c>
      <c r="H761" s="4">
        <v>624779</v>
      </c>
      <c r="I761" s="4">
        <v>616367.1340923015</v>
      </c>
      <c r="J761" s="3">
        <v>0.013463746232985617</v>
      </c>
      <c r="K761" s="3">
        <v>0.013647492610205977</v>
      </c>
      <c r="L761" t="s">
        <v>54</v>
      </c>
    </row>
    <row r="762" spans="1:12" x14ac:dyDescent="0.25">
      <c r="A762" t="s">
        <v>487</v>
      </c>
      <c r="B762" t="s">
        <v>455</v>
      </c>
      <c r="C762" t="s">
        <v>477</v>
      </c>
      <c r="D762" t="s">
        <v>282</v>
      </c>
      <c r="E762" t="s">
        <v>286</v>
      </c>
      <c r="F762">
        <v>2</v>
      </c>
      <c r="G762" t="s">
        <v>498</v>
      </c>
      <c r="H762" s="4">
        <v>624779</v>
      </c>
      <c r="I762" s="4">
        <v>574221</v>
      </c>
      <c r="J762" s="3">
        <v>0.0809214138119239</v>
      </c>
      <c r="K762" s="3">
        <v>0.08804624003650162</v>
      </c>
      <c r="L762" t="s">
        <v>54</v>
      </c>
    </row>
    <row r="763" spans="1:12" x14ac:dyDescent="0.25">
      <c r="A763" t="s">
        <v>487</v>
      </c>
      <c r="B763" t="s">
        <v>455</v>
      </c>
      <c r="C763" t="s">
        <v>477</v>
      </c>
      <c r="D763" t="s">
        <v>282</v>
      </c>
      <c r="E763" t="s">
        <v>286</v>
      </c>
      <c r="F763">
        <v>2</v>
      </c>
      <c r="G763" t="s">
        <v>499</v>
      </c>
      <c r="H763" s="4">
        <v>624779</v>
      </c>
      <c r="I763" s="4">
        <v>537793</v>
      </c>
      <c r="J763" s="3">
        <v>0.13922683060730273</v>
      </c>
      <c r="K763" s="3">
        <v>0.1617462480917379</v>
      </c>
      <c r="L763" t="s">
        <v>54</v>
      </c>
    </row>
    <row r="764" spans="1:12" x14ac:dyDescent="0.25">
      <c r="A764" t="s">
        <v>487</v>
      </c>
      <c r="B764" t="s">
        <v>455</v>
      </c>
      <c r="C764" t="s">
        <v>477</v>
      </c>
      <c r="D764" t="s">
        <v>282</v>
      </c>
      <c r="E764" t="s">
        <v>288</v>
      </c>
      <c r="F764">
        <v>3</v>
      </c>
      <c r="G764" t="s">
        <v>488</v>
      </c>
      <c r="H764" s="4">
        <v>678094</v>
      </c>
      <c r="I764" s="4">
        <v>339397.4168981016</v>
      </c>
      <c r="J764" s="3">
        <v>0.499483232563477</v>
      </c>
      <c r="K764" s="3">
        <v>0.9979350644368231</v>
      </c>
      <c r="L764" t="s">
        <v>54</v>
      </c>
    </row>
    <row r="765" spans="1:12" x14ac:dyDescent="0.25">
      <c r="A765" t="s">
        <v>487</v>
      </c>
      <c r="B765" t="s">
        <v>455</v>
      </c>
      <c r="C765" t="s">
        <v>477</v>
      </c>
      <c r="D765" t="s">
        <v>282</v>
      </c>
      <c r="E765" t="s">
        <v>288</v>
      </c>
      <c r="F765">
        <v>3</v>
      </c>
      <c r="G765" t="s">
        <v>498</v>
      </c>
      <c r="H765" s="4">
        <v>678094</v>
      </c>
      <c r="I765" s="4">
        <v>316190</v>
      </c>
      <c r="J765" s="3">
        <v>0.5337077160393692</v>
      </c>
      <c r="K765" s="3">
        <v>1.144577627375945</v>
      </c>
      <c r="L765" t="s">
        <v>54</v>
      </c>
    </row>
    <row r="766" spans="1:12" x14ac:dyDescent="0.25">
      <c r="A766" t="s">
        <v>487</v>
      </c>
      <c r="B766" t="s">
        <v>455</v>
      </c>
      <c r="C766" t="s">
        <v>477</v>
      </c>
      <c r="D766" t="s">
        <v>282</v>
      </c>
      <c r="E766" t="s">
        <v>288</v>
      </c>
      <c r="F766">
        <v>3</v>
      </c>
      <c r="G766" t="s">
        <v>499</v>
      </c>
      <c r="H766" s="4">
        <v>678094</v>
      </c>
      <c r="I766" s="4">
        <v>537793</v>
      </c>
      <c r="J766" s="3">
        <v>0.20690494238261953</v>
      </c>
      <c r="K766" s="3">
        <v>0.26088290476075365</v>
      </c>
      <c r="L766" t="s">
        <v>54</v>
      </c>
    </row>
    <row r="767" spans="1:12" x14ac:dyDescent="0.25">
      <c r="A767" t="s">
        <v>487</v>
      </c>
      <c r="B767" t="s">
        <v>455</v>
      </c>
      <c r="C767" t="s">
        <v>477</v>
      </c>
      <c r="D767" t="s">
        <v>284</v>
      </c>
      <c r="E767" t="s">
        <v>286</v>
      </c>
      <c r="F767">
        <v>1</v>
      </c>
      <c r="G767" t="s">
        <v>488</v>
      </c>
      <c r="H767" s="4">
        <v>624779</v>
      </c>
      <c r="I767" s="4">
        <v>644930.177697748</v>
      </c>
      <c r="J767" s="3">
        <v>0.032253289079415194</v>
      </c>
      <c r="K767" s="3">
        <v>-0.031245518343835304</v>
      </c>
      <c r="L767" t="s">
        <v>54</v>
      </c>
    </row>
    <row r="768" spans="1:12" x14ac:dyDescent="0.25">
      <c r="A768" t="s">
        <v>487</v>
      </c>
      <c r="B768" t="s">
        <v>455</v>
      </c>
      <c r="C768" t="s">
        <v>477</v>
      </c>
      <c r="D768" t="s">
        <v>284</v>
      </c>
      <c r="E768" t="s">
        <v>286</v>
      </c>
      <c r="F768">
        <v>1</v>
      </c>
      <c r="G768" t="s">
        <v>498</v>
      </c>
      <c r="H768" s="4">
        <v>624779</v>
      </c>
      <c r="I768" s="4">
        <v>574221</v>
      </c>
      <c r="J768" s="3">
        <v>0.0809214138119239</v>
      </c>
      <c r="K768" s="3">
        <v>0.08804624003650162</v>
      </c>
      <c r="L768" t="s">
        <v>54</v>
      </c>
    </row>
    <row r="769" spans="1:12" x14ac:dyDescent="0.25">
      <c r="A769" t="s">
        <v>487</v>
      </c>
      <c r="B769" t="s">
        <v>455</v>
      </c>
      <c r="C769" t="s">
        <v>477</v>
      </c>
      <c r="D769" t="s">
        <v>284</v>
      </c>
      <c r="E769" t="s">
        <v>286</v>
      </c>
      <c r="F769">
        <v>1</v>
      </c>
      <c r="G769" t="s">
        <v>499</v>
      </c>
      <c r="H769" s="4">
        <v>624779</v>
      </c>
      <c r="I769" s="4">
        <v>580132</v>
      </c>
      <c r="J769" s="3">
        <v>0.0714604684216339</v>
      </c>
      <c r="K769" s="3">
        <v>0.07696007115621963</v>
      </c>
      <c r="L769" t="s">
        <v>54</v>
      </c>
    </row>
    <row r="770" spans="1:12" x14ac:dyDescent="0.25">
      <c r="A770" t="s">
        <v>487</v>
      </c>
      <c r="B770" t="s">
        <v>455</v>
      </c>
      <c r="C770" t="s">
        <v>477</v>
      </c>
      <c r="D770" t="s">
        <v>284</v>
      </c>
      <c r="E770" t="s">
        <v>288</v>
      </c>
      <c r="F770">
        <v>2</v>
      </c>
      <c r="G770" t="s">
        <v>488</v>
      </c>
      <c r="H770" s="4">
        <v>678094</v>
      </c>
      <c r="I770" s="4">
        <v>355125.41841251176</v>
      </c>
      <c r="J770" s="3">
        <v>0.47628880595830114</v>
      </c>
      <c r="K770" s="3">
        <v>0.9094493518127438</v>
      </c>
      <c r="L770" t="s">
        <v>54</v>
      </c>
    </row>
    <row r="771" spans="1:12" x14ac:dyDescent="0.25">
      <c r="A771" t="s">
        <v>487</v>
      </c>
      <c r="B771" t="s">
        <v>455</v>
      </c>
      <c r="C771" t="s">
        <v>477</v>
      </c>
      <c r="D771" t="s">
        <v>284</v>
      </c>
      <c r="E771" t="s">
        <v>288</v>
      </c>
      <c r="F771">
        <v>2</v>
      </c>
      <c r="G771" t="s">
        <v>498</v>
      </c>
      <c r="H771" s="4">
        <v>678094</v>
      </c>
      <c r="I771" s="4">
        <v>316190</v>
      </c>
      <c r="J771" s="3">
        <v>0.5337077160393692</v>
      </c>
      <c r="K771" s="3">
        <v>1.144577627375945</v>
      </c>
      <c r="L771" t="s">
        <v>54</v>
      </c>
    </row>
    <row r="772" spans="1:12" x14ac:dyDescent="0.25">
      <c r="A772" t="s">
        <v>487</v>
      </c>
      <c r="B772" t="s">
        <v>455</v>
      </c>
      <c r="C772" t="s">
        <v>477</v>
      </c>
      <c r="D772" t="s">
        <v>284</v>
      </c>
      <c r="E772" t="s">
        <v>288</v>
      </c>
      <c r="F772">
        <v>2</v>
      </c>
      <c r="G772" t="s">
        <v>499</v>
      </c>
      <c r="H772" s="4">
        <v>678094</v>
      </c>
      <c r="I772" s="4">
        <v>580132</v>
      </c>
      <c r="J772" s="3">
        <v>0.14446669635773213</v>
      </c>
      <c r="K772" s="3">
        <v>0.16886156943592148</v>
      </c>
      <c r="L772" t="s">
        <v>54</v>
      </c>
    </row>
    <row r="773" spans="1:12" x14ac:dyDescent="0.25">
      <c r="A773" t="s">
        <v>487</v>
      </c>
      <c r="B773" t="s">
        <v>455</v>
      </c>
      <c r="C773" t="s">
        <v>477</v>
      </c>
      <c r="D773" t="s">
        <v>284</v>
      </c>
      <c r="E773" t="s">
        <v>290</v>
      </c>
      <c r="F773">
        <v>3</v>
      </c>
      <c r="G773" t="s">
        <v>488</v>
      </c>
      <c r="H773" s="4">
        <v>370131</v>
      </c>
      <c r="I773" s="4">
        <v>859814.8061735815</v>
      </c>
      <c r="J773" s="3">
        <v>1.3230013324298195</v>
      </c>
      <c r="K773" s="3">
        <v>-0.5695224165222423</v>
      </c>
      <c r="L773" t="s">
        <v>54</v>
      </c>
    </row>
    <row r="774" spans="1:12" x14ac:dyDescent="0.25">
      <c r="A774" t="s">
        <v>487</v>
      </c>
      <c r="B774" t="s">
        <v>455</v>
      </c>
      <c r="C774" t="s">
        <v>477</v>
      </c>
      <c r="D774" t="s">
        <v>284</v>
      </c>
      <c r="E774" t="s">
        <v>290</v>
      </c>
      <c r="F774">
        <v>3</v>
      </c>
      <c r="G774" t="s">
        <v>498</v>
      </c>
      <c r="H774" s="4">
        <v>370131</v>
      </c>
      <c r="I774" s="4">
        <v>765546</v>
      </c>
      <c r="J774" s="3">
        <v>1.0683109493665757</v>
      </c>
      <c r="K774" s="3">
        <v>-0.5165137039446356</v>
      </c>
      <c r="L774" t="s">
        <v>54</v>
      </c>
    </row>
    <row r="775" spans="1:12" x14ac:dyDescent="0.25">
      <c r="A775" t="s">
        <v>487</v>
      </c>
      <c r="B775" t="s">
        <v>455</v>
      </c>
      <c r="C775" t="s">
        <v>477</v>
      </c>
      <c r="D775" t="s">
        <v>284</v>
      </c>
      <c r="E775" t="s">
        <v>290</v>
      </c>
      <c r="F775">
        <v>3</v>
      </c>
      <c r="G775" t="s">
        <v>499</v>
      </c>
      <c r="H775" s="4">
        <v>370131</v>
      </c>
      <c r="I775" s="4">
        <v>580132</v>
      </c>
      <c r="J775" s="3">
        <v>0.5673693908372981</v>
      </c>
      <c r="K775" s="3">
        <v>-0.361988306109644</v>
      </c>
      <c r="L775" t="s">
        <v>54</v>
      </c>
    </row>
    <row r="776" spans="1:12" x14ac:dyDescent="0.25">
      <c r="A776" t="s">
        <v>487</v>
      </c>
      <c r="B776" t="s">
        <v>455</v>
      </c>
      <c r="C776" t="s">
        <v>477</v>
      </c>
      <c r="D776" t="s">
        <v>286</v>
      </c>
      <c r="E776" t="s">
        <v>288</v>
      </c>
      <c r="F776">
        <v>1</v>
      </c>
      <c r="G776" t="s">
        <v>488</v>
      </c>
      <c r="H776" s="4">
        <v>678094</v>
      </c>
      <c r="I776" s="4">
        <v>339725.6847217088</v>
      </c>
      <c r="J776" s="3">
        <v>0.49899912884982195</v>
      </c>
      <c r="K776" s="3">
        <v>0.9960045133339578</v>
      </c>
      <c r="L776" t="s">
        <v>54</v>
      </c>
    </row>
    <row r="777" spans="1:12" x14ac:dyDescent="0.25">
      <c r="A777" t="s">
        <v>487</v>
      </c>
      <c r="B777" t="s">
        <v>455</v>
      </c>
      <c r="C777" t="s">
        <v>477</v>
      </c>
      <c r="D777" t="s">
        <v>286</v>
      </c>
      <c r="E777" t="s">
        <v>288</v>
      </c>
      <c r="F777">
        <v>1</v>
      </c>
      <c r="G777" t="s">
        <v>498</v>
      </c>
      <c r="H777" s="4">
        <v>678094</v>
      </c>
      <c r="I777" s="4">
        <v>316190</v>
      </c>
      <c r="J777" s="3">
        <v>0.5337077160393692</v>
      </c>
      <c r="K777" s="3">
        <v>1.144577627375945</v>
      </c>
      <c r="L777" t="s">
        <v>54</v>
      </c>
    </row>
    <row r="778" spans="1:12" x14ac:dyDescent="0.25">
      <c r="A778" t="s">
        <v>487</v>
      </c>
      <c r="B778" t="s">
        <v>455</v>
      </c>
      <c r="C778" t="s">
        <v>477</v>
      </c>
      <c r="D778" t="s">
        <v>286</v>
      </c>
      <c r="E778" t="s">
        <v>288</v>
      </c>
      <c r="F778">
        <v>1</v>
      </c>
      <c r="G778" t="s">
        <v>499</v>
      </c>
      <c r="H778" s="4">
        <v>678094</v>
      </c>
      <c r="I778" s="4">
        <v>624779</v>
      </c>
      <c r="J778" s="3">
        <v>0.07862479243290753</v>
      </c>
      <c r="K778" s="3">
        <v>0.08533417416398438</v>
      </c>
      <c r="L778" t="s">
        <v>54</v>
      </c>
    </row>
    <row r="779" spans="1:12" x14ac:dyDescent="0.25">
      <c r="A779" t="s">
        <v>487</v>
      </c>
      <c r="B779" t="s">
        <v>455</v>
      </c>
      <c r="C779" t="s">
        <v>477</v>
      </c>
      <c r="D779" t="s">
        <v>286</v>
      </c>
      <c r="E779" t="s">
        <v>290</v>
      </c>
      <c r="F779">
        <v>2</v>
      </c>
      <c r="G779" t="s">
        <v>488</v>
      </c>
      <c r="H779" s="4">
        <v>370131</v>
      </c>
      <c r="I779" s="4">
        <v>822529.6152185879</v>
      </c>
      <c r="J779" s="3">
        <v>1.2222662117428367</v>
      </c>
      <c r="K779" s="3">
        <v>-0.5500089077015939</v>
      </c>
      <c r="L779" t="s">
        <v>54</v>
      </c>
    </row>
    <row r="780" spans="1:12" x14ac:dyDescent="0.25">
      <c r="A780" t="s">
        <v>487</v>
      </c>
      <c r="B780" t="s">
        <v>455</v>
      </c>
      <c r="C780" t="s">
        <v>477</v>
      </c>
      <c r="D780" t="s">
        <v>286</v>
      </c>
      <c r="E780" t="s">
        <v>290</v>
      </c>
      <c r="F780">
        <v>2</v>
      </c>
      <c r="G780" t="s">
        <v>498</v>
      </c>
      <c r="H780" s="4">
        <v>370131</v>
      </c>
      <c r="I780" s="4">
        <v>765546</v>
      </c>
      <c r="J780" s="3">
        <v>1.0683109493665757</v>
      </c>
      <c r="K780" s="3">
        <v>-0.5165137039446356</v>
      </c>
      <c r="L780" t="s">
        <v>54</v>
      </c>
    </row>
    <row r="781" spans="1:12" x14ac:dyDescent="0.25">
      <c r="A781" t="s">
        <v>487</v>
      </c>
      <c r="B781" t="s">
        <v>455</v>
      </c>
      <c r="C781" t="s">
        <v>477</v>
      </c>
      <c r="D781" t="s">
        <v>286</v>
      </c>
      <c r="E781" t="s">
        <v>290</v>
      </c>
      <c r="F781">
        <v>2</v>
      </c>
      <c r="G781" t="s">
        <v>499</v>
      </c>
      <c r="H781" s="4">
        <v>370131</v>
      </c>
      <c r="I781" s="4">
        <v>624779</v>
      </c>
      <c r="J781" s="3">
        <v>0.6879942506842172</v>
      </c>
      <c r="K781" s="3">
        <v>-0.40758092061352896</v>
      </c>
      <c r="L781" t="s">
        <v>54</v>
      </c>
    </row>
    <row r="782" spans="1:12" x14ac:dyDescent="0.25">
      <c r="A782" t="s">
        <v>487</v>
      </c>
      <c r="B782" t="s">
        <v>455</v>
      </c>
      <c r="C782" t="s">
        <v>477</v>
      </c>
      <c r="D782" t="s">
        <v>286</v>
      </c>
      <c r="E782" t="s">
        <v>292</v>
      </c>
      <c r="F782">
        <v>3</v>
      </c>
      <c r="G782" t="s">
        <v>488</v>
      </c>
      <c r="H782" s="4">
        <v>169403</v>
      </c>
      <c r="I782" s="4">
        <v>787673.860963055</v>
      </c>
      <c r="J782" s="3">
        <v>3.6497043202484907</v>
      </c>
      <c r="K782" s="3">
        <v>-0.7849325610565797</v>
      </c>
      <c r="L782" t="s">
        <v>54</v>
      </c>
    </row>
    <row r="783" spans="1:12" x14ac:dyDescent="0.25">
      <c r="A783" t="s">
        <v>487</v>
      </c>
      <c r="B783" t="s">
        <v>455</v>
      </c>
      <c r="C783" t="s">
        <v>477</v>
      </c>
      <c r="D783" t="s">
        <v>286</v>
      </c>
      <c r="E783" t="s">
        <v>292</v>
      </c>
      <c r="F783">
        <v>3</v>
      </c>
      <c r="G783" t="s">
        <v>498</v>
      </c>
      <c r="H783" s="4">
        <v>169403</v>
      </c>
      <c r="I783" s="4">
        <v>733105</v>
      </c>
      <c r="J783" s="3">
        <v>3.32757979492689</v>
      </c>
      <c r="K783" s="3">
        <v>-0.7689239604149474</v>
      </c>
      <c r="L783" t="s">
        <v>54</v>
      </c>
    </row>
    <row r="784" spans="1:12" x14ac:dyDescent="0.25">
      <c r="A784" t="s">
        <v>487</v>
      </c>
      <c r="B784" t="s">
        <v>455</v>
      </c>
      <c r="C784" t="s">
        <v>477</v>
      </c>
      <c r="D784" t="s">
        <v>286</v>
      </c>
      <c r="E784" t="s">
        <v>292</v>
      </c>
      <c r="F784">
        <v>3</v>
      </c>
      <c r="G784" t="s">
        <v>499</v>
      </c>
      <c r="H784" s="4">
        <v>169403</v>
      </c>
      <c r="I784" s="4">
        <v>624779</v>
      </c>
      <c r="J784" s="3">
        <v>2.6881224063328277</v>
      </c>
      <c r="K784" s="3">
        <v>-0.7288593246571988</v>
      </c>
      <c r="L784" t="s">
        <v>54</v>
      </c>
    </row>
    <row r="785" spans="1:12" x14ac:dyDescent="0.25">
      <c r="A785" t="s">
        <v>487</v>
      </c>
      <c r="B785" t="s">
        <v>455</v>
      </c>
      <c r="C785" t="s">
        <v>477</v>
      </c>
      <c r="D785" t="s">
        <v>288</v>
      </c>
      <c r="E785" t="s">
        <v>290</v>
      </c>
      <c r="F785">
        <v>1</v>
      </c>
      <c r="G785" t="s">
        <v>488</v>
      </c>
      <c r="H785" s="4">
        <v>370131</v>
      </c>
      <c r="I785" s="4">
        <v>926994.3084918708</v>
      </c>
      <c r="J785" s="3">
        <v>1.5045032934065796</v>
      </c>
      <c r="K785" s="3">
        <v>-0.6007192313810783</v>
      </c>
      <c r="L785" t="s">
        <v>54</v>
      </c>
    </row>
    <row r="786" spans="1:12" x14ac:dyDescent="0.25">
      <c r="A786" t="s">
        <v>487</v>
      </c>
      <c r="B786" t="s">
        <v>455</v>
      </c>
      <c r="C786" t="s">
        <v>477</v>
      </c>
      <c r="D786" t="s">
        <v>288</v>
      </c>
      <c r="E786" t="s">
        <v>290</v>
      </c>
      <c r="F786">
        <v>1</v>
      </c>
      <c r="G786" t="s">
        <v>498</v>
      </c>
      <c r="H786" s="4">
        <v>370131</v>
      </c>
      <c r="I786" s="4">
        <v>765546</v>
      </c>
      <c r="J786" s="3">
        <v>1.0683109493665757</v>
      </c>
      <c r="K786" s="3">
        <v>-0.5165137039446356</v>
      </c>
      <c r="L786" t="s">
        <v>54</v>
      </c>
    </row>
    <row r="787" spans="1:12" x14ac:dyDescent="0.25">
      <c r="A787" t="s">
        <v>487</v>
      </c>
      <c r="B787" t="s">
        <v>455</v>
      </c>
      <c r="C787" t="s">
        <v>477</v>
      </c>
      <c r="D787" t="s">
        <v>288</v>
      </c>
      <c r="E787" t="s">
        <v>290</v>
      </c>
      <c r="F787">
        <v>1</v>
      </c>
      <c r="G787" t="s">
        <v>499</v>
      </c>
      <c r="H787" s="4">
        <v>370131</v>
      </c>
      <c r="I787" s="4">
        <v>678094</v>
      </c>
      <c r="J787" s="3">
        <v>0.8320378460599085</v>
      </c>
      <c r="K787" s="3">
        <v>-0.4541597477635844</v>
      </c>
      <c r="L787" t="s">
        <v>54</v>
      </c>
    </row>
    <row r="788" spans="1:12" x14ac:dyDescent="0.25">
      <c r="A788" t="s">
        <v>487</v>
      </c>
      <c r="B788" t="s">
        <v>455</v>
      </c>
      <c r="C788" t="s">
        <v>477</v>
      </c>
      <c r="D788" t="s">
        <v>288</v>
      </c>
      <c r="E788" t="s">
        <v>292</v>
      </c>
      <c r="F788">
        <v>2</v>
      </c>
      <c r="G788" t="s">
        <v>488</v>
      </c>
      <c r="H788" s="4">
        <v>169403</v>
      </c>
      <c r="I788" s="4">
        <v>887711.7280044999</v>
      </c>
      <c r="J788" s="3">
        <v>4.240236170578442</v>
      </c>
      <c r="K788" s="3">
        <v>-0.8091689062385111</v>
      </c>
      <c r="L788" t="s">
        <v>54</v>
      </c>
    </row>
    <row r="789" spans="1:12" x14ac:dyDescent="0.25">
      <c r="A789" t="s">
        <v>487</v>
      </c>
      <c r="B789" t="s">
        <v>455</v>
      </c>
      <c r="C789" t="s">
        <v>477</v>
      </c>
      <c r="D789" t="s">
        <v>288</v>
      </c>
      <c r="E789" t="s">
        <v>292</v>
      </c>
      <c r="F789">
        <v>2</v>
      </c>
      <c r="G789" t="s">
        <v>498</v>
      </c>
      <c r="H789" s="4">
        <v>169403</v>
      </c>
      <c r="I789" s="4">
        <v>733105</v>
      </c>
      <c r="J789" s="3">
        <v>3.32757979492689</v>
      </c>
      <c r="K789" s="3">
        <v>-0.7689239604149474</v>
      </c>
      <c r="L789" t="s">
        <v>54</v>
      </c>
    </row>
    <row r="790" spans="1:12" x14ac:dyDescent="0.25">
      <c r="A790" t="s">
        <v>487</v>
      </c>
      <c r="B790" t="s">
        <v>455</v>
      </c>
      <c r="C790" t="s">
        <v>477</v>
      </c>
      <c r="D790" t="s">
        <v>288</v>
      </c>
      <c r="E790" t="s">
        <v>292</v>
      </c>
      <c r="F790">
        <v>2</v>
      </c>
      <c r="G790" t="s">
        <v>499</v>
      </c>
      <c r="H790" s="4">
        <v>169403</v>
      </c>
      <c r="I790" s="4">
        <v>678094</v>
      </c>
      <c r="J790" s="3">
        <v>3.0028452860929264</v>
      </c>
      <c r="K790" s="3">
        <v>-0.7501777039761449</v>
      </c>
      <c r="L790" t="s">
        <v>54</v>
      </c>
    </row>
    <row r="791" spans="1:12" x14ac:dyDescent="0.25">
      <c r="A791" t="s">
        <v>487</v>
      </c>
      <c r="B791" t="s">
        <v>455</v>
      </c>
      <c r="C791" t="s">
        <v>477</v>
      </c>
      <c r="D791" t="s">
        <v>288</v>
      </c>
      <c r="E791" t="s">
        <v>294</v>
      </c>
      <c r="F791">
        <v>3</v>
      </c>
      <c r="G791" t="s">
        <v>488</v>
      </c>
      <c r="H791" s="4">
        <v>367287</v>
      </c>
      <c r="I791" s="4">
        <v>701450.9526539291</v>
      </c>
      <c r="J791" s="3">
        <v>0.9098169895856077</v>
      </c>
      <c r="K791" s="3">
        <v>-0.4763896198153625</v>
      </c>
      <c r="L791" t="s">
        <v>54</v>
      </c>
    </row>
    <row r="792" spans="1:12" x14ac:dyDescent="0.25">
      <c r="A792" t="s">
        <v>487</v>
      </c>
      <c r="B792" t="s">
        <v>455</v>
      </c>
      <c r="C792" t="s">
        <v>477</v>
      </c>
      <c r="D792" t="s">
        <v>288</v>
      </c>
      <c r="E792" t="s">
        <v>294</v>
      </c>
      <c r="F792">
        <v>3</v>
      </c>
      <c r="G792" t="s">
        <v>498</v>
      </c>
      <c r="H792" s="4">
        <v>367287</v>
      </c>
      <c r="I792" s="4">
        <v>579284</v>
      </c>
      <c r="J792" s="3">
        <v>0.5771971237751404</v>
      </c>
      <c r="K792" s="3">
        <v>-0.36596384502247603</v>
      </c>
      <c r="L792" t="s">
        <v>54</v>
      </c>
    </row>
    <row r="793" spans="1:12" x14ac:dyDescent="0.25">
      <c r="A793" t="s">
        <v>487</v>
      </c>
      <c r="B793" t="s">
        <v>455</v>
      </c>
      <c r="C793" t="s">
        <v>477</v>
      </c>
      <c r="D793" t="s">
        <v>288</v>
      </c>
      <c r="E793" t="s">
        <v>294</v>
      </c>
      <c r="F793">
        <v>3</v>
      </c>
      <c r="G793" t="s">
        <v>499</v>
      </c>
      <c r="H793" s="4">
        <v>367287</v>
      </c>
      <c r="I793" s="4">
        <v>678094</v>
      </c>
      <c r="J793" s="3">
        <v>0.8462237977385533</v>
      </c>
      <c r="K793" s="3">
        <v>-0.4583538565449628</v>
      </c>
      <c r="L793" t="s">
        <v>54</v>
      </c>
    </row>
    <row r="794" spans="1:12" x14ac:dyDescent="0.25">
      <c r="A794" t="s">
        <v>487</v>
      </c>
      <c r="B794" t="s">
        <v>455</v>
      </c>
      <c r="C794" t="s">
        <v>477</v>
      </c>
      <c r="D794" t="s">
        <v>290</v>
      </c>
      <c r="E794" t="s">
        <v>292</v>
      </c>
      <c r="F794">
        <v>1</v>
      </c>
      <c r="G794" t="s">
        <v>488</v>
      </c>
      <c r="H794" s="4">
        <v>169403</v>
      </c>
      <c r="I794" s="4">
        <v>851534.7076313655</v>
      </c>
      <c r="J794" s="3">
        <v>4.0266802100987915</v>
      </c>
      <c r="K794" s="3">
        <v>-0.8010615439607711</v>
      </c>
      <c r="L794" t="s">
        <v>54</v>
      </c>
    </row>
    <row r="795" spans="1:12" x14ac:dyDescent="0.25">
      <c r="A795" t="s">
        <v>487</v>
      </c>
      <c r="B795" t="s">
        <v>455</v>
      </c>
      <c r="C795" t="s">
        <v>477</v>
      </c>
      <c r="D795" t="s">
        <v>290</v>
      </c>
      <c r="E795" t="s">
        <v>292</v>
      </c>
      <c r="F795">
        <v>1</v>
      </c>
      <c r="G795" t="s">
        <v>498</v>
      </c>
      <c r="H795" s="4">
        <v>169403</v>
      </c>
      <c r="I795" s="4">
        <v>733105</v>
      </c>
      <c r="J795" s="3">
        <v>3.32757979492689</v>
      </c>
      <c r="K795" s="3">
        <v>-0.7689239604149474</v>
      </c>
      <c r="L795" t="s">
        <v>54</v>
      </c>
    </row>
    <row r="796" spans="1:12" x14ac:dyDescent="0.25">
      <c r="A796" t="s">
        <v>487</v>
      </c>
      <c r="B796" t="s">
        <v>455</v>
      </c>
      <c r="C796" t="s">
        <v>477</v>
      </c>
      <c r="D796" t="s">
        <v>290</v>
      </c>
      <c r="E796" t="s">
        <v>292</v>
      </c>
      <c r="F796">
        <v>1</v>
      </c>
      <c r="G796" t="s">
        <v>499</v>
      </c>
      <c r="H796" s="4">
        <v>169403</v>
      </c>
      <c r="I796" s="4">
        <v>370131</v>
      </c>
      <c r="J796" s="3">
        <v>1.1849140806243101</v>
      </c>
      <c r="K796" s="3">
        <v>-0.5423160988947157</v>
      </c>
      <c r="L796" t="s">
        <v>54</v>
      </c>
    </row>
    <row r="797" spans="1:12" x14ac:dyDescent="0.25">
      <c r="A797" t="s">
        <v>487</v>
      </c>
      <c r="B797" t="s">
        <v>455</v>
      </c>
      <c r="C797" t="s">
        <v>477</v>
      </c>
      <c r="D797" t="s">
        <v>290</v>
      </c>
      <c r="E797" t="s">
        <v>294</v>
      </c>
      <c r="F797">
        <v>2</v>
      </c>
      <c r="G797" t="s">
        <v>488</v>
      </c>
      <c r="H797" s="4">
        <v>367287</v>
      </c>
      <c r="I797" s="4">
        <v>672864.639547579</v>
      </c>
      <c r="J797" s="3">
        <v>0.8319859933718835</v>
      </c>
      <c r="K797" s="3">
        <v>-0.4541442982544653</v>
      </c>
      <c r="L797" t="s">
        <v>54</v>
      </c>
    </row>
    <row r="798" spans="1:12" x14ac:dyDescent="0.25">
      <c r="A798" t="s">
        <v>487</v>
      </c>
      <c r="B798" t="s">
        <v>455</v>
      </c>
      <c r="C798" t="s">
        <v>477</v>
      </c>
      <c r="D798" t="s">
        <v>290</v>
      </c>
      <c r="E798" t="s">
        <v>294</v>
      </c>
      <c r="F798">
        <v>2</v>
      </c>
      <c r="G798" t="s">
        <v>498</v>
      </c>
      <c r="H798" s="4">
        <v>367287</v>
      </c>
      <c r="I798" s="4">
        <v>579284</v>
      </c>
      <c r="J798" s="3">
        <v>0.5771971237751404</v>
      </c>
      <c r="K798" s="3">
        <v>-0.36596384502247603</v>
      </c>
      <c r="L798" t="s">
        <v>54</v>
      </c>
    </row>
    <row r="799" spans="1:12" x14ac:dyDescent="0.25">
      <c r="A799" t="s">
        <v>487</v>
      </c>
      <c r="B799" t="s">
        <v>455</v>
      </c>
      <c r="C799" t="s">
        <v>477</v>
      </c>
      <c r="D799" t="s">
        <v>290</v>
      </c>
      <c r="E799" t="s">
        <v>294</v>
      </c>
      <c r="F799">
        <v>2</v>
      </c>
      <c r="G799" t="s">
        <v>499</v>
      </c>
      <c r="H799" s="4">
        <v>367287</v>
      </c>
      <c r="I799" s="4">
        <v>370131</v>
      </c>
      <c r="J799" s="3">
        <v>0.007743263442485032</v>
      </c>
      <c r="K799" s="3">
        <v>-0.007683766017977419</v>
      </c>
      <c r="L799" t="s">
        <v>54</v>
      </c>
    </row>
    <row r="800" spans="1:12" x14ac:dyDescent="0.25">
      <c r="A800" t="s">
        <v>487</v>
      </c>
      <c r="B800" t="s">
        <v>455</v>
      </c>
      <c r="C800" t="s">
        <v>477</v>
      </c>
      <c r="D800" t="s">
        <v>290</v>
      </c>
      <c r="E800" t="s">
        <v>296</v>
      </c>
      <c r="F800">
        <v>3</v>
      </c>
      <c r="G800" t="s">
        <v>488</v>
      </c>
      <c r="H800" s="4">
        <v>818958</v>
      </c>
      <c r="I800" s="4">
        <v>1117803.8802236835</v>
      </c>
      <c r="J800" s="3">
        <v>0.3649098979724034</v>
      </c>
      <c r="K800" s="3">
        <v>-0.2673509061033869</v>
      </c>
      <c r="L800" t="s">
        <v>54</v>
      </c>
    </row>
    <row r="801" spans="1:12" x14ac:dyDescent="0.25">
      <c r="A801" t="s">
        <v>487</v>
      </c>
      <c r="B801" t="s">
        <v>455</v>
      </c>
      <c r="C801" t="s">
        <v>477</v>
      </c>
      <c r="D801" t="s">
        <v>290</v>
      </c>
      <c r="E801" t="s">
        <v>296</v>
      </c>
      <c r="F801">
        <v>3</v>
      </c>
      <c r="G801" t="s">
        <v>498</v>
      </c>
      <c r="H801" s="4">
        <v>818958</v>
      </c>
      <c r="I801" s="4">
        <v>962342</v>
      </c>
      <c r="J801" s="3">
        <v>0.17508101758576142</v>
      </c>
      <c r="K801" s="3">
        <v>-0.14899484798543552</v>
      </c>
      <c r="L801" t="s">
        <v>54</v>
      </c>
    </row>
    <row r="802" spans="1:12" x14ac:dyDescent="0.25">
      <c r="A802" t="s">
        <v>487</v>
      </c>
      <c r="B802" t="s">
        <v>455</v>
      </c>
      <c r="C802" t="s">
        <v>477</v>
      </c>
      <c r="D802" t="s">
        <v>290</v>
      </c>
      <c r="E802" t="s">
        <v>296</v>
      </c>
      <c r="F802">
        <v>3</v>
      </c>
      <c r="G802" t="s">
        <v>499</v>
      </c>
      <c r="H802" s="4">
        <v>818958</v>
      </c>
      <c r="I802" s="4">
        <v>370131</v>
      </c>
      <c r="J802" s="3">
        <v>0.5480464199629285</v>
      </c>
      <c r="K802" s="3">
        <v>1.2126166141177042</v>
      </c>
      <c r="L802" t="s">
        <v>54</v>
      </c>
    </row>
    <row r="803" spans="1:12" x14ac:dyDescent="0.25">
      <c r="A803" t="s">
        <v>487</v>
      </c>
      <c r="B803" t="s">
        <v>455</v>
      </c>
      <c r="C803" t="s">
        <v>477</v>
      </c>
      <c r="D803" t="s">
        <v>292</v>
      </c>
      <c r="E803" t="s">
        <v>294</v>
      </c>
      <c r="F803">
        <v>1</v>
      </c>
      <c r="G803" t="s">
        <v>488</v>
      </c>
      <c r="H803" s="4">
        <v>367287</v>
      </c>
      <c r="I803" s="4">
        <v>629515.7772565195</v>
      </c>
      <c r="J803" s="3">
        <v>0.7139614994718559</v>
      </c>
      <c r="K803" s="3">
        <v>-0.4165563227014479</v>
      </c>
      <c r="L803" t="s">
        <v>54</v>
      </c>
    </row>
    <row r="804" spans="1:12" x14ac:dyDescent="0.25">
      <c r="A804" t="s">
        <v>487</v>
      </c>
      <c r="B804" t="s">
        <v>455</v>
      </c>
      <c r="C804" t="s">
        <v>477</v>
      </c>
      <c r="D804" t="s">
        <v>292</v>
      </c>
      <c r="E804" t="s">
        <v>294</v>
      </c>
      <c r="F804">
        <v>1</v>
      </c>
      <c r="G804" t="s">
        <v>498</v>
      </c>
      <c r="H804" s="4">
        <v>367287</v>
      </c>
      <c r="I804" s="4">
        <v>579284</v>
      </c>
      <c r="J804" s="3">
        <v>0.5771971237751404</v>
      </c>
      <c r="K804" s="3">
        <v>-0.36596384502247603</v>
      </c>
      <c r="L804" t="s">
        <v>54</v>
      </c>
    </row>
    <row r="805" spans="1:12" x14ac:dyDescent="0.25">
      <c r="A805" t="s">
        <v>487</v>
      </c>
      <c r="B805" t="s">
        <v>455</v>
      </c>
      <c r="C805" t="s">
        <v>477</v>
      </c>
      <c r="D805" t="s">
        <v>292</v>
      </c>
      <c r="E805" t="s">
        <v>294</v>
      </c>
      <c r="F805">
        <v>1</v>
      </c>
      <c r="G805" t="s">
        <v>499</v>
      </c>
      <c r="H805" s="4">
        <v>367287</v>
      </c>
      <c r="I805" s="4">
        <v>169403</v>
      </c>
      <c r="J805" s="3">
        <v>0.5387721318750732</v>
      </c>
      <c r="K805" s="3">
        <v>1.1681257120594086</v>
      </c>
      <c r="L805" t="s">
        <v>54</v>
      </c>
    </row>
    <row r="806" spans="1:12" x14ac:dyDescent="0.25">
      <c r="A806" t="s">
        <v>487</v>
      </c>
      <c r="B806" t="s">
        <v>455</v>
      </c>
      <c r="C806" t="s">
        <v>477</v>
      </c>
      <c r="D806" t="s">
        <v>292</v>
      </c>
      <c r="E806" t="s">
        <v>296</v>
      </c>
      <c r="F806">
        <v>2</v>
      </c>
      <c r="G806" t="s">
        <v>488</v>
      </c>
      <c r="H806" s="4">
        <v>818958</v>
      </c>
      <c r="I806" s="4">
        <v>1045790.0997034159</v>
      </c>
      <c r="J806" s="3">
        <v>0.276976474621917</v>
      </c>
      <c r="K806" s="3">
        <v>-0.2169002171351068</v>
      </c>
      <c r="L806" t="s">
        <v>54</v>
      </c>
    </row>
    <row r="807" spans="1:12" x14ac:dyDescent="0.25">
      <c r="A807" t="s">
        <v>487</v>
      </c>
      <c r="B807" t="s">
        <v>455</v>
      </c>
      <c r="C807" t="s">
        <v>477</v>
      </c>
      <c r="D807" t="s">
        <v>292</v>
      </c>
      <c r="E807" t="s">
        <v>296</v>
      </c>
      <c r="F807">
        <v>2</v>
      </c>
      <c r="G807" t="s">
        <v>498</v>
      </c>
      <c r="H807" s="4">
        <v>818958</v>
      </c>
      <c r="I807" s="4">
        <v>962342</v>
      </c>
      <c r="J807" s="3">
        <v>0.17508101758576142</v>
      </c>
      <c r="K807" s="3">
        <v>-0.14899484798543552</v>
      </c>
      <c r="L807" t="s">
        <v>54</v>
      </c>
    </row>
    <row r="808" spans="1:12" x14ac:dyDescent="0.25">
      <c r="A808" t="s">
        <v>487</v>
      </c>
      <c r="B808" t="s">
        <v>455</v>
      </c>
      <c r="C808" t="s">
        <v>477</v>
      </c>
      <c r="D808" t="s">
        <v>292</v>
      </c>
      <c r="E808" t="s">
        <v>296</v>
      </c>
      <c r="F808">
        <v>2</v>
      </c>
      <c r="G808" t="s">
        <v>499</v>
      </c>
      <c r="H808" s="4">
        <v>818958</v>
      </c>
      <c r="I808" s="4">
        <v>169403</v>
      </c>
      <c r="J808" s="3">
        <v>0.7931481223701338</v>
      </c>
      <c r="K808" s="3">
        <v>3.8343771952090577</v>
      </c>
      <c r="L808" t="s">
        <v>54</v>
      </c>
    </row>
    <row r="809" spans="1:12" x14ac:dyDescent="0.25">
      <c r="A809" t="s">
        <v>487</v>
      </c>
      <c r="B809" t="s">
        <v>455</v>
      </c>
      <c r="C809" t="s">
        <v>477</v>
      </c>
      <c r="D809" t="s">
        <v>292</v>
      </c>
      <c r="E809" t="s">
        <v>298</v>
      </c>
      <c r="F809">
        <v>3</v>
      </c>
      <c r="G809" t="s">
        <v>488</v>
      </c>
      <c r="H809" s="4">
        <v>709891</v>
      </c>
      <c r="I809" s="4">
        <v>597969.5693550765</v>
      </c>
      <c r="J809" s="3">
        <v>0.15766002195396683</v>
      </c>
      <c r="K809" s="3">
        <v>0.1871691075611644</v>
      </c>
      <c r="L809" t="s">
        <v>54</v>
      </c>
    </row>
    <row r="810" spans="1:12" x14ac:dyDescent="0.25">
      <c r="A810" t="s">
        <v>487</v>
      </c>
      <c r="B810" t="s">
        <v>455</v>
      </c>
      <c r="C810" t="s">
        <v>477</v>
      </c>
      <c r="D810" t="s">
        <v>292</v>
      </c>
      <c r="E810" t="s">
        <v>298</v>
      </c>
      <c r="F810">
        <v>3</v>
      </c>
      <c r="G810" t="s">
        <v>498</v>
      </c>
      <c r="H810" s="4">
        <v>709891</v>
      </c>
      <c r="I810" s="4">
        <v>550255</v>
      </c>
      <c r="J810" s="3">
        <v>0.22487395952336345</v>
      </c>
      <c r="K810" s="3">
        <v>0.2901127658994466</v>
      </c>
      <c r="L810" t="s">
        <v>54</v>
      </c>
    </row>
    <row r="811" spans="1:12" x14ac:dyDescent="0.25">
      <c r="A811" t="s">
        <v>487</v>
      </c>
      <c r="B811" t="s">
        <v>455</v>
      </c>
      <c r="C811" t="s">
        <v>477</v>
      </c>
      <c r="D811" t="s">
        <v>292</v>
      </c>
      <c r="E811" t="s">
        <v>298</v>
      </c>
      <c r="F811">
        <v>3</v>
      </c>
      <c r="G811" t="s">
        <v>499</v>
      </c>
      <c r="H811" s="4">
        <v>709891</v>
      </c>
      <c r="I811" s="4">
        <v>169403</v>
      </c>
      <c r="J811" s="3">
        <v>0.7613675902356841</v>
      </c>
      <c r="K811" s="3">
        <v>3.1905456219783592</v>
      </c>
      <c r="L811" t="s">
        <v>54</v>
      </c>
    </row>
    <row r="812" spans="1:12" x14ac:dyDescent="0.25">
      <c r="A812" t="s">
        <v>487</v>
      </c>
      <c r="B812" t="s">
        <v>455</v>
      </c>
      <c r="C812" t="s">
        <v>477</v>
      </c>
      <c r="D812" t="s">
        <v>294</v>
      </c>
      <c r="E812" t="s">
        <v>296</v>
      </c>
      <c r="F812">
        <v>1</v>
      </c>
      <c r="G812" t="s">
        <v>488</v>
      </c>
      <c r="H812" s="4">
        <v>818958</v>
      </c>
      <c r="I812" s="4">
        <v>1031709.9316668765</v>
      </c>
      <c r="J812" s="3">
        <v>0.25978369057616696</v>
      </c>
      <c r="K812" s="3">
        <v>-0.20621293363256185</v>
      </c>
      <c r="L812" t="s">
        <v>54</v>
      </c>
    </row>
    <row r="813" spans="1:12" x14ac:dyDescent="0.25">
      <c r="A813" t="s">
        <v>487</v>
      </c>
      <c r="B813" t="s">
        <v>455</v>
      </c>
      <c r="C813" t="s">
        <v>477</v>
      </c>
      <c r="D813" t="s">
        <v>294</v>
      </c>
      <c r="E813" t="s">
        <v>296</v>
      </c>
      <c r="F813">
        <v>1</v>
      </c>
      <c r="G813" t="s">
        <v>498</v>
      </c>
      <c r="H813" s="4">
        <v>818958</v>
      </c>
      <c r="I813" s="4">
        <v>962342</v>
      </c>
      <c r="J813" s="3">
        <v>0.17508101758576142</v>
      </c>
      <c r="K813" s="3">
        <v>-0.14899484798543552</v>
      </c>
      <c r="L813" t="s">
        <v>54</v>
      </c>
    </row>
    <row r="814" spans="1:12" x14ac:dyDescent="0.25">
      <c r="A814" t="s">
        <v>487</v>
      </c>
      <c r="B814" t="s">
        <v>455</v>
      </c>
      <c r="C814" t="s">
        <v>477</v>
      </c>
      <c r="D814" t="s">
        <v>294</v>
      </c>
      <c r="E814" t="s">
        <v>296</v>
      </c>
      <c r="F814">
        <v>1</v>
      </c>
      <c r="G814" t="s">
        <v>499</v>
      </c>
      <c r="H814" s="4">
        <v>818958</v>
      </c>
      <c r="I814" s="4">
        <v>367287</v>
      </c>
      <c r="J814" s="3">
        <v>0.5515191255229206</v>
      </c>
      <c r="K814" s="3">
        <v>1.2297494874580368</v>
      </c>
      <c r="L814" t="s">
        <v>54</v>
      </c>
    </row>
    <row r="815" spans="1:12" x14ac:dyDescent="0.25">
      <c r="A815" t="s">
        <v>487</v>
      </c>
      <c r="B815" t="s">
        <v>455</v>
      </c>
      <c r="C815" t="s">
        <v>477</v>
      </c>
      <c r="D815" t="s">
        <v>294</v>
      </c>
      <c r="E815" t="s">
        <v>298</v>
      </c>
      <c r="F815">
        <v>2</v>
      </c>
      <c r="G815" t="s">
        <v>488</v>
      </c>
      <c r="H815" s="4">
        <v>709891</v>
      </c>
      <c r="I815" s="4">
        <v>589918.7071221636</v>
      </c>
      <c r="J815" s="3">
        <v>0.16900100561612472</v>
      </c>
      <c r="K815" s="3">
        <v>0.20337089064882266</v>
      </c>
      <c r="L815" t="s">
        <v>54</v>
      </c>
    </row>
    <row r="816" spans="1:12" x14ac:dyDescent="0.25">
      <c r="A816" t="s">
        <v>487</v>
      </c>
      <c r="B816" t="s">
        <v>455</v>
      </c>
      <c r="C816" t="s">
        <v>477</v>
      </c>
      <c r="D816" t="s">
        <v>294</v>
      </c>
      <c r="E816" t="s">
        <v>298</v>
      </c>
      <c r="F816">
        <v>2</v>
      </c>
      <c r="G816" t="s">
        <v>498</v>
      </c>
      <c r="H816" s="4">
        <v>709891</v>
      </c>
      <c r="I816" s="4">
        <v>550255</v>
      </c>
      <c r="J816" s="3">
        <v>0.22487395952336345</v>
      </c>
      <c r="K816" s="3">
        <v>0.2901127658994466</v>
      </c>
      <c r="L816" t="s">
        <v>54</v>
      </c>
    </row>
    <row r="817" spans="1:12" x14ac:dyDescent="0.25">
      <c r="A817" t="s">
        <v>487</v>
      </c>
      <c r="B817" t="s">
        <v>455</v>
      </c>
      <c r="C817" t="s">
        <v>477</v>
      </c>
      <c r="D817" t="s">
        <v>294</v>
      </c>
      <c r="E817" t="s">
        <v>298</v>
      </c>
      <c r="F817">
        <v>2</v>
      </c>
      <c r="G817" t="s">
        <v>499</v>
      </c>
      <c r="H817" s="4">
        <v>709891</v>
      </c>
      <c r="I817" s="4">
        <v>367287</v>
      </c>
      <c r="J817" s="3">
        <v>0.48261493665928995</v>
      </c>
      <c r="K817" s="3">
        <v>0.9327964235053242</v>
      </c>
      <c r="L817" t="s">
        <v>54</v>
      </c>
    </row>
    <row r="818" spans="1:12" x14ac:dyDescent="0.25">
      <c r="A818" t="s">
        <v>487</v>
      </c>
      <c r="B818" t="s">
        <v>455</v>
      </c>
      <c r="C818" t="s">
        <v>477</v>
      </c>
      <c r="D818" t="s">
        <v>294</v>
      </c>
      <c r="E818" t="s">
        <v>300</v>
      </c>
      <c r="F818">
        <v>3</v>
      </c>
      <c r="G818" t="s">
        <v>488</v>
      </c>
      <c r="H818" s="4">
        <v>756342</v>
      </c>
      <c r="I818" s="4">
        <v>679571.5987507557</v>
      </c>
      <c r="J818" s="3">
        <v>0.10150223212415065</v>
      </c>
      <c r="K818" s="3">
        <v>0.11296881945974493</v>
      </c>
      <c r="L818" t="s">
        <v>54</v>
      </c>
    </row>
    <row r="819" spans="1:12" x14ac:dyDescent="0.25">
      <c r="A819" t="s">
        <v>487</v>
      </c>
      <c r="B819" t="s">
        <v>455</v>
      </c>
      <c r="C819" t="s">
        <v>477</v>
      </c>
      <c r="D819" t="s">
        <v>294</v>
      </c>
      <c r="E819" t="s">
        <v>300</v>
      </c>
      <c r="F819">
        <v>3</v>
      </c>
      <c r="G819" t="s">
        <v>498</v>
      </c>
      <c r="H819" s="4">
        <v>756342</v>
      </c>
      <c r="I819" s="4">
        <v>633880</v>
      </c>
      <c r="J819" s="3">
        <v>0.16191352589172622</v>
      </c>
      <c r="K819" s="3">
        <v>0.19319429545024294</v>
      </c>
      <c r="L819" t="s">
        <v>54</v>
      </c>
    </row>
    <row r="820" spans="1:12" x14ac:dyDescent="0.25">
      <c r="A820" t="s">
        <v>487</v>
      </c>
      <c r="B820" t="s">
        <v>455</v>
      </c>
      <c r="C820" t="s">
        <v>477</v>
      </c>
      <c r="D820" t="s">
        <v>294</v>
      </c>
      <c r="E820" t="s">
        <v>300</v>
      </c>
      <c r="F820">
        <v>3</v>
      </c>
      <c r="G820" t="s">
        <v>499</v>
      </c>
      <c r="H820" s="4">
        <v>756342</v>
      </c>
      <c r="I820" s="4">
        <v>367287</v>
      </c>
      <c r="J820" s="3">
        <v>0.5143903154921979</v>
      </c>
      <c r="K820" s="3">
        <v>1.0592670037327758</v>
      </c>
      <c r="L820" t="s">
        <v>54</v>
      </c>
    </row>
    <row r="821" spans="1:12" x14ac:dyDescent="0.25">
      <c r="A821" t="s">
        <v>487</v>
      </c>
      <c r="B821" t="s">
        <v>455</v>
      </c>
      <c r="C821" t="s">
        <v>477</v>
      </c>
      <c r="D821" t="s">
        <v>296</v>
      </c>
      <c r="E821" t="s">
        <v>298</v>
      </c>
      <c r="F821">
        <v>1</v>
      </c>
      <c r="G821" t="s">
        <v>488</v>
      </c>
      <c r="H821" s="4">
        <v>709891</v>
      </c>
      <c r="I821" s="4">
        <v>528409.2535664595</v>
      </c>
      <c r="J821" s="3">
        <v>0.2556473408361854</v>
      </c>
      <c r="K821" s="3">
        <v>0.343449220861752</v>
      </c>
      <c r="L821" t="s">
        <v>54</v>
      </c>
    </row>
    <row r="822" spans="1:12" x14ac:dyDescent="0.25">
      <c r="A822" t="s">
        <v>487</v>
      </c>
      <c r="B822" t="s">
        <v>455</v>
      </c>
      <c r="C822" t="s">
        <v>477</v>
      </c>
      <c r="D822" t="s">
        <v>296</v>
      </c>
      <c r="E822" t="s">
        <v>298</v>
      </c>
      <c r="F822">
        <v>1</v>
      </c>
      <c r="G822" t="s">
        <v>498</v>
      </c>
      <c r="H822" s="4">
        <v>709891</v>
      </c>
      <c r="I822" s="4">
        <v>550255</v>
      </c>
      <c r="J822" s="3">
        <v>0.22487395952336345</v>
      </c>
      <c r="K822" s="3">
        <v>0.2901127658994466</v>
      </c>
      <c r="L822" t="s">
        <v>54</v>
      </c>
    </row>
    <row r="823" spans="1:12" x14ac:dyDescent="0.25">
      <c r="A823" t="s">
        <v>487</v>
      </c>
      <c r="B823" t="s">
        <v>455</v>
      </c>
      <c r="C823" t="s">
        <v>477</v>
      </c>
      <c r="D823" t="s">
        <v>296</v>
      </c>
      <c r="E823" t="s">
        <v>298</v>
      </c>
      <c r="F823">
        <v>1</v>
      </c>
      <c r="G823" t="s">
        <v>499</v>
      </c>
      <c r="H823" s="4">
        <v>709891</v>
      </c>
      <c r="I823" s="4">
        <v>818958</v>
      </c>
      <c r="J823" s="3">
        <v>0.1536390798023922</v>
      </c>
      <c r="K823" s="3">
        <v>-0.1331777698001607</v>
      </c>
      <c r="L823" t="s">
        <v>54</v>
      </c>
    </row>
    <row r="824" spans="1:12" x14ac:dyDescent="0.25">
      <c r="A824" t="s">
        <v>487</v>
      </c>
      <c r="B824" t="s">
        <v>455</v>
      </c>
      <c r="C824" t="s">
        <v>477</v>
      </c>
      <c r="D824" t="s">
        <v>296</v>
      </c>
      <c r="E824" t="s">
        <v>300</v>
      </c>
      <c r="F824">
        <v>2</v>
      </c>
      <c r="G824" t="s">
        <v>488</v>
      </c>
      <c r="H824" s="4">
        <v>756342</v>
      </c>
      <c r="I824" s="4">
        <v>608714.2463961388</v>
      </c>
      <c r="J824" s="3">
        <v>0.1951865076960703</v>
      </c>
      <c r="K824" s="3">
        <v>0.24252390095662074</v>
      </c>
      <c r="L824" t="s">
        <v>54</v>
      </c>
    </row>
    <row r="825" spans="1:12" x14ac:dyDescent="0.25">
      <c r="A825" t="s">
        <v>487</v>
      </c>
      <c r="B825" t="s">
        <v>455</v>
      </c>
      <c r="C825" t="s">
        <v>477</v>
      </c>
      <c r="D825" t="s">
        <v>296</v>
      </c>
      <c r="E825" t="s">
        <v>300</v>
      </c>
      <c r="F825">
        <v>2</v>
      </c>
      <c r="G825" t="s">
        <v>498</v>
      </c>
      <c r="H825" s="4">
        <v>756342</v>
      </c>
      <c r="I825" s="4">
        <v>633880</v>
      </c>
      <c r="J825" s="3">
        <v>0.16191352589172622</v>
      </c>
      <c r="K825" s="3">
        <v>0.19319429545024294</v>
      </c>
      <c r="L825" t="s">
        <v>54</v>
      </c>
    </row>
    <row r="826" spans="1:12" x14ac:dyDescent="0.25">
      <c r="A826" t="s">
        <v>487</v>
      </c>
      <c r="B826" t="s">
        <v>455</v>
      </c>
      <c r="C826" t="s">
        <v>477</v>
      </c>
      <c r="D826" t="s">
        <v>296</v>
      </c>
      <c r="E826" t="s">
        <v>300</v>
      </c>
      <c r="F826">
        <v>2</v>
      </c>
      <c r="G826" t="s">
        <v>499</v>
      </c>
      <c r="H826" s="4">
        <v>756342</v>
      </c>
      <c r="I826" s="4">
        <v>818958</v>
      </c>
      <c r="J826" s="3">
        <v>0.08278794513593057</v>
      </c>
      <c r="K826" s="3">
        <v>-0.07645813338412959</v>
      </c>
      <c r="L826" t="s">
        <v>54</v>
      </c>
    </row>
    <row r="827" spans="1:12" x14ac:dyDescent="0.25">
      <c r="A827" t="s">
        <v>487</v>
      </c>
      <c r="B827" t="s">
        <v>455</v>
      </c>
      <c r="C827" t="s">
        <v>477</v>
      </c>
      <c r="D827" t="s">
        <v>296</v>
      </c>
      <c r="E827" t="s">
        <v>302</v>
      </c>
      <c r="F827">
        <v>3</v>
      </c>
      <c r="G827" t="s">
        <v>488</v>
      </c>
      <c r="H827" s="4">
        <v>582463</v>
      </c>
      <c r="I827" s="4">
        <v>546389.8895693644</v>
      </c>
      <c r="J827" s="3">
        <v>0.061932020455609416</v>
      </c>
      <c r="K827" s="3">
        <v>0.0660208234436156</v>
      </c>
      <c r="L827" t="s">
        <v>54</v>
      </c>
    </row>
    <row r="828" spans="1:12" x14ac:dyDescent="0.25">
      <c r="A828" t="s">
        <v>487</v>
      </c>
      <c r="B828" t="s">
        <v>455</v>
      </c>
      <c r="C828" t="s">
        <v>477</v>
      </c>
      <c r="D828" t="s">
        <v>296</v>
      </c>
      <c r="E828" t="s">
        <v>302</v>
      </c>
      <c r="F828">
        <v>3</v>
      </c>
      <c r="G828" t="s">
        <v>498</v>
      </c>
      <c r="H828" s="4">
        <v>582463</v>
      </c>
      <c r="I828" s="4">
        <v>568979</v>
      </c>
      <c r="J828" s="3">
        <v>0.02314996832416823</v>
      </c>
      <c r="K828" s="3">
        <v>0.023698589930384074</v>
      </c>
      <c r="L828" t="s">
        <v>54</v>
      </c>
    </row>
    <row r="829" spans="1:12" x14ac:dyDescent="0.25">
      <c r="A829" t="s">
        <v>487</v>
      </c>
      <c r="B829" t="s">
        <v>455</v>
      </c>
      <c r="C829" t="s">
        <v>477</v>
      </c>
      <c r="D829" t="s">
        <v>296</v>
      </c>
      <c r="E829" t="s">
        <v>302</v>
      </c>
      <c r="F829">
        <v>3</v>
      </c>
      <c r="G829" t="s">
        <v>499</v>
      </c>
      <c r="H829" s="4">
        <v>582463</v>
      </c>
      <c r="I829" s="4">
        <v>818958</v>
      </c>
      <c r="J829" s="3">
        <v>0.40602579047939524</v>
      </c>
      <c r="K829" s="3">
        <v>-0.2887754927603125</v>
      </c>
      <c r="L829" t="s">
        <v>54</v>
      </c>
    </row>
    <row r="830" spans="1:12" x14ac:dyDescent="0.25">
      <c r="A830" t="s">
        <v>487</v>
      </c>
      <c r="B830" t="s">
        <v>455</v>
      </c>
      <c r="C830" t="s">
        <v>477</v>
      </c>
      <c r="D830" t="s">
        <v>298</v>
      </c>
      <c r="E830" t="s">
        <v>300</v>
      </c>
      <c r="F830">
        <v>1</v>
      </c>
      <c r="G830" t="s">
        <v>488</v>
      </c>
      <c r="H830" s="4">
        <v>756342</v>
      </c>
      <c r="I830" s="4">
        <v>598019.1866904077</v>
      </c>
      <c r="J830" s="3">
        <v>0.20932701517249117</v>
      </c>
      <c r="K830" s="3">
        <v>0.264745374117161</v>
      </c>
      <c r="L830" t="s">
        <v>54</v>
      </c>
    </row>
    <row r="831" spans="1:12" x14ac:dyDescent="0.25">
      <c r="A831" t="s">
        <v>487</v>
      </c>
      <c r="B831" t="s">
        <v>455</v>
      </c>
      <c r="C831" t="s">
        <v>477</v>
      </c>
      <c r="D831" t="s">
        <v>298</v>
      </c>
      <c r="E831" t="s">
        <v>300</v>
      </c>
      <c r="F831">
        <v>1</v>
      </c>
      <c r="G831" t="s">
        <v>498</v>
      </c>
      <c r="H831" s="4">
        <v>756342</v>
      </c>
      <c r="I831" s="4">
        <v>633880</v>
      </c>
      <c r="J831" s="3">
        <v>0.16191352589172622</v>
      </c>
      <c r="K831" s="3">
        <v>0.19319429545024294</v>
      </c>
      <c r="L831" t="s">
        <v>54</v>
      </c>
    </row>
    <row r="832" spans="1:12" x14ac:dyDescent="0.25">
      <c r="A832" t="s">
        <v>487</v>
      </c>
      <c r="B832" t="s">
        <v>455</v>
      </c>
      <c r="C832" t="s">
        <v>477</v>
      </c>
      <c r="D832" t="s">
        <v>298</v>
      </c>
      <c r="E832" t="s">
        <v>300</v>
      </c>
      <c r="F832">
        <v>1</v>
      </c>
      <c r="G832" t="s">
        <v>499</v>
      </c>
      <c r="H832" s="4">
        <v>756342</v>
      </c>
      <c r="I832" s="4">
        <v>709891</v>
      </c>
      <c r="J832" s="3">
        <v>0.06141533856377142</v>
      </c>
      <c r="K832" s="3">
        <v>0.06543398916171637</v>
      </c>
      <c r="L832" t="s">
        <v>54</v>
      </c>
    </row>
    <row r="833" spans="1:12" x14ac:dyDescent="0.25">
      <c r="A833" t="s">
        <v>487</v>
      </c>
      <c r="B833" t="s">
        <v>455</v>
      </c>
      <c r="C833" t="s">
        <v>477</v>
      </c>
      <c r="D833" t="s">
        <v>298</v>
      </c>
      <c r="E833" t="s">
        <v>302</v>
      </c>
      <c r="F833">
        <v>2</v>
      </c>
      <c r="G833" t="s">
        <v>488</v>
      </c>
      <c r="H833" s="4">
        <v>582463</v>
      </c>
      <c r="I833" s="4">
        <v>536789.8637343368</v>
      </c>
      <c r="J833" s="3">
        <v>0.07841379841408501</v>
      </c>
      <c r="K833" s="3">
        <v>0.08508569060511793</v>
      </c>
      <c r="L833" t="s">
        <v>54</v>
      </c>
    </row>
    <row r="834" spans="1:12" x14ac:dyDescent="0.25">
      <c r="A834" t="s">
        <v>487</v>
      </c>
      <c r="B834" t="s">
        <v>455</v>
      </c>
      <c r="C834" t="s">
        <v>477</v>
      </c>
      <c r="D834" t="s">
        <v>298</v>
      </c>
      <c r="E834" t="s">
        <v>302</v>
      </c>
      <c r="F834">
        <v>2</v>
      </c>
      <c r="G834" t="s">
        <v>498</v>
      </c>
      <c r="H834" s="4">
        <v>582463</v>
      </c>
      <c r="I834" s="4">
        <v>568979</v>
      </c>
      <c r="J834" s="3">
        <v>0.02314996832416823</v>
      </c>
      <c r="K834" s="3">
        <v>0.023698589930384074</v>
      </c>
      <c r="L834" t="s">
        <v>54</v>
      </c>
    </row>
    <row r="835" spans="1:12" x14ac:dyDescent="0.25">
      <c r="A835" t="s">
        <v>487</v>
      </c>
      <c r="B835" t="s">
        <v>455</v>
      </c>
      <c r="C835" t="s">
        <v>477</v>
      </c>
      <c r="D835" t="s">
        <v>298</v>
      </c>
      <c r="E835" t="s">
        <v>302</v>
      </c>
      <c r="F835">
        <v>2</v>
      </c>
      <c r="G835" t="s">
        <v>499</v>
      </c>
      <c r="H835" s="4">
        <v>582463</v>
      </c>
      <c r="I835" s="4">
        <v>709891</v>
      </c>
      <c r="J835" s="3">
        <v>0.2187744114218414</v>
      </c>
      <c r="K835" s="3">
        <v>-0.1795036139350971</v>
      </c>
      <c r="L835" t="s">
        <v>54</v>
      </c>
    </row>
    <row r="836" spans="1:12" x14ac:dyDescent="0.25">
      <c r="A836" t="s">
        <v>487</v>
      </c>
      <c r="B836" t="s">
        <v>455</v>
      </c>
      <c r="C836" t="s">
        <v>477</v>
      </c>
      <c r="D836" t="s">
        <v>298</v>
      </c>
      <c r="E836" t="s">
        <v>304</v>
      </c>
      <c r="F836">
        <v>3</v>
      </c>
      <c r="G836" t="s">
        <v>488</v>
      </c>
      <c r="H836" s="4">
        <v>602459</v>
      </c>
      <c r="I836" s="4">
        <v>815782.7771337932</v>
      </c>
      <c r="J836" s="3">
        <v>0.35408845603400935</v>
      </c>
      <c r="K836" s="3">
        <v>-0.26149580882706824</v>
      </c>
      <c r="L836" t="s">
        <v>54</v>
      </c>
    </row>
    <row r="837" spans="1:12" x14ac:dyDescent="0.25">
      <c r="A837" t="s">
        <v>487</v>
      </c>
      <c r="B837" t="s">
        <v>455</v>
      </c>
      <c r="C837" t="s">
        <v>477</v>
      </c>
      <c r="D837" t="s">
        <v>298</v>
      </c>
      <c r="E837" t="s">
        <v>304</v>
      </c>
      <c r="F837">
        <v>3</v>
      </c>
      <c r="G837" t="s">
        <v>498</v>
      </c>
      <c r="H837" s="4">
        <v>602459</v>
      </c>
      <c r="I837" s="4">
        <v>864702</v>
      </c>
      <c r="J837" s="3">
        <v>0.4352877125248357</v>
      </c>
      <c r="K837" s="3">
        <v>-0.3032755793325331</v>
      </c>
      <c r="L837" t="s">
        <v>54</v>
      </c>
    </row>
    <row r="838" spans="1:12" x14ac:dyDescent="0.25">
      <c r="A838" t="s">
        <v>487</v>
      </c>
      <c r="B838" t="s">
        <v>455</v>
      </c>
      <c r="C838" t="s">
        <v>477</v>
      </c>
      <c r="D838" t="s">
        <v>298</v>
      </c>
      <c r="E838" t="s">
        <v>304</v>
      </c>
      <c r="F838">
        <v>3</v>
      </c>
      <c r="G838" t="s">
        <v>499</v>
      </c>
      <c r="H838" s="4">
        <v>602459</v>
      </c>
      <c r="I838" s="4">
        <v>709891</v>
      </c>
      <c r="J838" s="3">
        <v>0.17832250825367368</v>
      </c>
      <c r="K838" s="3">
        <v>-0.1513359093156555</v>
      </c>
      <c r="L838" t="s">
        <v>54</v>
      </c>
    </row>
    <row r="839" spans="1:12" x14ac:dyDescent="0.25">
      <c r="A839" t="s">
        <v>487</v>
      </c>
      <c r="B839" t="s">
        <v>455</v>
      </c>
      <c r="C839" t="s">
        <v>477</v>
      </c>
      <c r="D839" t="s">
        <v>300</v>
      </c>
      <c r="E839" t="s">
        <v>302</v>
      </c>
      <c r="F839">
        <v>1</v>
      </c>
      <c r="G839" t="s">
        <v>488</v>
      </c>
      <c r="H839" s="4">
        <v>582463</v>
      </c>
      <c r="I839" s="4">
        <v>548082.3465782978</v>
      </c>
      <c r="J839" s="3">
        <v>0.059026330293430164</v>
      </c>
      <c r="K839" s="3">
        <v>0.06272899252519652</v>
      </c>
      <c r="L839" t="s">
        <v>54</v>
      </c>
    </row>
    <row r="840" spans="1:12" x14ac:dyDescent="0.25">
      <c r="A840" t="s">
        <v>487</v>
      </c>
      <c r="B840" t="s">
        <v>455</v>
      </c>
      <c r="C840" t="s">
        <v>477</v>
      </c>
      <c r="D840" t="s">
        <v>300</v>
      </c>
      <c r="E840" t="s">
        <v>302</v>
      </c>
      <c r="F840">
        <v>1</v>
      </c>
      <c r="G840" t="s">
        <v>498</v>
      </c>
      <c r="H840" s="4">
        <v>582463</v>
      </c>
      <c r="I840" s="4">
        <v>568979</v>
      </c>
      <c r="J840" s="3">
        <v>0.02314996832416823</v>
      </c>
      <c r="K840" s="3">
        <v>0.023698589930384074</v>
      </c>
      <c r="L840" t="s">
        <v>54</v>
      </c>
    </row>
    <row r="841" spans="1:12" x14ac:dyDescent="0.25">
      <c r="A841" t="s">
        <v>487</v>
      </c>
      <c r="B841" t="s">
        <v>455</v>
      </c>
      <c r="C841" t="s">
        <v>477</v>
      </c>
      <c r="D841" t="s">
        <v>300</v>
      </c>
      <c r="E841" t="s">
        <v>302</v>
      </c>
      <c r="F841">
        <v>1</v>
      </c>
      <c r="G841" t="s">
        <v>499</v>
      </c>
      <c r="H841" s="4">
        <v>582463</v>
      </c>
      <c r="I841" s="4">
        <v>756342</v>
      </c>
      <c r="J841" s="3">
        <v>0.2985236830493954</v>
      </c>
      <c r="K841" s="3">
        <v>-0.229894677275624</v>
      </c>
      <c r="L841" t="s">
        <v>54</v>
      </c>
    </row>
    <row r="842" spans="1:12" x14ac:dyDescent="0.25">
      <c r="A842" t="s">
        <v>487</v>
      </c>
      <c r="B842" t="s">
        <v>455</v>
      </c>
      <c r="C842" t="s">
        <v>477</v>
      </c>
      <c r="D842" t="s">
        <v>300</v>
      </c>
      <c r="E842" t="s">
        <v>304</v>
      </c>
      <c r="F842">
        <v>2</v>
      </c>
      <c r="G842" t="s">
        <v>488</v>
      </c>
      <c r="H842" s="4">
        <v>602459</v>
      </c>
      <c r="I842" s="4">
        <v>832944.4518179885</v>
      </c>
      <c r="J842" s="3">
        <v>0.3825745018631783</v>
      </c>
      <c r="K842" s="3">
        <v>-0.27671167184669987</v>
      </c>
      <c r="L842" t="s">
        <v>54</v>
      </c>
    </row>
    <row r="843" spans="1:12" x14ac:dyDescent="0.25">
      <c r="A843" t="s">
        <v>487</v>
      </c>
      <c r="B843" t="s">
        <v>455</v>
      </c>
      <c r="C843" t="s">
        <v>477</v>
      </c>
      <c r="D843" t="s">
        <v>300</v>
      </c>
      <c r="E843" t="s">
        <v>304</v>
      </c>
      <c r="F843">
        <v>2</v>
      </c>
      <c r="G843" t="s">
        <v>498</v>
      </c>
      <c r="H843" s="4">
        <v>602459</v>
      </c>
      <c r="I843" s="4">
        <v>864702</v>
      </c>
      <c r="J843" s="3">
        <v>0.4352877125248357</v>
      </c>
      <c r="K843" s="3">
        <v>-0.3032755793325331</v>
      </c>
      <c r="L843" t="s">
        <v>54</v>
      </c>
    </row>
    <row r="844" spans="1:12" x14ac:dyDescent="0.25">
      <c r="A844" t="s">
        <v>487</v>
      </c>
      <c r="B844" t="s">
        <v>455</v>
      </c>
      <c r="C844" t="s">
        <v>477</v>
      </c>
      <c r="D844" t="s">
        <v>300</v>
      </c>
      <c r="E844" t="s">
        <v>304</v>
      </c>
      <c r="F844">
        <v>2</v>
      </c>
      <c r="G844" t="s">
        <v>499</v>
      </c>
      <c r="H844" s="4">
        <v>602459</v>
      </c>
      <c r="I844" s="4">
        <v>756342</v>
      </c>
      <c r="J844" s="3">
        <v>0.25542485048775104</v>
      </c>
      <c r="K844" s="3">
        <v>-0.20345690177194972</v>
      </c>
      <c r="L844" t="s">
        <v>54</v>
      </c>
    </row>
    <row r="845" spans="1:12" x14ac:dyDescent="0.25">
      <c r="A845" t="s">
        <v>487</v>
      </c>
      <c r="B845" t="s">
        <v>455</v>
      </c>
      <c r="C845" t="s">
        <v>477</v>
      </c>
      <c r="D845" t="s">
        <v>300</v>
      </c>
      <c r="E845" t="s">
        <v>306</v>
      </c>
      <c r="F845">
        <v>3</v>
      </c>
      <c r="G845" t="s">
        <v>488</v>
      </c>
      <c r="H845" s="4">
        <v>539227</v>
      </c>
      <c r="I845" s="4">
        <v>518041.70173834625</v>
      </c>
      <c r="J845" s="3">
        <v>0.03928827425491258</v>
      </c>
      <c r="K845" s="3">
        <v>0.04089496693135733</v>
      </c>
      <c r="L845" t="s">
        <v>54</v>
      </c>
    </row>
    <row r="846" spans="1:12" x14ac:dyDescent="0.25">
      <c r="A846" t="s">
        <v>487</v>
      </c>
      <c r="B846" t="s">
        <v>455</v>
      </c>
      <c r="C846" t="s">
        <v>477</v>
      </c>
      <c r="D846" t="s">
        <v>300</v>
      </c>
      <c r="E846" t="s">
        <v>306</v>
      </c>
      <c r="F846">
        <v>3</v>
      </c>
      <c r="G846" t="s">
        <v>498</v>
      </c>
      <c r="H846" s="4">
        <v>539227</v>
      </c>
      <c r="I846" s="4">
        <v>537793</v>
      </c>
      <c r="J846" s="3">
        <v>0.0026593623835601704</v>
      </c>
      <c r="K846" s="3">
        <v>0.0026664534495614485</v>
      </c>
      <c r="L846" t="s">
        <v>54</v>
      </c>
    </row>
    <row r="847" spans="1:12" x14ac:dyDescent="0.25">
      <c r="A847" t="s">
        <v>487</v>
      </c>
      <c r="B847" t="s">
        <v>455</v>
      </c>
      <c r="C847" t="s">
        <v>477</v>
      </c>
      <c r="D847" t="s">
        <v>300</v>
      </c>
      <c r="E847" t="s">
        <v>306</v>
      </c>
      <c r="F847">
        <v>3</v>
      </c>
      <c r="G847" t="s">
        <v>499</v>
      </c>
      <c r="H847" s="4">
        <v>539227</v>
      </c>
      <c r="I847" s="4">
        <v>756342</v>
      </c>
      <c r="J847" s="3">
        <v>0.4026411882194326</v>
      </c>
      <c r="K847" s="3">
        <v>-0.28705929328266844</v>
      </c>
      <c r="L847" t="s">
        <v>54</v>
      </c>
    </row>
    <row r="848" spans="1:12" x14ac:dyDescent="0.25">
      <c r="A848" t="s">
        <v>487</v>
      </c>
      <c r="B848" t="s">
        <v>455</v>
      </c>
      <c r="C848" t="s">
        <v>477</v>
      </c>
      <c r="D848" t="s">
        <v>302</v>
      </c>
      <c r="E848" t="s">
        <v>304</v>
      </c>
      <c r="F848">
        <v>1</v>
      </c>
      <c r="G848" t="s">
        <v>488</v>
      </c>
      <c r="H848" s="4">
        <v>602459</v>
      </c>
      <c r="I848" s="4">
        <v>866921.3721822096</v>
      </c>
      <c r="J848" s="3">
        <v>0.43897156849214575</v>
      </c>
      <c r="K848" s="3">
        <v>-0.305059236821566</v>
      </c>
      <c r="L848" t="s">
        <v>54</v>
      </c>
    </row>
    <row r="849" spans="1:12" x14ac:dyDescent="0.25">
      <c r="A849" t="s">
        <v>487</v>
      </c>
      <c r="B849" t="s">
        <v>455</v>
      </c>
      <c r="C849" t="s">
        <v>477</v>
      </c>
      <c r="D849" t="s">
        <v>302</v>
      </c>
      <c r="E849" t="s">
        <v>304</v>
      </c>
      <c r="F849">
        <v>1</v>
      </c>
      <c r="G849" t="s">
        <v>498</v>
      </c>
      <c r="H849" s="4">
        <v>602459</v>
      </c>
      <c r="I849" s="4">
        <v>864702</v>
      </c>
      <c r="J849" s="3">
        <v>0.4352877125248357</v>
      </c>
      <c r="K849" s="3">
        <v>-0.3032755793325331</v>
      </c>
      <c r="L849" t="s">
        <v>54</v>
      </c>
    </row>
    <row r="850" spans="1:12" x14ac:dyDescent="0.25">
      <c r="A850" t="s">
        <v>487</v>
      </c>
      <c r="B850" t="s">
        <v>455</v>
      </c>
      <c r="C850" t="s">
        <v>477</v>
      </c>
      <c r="D850" t="s">
        <v>302</v>
      </c>
      <c r="E850" t="s">
        <v>304</v>
      </c>
      <c r="F850">
        <v>1</v>
      </c>
      <c r="G850" t="s">
        <v>499</v>
      </c>
      <c r="H850" s="4">
        <v>602459</v>
      </c>
      <c r="I850" s="4">
        <v>582463</v>
      </c>
      <c r="J850" s="3">
        <v>0.03319064035892899</v>
      </c>
      <c r="K850" s="3">
        <v>0.03433007761866419</v>
      </c>
      <c r="L850" t="s">
        <v>54</v>
      </c>
    </row>
    <row r="851" spans="1:12" x14ac:dyDescent="0.25">
      <c r="A851" t="s">
        <v>487</v>
      </c>
      <c r="B851" t="s">
        <v>455</v>
      </c>
      <c r="C851" t="s">
        <v>477</v>
      </c>
      <c r="D851" t="s">
        <v>302</v>
      </c>
      <c r="E851" t="s">
        <v>306</v>
      </c>
      <c r="F851">
        <v>2</v>
      </c>
      <c r="G851" t="s">
        <v>488</v>
      </c>
      <c r="H851" s="4">
        <v>539227</v>
      </c>
      <c r="I851" s="4">
        <v>539173.31694617</v>
      </c>
      <c r="J851" s="3">
        <v>0.0000995555746096847</v>
      </c>
      <c r="K851" s="3">
        <v>0.00009956548690894521</v>
      </c>
      <c r="L851" t="s">
        <v>54</v>
      </c>
    </row>
    <row r="852" spans="1:12" x14ac:dyDescent="0.25">
      <c r="A852" t="s">
        <v>487</v>
      </c>
      <c r="B852" t="s">
        <v>455</v>
      </c>
      <c r="C852" t="s">
        <v>477</v>
      </c>
      <c r="D852" t="s">
        <v>302</v>
      </c>
      <c r="E852" t="s">
        <v>306</v>
      </c>
      <c r="F852">
        <v>2</v>
      </c>
      <c r="G852" t="s">
        <v>498</v>
      </c>
      <c r="H852" s="4">
        <v>539227</v>
      </c>
      <c r="I852" s="4">
        <v>537793</v>
      </c>
      <c r="J852" s="3">
        <v>0.0026593623835601704</v>
      </c>
      <c r="K852" s="3">
        <v>0.0026664534495614485</v>
      </c>
      <c r="L852" t="s">
        <v>54</v>
      </c>
    </row>
    <row r="853" spans="1:12" x14ac:dyDescent="0.25">
      <c r="A853" t="s">
        <v>487</v>
      </c>
      <c r="B853" t="s">
        <v>455</v>
      </c>
      <c r="C853" t="s">
        <v>477</v>
      </c>
      <c r="D853" t="s">
        <v>302</v>
      </c>
      <c r="E853" t="s">
        <v>306</v>
      </c>
      <c r="F853">
        <v>2</v>
      </c>
      <c r="G853" t="s">
        <v>499</v>
      </c>
      <c r="H853" s="4">
        <v>539227</v>
      </c>
      <c r="I853" s="4">
        <v>582463</v>
      </c>
      <c r="J853" s="3">
        <v>0.0801814449202284</v>
      </c>
      <c r="K853" s="3">
        <v>-0.07422960771757176</v>
      </c>
      <c r="L853" t="s">
        <v>54</v>
      </c>
    </row>
    <row r="854" spans="1:12" x14ac:dyDescent="0.25">
      <c r="A854" t="s">
        <v>487</v>
      </c>
      <c r="B854" t="s">
        <v>455</v>
      </c>
      <c r="C854" t="s">
        <v>477</v>
      </c>
      <c r="D854" t="s">
        <v>302</v>
      </c>
      <c r="E854" t="s">
        <v>308</v>
      </c>
      <c r="F854">
        <v>3</v>
      </c>
      <c r="G854" t="s">
        <v>488</v>
      </c>
      <c r="H854" s="4">
        <v>713069</v>
      </c>
      <c r="I854" s="4">
        <v>581620.9855959737</v>
      </c>
      <c r="J854" s="3">
        <v>0.18434122701172864</v>
      </c>
      <c r="K854" s="3">
        <v>0.22600287413861891</v>
      </c>
      <c r="L854" t="s">
        <v>54</v>
      </c>
    </row>
    <row r="855" spans="1:12" x14ac:dyDescent="0.25">
      <c r="A855" t="s">
        <v>487</v>
      </c>
      <c r="B855" t="s">
        <v>455</v>
      </c>
      <c r="C855" t="s">
        <v>477</v>
      </c>
      <c r="D855" t="s">
        <v>302</v>
      </c>
      <c r="E855" t="s">
        <v>308</v>
      </c>
      <c r="F855">
        <v>3</v>
      </c>
      <c r="G855" t="s">
        <v>498</v>
      </c>
      <c r="H855" s="4">
        <v>713069</v>
      </c>
      <c r="I855" s="4">
        <v>580132</v>
      </c>
      <c r="J855" s="3">
        <v>0.1864293637782599</v>
      </c>
      <c r="K855" s="3">
        <v>0.22914957285583282</v>
      </c>
      <c r="L855" t="s">
        <v>54</v>
      </c>
    </row>
    <row r="856" spans="1:12" x14ac:dyDescent="0.25">
      <c r="A856" t="s">
        <v>487</v>
      </c>
      <c r="B856" t="s">
        <v>455</v>
      </c>
      <c r="C856" t="s">
        <v>477</v>
      </c>
      <c r="D856" t="s">
        <v>302</v>
      </c>
      <c r="E856" t="s">
        <v>308</v>
      </c>
      <c r="F856">
        <v>3</v>
      </c>
      <c r="G856" t="s">
        <v>499</v>
      </c>
      <c r="H856" s="4">
        <v>713069</v>
      </c>
      <c r="I856" s="4">
        <v>582463</v>
      </c>
      <c r="J856" s="3">
        <v>0.18316039541755427</v>
      </c>
      <c r="K856" s="3">
        <v>0.22423055198355948</v>
      </c>
      <c r="L856" t="s">
        <v>54</v>
      </c>
    </row>
    <row r="857" spans="1:12" x14ac:dyDescent="0.25">
      <c r="A857" t="s">
        <v>487</v>
      </c>
      <c r="B857" t="s">
        <v>455</v>
      </c>
      <c r="C857" t="s">
        <v>477</v>
      </c>
      <c r="D857" t="s">
        <v>304</v>
      </c>
      <c r="E857" t="s">
        <v>306</v>
      </c>
      <c r="F857">
        <v>1</v>
      </c>
      <c r="G857" t="s">
        <v>488</v>
      </c>
      <c r="H857" s="4">
        <v>539227</v>
      </c>
      <c r="I857" s="4">
        <v>515494.2490366658</v>
      </c>
      <c r="J857" s="3">
        <v>0.04401254195975763</v>
      </c>
      <c r="K857" s="3">
        <v>0.046038827800087015</v>
      </c>
      <c r="L857" t="s">
        <v>54</v>
      </c>
    </row>
    <row r="858" spans="1:12" x14ac:dyDescent="0.25">
      <c r="A858" t="s">
        <v>487</v>
      </c>
      <c r="B858" t="s">
        <v>455</v>
      </c>
      <c r="C858" t="s">
        <v>477</v>
      </c>
      <c r="D858" t="s">
        <v>304</v>
      </c>
      <c r="E858" t="s">
        <v>306</v>
      </c>
      <c r="F858">
        <v>1</v>
      </c>
      <c r="G858" t="s">
        <v>498</v>
      </c>
      <c r="H858" s="4">
        <v>539227</v>
      </c>
      <c r="I858" s="4">
        <v>537793</v>
      </c>
      <c r="J858" s="3">
        <v>0.0026593623835601704</v>
      </c>
      <c r="K858" s="3">
        <v>0.0026664534495614485</v>
      </c>
      <c r="L858" t="s">
        <v>54</v>
      </c>
    </row>
    <row r="859" spans="1:12" x14ac:dyDescent="0.25">
      <c r="A859" t="s">
        <v>487</v>
      </c>
      <c r="B859" t="s">
        <v>455</v>
      </c>
      <c r="C859" t="s">
        <v>477</v>
      </c>
      <c r="D859" t="s">
        <v>304</v>
      </c>
      <c r="E859" t="s">
        <v>306</v>
      </c>
      <c r="F859">
        <v>1</v>
      </c>
      <c r="G859" t="s">
        <v>499</v>
      </c>
      <c r="H859" s="4">
        <v>539227</v>
      </c>
      <c r="I859" s="4">
        <v>602459</v>
      </c>
      <c r="J859" s="3">
        <v>0.11726415776658068</v>
      </c>
      <c r="K859" s="3">
        <v>-0.10495651986276244</v>
      </c>
      <c r="L859" t="s">
        <v>54</v>
      </c>
    </row>
    <row r="860" spans="1:12" x14ac:dyDescent="0.25">
      <c r="A860" t="s">
        <v>487</v>
      </c>
      <c r="B860" t="s">
        <v>455</v>
      </c>
      <c r="C860" t="s">
        <v>477</v>
      </c>
      <c r="D860" t="s">
        <v>304</v>
      </c>
      <c r="E860" t="s">
        <v>308</v>
      </c>
      <c r="F860">
        <v>2</v>
      </c>
      <c r="G860" t="s">
        <v>488</v>
      </c>
      <c r="H860" s="4">
        <v>713069</v>
      </c>
      <c r="I860" s="4">
        <v>556077.7282005139</v>
      </c>
      <c r="J860" s="3">
        <v>0.22016280584275313</v>
      </c>
      <c r="K860" s="3">
        <v>0.2823189346343993</v>
      </c>
      <c r="L860" t="s">
        <v>54</v>
      </c>
    </row>
    <row r="861" spans="1:12" x14ac:dyDescent="0.25">
      <c r="A861" t="s">
        <v>487</v>
      </c>
      <c r="B861" t="s">
        <v>455</v>
      </c>
      <c r="C861" t="s">
        <v>477</v>
      </c>
      <c r="D861" t="s">
        <v>304</v>
      </c>
      <c r="E861" t="s">
        <v>308</v>
      </c>
      <c r="F861">
        <v>2</v>
      </c>
      <c r="G861" t="s">
        <v>498</v>
      </c>
      <c r="H861" s="4">
        <v>713069</v>
      </c>
      <c r="I861" s="4">
        <v>580132</v>
      </c>
      <c r="J861" s="3">
        <v>0.1864293637782599</v>
      </c>
      <c r="K861" s="3">
        <v>0.22914957285583282</v>
      </c>
      <c r="L861" t="s">
        <v>54</v>
      </c>
    </row>
    <row r="862" spans="1:12" x14ac:dyDescent="0.25">
      <c r="A862" t="s">
        <v>487</v>
      </c>
      <c r="B862" t="s">
        <v>455</v>
      </c>
      <c r="C862" t="s">
        <v>477</v>
      </c>
      <c r="D862" t="s">
        <v>304</v>
      </c>
      <c r="E862" t="s">
        <v>308</v>
      </c>
      <c r="F862">
        <v>2</v>
      </c>
      <c r="G862" t="s">
        <v>499</v>
      </c>
      <c r="H862" s="4">
        <v>713069</v>
      </c>
      <c r="I862" s="4">
        <v>602459</v>
      </c>
      <c r="J862" s="3">
        <v>0.15511822839023995</v>
      </c>
      <c r="K862" s="3">
        <v>0.18359755601626002</v>
      </c>
      <c r="L862" t="s">
        <v>54</v>
      </c>
    </row>
    <row r="863" spans="1:12" x14ac:dyDescent="0.25">
      <c r="A863" t="s">
        <v>487</v>
      </c>
      <c r="B863" t="s">
        <v>455</v>
      </c>
      <c r="C863" t="s">
        <v>477</v>
      </c>
      <c r="D863" t="s">
        <v>304</v>
      </c>
      <c r="E863" t="s">
        <v>310</v>
      </c>
      <c r="F863">
        <v>3</v>
      </c>
      <c r="G863" t="s">
        <v>488</v>
      </c>
      <c r="H863" s="4">
        <v>899134</v>
      </c>
      <c r="I863" s="4">
        <v>598873.5097312144</v>
      </c>
      <c r="J863" s="3">
        <v>0.33394409539488623</v>
      </c>
      <c r="K863" s="3">
        <v>0.5013754747702034</v>
      </c>
      <c r="L863" t="s">
        <v>54</v>
      </c>
    </row>
    <row r="864" spans="1:12" x14ac:dyDescent="0.25">
      <c r="A864" t="s">
        <v>487</v>
      </c>
      <c r="B864" t="s">
        <v>455</v>
      </c>
      <c r="C864" t="s">
        <v>477</v>
      </c>
      <c r="D864" t="s">
        <v>304</v>
      </c>
      <c r="E864" t="s">
        <v>310</v>
      </c>
      <c r="F864">
        <v>3</v>
      </c>
      <c r="G864" t="s">
        <v>498</v>
      </c>
      <c r="H864" s="4">
        <v>899134</v>
      </c>
      <c r="I864" s="4">
        <v>624779</v>
      </c>
      <c r="J864" s="3">
        <v>0.3051324941554874</v>
      </c>
      <c r="K864" s="3">
        <v>0.43912327398968276</v>
      </c>
      <c r="L864" t="s">
        <v>54</v>
      </c>
    </row>
    <row r="865" spans="1:12" x14ac:dyDescent="0.25">
      <c r="A865" t="s">
        <v>487</v>
      </c>
      <c r="B865" t="s">
        <v>455</v>
      </c>
      <c r="C865" t="s">
        <v>477</v>
      </c>
      <c r="D865" t="s">
        <v>304</v>
      </c>
      <c r="E865" t="s">
        <v>310</v>
      </c>
      <c r="F865">
        <v>3</v>
      </c>
      <c r="G865" t="s">
        <v>499</v>
      </c>
      <c r="H865" s="4">
        <v>899134</v>
      </c>
      <c r="I865" s="4">
        <v>602459</v>
      </c>
      <c r="J865" s="3">
        <v>0.32995638025032975</v>
      </c>
      <c r="K865" s="3">
        <v>0.4924401494541537</v>
      </c>
      <c r="L865" t="s">
        <v>54</v>
      </c>
    </row>
    <row r="866" spans="1:12" x14ac:dyDescent="0.25">
      <c r="A866" t="s">
        <v>487</v>
      </c>
      <c r="B866" t="s">
        <v>455</v>
      </c>
      <c r="C866" t="s">
        <v>477</v>
      </c>
      <c r="D866" t="s">
        <v>306</v>
      </c>
      <c r="E866" t="s">
        <v>308</v>
      </c>
      <c r="F866">
        <v>1</v>
      </c>
      <c r="G866" t="s">
        <v>488</v>
      </c>
      <c r="H866" s="4">
        <v>713069</v>
      </c>
      <c r="I866" s="4">
        <v>567272.9143061709</v>
      </c>
      <c r="J866" s="3">
        <v>0.20446280190813107</v>
      </c>
      <c r="K866" s="3">
        <v>0.2570122458114393</v>
      </c>
      <c r="L866" t="s">
        <v>54</v>
      </c>
    </row>
    <row r="867" spans="1:12" x14ac:dyDescent="0.25">
      <c r="A867" t="s">
        <v>487</v>
      </c>
      <c r="B867" t="s">
        <v>455</v>
      </c>
      <c r="C867" t="s">
        <v>477</v>
      </c>
      <c r="D867" t="s">
        <v>306</v>
      </c>
      <c r="E867" t="s">
        <v>308</v>
      </c>
      <c r="F867">
        <v>1</v>
      </c>
      <c r="G867" t="s">
        <v>498</v>
      </c>
      <c r="H867" s="4">
        <v>713069</v>
      </c>
      <c r="I867" s="4">
        <v>580132</v>
      </c>
      <c r="J867" s="3">
        <v>0.1864293637782599</v>
      </c>
      <c r="K867" s="3">
        <v>0.22914957285583282</v>
      </c>
      <c r="L867" t="s">
        <v>54</v>
      </c>
    </row>
    <row r="868" spans="1:12" x14ac:dyDescent="0.25">
      <c r="A868" t="s">
        <v>487</v>
      </c>
      <c r="B868" t="s">
        <v>455</v>
      </c>
      <c r="C868" t="s">
        <v>477</v>
      </c>
      <c r="D868" t="s">
        <v>306</v>
      </c>
      <c r="E868" t="s">
        <v>308</v>
      </c>
      <c r="F868">
        <v>1</v>
      </c>
      <c r="G868" t="s">
        <v>499</v>
      </c>
      <c r="H868" s="4">
        <v>713069</v>
      </c>
      <c r="I868" s="4">
        <v>539227</v>
      </c>
      <c r="J868" s="3">
        <v>0.24379407883388565</v>
      </c>
      <c r="K868" s="3">
        <v>0.32239112655709007</v>
      </c>
      <c r="L868" t="s">
        <v>54</v>
      </c>
    </row>
    <row r="869" spans="1:12" x14ac:dyDescent="0.25">
      <c r="A869" t="s">
        <v>487</v>
      </c>
      <c r="B869" t="s">
        <v>455</v>
      </c>
      <c r="C869" t="s">
        <v>477</v>
      </c>
      <c r="D869" t="s">
        <v>306</v>
      </c>
      <c r="E869" t="s">
        <v>310</v>
      </c>
      <c r="F869">
        <v>2</v>
      </c>
      <c r="G869" t="s">
        <v>488</v>
      </c>
      <c r="H869" s="4">
        <v>899134</v>
      </c>
      <c r="I869" s="4">
        <v>610930.2781561698</v>
      </c>
      <c r="J869" s="3">
        <v>0.3205347832957381</v>
      </c>
      <c r="K869" s="3">
        <v>0.47174568383424886</v>
      </c>
      <c r="L869" t="s">
        <v>54</v>
      </c>
    </row>
    <row r="870" spans="1:12" x14ac:dyDescent="0.25">
      <c r="A870" t="s">
        <v>487</v>
      </c>
      <c r="B870" t="s">
        <v>455</v>
      </c>
      <c r="C870" t="s">
        <v>477</v>
      </c>
      <c r="D870" t="s">
        <v>306</v>
      </c>
      <c r="E870" t="s">
        <v>310</v>
      </c>
      <c r="F870">
        <v>2</v>
      </c>
      <c r="G870" t="s">
        <v>498</v>
      </c>
      <c r="H870" s="4">
        <v>899134</v>
      </c>
      <c r="I870" s="4">
        <v>624779</v>
      </c>
      <c r="J870" s="3">
        <v>0.3051324941554874</v>
      </c>
      <c r="K870" s="3">
        <v>0.43912327398968276</v>
      </c>
      <c r="L870" t="s">
        <v>54</v>
      </c>
    </row>
    <row r="871" spans="1:12" x14ac:dyDescent="0.25">
      <c r="A871" t="s">
        <v>487</v>
      </c>
      <c r="B871" t="s">
        <v>455</v>
      </c>
      <c r="C871" t="s">
        <v>477</v>
      </c>
      <c r="D871" t="s">
        <v>306</v>
      </c>
      <c r="E871" t="s">
        <v>310</v>
      </c>
      <c r="F871">
        <v>2</v>
      </c>
      <c r="G871" t="s">
        <v>499</v>
      </c>
      <c r="H871" s="4">
        <v>899134</v>
      </c>
      <c r="I871" s="4">
        <v>539227</v>
      </c>
      <c r="J871" s="3">
        <v>0.4002818267355033</v>
      </c>
      <c r="K871" s="3">
        <v>0.6674498865969248</v>
      </c>
      <c r="L871" t="s">
        <v>54</v>
      </c>
    </row>
    <row r="872" spans="1:12" x14ac:dyDescent="0.25">
      <c r="A872" t="s">
        <v>487</v>
      </c>
      <c r="B872" t="s">
        <v>455</v>
      </c>
      <c r="C872" t="s">
        <v>477</v>
      </c>
      <c r="D872" t="s">
        <v>306</v>
      </c>
      <c r="E872" t="s">
        <v>312</v>
      </c>
      <c r="F872">
        <v>3</v>
      </c>
      <c r="G872" t="s">
        <v>488</v>
      </c>
      <c r="H872" s="4">
        <v>626773</v>
      </c>
      <c r="I872" s="4">
        <v>663063.5089143999</v>
      </c>
      <c r="J872" s="3">
        <v>0.05790056194890318</v>
      </c>
      <c r="K872" s="3">
        <v>-0.05473157310951479</v>
      </c>
      <c r="L872" t="s">
        <v>54</v>
      </c>
    </row>
    <row r="873" spans="1:12" x14ac:dyDescent="0.25">
      <c r="A873" t="s">
        <v>487</v>
      </c>
      <c r="B873" t="s">
        <v>455</v>
      </c>
      <c r="C873" t="s">
        <v>477</v>
      </c>
      <c r="D873" t="s">
        <v>306</v>
      </c>
      <c r="E873" t="s">
        <v>312</v>
      </c>
      <c r="F873">
        <v>3</v>
      </c>
      <c r="G873" t="s">
        <v>498</v>
      </c>
      <c r="H873" s="4">
        <v>626773</v>
      </c>
      <c r="I873" s="4">
        <v>678094</v>
      </c>
      <c r="J873" s="3">
        <v>0.08188131907405073</v>
      </c>
      <c r="K873" s="3">
        <v>-0.07568419717620271</v>
      </c>
      <c r="L873" t="s">
        <v>54</v>
      </c>
    </row>
    <row r="874" spans="1:12" x14ac:dyDescent="0.25">
      <c r="A874" t="s">
        <v>487</v>
      </c>
      <c r="B874" t="s">
        <v>455</v>
      </c>
      <c r="C874" t="s">
        <v>477</v>
      </c>
      <c r="D874" t="s">
        <v>306</v>
      </c>
      <c r="E874" t="s">
        <v>312</v>
      </c>
      <c r="F874">
        <v>3</v>
      </c>
      <c r="G874" t="s">
        <v>499</v>
      </c>
      <c r="H874" s="4">
        <v>626773</v>
      </c>
      <c r="I874" s="4">
        <v>539227</v>
      </c>
      <c r="J874" s="3">
        <v>0.13967736325591562</v>
      </c>
      <c r="K874" s="3">
        <v>0.16235462986831148</v>
      </c>
      <c r="L874" t="s">
        <v>54</v>
      </c>
    </row>
    <row r="875" spans="1:12" x14ac:dyDescent="0.25">
      <c r="A875" t="s">
        <v>487</v>
      </c>
      <c r="B875" t="s">
        <v>455</v>
      </c>
      <c r="C875" t="s">
        <v>477</v>
      </c>
      <c r="D875" t="s">
        <v>308</v>
      </c>
      <c r="E875" t="s">
        <v>310</v>
      </c>
      <c r="F875">
        <v>1</v>
      </c>
      <c r="G875" t="s">
        <v>488</v>
      </c>
      <c r="H875" s="4">
        <v>899134</v>
      </c>
      <c r="I875" s="4">
        <v>617894.6439348954</v>
      </c>
      <c r="J875" s="3">
        <v>0.31278914607289304</v>
      </c>
      <c r="K875" s="3">
        <v>0.45515745900321714</v>
      </c>
      <c r="L875" t="s">
        <v>54</v>
      </c>
    </row>
    <row r="876" spans="1:12" x14ac:dyDescent="0.25">
      <c r="A876" t="s">
        <v>487</v>
      </c>
      <c r="B876" t="s">
        <v>455</v>
      </c>
      <c r="C876" t="s">
        <v>477</v>
      </c>
      <c r="D876" t="s">
        <v>308</v>
      </c>
      <c r="E876" t="s">
        <v>310</v>
      </c>
      <c r="F876">
        <v>1</v>
      </c>
      <c r="G876" t="s">
        <v>498</v>
      </c>
      <c r="H876" s="4">
        <v>899134</v>
      </c>
      <c r="I876" s="4">
        <v>624779</v>
      </c>
      <c r="J876" s="3">
        <v>0.3051324941554874</v>
      </c>
      <c r="K876" s="3">
        <v>0.43912327398968276</v>
      </c>
      <c r="L876" t="s">
        <v>54</v>
      </c>
    </row>
    <row r="877" spans="1:12" x14ac:dyDescent="0.25">
      <c r="A877" t="s">
        <v>487</v>
      </c>
      <c r="B877" t="s">
        <v>455</v>
      </c>
      <c r="C877" t="s">
        <v>477</v>
      </c>
      <c r="D877" t="s">
        <v>308</v>
      </c>
      <c r="E877" t="s">
        <v>310</v>
      </c>
      <c r="F877">
        <v>1</v>
      </c>
      <c r="G877" t="s">
        <v>499</v>
      </c>
      <c r="H877" s="4">
        <v>899134</v>
      </c>
      <c r="I877" s="4">
        <v>713069</v>
      </c>
      <c r="J877" s="3">
        <v>0.20693800924000205</v>
      </c>
      <c r="K877" s="3">
        <v>0.2609354774923605</v>
      </c>
      <c r="L877" t="s">
        <v>54</v>
      </c>
    </row>
    <row r="878" spans="1:12" x14ac:dyDescent="0.25">
      <c r="A878" t="s">
        <v>487</v>
      </c>
      <c r="B878" t="s">
        <v>455</v>
      </c>
      <c r="C878" t="s">
        <v>477</v>
      </c>
      <c r="D878" t="s">
        <v>308</v>
      </c>
      <c r="E878" t="s">
        <v>312</v>
      </c>
      <c r="F878">
        <v>2</v>
      </c>
      <c r="G878" t="s">
        <v>488</v>
      </c>
      <c r="H878" s="4">
        <v>626773</v>
      </c>
      <c r="I878" s="4">
        <v>670622.173095429</v>
      </c>
      <c r="J878" s="3">
        <v>0.06996021381812709</v>
      </c>
      <c r="K878" s="3">
        <v>-0.0653858086633668</v>
      </c>
      <c r="L878" t="s">
        <v>54</v>
      </c>
    </row>
    <row r="879" spans="1:12" x14ac:dyDescent="0.25">
      <c r="A879" t="s">
        <v>487</v>
      </c>
      <c r="B879" t="s">
        <v>455</v>
      </c>
      <c r="C879" t="s">
        <v>477</v>
      </c>
      <c r="D879" t="s">
        <v>308</v>
      </c>
      <c r="E879" t="s">
        <v>312</v>
      </c>
      <c r="F879">
        <v>2</v>
      </c>
      <c r="G879" t="s">
        <v>498</v>
      </c>
      <c r="H879" s="4">
        <v>626773</v>
      </c>
      <c r="I879" s="4">
        <v>678094</v>
      </c>
      <c r="J879" s="3">
        <v>0.08188131907405073</v>
      </c>
      <c r="K879" s="3">
        <v>-0.07568419717620271</v>
      </c>
      <c r="L879" t="s">
        <v>54</v>
      </c>
    </row>
    <row r="880" spans="1:12" x14ac:dyDescent="0.25">
      <c r="A880" t="s">
        <v>487</v>
      </c>
      <c r="B880" t="s">
        <v>455</v>
      </c>
      <c r="C880" t="s">
        <v>477</v>
      </c>
      <c r="D880" t="s">
        <v>308</v>
      </c>
      <c r="E880" t="s">
        <v>312</v>
      </c>
      <c r="F880">
        <v>2</v>
      </c>
      <c r="G880" t="s">
        <v>499</v>
      </c>
      <c r="H880" s="4">
        <v>626773</v>
      </c>
      <c r="I880" s="4">
        <v>713069</v>
      </c>
      <c r="J880" s="3">
        <v>0.1376830208065759</v>
      </c>
      <c r="K880" s="3">
        <v>-0.1210205463987356</v>
      </c>
      <c r="L880" t="s">
        <v>54</v>
      </c>
    </row>
    <row r="881" spans="1:12" x14ac:dyDescent="0.25">
      <c r="A881" t="s">
        <v>487</v>
      </c>
      <c r="B881" t="s">
        <v>455</v>
      </c>
      <c r="C881" t="s">
        <v>477</v>
      </c>
      <c r="D881" t="s">
        <v>308</v>
      </c>
      <c r="E881" t="s">
        <v>314</v>
      </c>
      <c r="F881">
        <v>3</v>
      </c>
      <c r="G881" t="s">
        <v>488</v>
      </c>
      <c r="H881" s="4">
        <v>986799</v>
      </c>
      <c r="I881" s="4">
        <v>366052.5761177421</v>
      </c>
      <c r="J881" s="3">
        <v>0.6290505197940592</v>
      </c>
      <c r="K881" s="3">
        <v>1.6957848800457358</v>
      </c>
      <c r="L881" t="s">
        <v>54</v>
      </c>
    </row>
    <row r="882" spans="1:12" x14ac:dyDescent="0.25">
      <c r="A882" t="s">
        <v>487</v>
      </c>
      <c r="B882" t="s">
        <v>455</v>
      </c>
      <c r="C882" t="s">
        <v>477</v>
      </c>
      <c r="D882" t="s">
        <v>308</v>
      </c>
      <c r="E882" t="s">
        <v>314</v>
      </c>
      <c r="F882">
        <v>3</v>
      </c>
      <c r="G882" t="s">
        <v>498</v>
      </c>
      <c r="H882" s="4">
        <v>986799</v>
      </c>
      <c r="I882" s="4">
        <v>370131</v>
      </c>
      <c r="J882" s="3">
        <v>0.6249175363979899</v>
      </c>
      <c r="K882" s="3">
        <v>1.6660803877546058</v>
      </c>
      <c r="L882" t="s">
        <v>54</v>
      </c>
    </row>
    <row r="883" spans="1:12" x14ac:dyDescent="0.25">
      <c r="A883" t="s">
        <v>487</v>
      </c>
      <c r="B883" t="s">
        <v>455</v>
      </c>
      <c r="C883" t="s">
        <v>477</v>
      </c>
      <c r="D883" t="s">
        <v>308</v>
      </c>
      <c r="E883" t="s">
        <v>314</v>
      </c>
      <c r="F883">
        <v>3</v>
      </c>
      <c r="G883" t="s">
        <v>499</v>
      </c>
      <c r="H883" s="4">
        <v>986799</v>
      </c>
      <c r="I883" s="4">
        <v>713069</v>
      </c>
      <c r="J883" s="3">
        <v>0.277391849809333</v>
      </c>
      <c r="K883" s="3">
        <v>0.3838758941981772</v>
      </c>
      <c r="L883" t="s">
        <v>54</v>
      </c>
    </row>
    <row r="884" spans="1:12" x14ac:dyDescent="0.25">
      <c r="A884" t="s">
        <v>487</v>
      </c>
      <c r="B884" t="s">
        <v>455</v>
      </c>
      <c r="C884" t="s">
        <v>477</v>
      </c>
      <c r="D884" t="s">
        <v>310</v>
      </c>
      <c r="E884" t="s">
        <v>312</v>
      </c>
      <c r="F884">
        <v>1</v>
      </c>
      <c r="G884" t="s">
        <v>488</v>
      </c>
      <c r="H884" s="4">
        <v>626773</v>
      </c>
      <c r="I884" s="4">
        <v>690460.7756172162</v>
      </c>
      <c r="J884" s="3">
        <v>0.10161218753394968</v>
      </c>
      <c r="K884" s="3">
        <v>-0.09223952737979144</v>
      </c>
      <c r="L884" t="s">
        <v>54</v>
      </c>
    </row>
    <row r="885" spans="1:12" x14ac:dyDescent="0.25">
      <c r="A885" t="s">
        <v>487</v>
      </c>
      <c r="B885" t="s">
        <v>455</v>
      </c>
      <c r="C885" t="s">
        <v>477</v>
      </c>
      <c r="D885" t="s">
        <v>310</v>
      </c>
      <c r="E885" t="s">
        <v>312</v>
      </c>
      <c r="F885">
        <v>1</v>
      </c>
      <c r="G885" t="s">
        <v>498</v>
      </c>
      <c r="H885" s="4">
        <v>626773</v>
      </c>
      <c r="I885" s="4">
        <v>678094</v>
      </c>
      <c r="J885" s="3">
        <v>0.08188131907405073</v>
      </c>
      <c r="K885" s="3">
        <v>-0.07568419717620271</v>
      </c>
      <c r="L885" t="s">
        <v>54</v>
      </c>
    </row>
    <row r="886" spans="1:12" x14ac:dyDescent="0.25">
      <c r="A886" t="s">
        <v>487</v>
      </c>
      <c r="B886" t="s">
        <v>455</v>
      </c>
      <c r="C886" t="s">
        <v>477</v>
      </c>
      <c r="D886" t="s">
        <v>310</v>
      </c>
      <c r="E886" t="s">
        <v>312</v>
      </c>
      <c r="F886">
        <v>1</v>
      </c>
      <c r="G886" t="s">
        <v>499</v>
      </c>
      <c r="H886" s="4">
        <v>626773</v>
      </c>
      <c r="I886" s="4">
        <v>899134</v>
      </c>
      <c r="J886" s="3">
        <v>0.4345448830756909</v>
      </c>
      <c r="K886" s="3">
        <v>-0.302914804689846</v>
      </c>
      <c r="L886" t="s">
        <v>54</v>
      </c>
    </row>
    <row r="887" spans="1:12" x14ac:dyDescent="0.25">
      <c r="A887" t="s">
        <v>487</v>
      </c>
      <c r="B887" t="s">
        <v>455</v>
      </c>
      <c r="C887" t="s">
        <v>477</v>
      </c>
      <c r="D887" t="s">
        <v>310</v>
      </c>
      <c r="E887" t="s">
        <v>314</v>
      </c>
      <c r="F887">
        <v>2</v>
      </c>
      <c r="G887" t="s">
        <v>488</v>
      </c>
      <c r="H887" s="4">
        <v>986799</v>
      </c>
      <c r="I887" s="4">
        <v>376881.2839222525</v>
      </c>
      <c r="J887" s="3">
        <v>0.6180769498932889</v>
      </c>
      <c r="K887" s="3">
        <v>1.6183284819300514</v>
      </c>
      <c r="L887" t="s">
        <v>54</v>
      </c>
    </row>
    <row r="888" spans="1:12" x14ac:dyDescent="0.25">
      <c r="A888" t="s">
        <v>487</v>
      </c>
      <c r="B888" t="s">
        <v>455</v>
      </c>
      <c r="C888" t="s">
        <v>477</v>
      </c>
      <c r="D888" t="s">
        <v>310</v>
      </c>
      <c r="E888" t="s">
        <v>314</v>
      </c>
      <c r="F888">
        <v>2</v>
      </c>
      <c r="G888" t="s">
        <v>498</v>
      </c>
      <c r="H888" s="4">
        <v>986799</v>
      </c>
      <c r="I888" s="4">
        <v>370131</v>
      </c>
      <c r="J888" s="3">
        <v>0.6249175363979899</v>
      </c>
      <c r="K888" s="3">
        <v>1.6660803877546058</v>
      </c>
      <c r="L888" t="s">
        <v>54</v>
      </c>
    </row>
    <row r="889" spans="1:12" x14ac:dyDescent="0.25">
      <c r="A889" t="s">
        <v>487</v>
      </c>
      <c r="B889" t="s">
        <v>455</v>
      </c>
      <c r="C889" t="s">
        <v>477</v>
      </c>
      <c r="D889" t="s">
        <v>310</v>
      </c>
      <c r="E889" t="s">
        <v>314</v>
      </c>
      <c r="F889">
        <v>2</v>
      </c>
      <c r="G889" t="s">
        <v>499</v>
      </c>
      <c r="H889" s="4">
        <v>986799</v>
      </c>
      <c r="I889" s="4">
        <v>899134</v>
      </c>
      <c r="J889" s="3">
        <v>0.08883774709945998</v>
      </c>
      <c r="K889" s="3">
        <v>0.0974993716175787</v>
      </c>
      <c r="L889" t="s">
        <v>54</v>
      </c>
    </row>
    <row r="890" spans="1:12" x14ac:dyDescent="0.25">
      <c r="A890" t="s">
        <v>487</v>
      </c>
      <c r="B890" t="s">
        <v>455</v>
      </c>
      <c r="C890" t="s">
        <v>477</v>
      </c>
      <c r="D890" t="s">
        <v>310</v>
      </c>
      <c r="E890" t="s">
        <v>316</v>
      </c>
      <c r="F890">
        <v>3</v>
      </c>
      <c r="G890" t="s">
        <v>488</v>
      </c>
      <c r="H890" s="4">
        <v>752768</v>
      </c>
      <c r="I890" s="4">
        <v>172492.4962791048</v>
      </c>
      <c r="J890" s="3">
        <v>0.7708557001903577</v>
      </c>
      <c r="K890" s="3">
        <v>3.364062299741835</v>
      </c>
      <c r="L890" t="s">
        <v>54</v>
      </c>
    </row>
    <row r="891" spans="1:12" x14ac:dyDescent="0.25">
      <c r="A891" t="s">
        <v>487</v>
      </c>
      <c r="B891" t="s">
        <v>455</v>
      </c>
      <c r="C891" t="s">
        <v>477</v>
      </c>
      <c r="D891" t="s">
        <v>310</v>
      </c>
      <c r="E891" t="s">
        <v>316</v>
      </c>
      <c r="F891">
        <v>3</v>
      </c>
      <c r="G891" t="s">
        <v>498</v>
      </c>
      <c r="H891" s="4">
        <v>752768</v>
      </c>
      <c r="I891" s="4">
        <v>169403</v>
      </c>
      <c r="J891" s="3">
        <v>0.7749598813977214</v>
      </c>
      <c r="K891" s="3">
        <v>3.443652119502016</v>
      </c>
      <c r="L891" t="s">
        <v>54</v>
      </c>
    </row>
    <row r="892" spans="1:12" x14ac:dyDescent="0.25">
      <c r="A892" t="s">
        <v>487</v>
      </c>
      <c r="B892" t="s">
        <v>455</v>
      </c>
      <c r="C892" t="s">
        <v>477</v>
      </c>
      <c r="D892" t="s">
        <v>310</v>
      </c>
      <c r="E892" t="s">
        <v>316</v>
      </c>
      <c r="F892">
        <v>3</v>
      </c>
      <c r="G892" t="s">
        <v>499</v>
      </c>
      <c r="H892" s="4">
        <v>752768</v>
      </c>
      <c r="I892" s="4">
        <v>899134</v>
      </c>
      <c r="J892" s="3">
        <v>0.1944370642747832</v>
      </c>
      <c r="K892" s="3">
        <v>-0.16278552473824814</v>
      </c>
      <c r="L892" t="s">
        <v>54</v>
      </c>
    </row>
    <row r="893" spans="1:12" x14ac:dyDescent="0.25">
      <c r="A893" t="s">
        <v>487</v>
      </c>
      <c r="B893" t="s">
        <v>455</v>
      </c>
      <c r="C893" t="s">
        <v>477</v>
      </c>
      <c r="D893" t="s">
        <v>312</v>
      </c>
      <c r="E893" t="s">
        <v>314</v>
      </c>
      <c r="F893">
        <v>1</v>
      </c>
      <c r="G893" t="s">
        <v>488</v>
      </c>
      <c r="H893" s="4">
        <v>986799</v>
      </c>
      <c r="I893" s="4">
        <v>339243.2231403099</v>
      </c>
      <c r="J893" s="3">
        <v>0.6562185175093308</v>
      </c>
      <c r="K893" s="3">
        <v>1.908824503155552</v>
      </c>
      <c r="L893" t="s">
        <v>54</v>
      </c>
    </row>
    <row r="894" spans="1:12" x14ac:dyDescent="0.25">
      <c r="A894" t="s">
        <v>487</v>
      </c>
      <c r="B894" t="s">
        <v>455</v>
      </c>
      <c r="C894" t="s">
        <v>477</v>
      </c>
      <c r="D894" t="s">
        <v>312</v>
      </c>
      <c r="E894" t="s">
        <v>314</v>
      </c>
      <c r="F894">
        <v>1</v>
      </c>
      <c r="G894" t="s">
        <v>498</v>
      </c>
      <c r="H894" s="4">
        <v>986799</v>
      </c>
      <c r="I894" s="4">
        <v>370131</v>
      </c>
      <c r="J894" s="3">
        <v>0.6249175363979899</v>
      </c>
      <c r="K894" s="3">
        <v>1.6660803877546058</v>
      </c>
      <c r="L894" t="s">
        <v>54</v>
      </c>
    </row>
    <row r="895" spans="1:12" x14ac:dyDescent="0.25">
      <c r="A895" t="s">
        <v>487</v>
      </c>
      <c r="B895" t="s">
        <v>455</v>
      </c>
      <c r="C895" t="s">
        <v>477</v>
      </c>
      <c r="D895" t="s">
        <v>312</v>
      </c>
      <c r="E895" t="s">
        <v>314</v>
      </c>
      <c r="F895">
        <v>1</v>
      </c>
      <c r="G895" t="s">
        <v>499</v>
      </c>
      <c r="H895" s="4">
        <v>986799</v>
      </c>
      <c r="I895" s="4">
        <v>626773</v>
      </c>
      <c r="J895" s="3">
        <v>0.36484228297758714</v>
      </c>
      <c r="K895" s="3">
        <v>0.5744121077327836</v>
      </c>
      <c r="L895" t="s">
        <v>54</v>
      </c>
    </row>
    <row r="896" spans="1:12" x14ac:dyDescent="0.25">
      <c r="A896" t="s">
        <v>487</v>
      </c>
      <c r="B896" t="s">
        <v>455</v>
      </c>
      <c r="C896" t="s">
        <v>477</v>
      </c>
      <c r="D896" t="s">
        <v>312</v>
      </c>
      <c r="E896" t="s">
        <v>316</v>
      </c>
      <c r="F896">
        <v>2</v>
      </c>
      <c r="G896" t="s">
        <v>488</v>
      </c>
      <c r="H896" s="4">
        <v>752768</v>
      </c>
      <c r="I896" s="4">
        <v>155266.1617903875</v>
      </c>
      <c r="J896" s="3">
        <v>0.7937396890006118</v>
      </c>
      <c r="K896" s="3">
        <v>3.8482424716355923</v>
      </c>
      <c r="L896" t="s">
        <v>54</v>
      </c>
    </row>
    <row r="897" spans="1:12" x14ac:dyDescent="0.25">
      <c r="A897" t="s">
        <v>487</v>
      </c>
      <c r="B897" t="s">
        <v>455</v>
      </c>
      <c r="C897" t="s">
        <v>477</v>
      </c>
      <c r="D897" t="s">
        <v>312</v>
      </c>
      <c r="E897" t="s">
        <v>316</v>
      </c>
      <c r="F897">
        <v>2</v>
      </c>
      <c r="G897" t="s">
        <v>498</v>
      </c>
      <c r="H897" s="4">
        <v>752768</v>
      </c>
      <c r="I897" s="4">
        <v>169403</v>
      </c>
      <c r="J897" s="3">
        <v>0.7749598813977214</v>
      </c>
      <c r="K897" s="3">
        <v>3.443652119502016</v>
      </c>
      <c r="L897" t="s">
        <v>54</v>
      </c>
    </row>
    <row r="898" spans="1:12" x14ac:dyDescent="0.25">
      <c r="A898" t="s">
        <v>487</v>
      </c>
      <c r="B898" t="s">
        <v>455</v>
      </c>
      <c r="C898" t="s">
        <v>477</v>
      </c>
      <c r="D898" t="s">
        <v>312</v>
      </c>
      <c r="E898" t="s">
        <v>316</v>
      </c>
      <c r="F898">
        <v>2</v>
      </c>
      <c r="G898" t="s">
        <v>499</v>
      </c>
      <c r="H898" s="4">
        <v>752768</v>
      </c>
      <c r="I898" s="4">
        <v>626773</v>
      </c>
      <c r="J898" s="3">
        <v>0.1673756057643258</v>
      </c>
      <c r="K898" s="3">
        <v>0.20102174152364571</v>
      </c>
      <c r="L898" t="s">
        <v>54</v>
      </c>
    </row>
    <row r="899" spans="1:12" x14ac:dyDescent="0.25">
      <c r="A899" t="s">
        <v>487</v>
      </c>
      <c r="B899" t="s">
        <v>455</v>
      </c>
      <c r="C899" t="s">
        <v>477</v>
      </c>
      <c r="D899" t="s">
        <v>312</v>
      </c>
      <c r="E899" t="s">
        <v>318</v>
      </c>
      <c r="F899">
        <v>3</v>
      </c>
      <c r="G899" t="s">
        <v>488</v>
      </c>
      <c r="H899" s="4">
        <v>610306</v>
      </c>
      <c r="I899" s="4">
        <v>336636.5575905153</v>
      </c>
      <c r="J899" s="3">
        <v>0.4484134883312383</v>
      </c>
      <c r="K899" s="3">
        <v>0.8129522365850004</v>
      </c>
      <c r="L899" t="s">
        <v>54</v>
      </c>
    </row>
    <row r="900" spans="1:12" x14ac:dyDescent="0.25">
      <c r="A900" t="s">
        <v>487</v>
      </c>
      <c r="B900" t="s">
        <v>455</v>
      </c>
      <c r="C900" t="s">
        <v>477</v>
      </c>
      <c r="D900" t="s">
        <v>312</v>
      </c>
      <c r="E900" t="s">
        <v>318</v>
      </c>
      <c r="F900">
        <v>3</v>
      </c>
      <c r="G900" t="s">
        <v>498</v>
      </c>
      <c r="H900" s="4">
        <v>610306</v>
      </c>
      <c r="I900" s="4">
        <v>367287</v>
      </c>
      <c r="J900" s="3">
        <v>0.39819205447758993</v>
      </c>
      <c r="K900" s="3">
        <v>0.6616596830271695</v>
      </c>
      <c r="L900" t="s">
        <v>54</v>
      </c>
    </row>
    <row r="901" spans="1:12" x14ac:dyDescent="0.25">
      <c r="A901" t="s">
        <v>487</v>
      </c>
      <c r="B901" t="s">
        <v>455</v>
      </c>
      <c r="C901" t="s">
        <v>477</v>
      </c>
      <c r="D901" t="s">
        <v>312</v>
      </c>
      <c r="E901" t="s">
        <v>318</v>
      </c>
      <c r="F901">
        <v>3</v>
      </c>
      <c r="G901" t="s">
        <v>499</v>
      </c>
      <c r="H901" s="4">
        <v>610306</v>
      </c>
      <c r="I901" s="4">
        <v>626773</v>
      </c>
      <c r="J901" s="3">
        <v>0.02698154696168807</v>
      </c>
      <c r="K901" s="3">
        <v>-0.026272669690621645</v>
      </c>
      <c r="L901" t="s">
        <v>54</v>
      </c>
    </row>
    <row r="902" spans="1:12" x14ac:dyDescent="0.25">
      <c r="A902" t="s">
        <v>487</v>
      </c>
      <c r="B902" t="s">
        <v>455</v>
      </c>
      <c r="C902" t="s">
        <v>477</v>
      </c>
      <c r="D902" t="s">
        <v>314</v>
      </c>
      <c r="E902" t="s">
        <v>316</v>
      </c>
      <c r="F902">
        <v>1</v>
      </c>
      <c r="G902" t="s">
        <v>488</v>
      </c>
      <c r="H902" s="4">
        <v>752768</v>
      </c>
      <c r="I902" s="4">
        <v>186077.66070006473</v>
      </c>
      <c r="J902" s="3">
        <v>0.7528087528958926</v>
      </c>
      <c r="K902" s="3">
        <v>3.045450685310223</v>
      </c>
      <c r="L902" t="s">
        <v>54</v>
      </c>
    </row>
    <row r="903" spans="1:12" x14ac:dyDescent="0.25">
      <c r="A903" t="s">
        <v>487</v>
      </c>
      <c r="B903" t="s">
        <v>455</v>
      </c>
      <c r="C903" t="s">
        <v>477</v>
      </c>
      <c r="D903" t="s">
        <v>314</v>
      </c>
      <c r="E903" t="s">
        <v>316</v>
      </c>
      <c r="F903">
        <v>1</v>
      </c>
      <c r="G903" t="s">
        <v>498</v>
      </c>
      <c r="H903" s="4">
        <v>752768</v>
      </c>
      <c r="I903" s="4">
        <v>169403</v>
      </c>
      <c r="J903" s="3">
        <v>0.7749598813977214</v>
      </c>
      <c r="K903" s="3">
        <v>3.443652119502016</v>
      </c>
      <c r="L903" t="s">
        <v>54</v>
      </c>
    </row>
    <row r="904" spans="1:12" x14ac:dyDescent="0.25">
      <c r="A904" t="s">
        <v>487</v>
      </c>
      <c r="B904" t="s">
        <v>455</v>
      </c>
      <c r="C904" t="s">
        <v>477</v>
      </c>
      <c r="D904" t="s">
        <v>314</v>
      </c>
      <c r="E904" t="s">
        <v>316</v>
      </c>
      <c r="F904">
        <v>1</v>
      </c>
      <c r="G904" t="s">
        <v>499</v>
      </c>
      <c r="H904" s="4">
        <v>752768</v>
      </c>
      <c r="I904" s="4">
        <v>986799</v>
      </c>
      <c r="J904" s="3">
        <v>0.31089392747832</v>
      </c>
      <c r="K904" s="3">
        <v>-0.23716177255955873</v>
      </c>
      <c r="L904" t="s">
        <v>54</v>
      </c>
    </row>
    <row r="905" spans="1:12" x14ac:dyDescent="0.25">
      <c r="A905" t="s">
        <v>487</v>
      </c>
      <c r="B905" t="s">
        <v>455</v>
      </c>
      <c r="C905" t="s">
        <v>477</v>
      </c>
      <c r="D905" t="s">
        <v>314</v>
      </c>
      <c r="E905" t="s">
        <v>318</v>
      </c>
      <c r="F905">
        <v>2</v>
      </c>
      <c r="G905" t="s">
        <v>488</v>
      </c>
      <c r="H905" s="4">
        <v>610306</v>
      </c>
      <c r="I905" s="4">
        <v>403439.7606036769</v>
      </c>
      <c r="J905" s="3">
        <v>0.3389549494783323</v>
      </c>
      <c r="K905" s="3">
        <v>0.5127562020331958</v>
      </c>
      <c r="L905" t="s">
        <v>54</v>
      </c>
    </row>
    <row r="906" spans="1:12" x14ac:dyDescent="0.25">
      <c r="A906" t="s">
        <v>487</v>
      </c>
      <c r="B906" t="s">
        <v>455</v>
      </c>
      <c r="C906" t="s">
        <v>477</v>
      </c>
      <c r="D906" t="s">
        <v>314</v>
      </c>
      <c r="E906" t="s">
        <v>318</v>
      </c>
      <c r="F906">
        <v>2</v>
      </c>
      <c r="G906" t="s">
        <v>498</v>
      </c>
      <c r="H906" s="4">
        <v>610306</v>
      </c>
      <c r="I906" s="4">
        <v>367287</v>
      </c>
      <c r="J906" s="3">
        <v>0.39819205447758993</v>
      </c>
      <c r="K906" s="3">
        <v>0.6616596830271695</v>
      </c>
      <c r="L906" t="s">
        <v>54</v>
      </c>
    </row>
    <row r="907" spans="1:12" x14ac:dyDescent="0.25">
      <c r="A907" t="s">
        <v>487</v>
      </c>
      <c r="B907" t="s">
        <v>455</v>
      </c>
      <c r="C907" t="s">
        <v>477</v>
      </c>
      <c r="D907" t="s">
        <v>314</v>
      </c>
      <c r="E907" t="s">
        <v>318</v>
      </c>
      <c r="F907">
        <v>2</v>
      </c>
      <c r="G907" t="s">
        <v>499</v>
      </c>
      <c r="H907" s="4">
        <v>610306</v>
      </c>
      <c r="I907" s="4">
        <v>986799</v>
      </c>
      <c r="J907" s="3">
        <v>0.616892181954626</v>
      </c>
      <c r="K907" s="3">
        <v>-0.38152957187836634</v>
      </c>
      <c r="L907" t="s">
        <v>54</v>
      </c>
    </row>
    <row r="908" spans="1:12" x14ac:dyDescent="0.25">
      <c r="A908" t="s">
        <v>487</v>
      </c>
      <c r="B908" t="s">
        <v>455</v>
      </c>
      <c r="C908" t="s">
        <v>477</v>
      </c>
      <c r="D908" t="s">
        <v>314</v>
      </c>
      <c r="E908" t="s">
        <v>320</v>
      </c>
      <c r="F908">
        <v>3</v>
      </c>
      <c r="G908" t="s">
        <v>488</v>
      </c>
      <c r="H908" s="4">
        <v>1065275</v>
      </c>
      <c r="I908" s="4">
        <v>899569.5994262417</v>
      </c>
      <c r="J908" s="3">
        <v>0.15555175947408725</v>
      </c>
      <c r="K908" s="3">
        <v>0.1842052028875226</v>
      </c>
      <c r="L908" t="s">
        <v>54</v>
      </c>
    </row>
    <row r="909" spans="1:12" x14ac:dyDescent="0.25">
      <c r="A909" t="s">
        <v>487</v>
      </c>
      <c r="B909" t="s">
        <v>455</v>
      </c>
      <c r="C909" t="s">
        <v>477</v>
      </c>
      <c r="D909" t="s">
        <v>314</v>
      </c>
      <c r="E909" t="s">
        <v>320</v>
      </c>
      <c r="F909">
        <v>3</v>
      </c>
      <c r="G909" t="s">
        <v>498</v>
      </c>
      <c r="H909" s="4">
        <v>1065275</v>
      </c>
      <c r="I909" s="4">
        <v>818958</v>
      </c>
      <c r="J909" s="3">
        <v>0.23122386238295276</v>
      </c>
      <c r="K909" s="3">
        <v>0.30076878179344974</v>
      </c>
      <c r="L909" t="s">
        <v>54</v>
      </c>
    </row>
    <row r="910" spans="1:12" x14ac:dyDescent="0.25">
      <c r="A910" t="s">
        <v>487</v>
      </c>
      <c r="B910" t="s">
        <v>455</v>
      </c>
      <c r="C910" t="s">
        <v>477</v>
      </c>
      <c r="D910" t="s">
        <v>314</v>
      </c>
      <c r="E910" t="s">
        <v>320</v>
      </c>
      <c r="F910">
        <v>3</v>
      </c>
      <c r="G910" t="s">
        <v>499</v>
      </c>
      <c r="H910" s="4">
        <v>1065275</v>
      </c>
      <c r="I910" s="4">
        <v>986799</v>
      </c>
      <c r="J910" s="3">
        <v>0.07366736288751731</v>
      </c>
      <c r="K910" s="3">
        <v>0.07952582035449975</v>
      </c>
      <c r="L910" t="s">
        <v>54</v>
      </c>
    </row>
    <row r="911" spans="1:12" x14ac:dyDescent="0.25">
      <c r="A911" t="s">
        <v>487</v>
      </c>
      <c r="B911" t="s">
        <v>455</v>
      </c>
      <c r="C911" t="s">
        <v>477</v>
      </c>
      <c r="D911" t="s">
        <v>316</v>
      </c>
      <c r="E911" t="s">
        <v>318</v>
      </c>
      <c r="F911">
        <v>1</v>
      </c>
      <c r="G911" t="s">
        <v>488</v>
      </c>
      <c r="H911" s="4">
        <v>610306</v>
      </c>
      <c r="I911" s="4">
        <v>532375.1298257154</v>
      </c>
      <c r="J911" s="3">
        <v>0.1276914698106926</v>
      </c>
      <c r="K911" s="3">
        <v>0.14638337857705133</v>
      </c>
      <c r="L911" t="s">
        <v>54</v>
      </c>
    </row>
    <row r="912" spans="1:12" x14ac:dyDescent="0.25">
      <c r="A912" t="s">
        <v>487</v>
      </c>
      <c r="B912" t="s">
        <v>455</v>
      </c>
      <c r="C912" t="s">
        <v>477</v>
      </c>
      <c r="D912" t="s">
        <v>316</v>
      </c>
      <c r="E912" t="s">
        <v>318</v>
      </c>
      <c r="F912">
        <v>1</v>
      </c>
      <c r="G912" t="s">
        <v>498</v>
      </c>
      <c r="H912" s="4">
        <v>610306</v>
      </c>
      <c r="I912" s="4">
        <v>367287</v>
      </c>
      <c r="J912" s="3">
        <v>0.39819205447758993</v>
      </c>
      <c r="K912" s="3">
        <v>0.6616596830271695</v>
      </c>
      <c r="L912" t="s">
        <v>54</v>
      </c>
    </row>
    <row r="913" spans="1:12" x14ac:dyDescent="0.25">
      <c r="A913" t="s">
        <v>487</v>
      </c>
      <c r="B913" t="s">
        <v>455</v>
      </c>
      <c r="C913" t="s">
        <v>477</v>
      </c>
      <c r="D913" t="s">
        <v>316</v>
      </c>
      <c r="E913" t="s">
        <v>318</v>
      </c>
      <c r="F913">
        <v>1</v>
      </c>
      <c r="G913" t="s">
        <v>499</v>
      </c>
      <c r="H913" s="4">
        <v>610306</v>
      </c>
      <c r="I913" s="4">
        <v>752768</v>
      </c>
      <c r="J913" s="3">
        <v>0.23342716604457436</v>
      </c>
      <c r="K913" s="3">
        <v>-0.1892508714504336</v>
      </c>
      <c r="L913" t="s">
        <v>54</v>
      </c>
    </row>
    <row r="914" spans="1:12" x14ac:dyDescent="0.25">
      <c r="A914" t="s">
        <v>487</v>
      </c>
      <c r="B914" t="s">
        <v>455</v>
      </c>
      <c r="C914" t="s">
        <v>477</v>
      </c>
      <c r="D914" t="s">
        <v>316</v>
      </c>
      <c r="E914" t="s">
        <v>320</v>
      </c>
      <c r="F914">
        <v>2</v>
      </c>
      <c r="G914" t="s">
        <v>488</v>
      </c>
      <c r="H914" s="4">
        <v>1065275</v>
      </c>
      <c r="I914" s="4">
        <v>1187063.1728642948</v>
      </c>
      <c r="J914" s="3">
        <v>0.11432557120395657</v>
      </c>
      <c r="K914" s="3">
        <v>-0.10259620182675626</v>
      </c>
      <c r="L914" t="s">
        <v>54</v>
      </c>
    </row>
    <row r="915" spans="1:12" x14ac:dyDescent="0.25">
      <c r="A915" t="s">
        <v>487</v>
      </c>
      <c r="B915" t="s">
        <v>455</v>
      </c>
      <c r="C915" t="s">
        <v>477</v>
      </c>
      <c r="D915" t="s">
        <v>316</v>
      </c>
      <c r="E915" t="s">
        <v>320</v>
      </c>
      <c r="F915">
        <v>2</v>
      </c>
      <c r="G915" t="s">
        <v>498</v>
      </c>
      <c r="H915" s="4">
        <v>1065275</v>
      </c>
      <c r="I915" s="4">
        <v>818958</v>
      </c>
      <c r="J915" s="3">
        <v>0.23122386238295276</v>
      </c>
      <c r="K915" s="3">
        <v>0.30076878179344974</v>
      </c>
      <c r="L915" t="s">
        <v>54</v>
      </c>
    </row>
    <row r="916" spans="1:12" x14ac:dyDescent="0.25">
      <c r="A916" t="s">
        <v>487</v>
      </c>
      <c r="B916" t="s">
        <v>455</v>
      </c>
      <c r="C916" t="s">
        <v>477</v>
      </c>
      <c r="D916" t="s">
        <v>316</v>
      </c>
      <c r="E916" t="s">
        <v>320</v>
      </c>
      <c r="F916">
        <v>2</v>
      </c>
      <c r="G916" t="s">
        <v>499</v>
      </c>
      <c r="H916" s="4">
        <v>1065275</v>
      </c>
      <c r="I916" s="4">
        <v>752768</v>
      </c>
      <c r="J916" s="3">
        <v>0.29335805308488416</v>
      </c>
      <c r="K916" s="3">
        <v>0.4151438424587655</v>
      </c>
      <c r="L916" t="s">
        <v>54</v>
      </c>
    </row>
    <row r="917" spans="1:12" x14ac:dyDescent="0.25">
      <c r="A917" t="s">
        <v>487</v>
      </c>
      <c r="B917" t="s">
        <v>455</v>
      </c>
      <c r="C917" t="s">
        <v>477</v>
      </c>
      <c r="D917" t="s">
        <v>316</v>
      </c>
      <c r="E917" t="s">
        <v>322</v>
      </c>
      <c r="F917">
        <v>3</v>
      </c>
      <c r="G917" t="s">
        <v>488</v>
      </c>
      <c r="H917" s="4">
        <v>541103</v>
      </c>
      <c r="I917" s="4">
        <v>1028972.7468903253</v>
      </c>
      <c r="J917" s="3">
        <v>0.901620850171456</v>
      </c>
      <c r="K917" s="3">
        <v>-0.4741328167968725</v>
      </c>
      <c r="L917" t="s">
        <v>54</v>
      </c>
    </row>
    <row r="918" spans="1:12" x14ac:dyDescent="0.25">
      <c r="A918" t="s">
        <v>487</v>
      </c>
      <c r="B918" t="s">
        <v>455</v>
      </c>
      <c r="C918" t="s">
        <v>477</v>
      </c>
      <c r="D918" t="s">
        <v>316</v>
      </c>
      <c r="E918" t="s">
        <v>322</v>
      </c>
      <c r="F918">
        <v>3</v>
      </c>
      <c r="G918" t="s">
        <v>498</v>
      </c>
      <c r="H918" s="4">
        <v>541103</v>
      </c>
      <c r="I918" s="4">
        <v>709891</v>
      </c>
      <c r="J918" s="3">
        <v>0.3119332178901244</v>
      </c>
      <c r="K918" s="3">
        <v>-0.2377660795812315</v>
      </c>
      <c r="L918" t="s">
        <v>54</v>
      </c>
    </row>
    <row r="919" spans="1:12" x14ac:dyDescent="0.25">
      <c r="A919" t="s">
        <v>487</v>
      </c>
      <c r="B919" t="s">
        <v>455</v>
      </c>
      <c r="C919" t="s">
        <v>477</v>
      </c>
      <c r="D919" t="s">
        <v>316</v>
      </c>
      <c r="E919" t="s">
        <v>322</v>
      </c>
      <c r="F919">
        <v>3</v>
      </c>
      <c r="G919" t="s">
        <v>499</v>
      </c>
      <c r="H919" s="4">
        <v>541103</v>
      </c>
      <c r="I919" s="4">
        <v>752768</v>
      </c>
      <c r="J919" s="3">
        <v>0.391173214711432</v>
      </c>
      <c r="K919" s="3">
        <v>-0.2811822500425098</v>
      </c>
      <c r="L919" t="s">
        <v>54</v>
      </c>
    </row>
    <row r="920" spans="1:12" x14ac:dyDescent="0.25">
      <c r="A920" t="s">
        <v>487</v>
      </c>
      <c r="B920" t="s">
        <v>455</v>
      </c>
      <c r="C920" t="s">
        <v>477</v>
      </c>
      <c r="D920" t="s">
        <v>318</v>
      </c>
      <c r="E920" t="s">
        <v>320</v>
      </c>
      <c r="F920">
        <v>1</v>
      </c>
      <c r="G920" t="s">
        <v>488</v>
      </c>
      <c r="H920" s="4">
        <v>1065275</v>
      </c>
      <c r="I920" s="4">
        <v>1257194.881971335</v>
      </c>
      <c r="J920" s="3">
        <v>0.18015994177215747</v>
      </c>
      <c r="K920" s="3">
        <v>-0.15265722500428613</v>
      </c>
      <c r="L920" t="s">
        <v>54</v>
      </c>
    </row>
    <row r="921" spans="1:12" x14ac:dyDescent="0.25">
      <c r="A921" t="s">
        <v>487</v>
      </c>
      <c r="B921" t="s">
        <v>455</v>
      </c>
      <c r="C921" t="s">
        <v>477</v>
      </c>
      <c r="D921" t="s">
        <v>318</v>
      </c>
      <c r="E921" t="s">
        <v>320</v>
      </c>
      <c r="F921">
        <v>1</v>
      </c>
      <c r="G921" t="s">
        <v>498</v>
      </c>
      <c r="H921" s="4">
        <v>1065275</v>
      </c>
      <c r="I921" s="4">
        <v>818958</v>
      </c>
      <c r="J921" s="3">
        <v>0.23122386238295276</v>
      </c>
      <c r="K921" s="3">
        <v>0.30076878179344974</v>
      </c>
      <c r="L921" t="s">
        <v>54</v>
      </c>
    </row>
    <row r="922" spans="1:12" x14ac:dyDescent="0.25">
      <c r="A922" t="s">
        <v>487</v>
      </c>
      <c r="B922" t="s">
        <v>455</v>
      </c>
      <c r="C922" t="s">
        <v>477</v>
      </c>
      <c r="D922" t="s">
        <v>318</v>
      </c>
      <c r="E922" t="s">
        <v>320</v>
      </c>
      <c r="F922">
        <v>1</v>
      </c>
      <c r="G922" t="s">
        <v>499</v>
      </c>
      <c r="H922" s="4">
        <v>1065275</v>
      </c>
      <c r="I922" s="4">
        <v>610306</v>
      </c>
      <c r="J922" s="3">
        <v>0.4270906573420009</v>
      </c>
      <c r="K922" s="3">
        <v>0.7454768591493448</v>
      </c>
      <c r="L922" t="s">
        <v>54</v>
      </c>
    </row>
    <row r="923" spans="1:12" x14ac:dyDescent="0.25">
      <c r="A923" t="s">
        <v>487</v>
      </c>
      <c r="B923" t="s">
        <v>455</v>
      </c>
      <c r="C923" t="s">
        <v>477</v>
      </c>
      <c r="D923" t="s">
        <v>318</v>
      </c>
      <c r="E923" t="s">
        <v>322</v>
      </c>
      <c r="F923">
        <v>2</v>
      </c>
      <c r="G923" t="s">
        <v>488</v>
      </c>
      <c r="H923" s="4">
        <v>541103</v>
      </c>
      <c r="I923" s="4">
        <v>1089764.4713862163</v>
      </c>
      <c r="J923" s="3">
        <v>1.0139686369992706</v>
      </c>
      <c r="K923" s="3">
        <v>-0.5034679380658289</v>
      </c>
      <c r="L923" t="s">
        <v>54</v>
      </c>
    </row>
    <row r="924" spans="1:12" x14ac:dyDescent="0.25">
      <c r="A924" t="s">
        <v>487</v>
      </c>
      <c r="B924" t="s">
        <v>455</v>
      </c>
      <c r="C924" t="s">
        <v>477</v>
      </c>
      <c r="D924" t="s">
        <v>318</v>
      </c>
      <c r="E924" t="s">
        <v>322</v>
      </c>
      <c r="F924">
        <v>2</v>
      </c>
      <c r="G924" t="s">
        <v>498</v>
      </c>
      <c r="H924" s="4">
        <v>541103</v>
      </c>
      <c r="I924" s="4">
        <v>709891</v>
      </c>
      <c r="J924" s="3">
        <v>0.3119332178901244</v>
      </c>
      <c r="K924" s="3">
        <v>-0.2377660795812315</v>
      </c>
      <c r="L924" t="s">
        <v>54</v>
      </c>
    </row>
    <row r="925" spans="1:12" x14ac:dyDescent="0.25">
      <c r="A925" t="s">
        <v>487</v>
      </c>
      <c r="B925" t="s">
        <v>455</v>
      </c>
      <c r="C925" t="s">
        <v>477</v>
      </c>
      <c r="D925" t="s">
        <v>318</v>
      </c>
      <c r="E925" t="s">
        <v>322</v>
      </c>
      <c r="F925">
        <v>2</v>
      </c>
      <c r="G925" t="s">
        <v>499</v>
      </c>
      <c r="H925" s="4">
        <v>541103</v>
      </c>
      <c r="I925" s="4">
        <v>610306</v>
      </c>
      <c r="J925" s="3">
        <v>0.12789247148879235</v>
      </c>
      <c r="K925" s="3">
        <v>-0.11339065976739537</v>
      </c>
      <c r="L925" t="s">
        <v>54</v>
      </c>
    </row>
    <row r="926" spans="1:12" x14ac:dyDescent="0.25">
      <c r="A926" t="s">
        <v>487</v>
      </c>
      <c r="B926" t="s">
        <v>455</v>
      </c>
      <c r="C926" t="s">
        <v>477</v>
      </c>
      <c r="D926" t="s">
        <v>318</v>
      </c>
      <c r="E926" t="s">
        <v>324</v>
      </c>
      <c r="F926">
        <v>3</v>
      </c>
      <c r="G926" t="s">
        <v>488</v>
      </c>
      <c r="H926" s="4">
        <v>577470</v>
      </c>
      <c r="I926" s="4">
        <v>1161072.1079957255</v>
      </c>
      <c r="J926" s="3">
        <v>1.0106189204559985</v>
      </c>
      <c r="K926" s="3">
        <v>-0.5026407093726121</v>
      </c>
      <c r="L926" t="s">
        <v>54</v>
      </c>
    </row>
    <row r="927" spans="1:12" x14ac:dyDescent="0.25">
      <c r="A927" t="s">
        <v>487</v>
      </c>
      <c r="B927" t="s">
        <v>455</v>
      </c>
      <c r="C927" t="s">
        <v>477</v>
      </c>
      <c r="D927" t="s">
        <v>318</v>
      </c>
      <c r="E927" t="s">
        <v>324</v>
      </c>
      <c r="F927">
        <v>3</v>
      </c>
      <c r="G927" t="s">
        <v>498</v>
      </c>
      <c r="H927" s="4">
        <v>577470</v>
      </c>
      <c r="I927" s="4">
        <v>756342</v>
      </c>
      <c r="J927" s="3">
        <v>0.3097511559042028</v>
      </c>
      <c r="K927" s="3">
        <v>-0.2364961882323076</v>
      </c>
      <c r="L927" t="s">
        <v>54</v>
      </c>
    </row>
    <row r="928" spans="1:12" x14ac:dyDescent="0.25">
      <c r="A928" t="s">
        <v>487</v>
      </c>
      <c r="B928" t="s">
        <v>455</v>
      </c>
      <c r="C928" t="s">
        <v>477</v>
      </c>
      <c r="D928" t="s">
        <v>318</v>
      </c>
      <c r="E928" t="s">
        <v>324</v>
      </c>
      <c r="F928">
        <v>3</v>
      </c>
      <c r="G928" t="s">
        <v>499</v>
      </c>
      <c r="H928" s="4">
        <v>577470</v>
      </c>
      <c r="I928" s="4">
        <v>610306</v>
      </c>
      <c r="J928" s="3">
        <v>0.05686182832008589</v>
      </c>
      <c r="K928" s="3">
        <v>-0.05380251873650267</v>
      </c>
      <c r="L928" t="s">
        <v>54</v>
      </c>
    </row>
    <row r="929" spans="1:12" x14ac:dyDescent="0.25">
      <c r="A929" t="s">
        <v>487</v>
      </c>
      <c r="B929" t="s">
        <v>455</v>
      </c>
      <c r="C929" t="s">
        <v>477</v>
      </c>
      <c r="D929" t="s">
        <v>320</v>
      </c>
      <c r="E929" t="s">
        <v>322</v>
      </c>
      <c r="F929">
        <v>1</v>
      </c>
      <c r="G929" t="s">
        <v>488</v>
      </c>
      <c r="H929" s="4">
        <v>541103</v>
      </c>
      <c r="I929" s="4">
        <v>1116371.4007951631</v>
      </c>
      <c r="J929" s="3">
        <v>1.0631402908414167</v>
      </c>
      <c r="K929" s="3">
        <v>-0.5153019867630199</v>
      </c>
      <c r="L929" t="s">
        <v>54</v>
      </c>
    </row>
    <row r="930" spans="1:12" x14ac:dyDescent="0.25">
      <c r="A930" t="s">
        <v>487</v>
      </c>
      <c r="B930" t="s">
        <v>455</v>
      </c>
      <c r="C930" t="s">
        <v>477</v>
      </c>
      <c r="D930" t="s">
        <v>320</v>
      </c>
      <c r="E930" t="s">
        <v>322</v>
      </c>
      <c r="F930">
        <v>1</v>
      </c>
      <c r="G930" t="s">
        <v>498</v>
      </c>
      <c r="H930" s="4">
        <v>541103</v>
      </c>
      <c r="I930" s="4">
        <v>709891</v>
      </c>
      <c r="J930" s="3">
        <v>0.3119332178901244</v>
      </c>
      <c r="K930" s="3">
        <v>-0.2377660795812315</v>
      </c>
      <c r="L930" t="s">
        <v>54</v>
      </c>
    </row>
    <row r="931" spans="1:12" x14ac:dyDescent="0.25">
      <c r="A931" t="s">
        <v>487</v>
      </c>
      <c r="B931" t="s">
        <v>455</v>
      </c>
      <c r="C931" t="s">
        <v>477</v>
      </c>
      <c r="D931" t="s">
        <v>320</v>
      </c>
      <c r="E931" t="s">
        <v>322</v>
      </c>
      <c r="F931">
        <v>1</v>
      </c>
      <c r="G931" t="s">
        <v>499</v>
      </c>
      <c r="H931" s="4">
        <v>541103</v>
      </c>
      <c r="I931" s="4">
        <v>1065275</v>
      </c>
      <c r="J931" s="3">
        <v>0.9687102085924492</v>
      </c>
      <c r="K931" s="3">
        <v>-0.4920532256928962</v>
      </c>
      <c r="L931" t="s">
        <v>54</v>
      </c>
    </row>
    <row r="932" spans="1:12" x14ac:dyDescent="0.25">
      <c r="A932" t="s">
        <v>487</v>
      </c>
      <c r="B932" t="s">
        <v>455</v>
      </c>
      <c r="C932" t="s">
        <v>477</v>
      </c>
      <c r="D932" t="s">
        <v>320</v>
      </c>
      <c r="E932" t="s">
        <v>324</v>
      </c>
      <c r="F932">
        <v>2</v>
      </c>
      <c r="G932" t="s">
        <v>488</v>
      </c>
      <c r="H932" s="4">
        <v>577470</v>
      </c>
      <c r="I932" s="4">
        <v>1189420.034935244</v>
      </c>
      <c r="J932" s="3">
        <v>1.059708789954879</v>
      </c>
      <c r="K932" s="3">
        <v>-0.5144944737445595</v>
      </c>
      <c r="L932" t="s">
        <v>54</v>
      </c>
    </row>
    <row r="933" spans="1:12" x14ac:dyDescent="0.25">
      <c r="A933" t="s">
        <v>487</v>
      </c>
      <c r="B933" t="s">
        <v>455</v>
      </c>
      <c r="C933" t="s">
        <v>477</v>
      </c>
      <c r="D933" t="s">
        <v>320</v>
      </c>
      <c r="E933" t="s">
        <v>324</v>
      </c>
      <c r="F933">
        <v>2</v>
      </c>
      <c r="G933" t="s">
        <v>498</v>
      </c>
      <c r="H933" s="4">
        <v>577470</v>
      </c>
      <c r="I933" s="4">
        <v>756342</v>
      </c>
      <c r="J933" s="3">
        <v>0.3097511559042028</v>
      </c>
      <c r="K933" s="3">
        <v>-0.2364961882323076</v>
      </c>
      <c r="L933" t="s">
        <v>54</v>
      </c>
    </row>
    <row r="934" spans="1:12" x14ac:dyDescent="0.25">
      <c r="A934" t="s">
        <v>487</v>
      </c>
      <c r="B934" t="s">
        <v>455</v>
      </c>
      <c r="C934" t="s">
        <v>477</v>
      </c>
      <c r="D934" t="s">
        <v>320</v>
      </c>
      <c r="E934" t="s">
        <v>324</v>
      </c>
      <c r="F934">
        <v>2</v>
      </c>
      <c r="G934" t="s">
        <v>499</v>
      </c>
      <c r="H934" s="4">
        <v>577470</v>
      </c>
      <c r="I934" s="4">
        <v>1065275</v>
      </c>
      <c r="J934" s="3">
        <v>0.8447278646509775</v>
      </c>
      <c r="K934" s="3">
        <v>-0.45791462298467533</v>
      </c>
      <c r="L934" t="s">
        <v>54</v>
      </c>
    </row>
    <row r="935" spans="1:12" x14ac:dyDescent="0.25">
      <c r="A935" t="s">
        <v>487</v>
      </c>
      <c r="B935" t="s">
        <v>455</v>
      </c>
      <c r="C935" t="s">
        <v>477</v>
      </c>
      <c r="D935" t="s">
        <v>320</v>
      </c>
      <c r="E935" t="s">
        <v>326</v>
      </c>
      <c r="F935">
        <v>3</v>
      </c>
      <c r="G935" t="s">
        <v>488</v>
      </c>
      <c r="H935" s="4">
        <v>1003326</v>
      </c>
      <c r="I935" s="4">
        <v>915978.6998586445</v>
      </c>
      <c r="J935" s="3">
        <v>0.08705774607790039</v>
      </c>
      <c r="K935" s="3">
        <v>0.09535953200094618</v>
      </c>
      <c r="L935" t="s">
        <v>54</v>
      </c>
    </row>
    <row r="936" spans="1:12" x14ac:dyDescent="0.25">
      <c r="A936" t="s">
        <v>487</v>
      </c>
      <c r="B936" t="s">
        <v>455</v>
      </c>
      <c r="C936" t="s">
        <v>477</v>
      </c>
      <c r="D936" t="s">
        <v>320</v>
      </c>
      <c r="E936" t="s">
        <v>326</v>
      </c>
      <c r="F936">
        <v>3</v>
      </c>
      <c r="G936" t="s">
        <v>498</v>
      </c>
      <c r="H936" s="4">
        <v>1003326</v>
      </c>
      <c r="I936" s="4">
        <v>582463</v>
      </c>
      <c r="J936" s="3">
        <v>0.41946784993112907</v>
      </c>
      <c r="K936" s="3">
        <v>0.722557484338061</v>
      </c>
      <c r="L936" t="s">
        <v>54</v>
      </c>
    </row>
    <row r="937" spans="1:12" x14ac:dyDescent="0.25">
      <c r="A937" t="s">
        <v>487</v>
      </c>
      <c r="B937" t="s">
        <v>455</v>
      </c>
      <c r="C937" t="s">
        <v>477</v>
      </c>
      <c r="D937" t="s">
        <v>320</v>
      </c>
      <c r="E937" t="s">
        <v>326</v>
      </c>
      <c r="F937">
        <v>3</v>
      </c>
      <c r="G937" t="s">
        <v>499</v>
      </c>
      <c r="H937" s="4">
        <v>1003326</v>
      </c>
      <c r="I937" s="4">
        <v>1065275</v>
      </c>
      <c r="J937" s="3">
        <v>0.06174364065119413</v>
      </c>
      <c r="K937" s="3">
        <v>-0.058153059069254415</v>
      </c>
      <c r="L937" t="s">
        <v>54</v>
      </c>
    </row>
    <row r="938" spans="1:12" x14ac:dyDescent="0.25">
      <c r="A938" t="s">
        <v>487</v>
      </c>
      <c r="B938" t="s">
        <v>455</v>
      </c>
      <c r="C938" t="s">
        <v>477</v>
      </c>
      <c r="D938" t="s">
        <v>322</v>
      </c>
      <c r="E938" t="s">
        <v>324</v>
      </c>
      <c r="F938">
        <v>1</v>
      </c>
      <c r="G938" t="s">
        <v>488</v>
      </c>
      <c r="H938" s="4">
        <v>577470</v>
      </c>
      <c r="I938" s="4">
        <v>1156148.623122865</v>
      </c>
      <c r="J938" s="3">
        <v>1.002092962617738</v>
      </c>
      <c r="K938" s="3">
        <v>-0.5005226936652835</v>
      </c>
      <c r="L938" t="s">
        <v>54</v>
      </c>
    </row>
    <row r="939" spans="1:12" x14ac:dyDescent="0.25">
      <c r="A939" t="s">
        <v>487</v>
      </c>
      <c r="B939" t="s">
        <v>455</v>
      </c>
      <c r="C939" t="s">
        <v>477</v>
      </c>
      <c r="D939" t="s">
        <v>322</v>
      </c>
      <c r="E939" t="s">
        <v>324</v>
      </c>
      <c r="F939">
        <v>1</v>
      </c>
      <c r="G939" t="s">
        <v>498</v>
      </c>
      <c r="H939" s="4">
        <v>577470</v>
      </c>
      <c r="I939" s="4">
        <v>756342</v>
      </c>
      <c r="J939" s="3">
        <v>0.3097511559042028</v>
      </c>
      <c r="K939" s="3">
        <v>-0.2364961882323076</v>
      </c>
      <c r="L939" t="s">
        <v>54</v>
      </c>
    </row>
    <row r="940" spans="1:12" x14ac:dyDescent="0.25">
      <c r="A940" t="s">
        <v>487</v>
      </c>
      <c r="B940" t="s">
        <v>455</v>
      </c>
      <c r="C940" t="s">
        <v>477</v>
      </c>
      <c r="D940" t="s">
        <v>322</v>
      </c>
      <c r="E940" t="s">
        <v>324</v>
      </c>
      <c r="F940">
        <v>1</v>
      </c>
      <c r="G940" t="s">
        <v>499</v>
      </c>
      <c r="H940" s="4">
        <v>577470</v>
      </c>
      <c r="I940" s="4">
        <v>541103</v>
      </c>
      <c r="J940" s="3">
        <v>0.06297643167610438</v>
      </c>
      <c r="K940" s="3">
        <v>0.06720901565875628</v>
      </c>
      <c r="L940" t="s">
        <v>54</v>
      </c>
    </row>
    <row r="941" spans="1:12" x14ac:dyDescent="0.25">
      <c r="A941" t="s">
        <v>487</v>
      </c>
      <c r="B941" t="s">
        <v>455</v>
      </c>
      <c r="C941" t="s">
        <v>477</v>
      </c>
      <c r="D941" t="s">
        <v>322</v>
      </c>
      <c r="E941" t="s">
        <v>326</v>
      </c>
      <c r="F941">
        <v>2</v>
      </c>
      <c r="G941" t="s">
        <v>488</v>
      </c>
      <c r="H941" s="4">
        <v>1003326</v>
      </c>
      <c r="I941" s="4">
        <v>890356.208527377</v>
      </c>
      <c r="J941" s="3">
        <v>0.1125952995064645</v>
      </c>
      <c r="K941" s="3">
        <v>0.12688156761378877</v>
      </c>
      <c r="L941" t="s">
        <v>54</v>
      </c>
    </row>
    <row r="942" spans="1:12" x14ac:dyDescent="0.25">
      <c r="A942" t="s">
        <v>487</v>
      </c>
      <c r="B942" t="s">
        <v>455</v>
      </c>
      <c r="C942" t="s">
        <v>477</v>
      </c>
      <c r="D942" t="s">
        <v>322</v>
      </c>
      <c r="E942" t="s">
        <v>326</v>
      </c>
      <c r="F942">
        <v>2</v>
      </c>
      <c r="G942" t="s">
        <v>498</v>
      </c>
      <c r="H942" s="4">
        <v>1003326</v>
      </c>
      <c r="I942" s="4">
        <v>582463</v>
      </c>
      <c r="J942" s="3">
        <v>0.41946784993112907</v>
      </c>
      <c r="K942" s="3">
        <v>0.722557484338061</v>
      </c>
      <c r="L942" t="s">
        <v>54</v>
      </c>
    </row>
    <row r="943" spans="1:12" x14ac:dyDescent="0.25">
      <c r="A943" t="s">
        <v>487</v>
      </c>
      <c r="B943" t="s">
        <v>455</v>
      </c>
      <c r="C943" t="s">
        <v>477</v>
      </c>
      <c r="D943" t="s">
        <v>322</v>
      </c>
      <c r="E943" t="s">
        <v>326</v>
      </c>
      <c r="F943">
        <v>2</v>
      </c>
      <c r="G943" t="s">
        <v>499</v>
      </c>
      <c r="H943" s="4">
        <v>1003326</v>
      </c>
      <c r="I943" s="4">
        <v>541103</v>
      </c>
      <c r="J943" s="3">
        <v>0.4606907425901452</v>
      </c>
      <c r="K943" s="3">
        <v>0.8542236875419282</v>
      </c>
      <c r="L943" t="s">
        <v>54</v>
      </c>
    </row>
    <row r="944" spans="1:12" x14ac:dyDescent="0.25">
      <c r="A944" t="s">
        <v>487</v>
      </c>
      <c r="B944" t="s">
        <v>455</v>
      </c>
      <c r="C944" t="s">
        <v>477</v>
      </c>
      <c r="D944" t="s">
        <v>322</v>
      </c>
      <c r="E944" t="s">
        <v>328</v>
      </c>
      <c r="F944">
        <v>3</v>
      </c>
      <c r="G944" t="s">
        <v>488</v>
      </c>
      <c r="H944" s="4">
        <v>793950</v>
      </c>
      <c r="I944" s="4">
        <v>920922.2062743814</v>
      </c>
      <c r="J944" s="3">
        <v>0.1599246882982321</v>
      </c>
      <c r="K944" s="3">
        <v>-0.13787506198601865</v>
      </c>
      <c r="L944" t="s">
        <v>54</v>
      </c>
    </row>
    <row r="945" spans="1:12" x14ac:dyDescent="0.25">
      <c r="A945" t="s">
        <v>487</v>
      </c>
      <c r="B945" t="s">
        <v>455</v>
      </c>
      <c r="C945" t="s">
        <v>477</v>
      </c>
      <c r="D945" t="s">
        <v>322</v>
      </c>
      <c r="E945" t="s">
        <v>328</v>
      </c>
      <c r="F945">
        <v>3</v>
      </c>
      <c r="G945" t="s">
        <v>498</v>
      </c>
      <c r="H945" s="4">
        <v>793950</v>
      </c>
      <c r="I945" s="4">
        <v>602459</v>
      </c>
      <c r="J945" s="3">
        <v>0.24118773222495118</v>
      </c>
      <c r="K945" s="3">
        <v>0.3178490154516739</v>
      </c>
      <c r="L945" t="s">
        <v>54</v>
      </c>
    </row>
    <row r="946" spans="1:12" x14ac:dyDescent="0.25">
      <c r="A946" t="s">
        <v>487</v>
      </c>
      <c r="B946" t="s">
        <v>455</v>
      </c>
      <c r="C946" t="s">
        <v>477</v>
      </c>
      <c r="D946" t="s">
        <v>322</v>
      </c>
      <c r="E946" t="s">
        <v>328</v>
      </c>
      <c r="F946">
        <v>3</v>
      </c>
      <c r="G946" t="s">
        <v>499</v>
      </c>
      <c r="H946" s="4">
        <v>793950</v>
      </c>
      <c r="I946" s="4">
        <v>541103</v>
      </c>
      <c r="J946" s="3">
        <v>0.31846715788147867</v>
      </c>
      <c r="K946" s="3">
        <v>0.4672807210457159</v>
      </c>
      <c r="L946" t="s">
        <v>54</v>
      </c>
    </row>
    <row r="947" spans="1:12" x14ac:dyDescent="0.25">
      <c r="A947" t="s">
        <v>487</v>
      </c>
      <c r="B947" t="s">
        <v>455</v>
      </c>
      <c r="C947" t="s">
        <v>477</v>
      </c>
      <c r="D947" t="s">
        <v>324</v>
      </c>
      <c r="E947" t="s">
        <v>326</v>
      </c>
      <c r="F947">
        <v>1</v>
      </c>
      <c r="G947" t="s">
        <v>488</v>
      </c>
      <c r="H947" s="4">
        <v>1003326</v>
      </c>
      <c r="I947" s="4">
        <v>869499.6411776111</v>
      </c>
      <c r="J947" s="3">
        <v>0.13338272786949498</v>
      </c>
      <c r="K947" s="3">
        <v>0.15391191955081263</v>
      </c>
      <c r="L947" t="s">
        <v>54</v>
      </c>
    </row>
    <row r="948" spans="1:12" x14ac:dyDescent="0.25">
      <c r="A948" t="s">
        <v>487</v>
      </c>
      <c r="B948" t="s">
        <v>455</v>
      </c>
      <c r="C948" t="s">
        <v>477</v>
      </c>
      <c r="D948" t="s">
        <v>324</v>
      </c>
      <c r="E948" t="s">
        <v>326</v>
      </c>
      <c r="F948">
        <v>1</v>
      </c>
      <c r="G948" t="s">
        <v>498</v>
      </c>
      <c r="H948" s="4">
        <v>1003326</v>
      </c>
      <c r="I948" s="4">
        <v>582463</v>
      </c>
      <c r="J948" s="3">
        <v>0.41946784993112907</v>
      </c>
      <c r="K948" s="3">
        <v>0.722557484338061</v>
      </c>
      <c r="L948" t="s">
        <v>54</v>
      </c>
    </row>
    <row r="949" spans="1:12" x14ac:dyDescent="0.25">
      <c r="A949" t="s">
        <v>487</v>
      </c>
      <c r="B949" t="s">
        <v>455</v>
      </c>
      <c r="C949" t="s">
        <v>477</v>
      </c>
      <c r="D949" t="s">
        <v>324</v>
      </c>
      <c r="E949" t="s">
        <v>326</v>
      </c>
      <c r="F949">
        <v>1</v>
      </c>
      <c r="G949" t="s">
        <v>499</v>
      </c>
      <c r="H949" s="4">
        <v>1003326</v>
      </c>
      <c r="I949" s="4">
        <v>577470</v>
      </c>
      <c r="J949" s="3">
        <v>0.424444298263974</v>
      </c>
      <c r="K949" s="3">
        <v>0.7374512961712296</v>
      </c>
      <c r="L949" t="s">
        <v>54</v>
      </c>
    </row>
    <row r="950" spans="1:12" x14ac:dyDescent="0.25">
      <c r="A950" t="s">
        <v>487</v>
      </c>
      <c r="B950" t="s">
        <v>455</v>
      </c>
      <c r="C950" t="s">
        <v>477</v>
      </c>
      <c r="D950" t="s">
        <v>324</v>
      </c>
      <c r="E950" t="s">
        <v>328</v>
      </c>
      <c r="F950">
        <v>2</v>
      </c>
      <c r="G950" t="s">
        <v>488</v>
      </c>
      <c r="H950" s="4">
        <v>793950</v>
      </c>
      <c r="I950" s="4">
        <v>899349.6313486391</v>
      </c>
      <c r="J950" s="3">
        <v>0.1327534874345225</v>
      </c>
      <c r="K950" s="3">
        <v>-0.11719539061864612</v>
      </c>
      <c r="L950" t="s">
        <v>54</v>
      </c>
    </row>
    <row r="951" spans="1:12" x14ac:dyDescent="0.25">
      <c r="A951" t="s">
        <v>487</v>
      </c>
      <c r="B951" t="s">
        <v>455</v>
      </c>
      <c r="C951" t="s">
        <v>477</v>
      </c>
      <c r="D951" t="s">
        <v>324</v>
      </c>
      <c r="E951" t="s">
        <v>328</v>
      </c>
      <c r="F951">
        <v>2</v>
      </c>
      <c r="G951" t="s">
        <v>498</v>
      </c>
      <c r="H951" s="4">
        <v>793950</v>
      </c>
      <c r="I951" s="4">
        <v>602459</v>
      </c>
      <c r="J951" s="3">
        <v>0.24118773222495118</v>
      </c>
      <c r="K951" s="3">
        <v>0.3178490154516739</v>
      </c>
      <c r="L951" t="s">
        <v>54</v>
      </c>
    </row>
    <row r="952" spans="1:12" x14ac:dyDescent="0.25">
      <c r="A952" t="s">
        <v>487</v>
      </c>
      <c r="B952" t="s">
        <v>455</v>
      </c>
      <c r="C952" t="s">
        <v>477</v>
      </c>
      <c r="D952" t="s">
        <v>324</v>
      </c>
      <c r="E952" t="s">
        <v>328</v>
      </c>
      <c r="F952">
        <v>2</v>
      </c>
      <c r="G952" t="s">
        <v>499</v>
      </c>
      <c r="H952" s="4">
        <v>793950</v>
      </c>
      <c r="I952" s="4">
        <v>577470</v>
      </c>
      <c r="J952" s="3">
        <v>0.2726620064235783</v>
      </c>
      <c r="K952" s="3">
        <v>0.37487661696711516</v>
      </c>
      <c r="L952" t="s">
        <v>54</v>
      </c>
    </row>
    <row r="953" spans="1:12" x14ac:dyDescent="0.25">
      <c r="A953" t="s">
        <v>487</v>
      </c>
      <c r="B953" t="s">
        <v>455</v>
      </c>
      <c r="C953" t="s">
        <v>477</v>
      </c>
      <c r="D953" t="s">
        <v>324</v>
      </c>
      <c r="E953" t="s">
        <v>330</v>
      </c>
      <c r="F953">
        <v>3</v>
      </c>
      <c r="G953" t="s">
        <v>488</v>
      </c>
      <c r="H953" s="4">
        <v>1490042</v>
      </c>
      <c r="I953" s="4">
        <v>804957.0239024275</v>
      </c>
      <c r="J953" s="3">
        <v>0.4597756144441381</v>
      </c>
      <c r="K953" s="3">
        <v>0.85108267367652</v>
      </c>
      <c r="L953" t="s">
        <v>54</v>
      </c>
    </row>
    <row r="954" spans="1:12" x14ac:dyDescent="0.25">
      <c r="A954" t="s">
        <v>487</v>
      </c>
      <c r="B954" t="s">
        <v>455</v>
      </c>
      <c r="C954" t="s">
        <v>477</v>
      </c>
      <c r="D954" t="s">
        <v>324</v>
      </c>
      <c r="E954" t="s">
        <v>330</v>
      </c>
      <c r="F954">
        <v>3</v>
      </c>
      <c r="G954" t="s">
        <v>498</v>
      </c>
      <c r="H954" s="4">
        <v>1490042</v>
      </c>
      <c r="I954" s="4">
        <v>539227</v>
      </c>
      <c r="J954" s="3">
        <v>0.6381128854085992</v>
      </c>
      <c r="K954" s="3">
        <v>1.7632926392780777</v>
      </c>
      <c r="L954" t="s">
        <v>54</v>
      </c>
    </row>
    <row r="955" spans="1:12" x14ac:dyDescent="0.25">
      <c r="A955" t="s">
        <v>487</v>
      </c>
      <c r="B955" t="s">
        <v>455</v>
      </c>
      <c r="C955" t="s">
        <v>477</v>
      </c>
      <c r="D955" t="s">
        <v>324</v>
      </c>
      <c r="E955" t="s">
        <v>330</v>
      </c>
      <c r="F955">
        <v>3</v>
      </c>
      <c r="G955" t="s">
        <v>499</v>
      </c>
      <c r="H955" s="4">
        <v>1490042</v>
      </c>
      <c r="I955" s="4">
        <v>577470</v>
      </c>
      <c r="J955" s="3">
        <v>0.612447165918813</v>
      </c>
      <c r="K955" s="3">
        <v>1.5802933485722201</v>
      </c>
      <c r="L955" t="s">
        <v>54</v>
      </c>
    </row>
    <row r="956" spans="1:12" x14ac:dyDescent="0.25">
      <c r="A956" t="s">
        <v>487</v>
      </c>
      <c r="B956" t="s">
        <v>455</v>
      </c>
      <c r="C956" t="s">
        <v>477</v>
      </c>
      <c r="D956" t="s">
        <v>326</v>
      </c>
      <c r="E956" t="s">
        <v>328</v>
      </c>
      <c r="F956">
        <v>1</v>
      </c>
      <c r="G956" t="s">
        <v>488</v>
      </c>
      <c r="H956" s="4">
        <v>793950</v>
      </c>
      <c r="I956" s="4">
        <v>934435.7839041353</v>
      </c>
      <c r="J956" s="3">
        <v>0.1769453793112102</v>
      </c>
      <c r="K956" s="3">
        <v>-0.15034289816810772</v>
      </c>
      <c r="L956" t="s">
        <v>54</v>
      </c>
    </row>
    <row r="957" spans="1:12" x14ac:dyDescent="0.25">
      <c r="A957" t="s">
        <v>487</v>
      </c>
      <c r="B957" t="s">
        <v>455</v>
      </c>
      <c r="C957" t="s">
        <v>477</v>
      </c>
      <c r="D957" t="s">
        <v>326</v>
      </c>
      <c r="E957" t="s">
        <v>328</v>
      </c>
      <c r="F957">
        <v>1</v>
      </c>
      <c r="G957" t="s">
        <v>498</v>
      </c>
      <c r="H957" s="4">
        <v>793950</v>
      </c>
      <c r="I957" s="4">
        <v>602459</v>
      </c>
      <c r="J957" s="3">
        <v>0.24118773222495118</v>
      </c>
      <c r="K957" s="3">
        <v>0.3178490154516739</v>
      </c>
      <c r="L957" t="s">
        <v>54</v>
      </c>
    </row>
    <row r="958" spans="1:12" x14ac:dyDescent="0.25">
      <c r="A958" t="s">
        <v>487</v>
      </c>
      <c r="B958" t="s">
        <v>455</v>
      </c>
      <c r="C958" t="s">
        <v>477</v>
      </c>
      <c r="D958" t="s">
        <v>326</v>
      </c>
      <c r="E958" t="s">
        <v>328</v>
      </c>
      <c r="F958">
        <v>1</v>
      </c>
      <c r="G958" t="s">
        <v>499</v>
      </c>
      <c r="H958" s="4">
        <v>793950</v>
      </c>
      <c r="I958" s="4">
        <v>1003326</v>
      </c>
      <c r="J958" s="3">
        <v>0.2637143396939354</v>
      </c>
      <c r="K958" s="3">
        <v>-0.20868192392103863</v>
      </c>
      <c r="L958" t="s">
        <v>54</v>
      </c>
    </row>
    <row r="959" spans="1:12" x14ac:dyDescent="0.25">
      <c r="A959" t="s">
        <v>487</v>
      </c>
      <c r="B959" t="s">
        <v>455</v>
      </c>
      <c r="C959" t="s">
        <v>477</v>
      </c>
      <c r="D959" t="s">
        <v>326</v>
      </c>
      <c r="E959" t="s">
        <v>330</v>
      </c>
      <c r="F959">
        <v>2</v>
      </c>
      <c r="G959" t="s">
        <v>488</v>
      </c>
      <c r="H959" s="4">
        <v>1490042</v>
      </c>
      <c r="I959" s="4">
        <v>836360.6559903249</v>
      </c>
      <c r="J959" s="3">
        <v>0.43869994537716056</v>
      </c>
      <c r="K959" s="3">
        <v>0.7815783051579089</v>
      </c>
      <c r="L959" t="s">
        <v>54</v>
      </c>
    </row>
    <row r="960" spans="1:12" x14ac:dyDescent="0.25">
      <c r="A960" t="s">
        <v>487</v>
      </c>
      <c r="B960" t="s">
        <v>455</v>
      </c>
      <c r="C960" t="s">
        <v>477</v>
      </c>
      <c r="D960" t="s">
        <v>326</v>
      </c>
      <c r="E960" t="s">
        <v>330</v>
      </c>
      <c r="F960">
        <v>2</v>
      </c>
      <c r="G960" t="s">
        <v>498</v>
      </c>
      <c r="H960" s="4">
        <v>1490042</v>
      </c>
      <c r="I960" s="4">
        <v>539227</v>
      </c>
      <c r="J960" s="3">
        <v>0.6381128854085992</v>
      </c>
      <c r="K960" s="3">
        <v>1.7632926392780777</v>
      </c>
      <c r="L960" t="s">
        <v>54</v>
      </c>
    </row>
    <row r="961" spans="1:12" x14ac:dyDescent="0.25">
      <c r="A961" t="s">
        <v>487</v>
      </c>
      <c r="B961" t="s">
        <v>455</v>
      </c>
      <c r="C961" t="s">
        <v>477</v>
      </c>
      <c r="D961" t="s">
        <v>326</v>
      </c>
      <c r="E961" t="s">
        <v>330</v>
      </c>
      <c r="F961">
        <v>2</v>
      </c>
      <c r="G961" t="s">
        <v>499</v>
      </c>
      <c r="H961" s="4">
        <v>1490042</v>
      </c>
      <c r="I961" s="4">
        <v>1003326</v>
      </c>
      <c r="J961" s="3">
        <v>0.32664582609080817</v>
      </c>
      <c r="K961" s="3">
        <v>0.4851025489222845</v>
      </c>
      <c r="L961" t="s">
        <v>54</v>
      </c>
    </row>
    <row r="962" spans="1:12" x14ac:dyDescent="0.25">
      <c r="A962" t="s">
        <v>487</v>
      </c>
      <c r="B962" t="s">
        <v>455</v>
      </c>
      <c r="C962" t="s">
        <v>477</v>
      </c>
      <c r="D962" t="s">
        <v>326</v>
      </c>
      <c r="E962" t="s">
        <v>332</v>
      </c>
      <c r="F962">
        <v>3</v>
      </c>
      <c r="G962" t="s">
        <v>488</v>
      </c>
      <c r="H962" s="4">
        <v>1111851</v>
      </c>
      <c r="I962" s="4">
        <v>1105995.9100830727</v>
      </c>
      <c r="J962" s="3">
        <v>0.005266074246393873</v>
      </c>
      <c r="K962" s="3">
        <v>0.005293952593809765</v>
      </c>
      <c r="L962" t="s">
        <v>54</v>
      </c>
    </row>
    <row r="963" spans="1:12" x14ac:dyDescent="0.25">
      <c r="A963" t="s">
        <v>487</v>
      </c>
      <c r="B963" t="s">
        <v>455</v>
      </c>
      <c r="C963" t="s">
        <v>477</v>
      </c>
      <c r="D963" t="s">
        <v>326</v>
      </c>
      <c r="E963" t="s">
        <v>332</v>
      </c>
      <c r="F963">
        <v>3</v>
      </c>
      <c r="G963" t="s">
        <v>498</v>
      </c>
      <c r="H963" s="4">
        <v>1111851</v>
      </c>
      <c r="I963" s="4">
        <v>713069</v>
      </c>
      <c r="J963" s="3">
        <v>0.3586649649998066</v>
      </c>
      <c r="K963" s="3">
        <v>0.5592474220587349</v>
      </c>
      <c r="L963" t="s">
        <v>54</v>
      </c>
    </row>
    <row r="964" spans="1:12" x14ac:dyDescent="0.25">
      <c r="A964" t="s">
        <v>487</v>
      </c>
      <c r="B964" t="s">
        <v>455</v>
      </c>
      <c r="C964" t="s">
        <v>477</v>
      </c>
      <c r="D964" t="s">
        <v>326</v>
      </c>
      <c r="E964" t="s">
        <v>332</v>
      </c>
      <c r="F964">
        <v>3</v>
      </c>
      <c r="G964" t="s">
        <v>499</v>
      </c>
      <c r="H964" s="4">
        <v>1111851</v>
      </c>
      <c r="I964" s="4">
        <v>1003326</v>
      </c>
      <c r="J964" s="3">
        <v>0.09760750316364333</v>
      </c>
      <c r="K964" s="3">
        <v>0.10816524240376507</v>
      </c>
      <c r="L964" t="s">
        <v>54</v>
      </c>
    </row>
    <row r="965" spans="1:12" x14ac:dyDescent="0.25">
      <c r="A965" t="s">
        <v>487</v>
      </c>
      <c r="B965" t="s">
        <v>455</v>
      </c>
      <c r="C965" t="s">
        <v>477</v>
      </c>
      <c r="D965" t="s">
        <v>328</v>
      </c>
      <c r="E965" t="s">
        <v>330</v>
      </c>
      <c r="F965">
        <v>1</v>
      </c>
      <c r="G965" t="s">
        <v>488</v>
      </c>
      <c r="H965" s="4">
        <v>1490042</v>
      </c>
      <c r="I965" s="4">
        <v>864271.2519796337</v>
      </c>
      <c r="J965" s="3">
        <v>0.41996852975980964</v>
      </c>
      <c r="K965" s="3">
        <v>0.7240443860501244</v>
      </c>
      <c r="L965" t="s">
        <v>54</v>
      </c>
    </row>
    <row r="966" spans="1:12" x14ac:dyDescent="0.25">
      <c r="A966" t="s">
        <v>487</v>
      </c>
      <c r="B966" t="s">
        <v>455</v>
      </c>
      <c r="C966" t="s">
        <v>477</v>
      </c>
      <c r="D966" t="s">
        <v>328</v>
      </c>
      <c r="E966" t="s">
        <v>330</v>
      </c>
      <c r="F966">
        <v>1</v>
      </c>
      <c r="G966" t="s">
        <v>498</v>
      </c>
      <c r="H966" s="4">
        <v>1490042</v>
      </c>
      <c r="I966" s="4">
        <v>539227</v>
      </c>
      <c r="J966" s="3">
        <v>0.6381128854085992</v>
      </c>
      <c r="K966" s="3">
        <v>1.7632926392780777</v>
      </c>
      <c r="L966" t="s">
        <v>54</v>
      </c>
    </row>
    <row r="967" spans="1:12" x14ac:dyDescent="0.25">
      <c r="A967" t="s">
        <v>487</v>
      </c>
      <c r="B967" t="s">
        <v>455</v>
      </c>
      <c r="C967" t="s">
        <v>477</v>
      </c>
      <c r="D967" t="s">
        <v>328</v>
      </c>
      <c r="E967" t="s">
        <v>330</v>
      </c>
      <c r="F967">
        <v>1</v>
      </c>
      <c r="G967" t="s">
        <v>499</v>
      </c>
      <c r="H967" s="4">
        <v>1490042</v>
      </c>
      <c r="I967" s="4">
        <v>793950</v>
      </c>
      <c r="J967" s="3">
        <v>0.46716267058243993</v>
      </c>
      <c r="K967" s="3">
        <v>0.8767453869891051</v>
      </c>
      <c r="L967" t="s">
        <v>54</v>
      </c>
    </row>
    <row r="968" spans="1:12" x14ac:dyDescent="0.25">
      <c r="A968" t="s">
        <v>487</v>
      </c>
      <c r="B968" t="s">
        <v>455</v>
      </c>
      <c r="C968" t="s">
        <v>477</v>
      </c>
      <c r="D968" t="s">
        <v>328</v>
      </c>
      <c r="E968" t="s">
        <v>332</v>
      </c>
      <c r="F968">
        <v>2</v>
      </c>
      <c r="G968" t="s">
        <v>488</v>
      </c>
      <c r="H968" s="4">
        <v>1111851</v>
      </c>
      <c r="I968" s="4">
        <v>1142904.6345562544</v>
      </c>
      <c r="J968" s="3">
        <v>0.02792967273155699</v>
      </c>
      <c r="K968" s="3">
        <v>-0.027170801147648943</v>
      </c>
      <c r="L968" t="s">
        <v>54</v>
      </c>
    </row>
    <row r="969" spans="1:12" x14ac:dyDescent="0.25">
      <c r="A969" t="s">
        <v>487</v>
      </c>
      <c r="B969" t="s">
        <v>455</v>
      </c>
      <c r="C969" t="s">
        <v>477</v>
      </c>
      <c r="D969" t="s">
        <v>328</v>
      </c>
      <c r="E969" t="s">
        <v>332</v>
      </c>
      <c r="F969">
        <v>2</v>
      </c>
      <c r="G969" t="s">
        <v>498</v>
      </c>
      <c r="H969" s="4">
        <v>1111851</v>
      </c>
      <c r="I969" s="4">
        <v>713069</v>
      </c>
      <c r="J969" s="3">
        <v>0.3586649649998066</v>
      </c>
      <c r="K969" s="3">
        <v>0.5592474220587349</v>
      </c>
      <c r="L969" t="s">
        <v>54</v>
      </c>
    </row>
    <row r="970" spans="1:12" x14ac:dyDescent="0.25">
      <c r="A970" t="s">
        <v>487</v>
      </c>
      <c r="B970" t="s">
        <v>455</v>
      </c>
      <c r="C970" t="s">
        <v>477</v>
      </c>
      <c r="D970" t="s">
        <v>328</v>
      </c>
      <c r="E970" t="s">
        <v>332</v>
      </c>
      <c r="F970">
        <v>2</v>
      </c>
      <c r="G970" t="s">
        <v>499</v>
      </c>
      <c r="H970" s="4">
        <v>1111851</v>
      </c>
      <c r="I970" s="4">
        <v>793950</v>
      </c>
      <c r="J970" s="3">
        <v>0.285920505535364</v>
      </c>
      <c r="K970" s="3">
        <v>0.40040430757604384</v>
      </c>
      <c r="L970" t="s">
        <v>54</v>
      </c>
    </row>
    <row r="971" spans="1:12" x14ac:dyDescent="0.25">
      <c r="A971" t="s">
        <v>487</v>
      </c>
      <c r="B971" t="s">
        <v>455</v>
      </c>
      <c r="C971" t="s">
        <v>477</v>
      </c>
      <c r="D971" t="s">
        <v>328</v>
      </c>
      <c r="E971" t="s">
        <v>334</v>
      </c>
      <c r="F971">
        <v>3</v>
      </c>
      <c r="G971" t="s">
        <v>488</v>
      </c>
      <c r="H971" s="4">
        <v>825819</v>
      </c>
      <c r="I971" s="4">
        <v>1441129.0011024224</v>
      </c>
      <c r="J971" s="3">
        <v>0.7450906325749618</v>
      </c>
      <c r="K971" s="3">
        <v>-0.4269638600234454</v>
      </c>
      <c r="L971" t="s">
        <v>54</v>
      </c>
    </row>
    <row r="972" spans="1:12" x14ac:dyDescent="0.25">
      <c r="A972" t="s">
        <v>487</v>
      </c>
      <c r="B972" t="s">
        <v>455</v>
      </c>
      <c r="C972" t="s">
        <v>477</v>
      </c>
      <c r="D972" t="s">
        <v>328</v>
      </c>
      <c r="E972" t="s">
        <v>334</v>
      </c>
      <c r="F972">
        <v>3</v>
      </c>
      <c r="G972" t="s">
        <v>498</v>
      </c>
      <c r="H972" s="4">
        <v>825819</v>
      </c>
      <c r="I972" s="4">
        <v>899134</v>
      </c>
      <c r="J972" s="3">
        <v>0.0887785337949357</v>
      </c>
      <c r="K972" s="3">
        <v>-0.08153957029764196</v>
      </c>
      <c r="L972" t="s">
        <v>54</v>
      </c>
    </row>
    <row r="973" spans="1:12" x14ac:dyDescent="0.25">
      <c r="A973" t="s">
        <v>487</v>
      </c>
      <c r="B973" t="s">
        <v>455</v>
      </c>
      <c r="C973" t="s">
        <v>477</v>
      </c>
      <c r="D973" t="s">
        <v>328</v>
      </c>
      <c r="E973" t="s">
        <v>334</v>
      </c>
      <c r="F973">
        <v>3</v>
      </c>
      <c r="G973" t="s">
        <v>499</v>
      </c>
      <c r="H973" s="4">
        <v>825819</v>
      </c>
      <c r="I973" s="4">
        <v>793950</v>
      </c>
      <c r="J973" s="3">
        <v>0.0385907807885263</v>
      </c>
      <c r="K973" s="3">
        <v>0.040139807292650674</v>
      </c>
      <c r="L973" t="s">
        <v>54</v>
      </c>
    </row>
    <row r="974" spans="1:12" x14ac:dyDescent="0.25">
      <c r="A974" t="s">
        <v>487</v>
      </c>
      <c r="B974" t="s">
        <v>455</v>
      </c>
      <c r="C974" t="s">
        <v>477</v>
      </c>
      <c r="D974" t="s">
        <v>330</v>
      </c>
      <c r="E974" t="s">
        <v>332</v>
      </c>
      <c r="F974">
        <v>1</v>
      </c>
      <c r="G974" t="s">
        <v>488</v>
      </c>
      <c r="H974" s="4">
        <v>1111851</v>
      </c>
      <c r="I974" s="4">
        <v>1247525.2973648005</v>
      </c>
      <c r="J974" s="3">
        <v>0.12202561077410595</v>
      </c>
      <c r="K974" s="3">
        <v>-0.108754746417881</v>
      </c>
      <c r="L974" t="s">
        <v>54</v>
      </c>
    </row>
    <row r="975" spans="1:12" x14ac:dyDescent="0.25">
      <c r="A975" t="s">
        <v>487</v>
      </c>
      <c r="B975" t="s">
        <v>455</v>
      </c>
      <c r="C975" t="s">
        <v>477</v>
      </c>
      <c r="D975" t="s">
        <v>330</v>
      </c>
      <c r="E975" t="s">
        <v>332</v>
      </c>
      <c r="F975">
        <v>1</v>
      </c>
      <c r="G975" t="s">
        <v>498</v>
      </c>
      <c r="H975" s="4">
        <v>1111851</v>
      </c>
      <c r="I975" s="4">
        <v>713069</v>
      </c>
      <c r="J975" s="3">
        <v>0.3586649649998066</v>
      </c>
      <c r="K975" s="3">
        <v>0.5592474220587349</v>
      </c>
      <c r="L975" t="s">
        <v>54</v>
      </c>
    </row>
    <row r="976" spans="1:12" x14ac:dyDescent="0.25">
      <c r="A976" t="s">
        <v>487</v>
      </c>
      <c r="B976" t="s">
        <v>455</v>
      </c>
      <c r="C976" t="s">
        <v>477</v>
      </c>
      <c r="D976" t="s">
        <v>330</v>
      </c>
      <c r="E976" t="s">
        <v>332</v>
      </c>
      <c r="F976">
        <v>1</v>
      </c>
      <c r="G976" t="s">
        <v>499</v>
      </c>
      <c r="H976" s="4">
        <v>1111851</v>
      </c>
      <c r="I976" s="4">
        <v>1490042</v>
      </c>
      <c r="J976" s="3">
        <v>0.34014539718001785</v>
      </c>
      <c r="K976" s="3">
        <v>-0.2538123086463335</v>
      </c>
      <c r="L976" t="s">
        <v>54</v>
      </c>
    </row>
    <row r="977" spans="1:12" x14ac:dyDescent="0.25">
      <c r="A977" t="s">
        <v>487</v>
      </c>
      <c r="B977" t="s">
        <v>455</v>
      </c>
      <c r="C977" t="s">
        <v>477</v>
      </c>
      <c r="D977" t="s">
        <v>330</v>
      </c>
      <c r="E977" t="s">
        <v>334</v>
      </c>
      <c r="F977">
        <v>2</v>
      </c>
      <c r="G977" t="s">
        <v>488</v>
      </c>
      <c r="H977" s="4">
        <v>825819</v>
      </c>
      <c r="I977" s="4">
        <v>1573048.9065164838</v>
      </c>
      <c r="J977" s="3">
        <v>0.9048349656722402</v>
      </c>
      <c r="K977" s="3">
        <v>-0.47502013664103054</v>
      </c>
      <c r="L977" t="s">
        <v>54</v>
      </c>
    </row>
    <row r="978" spans="1:12" x14ac:dyDescent="0.25">
      <c r="A978" t="s">
        <v>487</v>
      </c>
      <c r="B978" t="s">
        <v>455</v>
      </c>
      <c r="C978" t="s">
        <v>477</v>
      </c>
      <c r="D978" t="s">
        <v>330</v>
      </c>
      <c r="E978" t="s">
        <v>334</v>
      </c>
      <c r="F978">
        <v>2</v>
      </c>
      <c r="G978" t="s">
        <v>498</v>
      </c>
      <c r="H978" s="4">
        <v>825819</v>
      </c>
      <c r="I978" s="4">
        <v>899134</v>
      </c>
      <c r="J978" s="3">
        <v>0.0887785337949357</v>
      </c>
      <c r="K978" s="3">
        <v>-0.08153957029764196</v>
      </c>
      <c r="L978" t="s">
        <v>54</v>
      </c>
    </row>
    <row r="979" spans="1:12" x14ac:dyDescent="0.25">
      <c r="A979" t="s">
        <v>487</v>
      </c>
      <c r="B979" t="s">
        <v>455</v>
      </c>
      <c r="C979" t="s">
        <v>477</v>
      </c>
      <c r="D979" t="s">
        <v>330</v>
      </c>
      <c r="E979" t="s">
        <v>334</v>
      </c>
      <c r="F979">
        <v>2</v>
      </c>
      <c r="G979" t="s">
        <v>499</v>
      </c>
      <c r="H979" s="4">
        <v>825819</v>
      </c>
      <c r="I979" s="4">
        <v>1490042</v>
      </c>
      <c r="J979" s="3">
        <v>0.8043203171639306</v>
      </c>
      <c r="K979" s="3">
        <v>-0.44577468286128846</v>
      </c>
      <c r="L979" t="s">
        <v>54</v>
      </c>
    </row>
    <row r="980" spans="1:12" x14ac:dyDescent="0.25">
      <c r="A980" t="s">
        <v>487</v>
      </c>
      <c r="B980" t="s">
        <v>455</v>
      </c>
      <c r="C980" t="s">
        <v>477</v>
      </c>
      <c r="D980" t="s">
        <v>330</v>
      </c>
      <c r="E980" t="s">
        <v>336</v>
      </c>
      <c r="F980">
        <v>3</v>
      </c>
      <c r="G980" t="s">
        <v>488</v>
      </c>
      <c r="H980" s="4">
        <v>919337</v>
      </c>
      <c r="I980" s="4">
        <v>1096549.1042314672</v>
      </c>
      <c r="J980" s="3">
        <v>0.192760765890492</v>
      </c>
      <c r="K980" s="3">
        <v>-0.1616089088465117</v>
      </c>
      <c r="L980" t="s">
        <v>54</v>
      </c>
    </row>
    <row r="981" spans="1:12" x14ac:dyDescent="0.25">
      <c r="A981" t="s">
        <v>487</v>
      </c>
      <c r="B981" t="s">
        <v>455</v>
      </c>
      <c r="C981" t="s">
        <v>477</v>
      </c>
      <c r="D981" t="s">
        <v>330</v>
      </c>
      <c r="E981" t="s">
        <v>336</v>
      </c>
      <c r="F981">
        <v>3</v>
      </c>
      <c r="G981" t="s">
        <v>498</v>
      </c>
      <c r="H981" s="4">
        <v>919337</v>
      </c>
      <c r="I981" s="4">
        <v>626773</v>
      </c>
      <c r="J981" s="3">
        <v>0.3182336836220015</v>
      </c>
      <c r="K981" s="3">
        <v>0.46677824347889907</v>
      </c>
      <c r="L981" t="s">
        <v>54</v>
      </c>
    </row>
    <row r="982" spans="1:12" x14ac:dyDescent="0.25">
      <c r="A982" t="s">
        <v>487</v>
      </c>
      <c r="B982" t="s">
        <v>455</v>
      </c>
      <c r="C982" t="s">
        <v>477</v>
      </c>
      <c r="D982" t="s">
        <v>330</v>
      </c>
      <c r="E982" t="s">
        <v>336</v>
      </c>
      <c r="F982">
        <v>3</v>
      </c>
      <c r="G982" t="s">
        <v>499</v>
      </c>
      <c r="H982" s="4">
        <v>919337</v>
      </c>
      <c r="I982" s="4">
        <v>1490042</v>
      </c>
      <c r="J982" s="3">
        <v>0.6207788873938501</v>
      </c>
      <c r="K982" s="3">
        <v>-0.3830126936019253</v>
      </c>
      <c r="L982" t="s">
        <v>54</v>
      </c>
    </row>
    <row r="983" spans="1:12" x14ac:dyDescent="0.25">
      <c r="A983" t="s">
        <v>487</v>
      </c>
      <c r="B983" t="s">
        <v>455</v>
      </c>
      <c r="C983" t="s">
        <v>477</v>
      </c>
      <c r="D983" t="s">
        <v>332</v>
      </c>
      <c r="E983" t="s">
        <v>334</v>
      </c>
      <c r="F983">
        <v>1</v>
      </c>
      <c r="G983" t="s">
        <v>488</v>
      </c>
      <c r="H983" s="4">
        <v>825819</v>
      </c>
      <c r="I983" s="4">
        <v>1597782.4231452509</v>
      </c>
      <c r="J983" s="3">
        <v>0.934785253360907</v>
      </c>
      <c r="K983" s="3">
        <v>-0.48314677390531874</v>
      </c>
      <c r="L983" t="s">
        <v>54</v>
      </c>
    </row>
    <row r="984" spans="1:12" x14ac:dyDescent="0.25">
      <c r="A984" t="s">
        <v>487</v>
      </c>
      <c r="B984" t="s">
        <v>455</v>
      </c>
      <c r="C984" t="s">
        <v>477</v>
      </c>
      <c r="D984" t="s">
        <v>332</v>
      </c>
      <c r="E984" t="s">
        <v>334</v>
      </c>
      <c r="F984">
        <v>1</v>
      </c>
      <c r="G984" t="s">
        <v>498</v>
      </c>
      <c r="H984" s="4">
        <v>825819</v>
      </c>
      <c r="I984" s="4">
        <v>899134</v>
      </c>
      <c r="J984" s="3">
        <v>0.0887785337949357</v>
      </c>
      <c r="K984" s="3">
        <v>-0.08153957029764196</v>
      </c>
      <c r="L984" t="s">
        <v>54</v>
      </c>
    </row>
    <row r="985" spans="1:12" x14ac:dyDescent="0.25">
      <c r="A985" t="s">
        <v>487</v>
      </c>
      <c r="B985" t="s">
        <v>455</v>
      </c>
      <c r="C985" t="s">
        <v>477</v>
      </c>
      <c r="D985" t="s">
        <v>332</v>
      </c>
      <c r="E985" t="s">
        <v>334</v>
      </c>
      <c r="F985">
        <v>1</v>
      </c>
      <c r="G985" t="s">
        <v>499</v>
      </c>
      <c r="H985" s="4">
        <v>825819</v>
      </c>
      <c r="I985" s="4">
        <v>1111851</v>
      </c>
      <c r="J985" s="3">
        <v>0.34636161192706877</v>
      </c>
      <c r="K985" s="3">
        <v>-0.2572574922359201</v>
      </c>
      <c r="L985" t="s">
        <v>54</v>
      </c>
    </row>
    <row r="986" spans="1:12" x14ac:dyDescent="0.25">
      <c r="A986" t="s">
        <v>487</v>
      </c>
      <c r="B986" t="s">
        <v>455</v>
      </c>
      <c r="C986" t="s">
        <v>477</v>
      </c>
      <c r="D986" t="s">
        <v>332</v>
      </c>
      <c r="E986" t="s">
        <v>336</v>
      </c>
      <c r="F986">
        <v>2</v>
      </c>
      <c r="G986" t="s">
        <v>488</v>
      </c>
      <c r="H986" s="4">
        <v>919337</v>
      </c>
      <c r="I986" s="4">
        <v>1113790.4725013382</v>
      </c>
      <c r="J986" s="3">
        <v>0.21151489878177232</v>
      </c>
      <c r="K986" s="3">
        <v>-0.17458712145798552</v>
      </c>
      <c r="L986" t="s">
        <v>54</v>
      </c>
    </row>
    <row r="987" spans="1:12" x14ac:dyDescent="0.25">
      <c r="A987" t="s">
        <v>487</v>
      </c>
      <c r="B987" t="s">
        <v>455</v>
      </c>
      <c r="C987" t="s">
        <v>477</v>
      </c>
      <c r="D987" t="s">
        <v>332</v>
      </c>
      <c r="E987" t="s">
        <v>336</v>
      </c>
      <c r="F987">
        <v>2</v>
      </c>
      <c r="G987" t="s">
        <v>498</v>
      </c>
      <c r="H987" s="4">
        <v>919337</v>
      </c>
      <c r="I987" s="4">
        <v>626773</v>
      </c>
      <c r="J987" s="3">
        <v>0.3182336836220015</v>
      </c>
      <c r="K987" s="3">
        <v>0.46677824347889907</v>
      </c>
      <c r="L987" t="s">
        <v>54</v>
      </c>
    </row>
    <row r="988" spans="1:12" x14ac:dyDescent="0.25">
      <c r="A988" t="s">
        <v>487</v>
      </c>
      <c r="B988" t="s">
        <v>455</v>
      </c>
      <c r="C988" t="s">
        <v>477</v>
      </c>
      <c r="D988" t="s">
        <v>332</v>
      </c>
      <c r="E988" t="s">
        <v>336</v>
      </c>
      <c r="F988">
        <v>2</v>
      </c>
      <c r="G988" t="s">
        <v>499</v>
      </c>
      <c r="H988" s="4">
        <v>919337</v>
      </c>
      <c r="I988" s="4">
        <v>1111851</v>
      </c>
      <c r="J988" s="3">
        <v>0.2094052561791813</v>
      </c>
      <c r="K988" s="3">
        <v>-0.17314730121212285</v>
      </c>
      <c r="L988" t="s">
        <v>54</v>
      </c>
    </row>
    <row r="989" spans="1:12" x14ac:dyDescent="0.25">
      <c r="A989" t="s">
        <v>487</v>
      </c>
      <c r="B989" t="s">
        <v>455</v>
      </c>
      <c r="C989" t="s">
        <v>477</v>
      </c>
      <c r="D989" t="s">
        <v>332</v>
      </c>
      <c r="E989" t="s">
        <v>338</v>
      </c>
      <c r="F989">
        <v>3</v>
      </c>
      <c r="G989" t="s">
        <v>488</v>
      </c>
      <c r="H989" s="4">
        <v>1325483</v>
      </c>
      <c r="I989" s="4">
        <v>1753565.205383525</v>
      </c>
      <c r="J989" s="3">
        <v>0.32296318050365413</v>
      </c>
      <c r="K989" s="3">
        <v>-0.2441210649420353</v>
      </c>
      <c r="L989" t="s">
        <v>54</v>
      </c>
    </row>
    <row r="990" spans="1:12" x14ac:dyDescent="0.25">
      <c r="A990" t="s">
        <v>487</v>
      </c>
      <c r="B990" t="s">
        <v>455</v>
      </c>
      <c r="C990" t="s">
        <v>477</v>
      </c>
      <c r="D990" t="s">
        <v>332</v>
      </c>
      <c r="E990" t="s">
        <v>338</v>
      </c>
      <c r="F990">
        <v>3</v>
      </c>
      <c r="G990" t="s">
        <v>498</v>
      </c>
      <c r="H990" s="4">
        <v>1325483</v>
      </c>
      <c r="I990" s="4">
        <v>986799</v>
      </c>
      <c r="J990" s="3">
        <v>0.2555174227055345</v>
      </c>
      <c r="K990" s="3">
        <v>0.3432147782881823</v>
      </c>
      <c r="L990" t="s">
        <v>54</v>
      </c>
    </row>
    <row r="991" spans="1:12" x14ac:dyDescent="0.25">
      <c r="A991" t="s">
        <v>487</v>
      </c>
      <c r="B991" t="s">
        <v>455</v>
      </c>
      <c r="C991" t="s">
        <v>477</v>
      </c>
      <c r="D991" t="s">
        <v>332</v>
      </c>
      <c r="E991" t="s">
        <v>338</v>
      </c>
      <c r="F991">
        <v>3</v>
      </c>
      <c r="G991" t="s">
        <v>499</v>
      </c>
      <c r="H991" s="4">
        <v>1325483</v>
      </c>
      <c r="I991" s="4">
        <v>1111851</v>
      </c>
      <c r="J991" s="3">
        <v>0.16117294601288737</v>
      </c>
      <c r="K991" s="3">
        <v>0.19214085340571713</v>
      </c>
      <c r="L991" t="s">
        <v>54</v>
      </c>
    </row>
    <row r="992" spans="1:12" x14ac:dyDescent="0.25">
      <c r="A992" t="s">
        <v>487</v>
      </c>
      <c r="B992" t="s">
        <v>455</v>
      </c>
      <c r="C992" t="s">
        <v>477</v>
      </c>
      <c r="D992" t="s">
        <v>334</v>
      </c>
      <c r="E992" t="s">
        <v>336</v>
      </c>
      <c r="F992">
        <v>1</v>
      </c>
      <c r="G992" t="s">
        <v>488</v>
      </c>
      <c r="H992" s="4">
        <v>919337</v>
      </c>
      <c r="I992" s="4">
        <v>1086595.6880927966</v>
      </c>
      <c r="J992" s="3">
        <v>0.18193403299638392</v>
      </c>
      <c r="K992" s="3">
        <v>-0.1539290924174112</v>
      </c>
      <c r="L992" t="s">
        <v>54</v>
      </c>
    </row>
    <row r="993" spans="1:12" x14ac:dyDescent="0.25">
      <c r="A993" t="s">
        <v>487</v>
      </c>
      <c r="B993" t="s">
        <v>455</v>
      </c>
      <c r="C993" t="s">
        <v>477</v>
      </c>
      <c r="D993" t="s">
        <v>334</v>
      </c>
      <c r="E993" t="s">
        <v>336</v>
      </c>
      <c r="F993">
        <v>1</v>
      </c>
      <c r="G993" t="s">
        <v>498</v>
      </c>
      <c r="H993" s="4">
        <v>919337</v>
      </c>
      <c r="I993" s="4">
        <v>626773</v>
      </c>
      <c r="J993" s="3">
        <v>0.3182336836220015</v>
      </c>
      <c r="K993" s="3">
        <v>0.46677824347889907</v>
      </c>
      <c r="L993" t="s">
        <v>54</v>
      </c>
    </row>
    <row r="994" spans="1:12" x14ac:dyDescent="0.25">
      <c r="A994" t="s">
        <v>487</v>
      </c>
      <c r="B994" t="s">
        <v>455</v>
      </c>
      <c r="C994" t="s">
        <v>477</v>
      </c>
      <c r="D994" t="s">
        <v>334</v>
      </c>
      <c r="E994" t="s">
        <v>336</v>
      </c>
      <c r="F994">
        <v>1</v>
      </c>
      <c r="G994" t="s">
        <v>499</v>
      </c>
      <c r="H994" s="4">
        <v>919337</v>
      </c>
      <c r="I994" s="4">
        <v>825819</v>
      </c>
      <c r="J994" s="3">
        <v>0.1017233071224154</v>
      </c>
      <c r="K994" s="3">
        <v>0.11324273236629334</v>
      </c>
      <c r="L994" t="s">
        <v>54</v>
      </c>
    </row>
    <row r="995" spans="1:12" x14ac:dyDescent="0.25">
      <c r="A995" t="s">
        <v>487</v>
      </c>
      <c r="B995" t="s">
        <v>455</v>
      </c>
      <c r="C995" t="s">
        <v>477</v>
      </c>
      <c r="D995" t="s">
        <v>334</v>
      </c>
      <c r="E995" t="s">
        <v>338</v>
      </c>
      <c r="F995">
        <v>2</v>
      </c>
      <c r="G995" t="s">
        <v>488</v>
      </c>
      <c r="H995" s="4">
        <v>1325483</v>
      </c>
      <c r="I995" s="4">
        <v>1710749.4075435342</v>
      </c>
      <c r="J995" s="3">
        <v>0.29066114581894614</v>
      </c>
      <c r="K995" s="3">
        <v>-0.22520329736471362</v>
      </c>
      <c r="L995" t="s">
        <v>54</v>
      </c>
    </row>
    <row r="996" spans="1:12" x14ac:dyDescent="0.25">
      <c r="A996" t="s">
        <v>487</v>
      </c>
      <c r="B996" t="s">
        <v>455</v>
      </c>
      <c r="C996" t="s">
        <v>477</v>
      </c>
      <c r="D996" t="s">
        <v>334</v>
      </c>
      <c r="E996" t="s">
        <v>338</v>
      </c>
      <c r="F996">
        <v>2</v>
      </c>
      <c r="G996" t="s">
        <v>498</v>
      </c>
      <c r="H996" s="4">
        <v>1325483</v>
      </c>
      <c r="I996" s="4">
        <v>986799</v>
      </c>
      <c r="J996" s="3">
        <v>0.2555174227055345</v>
      </c>
      <c r="K996" s="3">
        <v>0.3432147782881823</v>
      </c>
      <c r="L996" t="s">
        <v>54</v>
      </c>
    </row>
    <row r="997" spans="1:12" x14ac:dyDescent="0.25">
      <c r="A997" t="s">
        <v>487</v>
      </c>
      <c r="B997" t="s">
        <v>455</v>
      </c>
      <c r="C997" t="s">
        <v>477</v>
      </c>
      <c r="D997" t="s">
        <v>334</v>
      </c>
      <c r="E997" t="s">
        <v>338</v>
      </c>
      <c r="F997">
        <v>2</v>
      </c>
      <c r="G997" t="s">
        <v>499</v>
      </c>
      <c r="H997" s="4">
        <v>1325483</v>
      </c>
      <c r="I997" s="4">
        <v>825819</v>
      </c>
      <c r="J997" s="3">
        <v>0.37696749034125676</v>
      </c>
      <c r="K997" s="3">
        <v>0.6050526810354327</v>
      </c>
      <c r="L997" t="s">
        <v>54</v>
      </c>
    </row>
    <row r="998" spans="1:12" x14ac:dyDescent="0.25">
      <c r="A998" t="s">
        <v>487</v>
      </c>
      <c r="B998" t="s">
        <v>455</v>
      </c>
      <c r="C998" t="s">
        <v>477</v>
      </c>
      <c r="D998" t="s">
        <v>334</v>
      </c>
      <c r="E998" t="s">
        <v>340</v>
      </c>
      <c r="F998">
        <v>3</v>
      </c>
      <c r="G998" t="s">
        <v>488</v>
      </c>
      <c r="H998" s="4">
        <v>2225443</v>
      </c>
      <c r="I998" s="4">
        <v>1305025.0456452947</v>
      </c>
      <c r="J998" s="3">
        <v>0.4135886447573383</v>
      </c>
      <c r="K998" s="3">
        <v>0.7052875785227455</v>
      </c>
      <c r="L998" t="s">
        <v>54</v>
      </c>
    </row>
    <row r="999" spans="1:12" x14ac:dyDescent="0.25">
      <c r="A999" t="s">
        <v>487</v>
      </c>
      <c r="B999" t="s">
        <v>455</v>
      </c>
      <c r="C999" t="s">
        <v>477</v>
      </c>
      <c r="D999" t="s">
        <v>334</v>
      </c>
      <c r="E999" t="s">
        <v>340</v>
      </c>
      <c r="F999">
        <v>3</v>
      </c>
      <c r="G999" t="s">
        <v>498</v>
      </c>
      <c r="H999" s="4">
        <v>2225443</v>
      </c>
      <c r="I999" s="4">
        <v>752768</v>
      </c>
      <c r="J999" s="3">
        <v>0.6617446503909559</v>
      </c>
      <c r="K999" s="3">
        <v>1.9563464440571332</v>
      </c>
      <c r="L999" t="s">
        <v>54</v>
      </c>
    </row>
    <row r="1000" spans="1:12" x14ac:dyDescent="0.25">
      <c r="A1000" t="s">
        <v>487</v>
      </c>
      <c r="B1000" t="s">
        <v>455</v>
      </c>
      <c r="C1000" t="s">
        <v>477</v>
      </c>
      <c r="D1000" t="s">
        <v>334</v>
      </c>
      <c r="E1000" t="s">
        <v>340</v>
      </c>
      <c r="F1000">
        <v>3</v>
      </c>
      <c r="G1000" t="s">
        <v>499</v>
      </c>
      <c r="H1000" s="4">
        <v>2225443</v>
      </c>
      <c r="I1000" s="4">
        <v>825819</v>
      </c>
      <c r="J1000" s="3">
        <v>0.6289192758475504</v>
      </c>
      <c r="K1000" s="3">
        <v>1.6948314340067254</v>
      </c>
      <c r="L1000" t="s">
        <v>54</v>
      </c>
    </row>
    <row r="1001" spans="1:12" x14ac:dyDescent="0.25">
      <c r="A1001" t="s">
        <v>487</v>
      </c>
      <c r="B1001" t="s">
        <v>455</v>
      </c>
      <c r="C1001" t="s">
        <v>477</v>
      </c>
      <c r="D1001" t="s">
        <v>336</v>
      </c>
      <c r="E1001" t="s">
        <v>338</v>
      </c>
      <c r="F1001">
        <v>1</v>
      </c>
      <c r="G1001" t="s">
        <v>488</v>
      </c>
      <c r="H1001" s="4">
        <v>1325483</v>
      </c>
      <c r="I1001" s="4">
        <v>1755357.857041535</v>
      </c>
      <c r="J1001" s="3">
        <v>0.32431563214430886</v>
      </c>
      <c r="K1001" s="3">
        <v>-0.2448930030518349</v>
      </c>
      <c r="L1001" t="s">
        <v>54</v>
      </c>
    </row>
    <row r="1002" spans="1:12" x14ac:dyDescent="0.25">
      <c r="A1002" t="s">
        <v>487</v>
      </c>
      <c r="B1002" t="s">
        <v>455</v>
      </c>
      <c r="C1002" t="s">
        <v>477</v>
      </c>
      <c r="D1002" t="s">
        <v>336</v>
      </c>
      <c r="E1002" t="s">
        <v>338</v>
      </c>
      <c r="F1002">
        <v>1</v>
      </c>
      <c r="G1002" t="s">
        <v>498</v>
      </c>
      <c r="H1002" s="4">
        <v>1325483</v>
      </c>
      <c r="I1002" s="4">
        <v>986799</v>
      </c>
      <c r="J1002" s="3">
        <v>0.2555174227055345</v>
      </c>
      <c r="K1002" s="3">
        <v>0.3432147782881823</v>
      </c>
      <c r="L1002" t="s">
        <v>54</v>
      </c>
    </row>
    <row r="1003" spans="1:12" x14ac:dyDescent="0.25">
      <c r="A1003" t="s">
        <v>487</v>
      </c>
      <c r="B1003" t="s">
        <v>455</v>
      </c>
      <c r="C1003" t="s">
        <v>477</v>
      </c>
      <c r="D1003" t="s">
        <v>336</v>
      </c>
      <c r="E1003" t="s">
        <v>338</v>
      </c>
      <c r="F1003">
        <v>1</v>
      </c>
      <c r="G1003" t="s">
        <v>499</v>
      </c>
      <c r="H1003" s="4">
        <v>1325483</v>
      </c>
      <c r="I1003" s="4">
        <v>919337</v>
      </c>
      <c r="J1003" s="3">
        <v>0.3064135865944716</v>
      </c>
      <c r="K1003" s="3">
        <v>0.44178141421480915</v>
      </c>
      <c r="L1003" t="s">
        <v>54</v>
      </c>
    </row>
    <row r="1004" spans="1:12" x14ac:dyDescent="0.25">
      <c r="A1004" t="s">
        <v>487</v>
      </c>
      <c r="B1004" t="s">
        <v>455</v>
      </c>
      <c r="C1004" t="s">
        <v>477</v>
      </c>
      <c r="D1004" t="s">
        <v>336</v>
      </c>
      <c r="E1004" t="s">
        <v>340</v>
      </c>
      <c r="F1004">
        <v>2</v>
      </c>
      <c r="G1004" t="s">
        <v>488</v>
      </c>
      <c r="H1004" s="4">
        <v>2225443</v>
      </c>
      <c r="I1004" s="4">
        <v>1339054.0761892162</v>
      </c>
      <c r="J1004" s="3">
        <v>0.39829774288120784</v>
      </c>
      <c r="K1004" s="3">
        <v>0.6619515518994856</v>
      </c>
      <c r="L1004" t="s">
        <v>54</v>
      </c>
    </row>
    <row r="1005" spans="1:12" x14ac:dyDescent="0.25">
      <c r="A1005" t="s">
        <v>487</v>
      </c>
      <c r="B1005" t="s">
        <v>455</v>
      </c>
      <c r="C1005" t="s">
        <v>477</v>
      </c>
      <c r="D1005" t="s">
        <v>336</v>
      </c>
      <c r="E1005" t="s">
        <v>340</v>
      </c>
      <c r="F1005">
        <v>2</v>
      </c>
      <c r="G1005" t="s">
        <v>498</v>
      </c>
      <c r="H1005" s="4">
        <v>2225443</v>
      </c>
      <c r="I1005" s="4">
        <v>752768</v>
      </c>
      <c r="J1005" s="3">
        <v>0.6617446503909559</v>
      </c>
      <c r="K1005" s="3">
        <v>1.9563464440571332</v>
      </c>
      <c r="L1005" t="s">
        <v>54</v>
      </c>
    </row>
    <row r="1006" spans="1:12" x14ac:dyDescent="0.25">
      <c r="A1006" t="s">
        <v>487</v>
      </c>
      <c r="B1006" t="s">
        <v>455</v>
      </c>
      <c r="C1006" t="s">
        <v>477</v>
      </c>
      <c r="D1006" t="s">
        <v>336</v>
      </c>
      <c r="E1006" t="s">
        <v>340</v>
      </c>
      <c r="F1006">
        <v>2</v>
      </c>
      <c r="G1006" t="s">
        <v>499</v>
      </c>
      <c r="H1006" s="4">
        <v>2225443</v>
      </c>
      <c r="I1006" s="4">
        <v>919337</v>
      </c>
      <c r="J1006" s="3">
        <v>0.5868970807160642</v>
      </c>
      <c r="K1006" s="3">
        <v>1.4207042684021203</v>
      </c>
      <c r="L1006" t="s">
        <v>54</v>
      </c>
    </row>
    <row r="1007" spans="1:12" x14ac:dyDescent="0.25">
      <c r="A1007" t="s">
        <v>487</v>
      </c>
      <c r="B1007" t="s">
        <v>455</v>
      </c>
      <c r="C1007" t="s">
        <v>477</v>
      </c>
      <c r="D1007" t="s">
        <v>336</v>
      </c>
      <c r="E1007" t="s">
        <v>342</v>
      </c>
      <c r="F1007">
        <v>3</v>
      </c>
      <c r="G1007" t="s">
        <v>488</v>
      </c>
      <c r="H1007" s="4">
        <v>886640</v>
      </c>
      <c r="I1007" s="4">
        <v>1085636.9253511517</v>
      </c>
      <c r="J1007" s="3">
        <v>0.2244393726328067</v>
      </c>
      <c r="K1007" s="3">
        <v>-0.18329970241827</v>
      </c>
      <c r="L1007" t="s">
        <v>54</v>
      </c>
    </row>
    <row r="1008" spans="1:12" x14ac:dyDescent="0.25">
      <c r="A1008" t="s">
        <v>487</v>
      </c>
      <c r="B1008" t="s">
        <v>455</v>
      </c>
      <c r="C1008" t="s">
        <v>477</v>
      </c>
      <c r="D1008" t="s">
        <v>336</v>
      </c>
      <c r="E1008" t="s">
        <v>342</v>
      </c>
      <c r="F1008">
        <v>3</v>
      </c>
      <c r="G1008" t="s">
        <v>498</v>
      </c>
      <c r="H1008" s="4">
        <v>886640</v>
      </c>
      <c r="I1008" s="4">
        <v>610306</v>
      </c>
      <c r="J1008" s="3">
        <v>0.31166426057926555</v>
      </c>
      <c r="K1008" s="3">
        <v>0.45277942540299454</v>
      </c>
      <c r="L1008" t="s">
        <v>54</v>
      </c>
    </row>
    <row r="1009" spans="1:12" x14ac:dyDescent="0.25">
      <c r="A1009" t="s">
        <v>487</v>
      </c>
      <c r="B1009" t="s">
        <v>455</v>
      </c>
      <c r="C1009" t="s">
        <v>477</v>
      </c>
      <c r="D1009" t="s">
        <v>336</v>
      </c>
      <c r="E1009" t="s">
        <v>342</v>
      </c>
      <c r="F1009">
        <v>3</v>
      </c>
      <c r="G1009" t="s">
        <v>499</v>
      </c>
      <c r="H1009" s="4">
        <v>886640</v>
      </c>
      <c r="I1009" s="4">
        <v>919337</v>
      </c>
      <c r="J1009" s="3">
        <v>0.036877424884958945</v>
      </c>
      <c r="K1009" s="3">
        <v>-0.03556584799698043</v>
      </c>
      <c r="L1009" t="s">
        <v>54</v>
      </c>
    </row>
    <row r="1010" spans="1:12" x14ac:dyDescent="0.25">
      <c r="A1010" t="s">
        <v>487</v>
      </c>
      <c r="B1010" t="s">
        <v>455</v>
      </c>
      <c r="C1010" t="s">
        <v>477</v>
      </c>
      <c r="D1010" t="s">
        <v>338</v>
      </c>
      <c r="E1010" t="s">
        <v>340</v>
      </c>
      <c r="F1010">
        <v>1</v>
      </c>
      <c r="G1010" t="s">
        <v>488</v>
      </c>
      <c r="H1010" s="4">
        <v>2225443</v>
      </c>
      <c r="I1010" s="4">
        <v>1256069.8345969813</v>
      </c>
      <c r="J1010" s="3">
        <v>0.43558660698252827</v>
      </c>
      <c r="K1010" s="3">
        <v>0.7717510115303811</v>
      </c>
      <c r="L1010" t="s">
        <v>54</v>
      </c>
    </row>
    <row r="1011" spans="1:12" x14ac:dyDescent="0.25">
      <c r="A1011" t="s">
        <v>487</v>
      </c>
      <c r="B1011" t="s">
        <v>455</v>
      </c>
      <c r="C1011" t="s">
        <v>477</v>
      </c>
      <c r="D1011" t="s">
        <v>338</v>
      </c>
      <c r="E1011" t="s">
        <v>340</v>
      </c>
      <c r="F1011">
        <v>1</v>
      </c>
      <c r="G1011" t="s">
        <v>498</v>
      </c>
      <c r="H1011" s="4">
        <v>2225443</v>
      </c>
      <c r="I1011" s="4">
        <v>752768</v>
      </c>
      <c r="J1011" s="3">
        <v>0.6617446503909559</v>
      </c>
      <c r="K1011" s="3">
        <v>1.9563464440571332</v>
      </c>
      <c r="L1011" t="s">
        <v>54</v>
      </c>
    </row>
    <row r="1012" spans="1:12" x14ac:dyDescent="0.25">
      <c r="A1012" t="s">
        <v>487</v>
      </c>
      <c r="B1012" t="s">
        <v>455</v>
      </c>
      <c r="C1012" t="s">
        <v>477</v>
      </c>
      <c r="D1012" t="s">
        <v>338</v>
      </c>
      <c r="E1012" t="s">
        <v>340</v>
      </c>
      <c r="F1012">
        <v>1</v>
      </c>
      <c r="G1012" t="s">
        <v>499</v>
      </c>
      <c r="H1012" s="4">
        <v>2225443</v>
      </c>
      <c r="I1012" s="4">
        <v>1325483</v>
      </c>
      <c r="J1012" s="3">
        <v>0.4043958888185408</v>
      </c>
      <c r="K1012" s="3">
        <v>0.6789675914364801</v>
      </c>
      <c r="L1012" t="s">
        <v>54</v>
      </c>
    </row>
    <row r="1013" spans="1:12" x14ac:dyDescent="0.25">
      <c r="A1013" t="s">
        <v>487</v>
      </c>
      <c r="B1013" t="s">
        <v>455</v>
      </c>
      <c r="C1013" t="s">
        <v>477</v>
      </c>
      <c r="D1013" t="s">
        <v>338</v>
      </c>
      <c r="E1013" t="s">
        <v>342</v>
      </c>
      <c r="F1013">
        <v>2</v>
      </c>
      <c r="G1013" t="s">
        <v>488</v>
      </c>
      <c r="H1013" s="4">
        <v>886640</v>
      </c>
      <c r="I1013" s="4">
        <v>1018357.5237969005</v>
      </c>
      <c r="J1013" s="3">
        <v>0.14855806617894582</v>
      </c>
      <c r="K1013" s="3">
        <v>-0.12934310467486668</v>
      </c>
      <c r="L1013" t="s">
        <v>54</v>
      </c>
    </row>
    <row r="1014" spans="1:12" x14ac:dyDescent="0.25">
      <c r="A1014" t="s">
        <v>487</v>
      </c>
      <c r="B1014" t="s">
        <v>455</v>
      </c>
      <c r="C1014" t="s">
        <v>477</v>
      </c>
      <c r="D1014" t="s">
        <v>338</v>
      </c>
      <c r="E1014" t="s">
        <v>342</v>
      </c>
      <c r="F1014">
        <v>2</v>
      </c>
      <c r="G1014" t="s">
        <v>498</v>
      </c>
      <c r="H1014" s="4">
        <v>886640</v>
      </c>
      <c r="I1014" s="4">
        <v>610306</v>
      </c>
      <c r="J1014" s="3">
        <v>0.31166426057926555</v>
      </c>
      <c r="K1014" s="3">
        <v>0.45277942540299454</v>
      </c>
      <c r="L1014" t="s">
        <v>54</v>
      </c>
    </row>
    <row r="1015" spans="1:12" x14ac:dyDescent="0.25">
      <c r="A1015" t="s">
        <v>487</v>
      </c>
      <c r="B1015" t="s">
        <v>455</v>
      </c>
      <c r="C1015" t="s">
        <v>477</v>
      </c>
      <c r="D1015" t="s">
        <v>338</v>
      </c>
      <c r="E1015" t="s">
        <v>342</v>
      </c>
      <c r="F1015">
        <v>2</v>
      </c>
      <c r="G1015" t="s">
        <v>499</v>
      </c>
      <c r="H1015" s="4">
        <v>886640</v>
      </c>
      <c r="I1015" s="4">
        <v>1325483</v>
      </c>
      <c r="J1015" s="3">
        <v>0.49495060001804564</v>
      </c>
      <c r="K1015" s="3">
        <v>-0.3310815755464235</v>
      </c>
      <c r="L1015" t="s">
        <v>54</v>
      </c>
    </row>
    <row r="1016" spans="1:12" x14ac:dyDescent="0.25">
      <c r="A1016" t="s">
        <v>487</v>
      </c>
      <c r="B1016" t="s">
        <v>455</v>
      </c>
      <c r="C1016" t="s">
        <v>477</v>
      </c>
      <c r="D1016" t="s">
        <v>338</v>
      </c>
      <c r="E1016" t="s">
        <v>344</v>
      </c>
      <c r="F1016">
        <v>3</v>
      </c>
      <c r="G1016" t="s">
        <v>488</v>
      </c>
      <c r="H1016" s="4">
        <v>1124323</v>
      </c>
      <c r="I1016" s="4">
        <v>1777519.4921281182</v>
      </c>
      <c r="J1016" s="3">
        <v>0.5809687181780664</v>
      </c>
      <c r="K1016" s="3">
        <v>-0.36747641588227253</v>
      </c>
      <c r="L1016" t="s">
        <v>54</v>
      </c>
    </row>
    <row r="1017" spans="1:12" x14ac:dyDescent="0.25">
      <c r="A1017" t="s">
        <v>487</v>
      </c>
      <c r="B1017" t="s">
        <v>455</v>
      </c>
      <c r="C1017" t="s">
        <v>477</v>
      </c>
      <c r="D1017" t="s">
        <v>338</v>
      </c>
      <c r="E1017" t="s">
        <v>344</v>
      </c>
      <c r="F1017">
        <v>3</v>
      </c>
      <c r="G1017" t="s">
        <v>498</v>
      </c>
      <c r="H1017" s="4">
        <v>1124323</v>
      </c>
      <c r="I1017" s="4">
        <v>1065275</v>
      </c>
      <c r="J1017" s="3">
        <v>0.052518715707141096</v>
      </c>
      <c r="K1017" s="3">
        <v>0.055429818591443525</v>
      </c>
      <c r="L1017" t="s">
        <v>54</v>
      </c>
    </row>
    <row r="1018" spans="1:12" x14ac:dyDescent="0.25">
      <c r="A1018" t="s">
        <v>487</v>
      </c>
      <c r="B1018" t="s">
        <v>455</v>
      </c>
      <c r="C1018" t="s">
        <v>477</v>
      </c>
      <c r="D1018" t="s">
        <v>338</v>
      </c>
      <c r="E1018" t="s">
        <v>344</v>
      </c>
      <c r="F1018">
        <v>3</v>
      </c>
      <c r="G1018" t="s">
        <v>499</v>
      </c>
      <c r="H1018" s="4">
        <v>1124323</v>
      </c>
      <c r="I1018" s="4">
        <v>1325483</v>
      </c>
      <c r="J1018" s="3">
        <v>0.17891655689690597</v>
      </c>
      <c r="K1018" s="3">
        <v>-0.15176354581688337</v>
      </c>
      <c r="L1018" t="s">
        <v>54</v>
      </c>
    </row>
    <row r="1019" spans="1:12" x14ac:dyDescent="0.25">
      <c r="A1019" t="s">
        <v>487</v>
      </c>
      <c r="B1019" t="s">
        <v>455</v>
      </c>
      <c r="C1019" t="s">
        <v>477</v>
      </c>
      <c r="D1019" t="s">
        <v>340</v>
      </c>
      <c r="E1019" t="s">
        <v>342</v>
      </c>
      <c r="F1019">
        <v>1</v>
      </c>
      <c r="G1019" t="s">
        <v>488</v>
      </c>
      <c r="H1019" s="4">
        <v>886640</v>
      </c>
      <c r="I1019" s="4">
        <v>942714.8923337286</v>
      </c>
      <c r="J1019" s="3">
        <v>0.0632442618579453</v>
      </c>
      <c r="K1019" s="3">
        <v>-0.05948234486347506</v>
      </c>
      <c r="L1019" t="s">
        <v>54</v>
      </c>
    </row>
    <row r="1020" spans="1:12" x14ac:dyDescent="0.25">
      <c r="A1020" t="s">
        <v>487</v>
      </c>
      <c r="B1020" t="s">
        <v>455</v>
      </c>
      <c r="C1020" t="s">
        <v>477</v>
      </c>
      <c r="D1020" t="s">
        <v>340</v>
      </c>
      <c r="E1020" t="s">
        <v>342</v>
      </c>
      <c r="F1020">
        <v>1</v>
      </c>
      <c r="G1020" t="s">
        <v>498</v>
      </c>
      <c r="H1020" s="4">
        <v>886640</v>
      </c>
      <c r="I1020" s="4">
        <v>610306</v>
      </c>
      <c r="J1020" s="3">
        <v>0.31166426057926555</v>
      </c>
      <c r="K1020" s="3">
        <v>0.45277942540299454</v>
      </c>
      <c r="L1020" t="s">
        <v>54</v>
      </c>
    </row>
    <row r="1021" spans="1:12" x14ac:dyDescent="0.25">
      <c r="A1021" t="s">
        <v>487</v>
      </c>
      <c r="B1021" t="s">
        <v>455</v>
      </c>
      <c r="C1021" t="s">
        <v>477</v>
      </c>
      <c r="D1021" t="s">
        <v>340</v>
      </c>
      <c r="E1021" t="s">
        <v>342</v>
      </c>
      <c r="F1021">
        <v>1</v>
      </c>
      <c r="G1021" t="s">
        <v>499</v>
      </c>
      <c r="H1021" s="4">
        <v>886640</v>
      </c>
      <c r="I1021" s="4">
        <v>2225443</v>
      </c>
      <c r="J1021" s="3">
        <v>1.5099736082288189</v>
      </c>
      <c r="K1021" s="3">
        <v>-0.6015894363504255</v>
      </c>
      <c r="L1021" t="s">
        <v>54</v>
      </c>
    </row>
    <row r="1022" spans="1:12" x14ac:dyDescent="0.25">
      <c r="A1022" t="s">
        <v>487</v>
      </c>
      <c r="B1022" t="s">
        <v>455</v>
      </c>
      <c r="C1022" t="s">
        <v>477</v>
      </c>
      <c r="D1022" t="s">
        <v>340</v>
      </c>
      <c r="E1022" t="s">
        <v>344</v>
      </c>
      <c r="F1022">
        <v>2</v>
      </c>
      <c r="G1022" t="s">
        <v>488</v>
      </c>
      <c r="H1022" s="4">
        <v>1124323</v>
      </c>
      <c r="I1022" s="4">
        <v>1645487.0293439892</v>
      </c>
      <c r="J1022" s="3">
        <v>0.46353586055251844</v>
      </c>
      <c r="K1022" s="3">
        <v>-0.3167232679748093</v>
      </c>
      <c r="L1022" t="s">
        <v>54</v>
      </c>
    </row>
    <row r="1023" spans="1:12" x14ac:dyDescent="0.25">
      <c r="A1023" t="s">
        <v>487</v>
      </c>
      <c r="B1023" t="s">
        <v>455</v>
      </c>
      <c r="C1023" t="s">
        <v>477</v>
      </c>
      <c r="D1023" t="s">
        <v>340</v>
      </c>
      <c r="E1023" t="s">
        <v>344</v>
      </c>
      <c r="F1023">
        <v>2</v>
      </c>
      <c r="G1023" t="s">
        <v>498</v>
      </c>
      <c r="H1023" s="4">
        <v>1124323</v>
      </c>
      <c r="I1023" s="4">
        <v>1065275</v>
      </c>
      <c r="J1023" s="3">
        <v>0.052518715707141096</v>
      </c>
      <c r="K1023" s="3">
        <v>0.055429818591443525</v>
      </c>
      <c r="L1023" t="s">
        <v>54</v>
      </c>
    </row>
    <row r="1024" spans="1:12" x14ac:dyDescent="0.25">
      <c r="A1024" t="s">
        <v>487</v>
      </c>
      <c r="B1024" t="s">
        <v>455</v>
      </c>
      <c r="C1024" t="s">
        <v>477</v>
      </c>
      <c r="D1024" t="s">
        <v>340</v>
      </c>
      <c r="E1024" t="s">
        <v>344</v>
      </c>
      <c r="F1024">
        <v>2</v>
      </c>
      <c r="G1024" t="s">
        <v>499</v>
      </c>
      <c r="H1024" s="4">
        <v>1124323</v>
      </c>
      <c r="I1024" s="4">
        <v>2225443</v>
      </c>
      <c r="J1024" s="3">
        <v>0.9793626920377863</v>
      </c>
      <c r="K1024" s="3">
        <v>-0.4947868806345523</v>
      </c>
      <c r="L1024" t="s">
        <v>54</v>
      </c>
    </row>
    <row r="1025" spans="1:12" x14ac:dyDescent="0.25">
      <c r="A1025" t="s">
        <v>487</v>
      </c>
      <c r="B1025" t="s">
        <v>455</v>
      </c>
      <c r="C1025" t="s">
        <v>477</v>
      </c>
      <c r="D1025" t="s">
        <v>340</v>
      </c>
      <c r="E1025" t="s">
        <v>346</v>
      </c>
      <c r="F1025">
        <v>3</v>
      </c>
      <c r="G1025" t="s">
        <v>488</v>
      </c>
      <c r="H1025" s="4">
        <v>764091</v>
      </c>
      <c r="I1025" s="4">
        <v>835819.828719458</v>
      </c>
      <c r="J1025" s="3">
        <v>0.09387472005226859</v>
      </c>
      <c r="K1025" s="3">
        <v>-0.08581852960984689</v>
      </c>
      <c r="L1025" t="s">
        <v>54</v>
      </c>
    </row>
    <row r="1026" spans="1:12" x14ac:dyDescent="0.25">
      <c r="A1026" t="s">
        <v>487</v>
      </c>
      <c r="B1026" t="s">
        <v>455</v>
      </c>
      <c r="C1026" t="s">
        <v>477</v>
      </c>
      <c r="D1026" t="s">
        <v>340</v>
      </c>
      <c r="E1026" t="s">
        <v>346</v>
      </c>
      <c r="F1026">
        <v>3</v>
      </c>
      <c r="G1026" t="s">
        <v>498</v>
      </c>
      <c r="H1026" s="4">
        <v>764091</v>
      </c>
      <c r="I1026" s="4">
        <v>541103</v>
      </c>
      <c r="J1026" s="3">
        <v>0.29183434957354554</v>
      </c>
      <c r="K1026" s="3">
        <v>0.41209899039554393</v>
      </c>
      <c r="L1026" t="s">
        <v>54</v>
      </c>
    </row>
    <row r="1027" spans="1:12" x14ac:dyDescent="0.25">
      <c r="A1027" t="s">
        <v>487</v>
      </c>
      <c r="B1027" t="s">
        <v>455</v>
      </c>
      <c r="C1027" t="s">
        <v>477</v>
      </c>
      <c r="D1027" t="s">
        <v>340</v>
      </c>
      <c r="E1027" t="s">
        <v>346</v>
      </c>
      <c r="F1027">
        <v>3</v>
      </c>
      <c r="G1027" t="s">
        <v>499</v>
      </c>
      <c r="H1027" s="4">
        <v>764091</v>
      </c>
      <c r="I1027" s="4">
        <v>2225443</v>
      </c>
      <c r="J1027" s="3">
        <v>1.9125365957719695</v>
      </c>
      <c r="K1027" s="3">
        <v>-0.656656674648598</v>
      </c>
      <c r="L1027" t="s">
        <v>54</v>
      </c>
    </row>
    <row r="1028" spans="1:12" x14ac:dyDescent="0.25">
      <c r="A1028" t="s">
        <v>487</v>
      </c>
      <c r="B1028" t="s">
        <v>455</v>
      </c>
      <c r="C1028" t="s">
        <v>477</v>
      </c>
      <c r="D1028" t="s">
        <v>342</v>
      </c>
      <c r="E1028" t="s">
        <v>344</v>
      </c>
      <c r="F1028">
        <v>1</v>
      </c>
      <c r="G1028" t="s">
        <v>488</v>
      </c>
      <c r="H1028" s="4">
        <v>1124323</v>
      </c>
      <c r="I1028" s="4">
        <v>1626944.1196406062</v>
      </c>
      <c r="J1028" s="3">
        <v>0.4470433493227535</v>
      </c>
      <c r="K1028" s="3">
        <v>-0.30893569949509747</v>
      </c>
      <c r="L1028" t="s">
        <v>54</v>
      </c>
    </row>
    <row r="1029" spans="1:12" x14ac:dyDescent="0.25">
      <c r="A1029" t="s">
        <v>487</v>
      </c>
      <c r="B1029" t="s">
        <v>455</v>
      </c>
      <c r="C1029" t="s">
        <v>477</v>
      </c>
      <c r="D1029" t="s">
        <v>342</v>
      </c>
      <c r="E1029" t="s">
        <v>344</v>
      </c>
      <c r="F1029">
        <v>1</v>
      </c>
      <c r="G1029" t="s">
        <v>498</v>
      </c>
      <c r="H1029" s="4">
        <v>1124323</v>
      </c>
      <c r="I1029" s="4">
        <v>1065275</v>
      </c>
      <c r="J1029" s="3">
        <v>0.052518715707141096</v>
      </c>
      <c r="K1029" s="3">
        <v>0.055429818591443525</v>
      </c>
      <c r="L1029" t="s">
        <v>54</v>
      </c>
    </row>
    <row r="1030" spans="1:12" x14ac:dyDescent="0.25">
      <c r="A1030" t="s">
        <v>487</v>
      </c>
      <c r="B1030" t="s">
        <v>455</v>
      </c>
      <c r="C1030" t="s">
        <v>477</v>
      </c>
      <c r="D1030" t="s">
        <v>342</v>
      </c>
      <c r="E1030" t="s">
        <v>344</v>
      </c>
      <c r="F1030">
        <v>1</v>
      </c>
      <c r="G1030" t="s">
        <v>499</v>
      </c>
      <c r="H1030" s="4">
        <v>1124323</v>
      </c>
      <c r="I1030" s="4">
        <v>886640</v>
      </c>
      <c r="J1030" s="3">
        <v>0.21140099419828642</v>
      </c>
      <c r="K1030" s="3">
        <v>0.26807159613822973</v>
      </c>
      <c r="L1030" t="s">
        <v>54</v>
      </c>
    </row>
    <row r="1031" spans="1:12" x14ac:dyDescent="0.25">
      <c r="A1031" t="s">
        <v>487</v>
      </c>
      <c r="B1031" t="s">
        <v>455</v>
      </c>
      <c r="C1031" t="s">
        <v>477</v>
      </c>
      <c r="D1031" t="s">
        <v>342</v>
      </c>
      <c r="E1031" t="s">
        <v>346</v>
      </c>
      <c r="F1031">
        <v>2</v>
      </c>
      <c r="G1031" t="s">
        <v>488</v>
      </c>
      <c r="H1031" s="4">
        <v>764091</v>
      </c>
      <c r="I1031" s="4">
        <v>826401.0175493568</v>
      </c>
      <c r="J1031" s="3">
        <v>0.08154790142712949</v>
      </c>
      <c r="K1031" s="3">
        <v>-0.07539925075858868</v>
      </c>
      <c r="L1031" t="s">
        <v>54</v>
      </c>
    </row>
    <row r="1032" spans="1:12" x14ac:dyDescent="0.25">
      <c r="A1032" t="s">
        <v>487</v>
      </c>
      <c r="B1032" t="s">
        <v>455</v>
      </c>
      <c r="C1032" t="s">
        <v>477</v>
      </c>
      <c r="D1032" t="s">
        <v>342</v>
      </c>
      <c r="E1032" t="s">
        <v>346</v>
      </c>
      <c r="F1032">
        <v>2</v>
      </c>
      <c r="G1032" t="s">
        <v>498</v>
      </c>
      <c r="H1032" s="4">
        <v>764091</v>
      </c>
      <c r="I1032" s="4">
        <v>541103</v>
      </c>
      <c r="J1032" s="3">
        <v>0.29183434957354554</v>
      </c>
      <c r="K1032" s="3">
        <v>0.41209899039554393</v>
      </c>
      <c r="L1032" t="s">
        <v>54</v>
      </c>
    </row>
    <row r="1033" spans="1:12" x14ac:dyDescent="0.25">
      <c r="A1033" t="s">
        <v>487</v>
      </c>
      <c r="B1033" t="s">
        <v>455</v>
      </c>
      <c r="C1033" t="s">
        <v>477</v>
      </c>
      <c r="D1033" t="s">
        <v>342</v>
      </c>
      <c r="E1033" t="s">
        <v>346</v>
      </c>
      <c r="F1033">
        <v>2</v>
      </c>
      <c r="G1033" t="s">
        <v>499</v>
      </c>
      <c r="H1033" s="4">
        <v>764091</v>
      </c>
      <c r="I1033" s="4">
        <v>886640</v>
      </c>
      <c r="J1033" s="3">
        <v>0.16038534677152327</v>
      </c>
      <c r="K1033" s="3">
        <v>-0.13821731480646035</v>
      </c>
      <c r="L1033" t="s">
        <v>54</v>
      </c>
    </row>
    <row r="1034" spans="1:12" x14ac:dyDescent="0.25">
      <c r="A1034" t="s">
        <v>487</v>
      </c>
      <c r="B1034" t="s">
        <v>455</v>
      </c>
      <c r="C1034" t="s">
        <v>477</v>
      </c>
      <c r="D1034" t="s">
        <v>342</v>
      </c>
      <c r="E1034" t="s">
        <v>348</v>
      </c>
      <c r="F1034">
        <v>3</v>
      </c>
      <c r="G1034" t="s">
        <v>488</v>
      </c>
      <c r="H1034" s="4">
        <v>738102</v>
      </c>
      <c r="I1034" s="4">
        <v>881942.6164782436</v>
      </c>
      <c r="J1034" s="3">
        <v>0.19487904988503432</v>
      </c>
      <c r="K1034" s="3">
        <v>-0.163095210267336</v>
      </c>
      <c r="L1034" t="s">
        <v>54</v>
      </c>
    </row>
    <row r="1035" spans="1:12" x14ac:dyDescent="0.25">
      <c r="A1035" t="s">
        <v>487</v>
      </c>
      <c r="B1035" t="s">
        <v>455</v>
      </c>
      <c r="C1035" t="s">
        <v>477</v>
      </c>
      <c r="D1035" t="s">
        <v>342</v>
      </c>
      <c r="E1035" t="s">
        <v>348</v>
      </c>
      <c r="F1035">
        <v>3</v>
      </c>
      <c r="G1035" t="s">
        <v>498</v>
      </c>
      <c r="H1035" s="4">
        <v>738102</v>
      </c>
      <c r="I1035" s="4">
        <v>577470</v>
      </c>
      <c r="J1035" s="3">
        <v>0.21762845785541834</v>
      </c>
      <c r="K1035" s="3">
        <v>0.2781650994856876</v>
      </c>
      <c r="L1035" t="s">
        <v>54</v>
      </c>
    </row>
    <row r="1036" spans="1:12" x14ac:dyDescent="0.25">
      <c r="A1036" t="s">
        <v>487</v>
      </c>
      <c r="B1036" t="s">
        <v>455</v>
      </c>
      <c r="C1036" t="s">
        <v>477</v>
      </c>
      <c r="D1036" t="s">
        <v>342</v>
      </c>
      <c r="E1036" t="s">
        <v>348</v>
      </c>
      <c r="F1036">
        <v>3</v>
      </c>
      <c r="G1036" t="s">
        <v>499</v>
      </c>
      <c r="H1036" s="4">
        <v>738102</v>
      </c>
      <c r="I1036" s="4">
        <v>886640</v>
      </c>
      <c r="J1036" s="3">
        <v>0.20124318861078822</v>
      </c>
      <c r="K1036" s="3">
        <v>-0.16752909861950735</v>
      </c>
      <c r="L1036" t="s">
        <v>54</v>
      </c>
    </row>
    <row r="1037" spans="1:12" x14ac:dyDescent="0.25">
      <c r="A1037" t="s">
        <v>487</v>
      </c>
      <c r="B1037" t="s">
        <v>455</v>
      </c>
      <c r="C1037" t="s">
        <v>477</v>
      </c>
      <c r="D1037" t="s">
        <v>344</v>
      </c>
      <c r="E1037" t="s">
        <v>346</v>
      </c>
      <c r="F1037">
        <v>1</v>
      </c>
      <c r="G1037" t="s">
        <v>488</v>
      </c>
      <c r="H1037" s="4">
        <v>764091</v>
      </c>
      <c r="I1037" s="4">
        <v>815338.2134655656</v>
      </c>
      <c r="J1037" s="3">
        <v>0.0670695158895545</v>
      </c>
      <c r="K1037" s="3">
        <v>-0.06285393302951073</v>
      </c>
      <c r="L1037" t="s">
        <v>54</v>
      </c>
    </row>
    <row r="1038" spans="1:12" x14ac:dyDescent="0.25">
      <c r="A1038" t="s">
        <v>487</v>
      </c>
      <c r="B1038" t="s">
        <v>455</v>
      </c>
      <c r="C1038" t="s">
        <v>477</v>
      </c>
      <c r="D1038" t="s">
        <v>344</v>
      </c>
      <c r="E1038" t="s">
        <v>346</v>
      </c>
      <c r="F1038">
        <v>1</v>
      </c>
      <c r="G1038" t="s">
        <v>498</v>
      </c>
      <c r="H1038" s="4">
        <v>764091</v>
      </c>
      <c r="I1038" s="4">
        <v>541103</v>
      </c>
      <c r="J1038" s="3">
        <v>0.29183434957354554</v>
      </c>
      <c r="K1038" s="3">
        <v>0.41209899039554393</v>
      </c>
      <c r="L1038" t="s">
        <v>54</v>
      </c>
    </row>
    <row r="1039" spans="1:12" x14ac:dyDescent="0.25">
      <c r="A1039" t="s">
        <v>487</v>
      </c>
      <c r="B1039" t="s">
        <v>455</v>
      </c>
      <c r="C1039" t="s">
        <v>477</v>
      </c>
      <c r="D1039" t="s">
        <v>344</v>
      </c>
      <c r="E1039" t="s">
        <v>346</v>
      </c>
      <c r="F1039">
        <v>1</v>
      </c>
      <c r="G1039" t="s">
        <v>499</v>
      </c>
      <c r="H1039" s="4">
        <v>764091</v>
      </c>
      <c r="I1039" s="4">
        <v>1124323</v>
      </c>
      <c r="J1039" s="3">
        <v>0.4714516988159787</v>
      </c>
      <c r="K1039" s="3">
        <v>-0.3203990312392435</v>
      </c>
      <c r="L1039" t="s">
        <v>54</v>
      </c>
    </row>
    <row r="1040" spans="1:12" x14ac:dyDescent="0.25">
      <c r="A1040" t="s">
        <v>487</v>
      </c>
      <c r="B1040" t="s">
        <v>455</v>
      </c>
      <c r="C1040" t="s">
        <v>477</v>
      </c>
      <c r="D1040" t="s">
        <v>344</v>
      </c>
      <c r="E1040" t="s">
        <v>348</v>
      </c>
      <c r="F1040">
        <v>2</v>
      </c>
      <c r="G1040" t="s">
        <v>488</v>
      </c>
      <c r="H1040" s="4">
        <v>738102</v>
      </c>
      <c r="I1040" s="4">
        <v>870136.2922215551</v>
      </c>
      <c r="J1040" s="3">
        <v>0.1788835313026589</v>
      </c>
      <c r="K1040" s="3">
        <v>-0.1517397830683017</v>
      </c>
      <c r="L1040" t="s">
        <v>54</v>
      </c>
    </row>
    <row r="1041" spans="1:12" x14ac:dyDescent="0.25">
      <c r="A1041" t="s">
        <v>487</v>
      </c>
      <c r="B1041" t="s">
        <v>455</v>
      </c>
      <c r="C1041" t="s">
        <v>477</v>
      </c>
      <c r="D1041" t="s">
        <v>344</v>
      </c>
      <c r="E1041" t="s">
        <v>348</v>
      </c>
      <c r="F1041">
        <v>2</v>
      </c>
      <c r="G1041" t="s">
        <v>498</v>
      </c>
      <c r="H1041" s="4">
        <v>738102</v>
      </c>
      <c r="I1041" s="4">
        <v>577470</v>
      </c>
      <c r="J1041" s="3">
        <v>0.21762845785541834</v>
      </c>
      <c r="K1041" s="3">
        <v>0.2781650994856876</v>
      </c>
      <c r="L1041" t="s">
        <v>54</v>
      </c>
    </row>
    <row r="1042" spans="1:12" x14ac:dyDescent="0.25">
      <c r="A1042" t="s">
        <v>487</v>
      </c>
      <c r="B1042" t="s">
        <v>455</v>
      </c>
      <c r="C1042" t="s">
        <v>477</v>
      </c>
      <c r="D1042" t="s">
        <v>344</v>
      </c>
      <c r="E1042" t="s">
        <v>348</v>
      </c>
      <c r="F1042">
        <v>2</v>
      </c>
      <c r="G1042" t="s">
        <v>499</v>
      </c>
      <c r="H1042" s="4">
        <v>738102</v>
      </c>
      <c r="I1042" s="4">
        <v>1124323</v>
      </c>
      <c r="J1042" s="3">
        <v>0.5232623675318587</v>
      </c>
      <c r="K1042" s="3">
        <v>-0.34351427481248714</v>
      </c>
      <c r="L1042" t="s">
        <v>54</v>
      </c>
    </row>
    <row r="1043" spans="1:12" x14ac:dyDescent="0.25">
      <c r="A1043" t="s">
        <v>487</v>
      </c>
      <c r="B1043" t="s">
        <v>455</v>
      </c>
      <c r="C1043" t="s">
        <v>477</v>
      </c>
      <c r="D1043" t="s">
        <v>344</v>
      </c>
      <c r="E1043" t="s">
        <v>350</v>
      </c>
      <c r="F1043">
        <v>3</v>
      </c>
      <c r="G1043" t="s">
        <v>488</v>
      </c>
      <c r="H1043" s="4">
        <v>1121851</v>
      </c>
      <c r="I1043" s="4">
        <v>1511819.428765969</v>
      </c>
      <c r="J1043" s="3">
        <v>0.3476116068586371</v>
      </c>
      <c r="K1043" s="3">
        <v>-0.2579464328516289</v>
      </c>
      <c r="L1043" t="s">
        <v>54</v>
      </c>
    </row>
    <row r="1044" spans="1:12" x14ac:dyDescent="0.25">
      <c r="A1044" t="s">
        <v>487</v>
      </c>
      <c r="B1044" t="s">
        <v>455</v>
      </c>
      <c r="C1044" t="s">
        <v>477</v>
      </c>
      <c r="D1044" t="s">
        <v>344</v>
      </c>
      <c r="E1044" t="s">
        <v>350</v>
      </c>
      <c r="F1044">
        <v>3</v>
      </c>
      <c r="G1044" t="s">
        <v>498</v>
      </c>
      <c r="H1044" s="4">
        <v>1121851</v>
      </c>
      <c r="I1044" s="4">
        <v>1003326</v>
      </c>
      <c r="J1044" s="3">
        <v>0.10565128524197955</v>
      </c>
      <c r="K1044" s="3">
        <v>0.11813209265981346</v>
      </c>
      <c r="L1044" t="s">
        <v>54</v>
      </c>
    </row>
    <row r="1045" spans="1:12" x14ac:dyDescent="0.25">
      <c r="A1045" t="s">
        <v>487</v>
      </c>
      <c r="B1045" t="s">
        <v>455</v>
      </c>
      <c r="C1045" t="s">
        <v>477</v>
      </c>
      <c r="D1045" t="s">
        <v>344</v>
      </c>
      <c r="E1045" t="s">
        <v>350</v>
      </c>
      <c r="F1045">
        <v>3</v>
      </c>
      <c r="G1045" t="s">
        <v>499</v>
      </c>
      <c r="H1045" s="4">
        <v>1121851</v>
      </c>
      <c r="I1045" s="4">
        <v>1124323</v>
      </c>
      <c r="J1045" s="3">
        <v>0.0022035011779639184</v>
      </c>
      <c r="K1045" s="3">
        <v>-0.0021986564359174365</v>
      </c>
      <c r="L1045" t="s">
        <v>54</v>
      </c>
    </row>
    <row r="1046" spans="1:12" x14ac:dyDescent="0.25">
      <c r="A1046" t="s">
        <v>487</v>
      </c>
      <c r="B1046" t="s">
        <v>455</v>
      </c>
      <c r="C1046" t="s">
        <v>477</v>
      </c>
      <c r="D1046" t="s">
        <v>346</v>
      </c>
      <c r="E1046" t="s">
        <v>348</v>
      </c>
      <c r="F1046">
        <v>1</v>
      </c>
      <c r="G1046" t="s">
        <v>488</v>
      </c>
      <c r="H1046" s="4">
        <v>738102</v>
      </c>
      <c r="I1046" s="4">
        <v>901409.4240515126</v>
      </c>
      <c r="J1046" s="3">
        <v>0.22125319271796123</v>
      </c>
      <c r="K1046" s="3">
        <v>-0.18116897792958966</v>
      </c>
      <c r="L1046" t="s">
        <v>54</v>
      </c>
    </row>
    <row r="1047" spans="1:12" x14ac:dyDescent="0.25">
      <c r="A1047" t="s">
        <v>487</v>
      </c>
      <c r="B1047" t="s">
        <v>455</v>
      </c>
      <c r="C1047" t="s">
        <v>477</v>
      </c>
      <c r="D1047" t="s">
        <v>346</v>
      </c>
      <c r="E1047" t="s">
        <v>348</v>
      </c>
      <c r="F1047">
        <v>1</v>
      </c>
      <c r="G1047" t="s">
        <v>498</v>
      </c>
      <c r="H1047" s="4">
        <v>738102</v>
      </c>
      <c r="I1047" s="4">
        <v>577470</v>
      </c>
      <c r="J1047" s="3">
        <v>0.21762845785541834</v>
      </c>
      <c r="K1047" s="3">
        <v>0.2781650994856876</v>
      </c>
      <c r="L1047" t="s">
        <v>54</v>
      </c>
    </row>
    <row r="1048" spans="1:12" x14ac:dyDescent="0.25">
      <c r="A1048" t="s">
        <v>487</v>
      </c>
      <c r="B1048" t="s">
        <v>455</v>
      </c>
      <c r="C1048" t="s">
        <v>477</v>
      </c>
      <c r="D1048" t="s">
        <v>346</v>
      </c>
      <c r="E1048" t="s">
        <v>348</v>
      </c>
      <c r="F1048">
        <v>1</v>
      </c>
      <c r="G1048" t="s">
        <v>499</v>
      </c>
      <c r="H1048" s="4">
        <v>738102</v>
      </c>
      <c r="I1048" s="4">
        <v>764091</v>
      </c>
      <c r="J1048" s="3">
        <v>0.03521058065145468</v>
      </c>
      <c r="K1048" s="3">
        <v>-0.03401296442439448</v>
      </c>
      <c r="L1048" t="s">
        <v>54</v>
      </c>
    </row>
    <row r="1049" spans="1:12" x14ac:dyDescent="0.25">
      <c r="A1049" t="s">
        <v>487</v>
      </c>
      <c r="B1049" t="s">
        <v>455</v>
      </c>
      <c r="C1049" t="s">
        <v>477</v>
      </c>
      <c r="D1049" t="s">
        <v>346</v>
      </c>
      <c r="E1049" t="s">
        <v>350</v>
      </c>
      <c r="F1049">
        <v>2</v>
      </c>
      <c r="G1049" t="s">
        <v>488</v>
      </c>
      <c r="H1049" s="4">
        <v>1121851</v>
      </c>
      <c r="I1049" s="4">
        <v>1566154.9721992621</v>
      </c>
      <c r="J1049" s="3">
        <v>0.3960454393669588</v>
      </c>
      <c r="K1049" s="3">
        <v>-0.28369093741429136</v>
      </c>
      <c r="L1049" t="s">
        <v>54</v>
      </c>
    </row>
    <row r="1050" spans="1:12" x14ac:dyDescent="0.25">
      <c r="A1050" t="s">
        <v>487</v>
      </c>
      <c r="B1050" t="s">
        <v>455</v>
      </c>
      <c r="C1050" t="s">
        <v>477</v>
      </c>
      <c r="D1050" t="s">
        <v>346</v>
      </c>
      <c r="E1050" t="s">
        <v>350</v>
      </c>
      <c r="F1050">
        <v>2</v>
      </c>
      <c r="G1050" t="s">
        <v>498</v>
      </c>
      <c r="H1050" s="4">
        <v>1121851</v>
      </c>
      <c r="I1050" s="4">
        <v>1003326</v>
      </c>
      <c r="J1050" s="3">
        <v>0.10565128524197955</v>
      </c>
      <c r="K1050" s="3">
        <v>0.11813209265981346</v>
      </c>
      <c r="L1050" t="s">
        <v>54</v>
      </c>
    </row>
    <row r="1051" spans="1:12" x14ac:dyDescent="0.25">
      <c r="A1051" t="s">
        <v>487</v>
      </c>
      <c r="B1051" t="s">
        <v>455</v>
      </c>
      <c r="C1051" t="s">
        <v>477</v>
      </c>
      <c r="D1051" t="s">
        <v>346</v>
      </c>
      <c r="E1051" t="s">
        <v>350</v>
      </c>
      <c r="F1051">
        <v>2</v>
      </c>
      <c r="G1051" t="s">
        <v>499</v>
      </c>
      <c r="H1051" s="4">
        <v>1121851</v>
      </c>
      <c r="I1051" s="4">
        <v>764091</v>
      </c>
      <c r="J1051" s="3">
        <v>0.3189015297040338</v>
      </c>
      <c r="K1051" s="3">
        <v>0.46821648206823535</v>
      </c>
      <c r="L1051" t="s">
        <v>54</v>
      </c>
    </row>
    <row r="1052" spans="1:12" x14ac:dyDescent="0.25">
      <c r="A1052" t="s">
        <v>487</v>
      </c>
      <c r="B1052" t="s">
        <v>455</v>
      </c>
      <c r="C1052" t="s">
        <v>477</v>
      </c>
      <c r="D1052" t="s">
        <v>346</v>
      </c>
      <c r="E1052" t="s">
        <v>352</v>
      </c>
      <c r="F1052">
        <v>3</v>
      </c>
      <c r="G1052" t="s">
        <v>488</v>
      </c>
      <c r="H1052" s="4">
        <v>1039618</v>
      </c>
      <c r="I1052" s="4">
        <v>1239326.7394422193</v>
      </c>
      <c r="J1052" s="3">
        <v>0.19209819322310623</v>
      </c>
      <c r="K1052" s="3">
        <v>-0.16114292791915527</v>
      </c>
      <c r="L1052" t="s">
        <v>54</v>
      </c>
    </row>
    <row r="1053" spans="1:12" x14ac:dyDescent="0.25">
      <c r="A1053" t="s">
        <v>487</v>
      </c>
      <c r="B1053" t="s">
        <v>455</v>
      </c>
      <c r="C1053" t="s">
        <v>477</v>
      </c>
      <c r="D1053" t="s">
        <v>346</v>
      </c>
      <c r="E1053" t="s">
        <v>352</v>
      </c>
      <c r="F1053">
        <v>3</v>
      </c>
      <c r="G1053" t="s">
        <v>498</v>
      </c>
      <c r="H1053" s="4">
        <v>1039618</v>
      </c>
      <c r="I1053" s="4">
        <v>793950</v>
      </c>
      <c r="J1053" s="3">
        <v>0.23630602779097706</v>
      </c>
      <c r="K1053" s="3">
        <v>0.3094250267649096</v>
      </c>
      <c r="L1053" t="s">
        <v>54</v>
      </c>
    </row>
    <row r="1054" spans="1:12" x14ac:dyDescent="0.25">
      <c r="A1054" t="s">
        <v>487</v>
      </c>
      <c r="B1054" t="s">
        <v>455</v>
      </c>
      <c r="C1054" t="s">
        <v>477</v>
      </c>
      <c r="D1054" t="s">
        <v>346</v>
      </c>
      <c r="E1054" t="s">
        <v>352</v>
      </c>
      <c r="F1054">
        <v>3</v>
      </c>
      <c r="G1054" t="s">
        <v>499</v>
      </c>
      <c r="H1054" s="4">
        <v>1039618</v>
      </c>
      <c r="I1054" s="4">
        <v>764091</v>
      </c>
      <c r="J1054" s="3">
        <v>0.2650271542047175</v>
      </c>
      <c r="K1054" s="3">
        <v>0.36059448416484424</v>
      </c>
      <c r="L1054" t="s">
        <v>54</v>
      </c>
    </row>
    <row r="1055" spans="1:12" x14ac:dyDescent="0.25">
      <c r="A1055" t="s">
        <v>487</v>
      </c>
      <c r="B1055" t="s">
        <v>455</v>
      </c>
      <c r="C1055" t="s">
        <v>477</v>
      </c>
      <c r="D1055" t="s">
        <v>348</v>
      </c>
      <c r="E1055" t="s">
        <v>350</v>
      </c>
      <c r="F1055">
        <v>1</v>
      </c>
      <c r="G1055" t="s">
        <v>488</v>
      </c>
      <c r="H1055" s="4">
        <v>1121851</v>
      </c>
      <c r="I1055" s="4">
        <v>1609186.0597960074</v>
      </c>
      <c r="J1055" s="3">
        <v>0.43440266113415005</v>
      </c>
      <c r="K1055" s="3">
        <v>-0.302845688246756</v>
      </c>
      <c r="L1055" t="s">
        <v>54</v>
      </c>
    </row>
    <row r="1056" spans="1:12" x14ac:dyDescent="0.25">
      <c r="A1056" t="s">
        <v>487</v>
      </c>
      <c r="B1056" t="s">
        <v>455</v>
      </c>
      <c r="C1056" t="s">
        <v>477</v>
      </c>
      <c r="D1056" t="s">
        <v>348</v>
      </c>
      <c r="E1056" t="s">
        <v>350</v>
      </c>
      <c r="F1056">
        <v>1</v>
      </c>
      <c r="G1056" t="s">
        <v>498</v>
      </c>
      <c r="H1056" s="4">
        <v>1121851</v>
      </c>
      <c r="I1056" s="4">
        <v>1003326</v>
      </c>
      <c r="J1056" s="3">
        <v>0.10565128524197955</v>
      </c>
      <c r="K1056" s="3">
        <v>0.11813209265981346</v>
      </c>
      <c r="L1056" t="s">
        <v>54</v>
      </c>
    </row>
    <row r="1057" spans="1:12" x14ac:dyDescent="0.25">
      <c r="A1057" t="s">
        <v>487</v>
      </c>
      <c r="B1057" t="s">
        <v>455</v>
      </c>
      <c r="C1057" t="s">
        <v>477</v>
      </c>
      <c r="D1057" t="s">
        <v>348</v>
      </c>
      <c r="E1057" t="s">
        <v>350</v>
      </c>
      <c r="F1057">
        <v>1</v>
      </c>
      <c r="G1057" t="s">
        <v>499</v>
      </c>
      <c r="H1057" s="4">
        <v>1121851</v>
      </c>
      <c r="I1057" s="4">
        <v>738102</v>
      </c>
      <c r="J1057" s="3">
        <v>0.34206770774372</v>
      </c>
      <c r="K1057" s="3">
        <v>0.519913236923894</v>
      </c>
      <c r="L1057" t="s">
        <v>54</v>
      </c>
    </row>
    <row r="1058" spans="1:12" x14ac:dyDescent="0.25">
      <c r="A1058" t="s">
        <v>487</v>
      </c>
      <c r="B1058" t="s">
        <v>455</v>
      </c>
      <c r="C1058" t="s">
        <v>477</v>
      </c>
      <c r="D1058" t="s">
        <v>348</v>
      </c>
      <c r="E1058" t="s">
        <v>352</v>
      </c>
      <c r="F1058">
        <v>2</v>
      </c>
      <c r="G1058" t="s">
        <v>488</v>
      </c>
      <c r="H1058" s="4">
        <v>1039618</v>
      </c>
      <c r="I1058" s="4">
        <v>1273378.016890861</v>
      </c>
      <c r="J1058" s="3">
        <v>0.22485183681973675</v>
      </c>
      <c r="K1058" s="3">
        <v>-0.18357472313022993</v>
      </c>
      <c r="L1058" t="s">
        <v>54</v>
      </c>
    </row>
    <row r="1059" spans="1:12" x14ac:dyDescent="0.25">
      <c r="A1059" t="s">
        <v>487</v>
      </c>
      <c r="B1059" t="s">
        <v>455</v>
      </c>
      <c r="C1059" t="s">
        <v>477</v>
      </c>
      <c r="D1059" t="s">
        <v>348</v>
      </c>
      <c r="E1059" t="s">
        <v>352</v>
      </c>
      <c r="F1059">
        <v>2</v>
      </c>
      <c r="G1059" t="s">
        <v>498</v>
      </c>
      <c r="H1059" s="4">
        <v>1039618</v>
      </c>
      <c r="I1059" s="4">
        <v>793950</v>
      </c>
      <c r="J1059" s="3">
        <v>0.23630602779097706</v>
      </c>
      <c r="K1059" s="3">
        <v>0.3094250267649096</v>
      </c>
      <c r="L1059" t="s">
        <v>54</v>
      </c>
    </row>
    <row r="1060" spans="1:12" x14ac:dyDescent="0.25">
      <c r="A1060" t="s">
        <v>487</v>
      </c>
      <c r="B1060" t="s">
        <v>455</v>
      </c>
      <c r="C1060" t="s">
        <v>477</v>
      </c>
      <c r="D1060" t="s">
        <v>348</v>
      </c>
      <c r="E1060" t="s">
        <v>352</v>
      </c>
      <c r="F1060">
        <v>2</v>
      </c>
      <c r="G1060" t="s">
        <v>499</v>
      </c>
      <c r="H1060" s="4">
        <v>1039618</v>
      </c>
      <c r="I1060" s="4">
        <v>738102</v>
      </c>
      <c r="J1060" s="3">
        <v>0.29002575946164844</v>
      </c>
      <c r="K1060" s="3">
        <v>0.40850180598345487</v>
      </c>
      <c r="L1060" t="s">
        <v>54</v>
      </c>
    </row>
    <row r="1061" spans="1:12" x14ac:dyDescent="0.25">
      <c r="A1061" t="s">
        <v>487</v>
      </c>
      <c r="B1061" t="s">
        <v>455</v>
      </c>
      <c r="C1061" t="s">
        <v>477</v>
      </c>
      <c r="D1061" t="s">
        <v>348</v>
      </c>
      <c r="E1061" t="s">
        <v>354</v>
      </c>
      <c r="F1061">
        <v>3</v>
      </c>
      <c r="G1061" t="s">
        <v>488</v>
      </c>
      <c r="H1061" s="4">
        <v>1172009</v>
      </c>
      <c r="I1061" s="4">
        <v>2389806.319093258</v>
      </c>
      <c r="J1061" s="3">
        <v>1.03906823163752</v>
      </c>
      <c r="K1061" s="3">
        <v>-0.5095799225919344</v>
      </c>
      <c r="L1061" t="s">
        <v>54</v>
      </c>
    </row>
    <row r="1062" spans="1:12" x14ac:dyDescent="0.25">
      <c r="A1062" t="s">
        <v>487</v>
      </c>
      <c r="B1062" t="s">
        <v>455</v>
      </c>
      <c r="C1062" t="s">
        <v>477</v>
      </c>
      <c r="D1062" t="s">
        <v>348</v>
      </c>
      <c r="E1062" t="s">
        <v>354</v>
      </c>
      <c r="F1062">
        <v>3</v>
      </c>
      <c r="G1062" t="s">
        <v>498</v>
      </c>
      <c r="H1062" s="4">
        <v>1172009</v>
      </c>
      <c r="I1062" s="4">
        <v>1490042</v>
      </c>
      <c r="J1062" s="3">
        <v>0.2713571312165692</v>
      </c>
      <c r="K1062" s="3">
        <v>-0.2134389500430189</v>
      </c>
      <c r="L1062" t="s">
        <v>54</v>
      </c>
    </row>
    <row r="1063" spans="1:12" x14ac:dyDescent="0.25">
      <c r="A1063" t="s">
        <v>487</v>
      </c>
      <c r="B1063" t="s">
        <v>455</v>
      </c>
      <c r="C1063" t="s">
        <v>477</v>
      </c>
      <c r="D1063" t="s">
        <v>348</v>
      </c>
      <c r="E1063" t="s">
        <v>354</v>
      </c>
      <c r="F1063">
        <v>3</v>
      </c>
      <c r="G1063" t="s">
        <v>499</v>
      </c>
      <c r="H1063" s="4">
        <v>1172009</v>
      </c>
      <c r="I1063" s="4">
        <v>738102</v>
      </c>
      <c r="J1063" s="3">
        <v>0.3702249726751245</v>
      </c>
      <c r="K1063" s="3">
        <v>0.5878686143649523</v>
      </c>
      <c r="L1063" t="s">
        <v>54</v>
      </c>
    </row>
    <row r="1064" spans="1:12" x14ac:dyDescent="0.25">
      <c r="A1064" t="s">
        <v>487</v>
      </c>
      <c r="B1064" t="s">
        <v>455</v>
      </c>
      <c r="C1064" t="s">
        <v>477</v>
      </c>
      <c r="D1064" t="s">
        <v>350</v>
      </c>
      <c r="E1064" t="s">
        <v>352</v>
      </c>
      <c r="F1064">
        <v>1</v>
      </c>
      <c r="G1064" t="s">
        <v>488</v>
      </c>
      <c r="H1064" s="4">
        <v>1039618</v>
      </c>
      <c r="I1064" s="4">
        <v>1233387.721913949</v>
      </c>
      <c r="J1064" s="3">
        <v>0.18638550113017366</v>
      </c>
      <c r="K1064" s="3">
        <v>-0.15710365724515282</v>
      </c>
      <c r="L1064" t="s">
        <v>54</v>
      </c>
    </row>
    <row r="1065" spans="1:12" x14ac:dyDescent="0.25">
      <c r="A1065" t="s">
        <v>487</v>
      </c>
      <c r="B1065" t="s">
        <v>455</v>
      </c>
      <c r="C1065" t="s">
        <v>477</v>
      </c>
      <c r="D1065" t="s">
        <v>350</v>
      </c>
      <c r="E1065" t="s">
        <v>352</v>
      </c>
      <c r="F1065">
        <v>1</v>
      </c>
      <c r="G1065" t="s">
        <v>498</v>
      </c>
      <c r="H1065" s="4">
        <v>1039618</v>
      </c>
      <c r="I1065" s="4">
        <v>793950</v>
      </c>
      <c r="J1065" s="3">
        <v>0.23630602779097706</v>
      </c>
      <c r="K1065" s="3">
        <v>0.3094250267649096</v>
      </c>
      <c r="L1065" t="s">
        <v>54</v>
      </c>
    </row>
    <row r="1066" spans="1:12" x14ac:dyDescent="0.25">
      <c r="A1066" t="s">
        <v>487</v>
      </c>
      <c r="B1066" t="s">
        <v>455</v>
      </c>
      <c r="C1066" t="s">
        <v>477</v>
      </c>
      <c r="D1066" t="s">
        <v>350</v>
      </c>
      <c r="E1066" t="s">
        <v>352</v>
      </c>
      <c r="F1066">
        <v>1</v>
      </c>
      <c r="G1066" t="s">
        <v>499</v>
      </c>
      <c r="H1066" s="4">
        <v>1039618</v>
      </c>
      <c r="I1066" s="4">
        <v>1121851</v>
      </c>
      <c r="J1066" s="3">
        <v>0.07909924606922927</v>
      </c>
      <c r="K1066" s="3">
        <v>-0.07330117814219535</v>
      </c>
      <c r="L1066" t="s">
        <v>54</v>
      </c>
    </row>
    <row r="1067" spans="1:12" x14ac:dyDescent="0.25">
      <c r="A1067" t="s">
        <v>487</v>
      </c>
      <c r="B1067" t="s">
        <v>455</v>
      </c>
      <c r="C1067" t="s">
        <v>477</v>
      </c>
      <c r="D1067" t="s">
        <v>350</v>
      </c>
      <c r="E1067" t="s">
        <v>354</v>
      </c>
      <c r="F1067">
        <v>2</v>
      </c>
      <c r="G1067" t="s">
        <v>488</v>
      </c>
      <c r="H1067" s="4">
        <v>1172009</v>
      </c>
      <c r="I1067" s="4">
        <v>2314754.717471005</v>
      </c>
      <c r="J1067" s="3">
        <v>0.9750315206376443</v>
      </c>
      <c r="K1067" s="3">
        <v>-0.49367896686674284</v>
      </c>
      <c r="L1067" t="s">
        <v>54</v>
      </c>
    </row>
    <row r="1068" spans="1:12" x14ac:dyDescent="0.25">
      <c r="A1068" t="s">
        <v>487</v>
      </c>
      <c r="B1068" t="s">
        <v>455</v>
      </c>
      <c r="C1068" t="s">
        <v>477</v>
      </c>
      <c r="D1068" t="s">
        <v>350</v>
      </c>
      <c r="E1068" t="s">
        <v>354</v>
      </c>
      <c r="F1068">
        <v>2</v>
      </c>
      <c r="G1068" t="s">
        <v>498</v>
      </c>
      <c r="H1068" s="4">
        <v>1172009</v>
      </c>
      <c r="I1068" s="4">
        <v>1490042</v>
      </c>
      <c r="J1068" s="3">
        <v>0.2713571312165692</v>
      </c>
      <c r="K1068" s="3">
        <v>-0.2134389500430189</v>
      </c>
      <c r="L1068" t="s">
        <v>54</v>
      </c>
    </row>
    <row r="1069" spans="1:12" x14ac:dyDescent="0.25">
      <c r="A1069" t="s">
        <v>487</v>
      </c>
      <c r="B1069" t="s">
        <v>455</v>
      </c>
      <c r="C1069" t="s">
        <v>477</v>
      </c>
      <c r="D1069" t="s">
        <v>350</v>
      </c>
      <c r="E1069" t="s">
        <v>354</v>
      </c>
      <c r="F1069">
        <v>2</v>
      </c>
      <c r="G1069" t="s">
        <v>499</v>
      </c>
      <c r="H1069" s="4">
        <v>1172009</v>
      </c>
      <c r="I1069" s="4">
        <v>1121851</v>
      </c>
      <c r="J1069" s="3">
        <v>0.04279659968481471</v>
      </c>
      <c r="K1069" s="3">
        <v>0.044710037250936176</v>
      </c>
      <c r="L1069" t="s">
        <v>54</v>
      </c>
    </row>
    <row r="1070" spans="1:12" x14ac:dyDescent="0.25">
      <c r="A1070" t="s">
        <v>487</v>
      </c>
      <c r="B1070" t="s">
        <v>455</v>
      </c>
      <c r="C1070" t="s">
        <v>477</v>
      </c>
      <c r="D1070" t="s">
        <v>350</v>
      </c>
      <c r="E1070" t="s">
        <v>356</v>
      </c>
      <c r="F1070">
        <v>3</v>
      </c>
      <c r="G1070" t="s">
        <v>488</v>
      </c>
      <c r="H1070" s="4">
        <v>1174666</v>
      </c>
      <c r="I1070" s="4">
        <v>1727241.4786796977</v>
      </c>
      <c r="J1070" s="3">
        <v>0.4704107198809685</v>
      </c>
      <c r="K1070" s="3">
        <v>-0.3199179069634699</v>
      </c>
      <c r="L1070" t="s">
        <v>54</v>
      </c>
    </row>
    <row r="1071" spans="1:12" x14ac:dyDescent="0.25">
      <c r="A1071" t="s">
        <v>487</v>
      </c>
      <c r="B1071" t="s">
        <v>455</v>
      </c>
      <c r="C1071" t="s">
        <v>477</v>
      </c>
      <c r="D1071" t="s">
        <v>350</v>
      </c>
      <c r="E1071" t="s">
        <v>356</v>
      </c>
      <c r="F1071">
        <v>3</v>
      </c>
      <c r="G1071" t="s">
        <v>498</v>
      </c>
      <c r="H1071" s="4">
        <v>1174666</v>
      </c>
      <c r="I1071" s="4">
        <v>1111851</v>
      </c>
      <c r="J1071" s="3">
        <v>0.053474774957307014</v>
      </c>
      <c r="K1071" s="3">
        <v>0.0564958793939116</v>
      </c>
      <c r="L1071" t="s">
        <v>54</v>
      </c>
    </row>
    <row r="1072" spans="1:12" x14ac:dyDescent="0.25">
      <c r="A1072" t="s">
        <v>487</v>
      </c>
      <c r="B1072" t="s">
        <v>455</v>
      </c>
      <c r="C1072" t="s">
        <v>477</v>
      </c>
      <c r="D1072" t="s">
        <v>350</v>
      </c>
      <c r="E1072" t="s">
        <v>356</v>
      </c>
      <c r="F1072">
        <v>3</v>
      </c>
      <c r="G1072" t="s">
        <v>499</v>
      </c>
      <c r="H1072" s="4">
        <v>1174666</v>
      </c>
      <c r="I1072" s="4">
        <v>1121851</v>
      </c>
      <c r="J1072" s="3">
        <v>0.0449617167773648</v>
      </c>
      <c r="K1072" s="3">
        <v>0.04707844446365872</v>
      </c>
      <c r="L1072" t="s">
        <v>54</v>
      </c>
    </row>
    <row r="1073" spans="1:12" x14ac:dyDescent="0.25">
      <c r="A1073" t="s">
        <v>487</v>
      </c>
      <c r="B1073" t="s">
        <v>455</v>
      </c>
      <c r="C1073" t="s">
        <v>477</v>
      </c>
      <c r="D1073" t="s">
        <v>352</v>
      </c>
      <c r="E1073" t="s">
        <v>354</v>
      </c>
      <c r="F1073">
        <v>1</v>
      </c>
      <c r="G1073" t="s">
        <v>488</v>
      </c>
      <c r="H1073" s="4">
        <v>1172009</v>
      </c>
      <c r="I1073" s="4">
        <v>2313708.7093917714</v>
      </c>
      <c r="J1073" s="3">
        <v>0.9741390291301273</v>
      </c>
      <c r="K1073" s="3">
        <v>-0.49345006342302344</v>
      </c>
      <c r="L1073" t="s">
        <v>54</v>
      </c>
    </row>
    <row r="1074" spans="1:12" x14ac:dyDescent="0.25">
      <c r="A1074" t="s">
        <v>487</v>
      </c>
      <c r="B1074" t="s">
        <v>455</v>
      </c>
      <c r="C1074" t="s">
        <v>477</v>
      </c>
      <c r="D1074" t="s">
        <v>352</v>
      </c>
      <c r="E1074" t="s">
        <v>354</v>
      </c>
      <c r="F1074">
        <v>1</v>
      </c>
      <c r="G1074" t="s">
        <v>498</v>
      </c>
      <c r="H1074" s="4">
        <v>1172009</v>
      </c>
      <c r="I1074" s="4">
        <v>1490042</v>
      </c>
      <c r="J1074" s="3">
        <v>0.2713571312165692</v>
      </c>
      <c r="K1074" s="3">
        <v>-0.2134389500430189</v>
      </c>
      <c r="L1074" t="s">
        <v>54</v>
      </c>
    </row>
    <row r="1075" spans="1:12" x14ac:dyDescent="0.25">
      <c r="A1075" t="s">
        <v>487</v>
      </c>
      <c r="B1075" t="s">
        <v>455</v>
      </c>
      <c r="C1075" t="s">
        <v>477</v>
      </c>
      <c r="D1075" t="s">
        <v>352</v>
      </c>
      <c r="E1075" t="s">
        <v>354</v>
      </c>
      <c r="F1075">
        <v>1</v>
      </c>
      <c r="G1075" t="s">
        <v>499</v>
      </c>
      <c r="H1075" s="4">
        <v>1172009</v>
      </c>
      <c r="I1075" s="4">
        <v>1039618</v>
      </c>
      <c r="J1075" s="3">
        <v>0.11296073664963324</v>
      </c>
      <c r="K1075" s="3">
        <v>0.12734581355844166</v>
      </c>
      <c r="L1075" t="s">
        <v>54</v>
      </c>
    </row>
    <row r="1076" spans="1:12" x14ac:dyDescent="0.25">
      <c r="A1076" t="s">
        <v>487</v>
      </c>
      <c r="B1076" t="s">
        <v>455</v>
      </c>
      <c r="C1076" t="s">
        <v>477</v>
      </c>
      <c r="D1076" t="s">
        <v>352</v>
      </c>
      <c r="E1076" t="s">
        <v>356</v>
      </c>
      <c r="F1076">
        <v>2</v>
      </c>
      <c r="G1076" t="s">
        <v>488</v>
      </c>
      <c r="H1076" s="4">
        <v>1174666</v>
      </c>
      <c r="I1076" s="4">
        <v>1726460.9603259175</v>
      </c>
      <c r="J1076" s="3">
        <v>0.4697462600653441</v>
      </c>
      <c r="K1076" s="3">
        <v>-0.3196104476186654</v>
      </c>
      <c r="L1076" t="s">
        <v>54</v>
      </c>
    </row>
    <row r="1077" spans="1:12" x14ac:dyDescent="0.25">
      <c r="A1077" t="s">
        <v>487</v>
      </c>
      <c r="B1077" t="s">
        <v>455</v>
      </c>
      <c r="C1077" t="s">
        <v>477</v>
      </c>
      <c r="D1077" t="s">
        <v>352</v>
      </c>
      <c r="E1077" t="s">
        <v>356</v>
      </c>
      <c r="F1077">
        <v>2</v>
      </c>
      <c r="G1077" t="s">
        <v>498</v>
      </c>
      <c r="H1077" s="4">
        <v>1174666</v>
      </c>
      <c r="I1077" s="4">
        <v>1111851</v>
      </c>
      <c r="J1077" s="3">
        <v>0.053474774957307014</v>
      </c>
      <c r="K1077" s="3">
        <v>0.0564958793939116</v>
      </c>
      <c r="L1077" t="s">
        <v>54</v>
      </c>
    </row>
    <row r="1078" spans="1:12" x14ac:dyDescent="0.25">
      <c r="A1078" t="s">
        <v>487</v>
      </c>
      <c r="B1078" t="s">
        <v>455</v>
      </c>
      <c r="C1078" t="s">
        <v>477</v>
      </c>
      <c r="D1078" t="s">
        <v>352</v>
      </c>
      <c r="E1078" t="s">
        <v>356</v>
      </c>
      <c r="F1078">
        <v>2</v>
      </c>
      <c r="G1078" t="s">
        <v>499</v>
      </c>
      <c r="H1078" s="4">
        <v>1174666</v>
      </c>
      <c r="I1078" s="4">
        <v>1039618</v>
      </c>
      <c r="J1078" s="3">
        <v>0.1149671481084836</v>
      </c>
      <c r="K1078" s="3">
        <v>0.12990155999607547</v>
      </c>
      <c r="L1078" t="s">
        <v>54</v>
      </c>
    </row>
    <row r="1079" spans="1:12" x14ac:dyDescent="0.25">
      <c r="A1079" t="s">
        <v>487</v>
      </c>
      <c r="B1079" t="s">
        <v>455</v>
      </c>
      <c r="C1079" t="s">
        <v>477</v>
      </c>
      <c r="D1079" t="s">
        <v>352</v>
      </c>
      <c r="E1079" t="s">
        <v>358</v>
      </c>
      <c r="F1079">
        <v>3</v>
      </c>
      <c r="G1079" t="s">
        <v>488</v>
      </c>
      <c r="H1079" s="4">
        <v>766916</v>
      </c>
      <c r="I1079" s="4">
        <v>1282315.9432292536</v>
      </c>
      <c r="J1079" s="3">
        <v>0.6720422356936792</v>
      </c>
      <c r="K1079" s="3">
        <v>-0.40192898322025306</v>
      </c>
      <c r="L1079" t="s">
        <v>54</v>
      </c>
    </row>
    <row r="1080" spans="1:12" x14ac:dyDescent="0.25">
      <c r="A1080" t="s">
        <v>487</v>
      </c>
      <c r="B1080" t="s">
        <v>455</v>
      </c>
      <c r="C1080" t="s">
        <v>477</v>
      </c>
      <c r="D1080" t="s">
        <v>352</v>
      </c>
      <c r="E1080" t="s">
        <v>358</v>
      </c>
      <c r="F1080">
        <v>3</v>
      </c>
      <c r="G1080" t="s">
        <v>498</v>
      </c>
      <c r="H1080" s="4">
        <v>766916</v>
      </c>
      <c r="I1080" s="4">
        <v>825819</v>
      </c>
      <c r="J1080" s="3">
        <v>0.07680502167121302</v>
      </c>
      <c r="K1080" s="3">
        <v>-0.07132676772997473</v>
      </c>
      <c r="L1080" t="s">
        <v>54</v>
      </c>
    </row>
    <row r="1081" spans="1:12" x14ac:dyDescent="0.25">
      <c r="A1081" t="s">
        <v>487</v>
      </c>
      <c r="B1081" t="s">
        <v>455</v>
      </c>
      <c r="C1081" t="s">
        <v>477</v>
      </c>
      <c r="D1081" t="s">
        <v>352</v>
      </c>
      <c r="E1081" t="s">
        <v>358</v>
      </c>
      <c r="F1081">
        <v>3</v>
      </c>
      <c r="G1081" t="s">
        <v>499</v>
      </c>
      <c r="H1081" s="4">
        <v>766916</v>
      </c>
      <c r="I1081" s="4">
        <v>1039618</v>
      </c>
      <c r="J1081" s="3">
        <v>0.35558261921775003</v>
      </c>
      <c r="K1081" s="3">
        <v>-0.2623098099494237</v>
      </c>
      <c r="L1081" t="s">
        <v>54</v>
      </c>
    </row>
    <row r="1082" spans="1:12" x14ac:dyDescent="0.25">
      <c r="A1082" t="s">
        <v>487</v>
      </c>
      <c r="B1082" t="s">
        <v>455</v>
      </c>
      <c r="C1082" t="s">
        <v>477</v>
      </c>
      <c r="D1082" t="s">
        <v>354</v>
      </c>
      <c r="E1082" t="s">
        <v>356</v>
      </c>
      <c r="F1082">
        <v>1</v>
      </c>
      <c r="G1082" t="s">
        <v>488</v>
      </c>
      <c r="H1082" s="4">
        <v>1174666</v>
      </c>
      <c r="I1082" s="4">
        <v>1543308.3774660628</v>
      </c>
      <c r="J1082" s="3">
        <v>0.31382740069608106</v>
      </c>
      <c r="K1082" s="3">
        <v>-0.2388650141790403</v>
      </c>
      <c r="L1082" t="s">
        <v>54</v>
      </c>
    </row>
    <row r="1083" spans="1:12" x14ac:dyDescent="0.25">
      <c r="A1083" t="s">
        <v>487</v>
      </c>
      <c r="B1083" t="s">
        <v>455</v>
      </c>
      <c r="C1083" t="s">
        <v>477</v>
      </c>
      <c r="D1083" t="s">
        <v>354</v>
      </c>
      <c r="E1083" t="s">
        <v>356</v>
      </c>
      <c r="F1083">
        <v>1</v>
      </c>
      <c r="G1083" t="s">
        <v>498</v>
      </c>
      <c r="H1083" s="4">
        <v>1174666</v>
      </c>
      <c r="I1083" s="4">
        <v>1111851</v>
      </c>
      <c r="J1083" s="3">
        <v>0.053474774957307014</v>
      </c>
      <c r="K1083" s="3">
        <v>0.0564958793939116</v>
      </c>
      <c r="L1083" t="s">
        <v>54</v>
      </c>
    </row>
    <row r="1084" spans="1:12" x14ac:dyDescent="0.25">
      <c r="A1084" t="s">
        <v>487</v>
      </c>
      <c r="B1084" t="s">
        <v>455</v>
      </c>
      <c r="C1084" t="s">
        <v>477</v>
      </c>
      <c r="D1084" t="s">
        <v>354</v>
      </c>
      <c r="E1084" t="s">
        <v>356</v>
      </c>
      <c r="F1084">
        <v>1</v>
      </c>
      <c r="G1084" t="s">
        <v>499</v>
      </c>
      <c r="H1084" s="4">
        <v>1174666</v>
      </c>
      <c r="I1084" s="4">
        <v>1172009</v>
      </c>
      <c r="J1084" s="3">
        <v>0.002261919558410646</v>
      </c>
      <c r="K1084" s="3">
        <v>0.0022670474373490306</v>
      </c>
      <c r="L1084" t="s">
        <v>54</v>
      </c>
    </row>
    <row r="1085" spans="1:12" x14ac:dyDescent="0.25">
      <c r="A1085" t="s">
        <v>487</v>
      </c>
      <c r="B1085" t="s">
        <v>455</v>
      </c>
      <c r="C1085" t="s">
        <v>477</v>
      </c>
      <c r="D1085" t="s">
        <v>354</v>
      </c>
      <c r="E1085" t="s">
        <v>358</v>
      </c>
      <c r="F1085">
        <v>2</v>
      </c>
      <c r="G1085" t="s">
        <v>488</v>
      </c>
      <c r="H1085" s="4">
        <v>766916</v>
      </c>
      <c r="I1085" s="4">
        <v>1146280.7345324566</v>
      </c>
      <c r="J1085" s="3">
        <v>0.494662693870589</v>
      </c>
      <c r="K1085" s="3">
        <v>-0.3309527265911796</v>
      </c>
      <c r="L1085" t="s">
        <v>54</v>
      </c>
    </row>
    <row r="1086" spans="1:12" x14ac:dyDescent="0.25">
      <c r="A1086" t="s">
        <v>487</v>
      </c>
      <c r="B1086" t="s">
        <v>455</v>
      </c>
      <c r="C1086" t="s">
        <v>477</v>
      </c>
      <c r="D1086" t="s">
        <v>354</v>
      </c>
      <c r="E1086" t="s">
        <v>358</v>
      </c>
      <c r="F1086">
        <v>2</v>
      </c>
      <c r="G1086" t="s">
        <v>498</v>
      </c>
      <c r="H1086" s="4">
        <v>766916</v>
      </c>
      <c r="I1086" s="4">
        <v>825819</v>
      </c>
      <c r="J1086" s="3">
        <v>0.07680502167121302</v>
      </c>
      <c r="K1086" s="3">
        <v>-0.07132676772997473</v>
      </c>
      <c r="L1086" t="s">
        <v>54</v>
      </c>
    </row>
    <row r="1087" spans="1:12" x14ac:dyDescent="0.25">
      <c r="A1087" t="s">
        <v>487</v>
      </c>
      <c r="B1087" t="s">
        <v>455</v>
      </c>
      <c r="C1087" t="s">
        <v>477</v>
      </c>
      <c r="D1087" t="s">
        <v>354</v>
      </c>
      <c r="E1087" t="s">
        <v>358</v>
      </c>
      <c r="F1087">
        <v>2</v>
      </c>
      <c r="G1087" t="s">
        <v>499</v>
      </c>
      <c r="H1087" s="4">
        <v>766916</v>
      </c>
      <c r="I1087" s="4">
        <v>1172009</v>
      </c>
      <c r="J1087" s="3">
        <v>0.5282103907077177</v>
      </c>
      <c r="K1087" s="3">
        <v>-0.3456398372367448</v>
      </c>
      <c r="L1087" t="s">
        <v>54</v>
      </c>
    </row>
    <row r="1088" spans="1:12" x14ac:dyDescent="0.25">
      <c r="A1088" t="s">
        <v>487</v>
      </c>
      <c r="B1088" t="s">
        <v>455</v>
      </c>
      <c r="C1088" t="s">
        <v>477</v>
      </c>
      <c r="D1088" t="s">
        <v>354</v>
      </c>
      <c r="E1088" t="s">
        <v>360</v>
      </c>
      <c r="F1088">
        <v>3</v>
      </c>
      <c r="G1088" t="s">
        <v>488</v>
      </c>
      <c r="H1088" s="4">
        <v>897599</v>
      </c>
      <c r="I1088" s="4">
        <v>1276088.6969697538</v>
      </c>
      <c r="J1088" s="3">
        <v>0.42166902700398934</v>
      </c>
      <c r="K1088" s="3">
        <v>-0.29660140229165033</v>
      </c>
      <c r="L1088" t="s">
        <v>54</v>
      </c>
    </row>
    <row r="1089" spans="1:12" x14ac:dyDescent="0.25">
      <c r="A1089" t="s">
        <v>487</v>
      </c>
      <c r="B1089" t="s">
        <v>455</v>
      </c>
      <c r="C1089" t="s">
        <v>477</v>
      </c>
      <c r="D1089" t="s">
        <v>354</v>
      </c>
      <c r="E1089" t="s">
        <v>360</v>
      </c>
      <c r="F1089">
        <v>3</v>
      </c>
      <c r="G1089" t="s">
        <v>498</v>
      </c>
      <c r="H1089" s="4">
        <v>897599</v>
      </c>
      <c r="I1089" s="4">
        <v>919337</v>
      </c>
      <c r="J1089" s="3">
        <v>0.0242179414192752</v>
      </c>
      <c r="K1089" s="3">
        <v>-0.02364530090706672</v>
      </c>
      <c r="L1089" t="s">
        <v>54</v>
      </c>
    </row>
    <row r="1090" spans="1:12" x14ac:dyDescent="0.25">
      <c r="A1090" t="s">
        <v>487</v>
      </c>
      <c r="B1090" t="s">
        <v>455</v>
      </c>
      <c r="C1090" t="s">
        <v>477</v>
      </c>
      <c r="D1090" t="s">
        <v>354</v>
      </c>
      <c r="E1090" t="s">
        <v>360</v>
      </c>
      <c r="F1090">
        <v>3</v>
      </c>
      <c r="G1090" t="s">
        <v>499</v>
      </c>
      <c r="H1090" s="4">
        <v>897599</v>
      </c>
      <c r="I1090" s="4">
        <v>1172009</v>
      </c>
      <c r="J1090" s="3">
        <v>0.30571558123393633</v>
      </c>
      <c r="K1090" s="3">
        <v>-0.23413642727999529</v>
      </c>
      <c r="L1090" t="s">
        <v>54</v>
      </c>
    </row>
    <row r="1091" spans="1:12" x14ac:dyDescent="0.25">
      <c r="A1091" t="s">
        <v>487</v>
      </c>
      <c r="B1091" t="s">
        <v>455</v>
      </c>
      <c r="C1091" t="s">
        <v>477</v>
      </c>
      <c r="D1091" t="s">
        <v>356</v>
      </c>
      <c r="E1091" t="s">
        <v>358</v>
      </c>
      <c r="F1091">
        <v>1</v>
      </c>
      <c r="G1091" t="s">
        <v>488</v>
      </c>
      <c r="H1091" s="4">
        <v>766916</v>
      </c>
      <c r="I1091" s="4">
        <v>1111682.2531814633</v>
      </c>
      <c r="J1091" s="3">
        <v>0.4495489117210533</v>
      </c>
      <c r="K1091" s="3">
        <v>-0.310130212292942</v>
      </c>
      <c r="L1091" t="s">
        <v>54</v>
      </c>
    </row>
    <row r="1092" spans="1:12" x14ac:dyDescent="0.25">
      <c r="A1092" t="s">
        <v>487</v>
      </c>
      <c r="B1092" t="s">
        <v>455</v>
      </c>
      <c r="C1092" t="s">
        <v>477</v>
      </c>
      <c r="D1092" t="s">
        <v>356</v>
      </c>
      <c r="E1092" t="s">
        <v>358</v>
      </c>
      <c r="F1092">
        <v>1</v>
      </c>
      <c r="G1092" t="s">
        <v>498</v>
      </c>
      <c r="H1092" s="4">
        <v>766916</v>
      </c>
      <c r="I1092" s="4">
        <v>825819</v>
      </c>
      <c r="J1092" s="3">
        <v>0.07680502167121302</v>
      </c>
      <c r="K1092" s="3">
        <v>-0.07132676772997473</v>
      </c>
      <c r="L1092" t="s">
        <v>54</v>
      </c>
    </row>
    <row r="1093" spans="1:12" x14ac:dyDescent="0.25">
      <c r="A1093" t="s">
        <v>487</v>
      </c>
      <c r="B1093" t="s">
        <v>455</v>
      </c>
      <c r="C1093" t="s">
        <v>477</v>
      </c>
      <c r="D1093" t="s">
        <v>356</v>
      </c>
      <c r="E1093" t="s">
        <v>358</v>
      </c>
      <c r="F1093">
        <v>1</v>
      </c>
      <c r="G1093" t="s">
        <v>499</v>
      </c>
      <c r="H1093" s="4">
        <v>766916</v>
      </c>
      <c r="I1093" s="4">
        <v>1174666</v>
      </c>
      <c r="J1093" s="3">
        <v>0.5316749161577018</v>
      </c>
      <c r="K1093" s="3">
        <v>-0.34711994728714374</v>
      </c>
      <c r="L1093" t="s">
        <v>54</v>
      </c>
    </row>
    <row r="1094" spans="1:12" x14ac:dyDescent="0.25">
      <c r="A1094" t="s">
        <v>487</v>
      </c>
      <c r="B1094" t="s">
        <v>455</v>
      </c>
      <c r="C1094" t="s">
        <v>477</v>
      </c>
      <c r="D1094" t="s">
        <v>356</v>
      </c>
      <c r="E1094" t="s">
        <v>360</v>
      </c>
      <c r="F1094">
        <v>2</v>
      </c>
      <c r="G1094" t="s">
        <v>488</v>
      </c>
      <c r="H1094" s="4">
        <v>897599</v>
      </c>
      <c r="I1094" s="4">
        <v>1237572.1890548498</v>
      </c>
      <c r="J1094" s="3">
        <v>0.3787584311645287</v>
      </c>
      <c r="K1094" s="3">
        <v>-0.27470978425467996</v>
      </c>
      <c r="L1094" t="s">
        <v>54</v>
      </c>
    </row>
    <row r="1095" spans="1:12" x14ac:dyDescent="0.25">
      <c r="A1095" t="s">
        <v>487</v>
      </c>
      <c r="B1095" t="s">
        <v>455</v>
      </c>
      <c r="C1095" t="s">
        <v>477</v>
      </c>
      <c r="D1095" t="s">
        <v>356</v>
      </c>
      <c r="E1095" t="s">
        <v>360</v>
      </c>
      <c r="F1095">
        <v>2</v>
      </c>
      <c r="G1095" t="s">
        <v>498</v>
      </c>
      <c r="H1095" s="4">
        <v>897599</v>
      </c>
      <c r="I1095" s="4">
        <v>919337</v>
      </c>
      <c r="J1095" s="3">
        <v>0.0242179414192752</v>
      </c>
      <c r="K1095" s="3">
        <v>-0.02364530090706672</v>
      </c>
      <c r="L1095" t="s">
        <v>54</v>
      </c>
    </row>
    <row r="1096" spans="1:12" x14ac:dyDescent="0.25">
      <c r="A1096" t="s">
        <v>487</v>
      </c>
      <c r="B1096" t="s">
        <v>455</v>
      </c>
      <c r="C1096" t="s">
        <v>477</v>
      </c>
      <c r="D1096" t="s">
        <v>356</v>
      </c>
      <c r="E1096" t="s">
        <v>360</v>
      </c>
      <c r="F1096">
        <v>2</v>
      </c>
      <c r="G1096" t="s">
        <v>499</v>
      </c>
      <c r="H1096" s="4">
        <v>897599</v>
      </c>
      <c r="I1096" s="4">
        <v>1174666</v>
      </c>
      <c r="J1096" s="3">
        <v>0.3086757003962794</v>
      </c>
      <c r="K1096" s="3">
        <v>-0.23586874907420494</v>
      </c>
      <c r="L1096" t="s">
        <v>54</v>
      </c>
    </row>
    <row r="1097" spans="1:12" x14ac:dyDescent="0.25">
      <c r="A1097" t="s">
        <v>487</v>
      </c>
      <c r="B1097" t="s">
        <v>455</v>
      </c>
      <c r="C1097" t="s">
        <v>477</v>
      </c>
      <c r="D1097" t="s">
        <v>356</v>
      </c>
      <c r="E1097" t="s">
        <v>362</v>
      </c>
      <c r="F1097">
        <v>3</v>
      </c>
      <c r="G1097" t="s">
        <v>488</v>
      </c>
      <c r="H1097" s="4">
        <v>1347318</v>
      </c>
      <c r="I1097" s="4">
        <v>1784308.5809284186</v>
      </c>
      <c r="J1097" s="3">
        <v>0.32434108423432223</v>
      </c>
      <c r="K1097" s="3">
        <v>-0.24490751521300305</v>
      </c>
      <c r="L1097" t="s">
        <v>54</v>
      </c>
    </row>
    <row r="1098" spans="1:12" x14ac:dyDescent="0.25">
      <c r="A1098" t="s">
        <v>487</v>
      </c>
      <c r="B1098" t="s">
        <v>455</v>
      </c>
      <c r="C1098" t="s">
        <v>477</v>
      </c>
      <c r="D1098" t="s">
        <v>356</v>
      </c>
      <c r="E1098" t="s">
        <v>362</v>
      </c>
      <c r="F1098">
        <v>3</v>
      </c>
      <c r="G1098" t="s">
        <v>498</v>
      </c>
      <c r="H1098" s="4">
        <v>1347318</v>
      </c>
      <c r="I1098" s="4">
        <v>1325483</v>
      </c>
      <c r="J1098" s="3">
        <v>0.016206270531530047</v>
      </c>
      <c r="K1098" s="3">
        <v>0.01647324032069819</v>
      </c>
      <c r="L1098" t="s">
        <v>54</v>
      </c>
    </row>
    <row r="1099" spans="1:12" x14ac:dyDescent="0.25">
      <c r="A1099" t="s">
        <v>487</v>
      </c>
      <c r="B1099" t="s">
        <v>455</v>
      </c>
      <c r="C1099" t="s">
        <v>477</v>
      </c>
      <c r="D1099" t="s">
        <v>356</v>
      </c>
      <c r="E1099" t="s">
        <v>362</v>
      </c>
      <c r="F1099">
        <v>3</v>
      </c>
      <c r="G1099" t="s">
        <v>499</v>
      </c>
      <c r="H1099" s="4">
        <v>1347318</v>
      </c>
      <c r="I1099" s="4">
        <v>1174666</v>
      </c>
      <c r="J1099" s="3">
        <v>0.12814495167436343</v>
      </c>
      <c r="K1099" s="3">
        <v>0.1469796520883383</v>
      </c>
      <c r="L1099" t="s">
        <v>54</v>
      </c>
    </row>
    <row r="1100" spans="1:12" x14ac:dyDescent="0.25">
      <c r="A1100" t="s">
        <v>487</v>
      </c>
      <c r="B1100" t="s">
        <v>455</v>
      </c>
      <c r="C1100" t="s">
        <v>477</v>
      </c>
      <c r="D1100" t="s">
        <v>358</v>
      </c>
      <c r="E1100" t="s">
        <v>360</v>
      </c>
      <c r="F1100">
        <v>1</v>
      </c>
      <c r="G1100" t="s">
        <v>488</v>
      </c>
      <c r="H1100" s="4">
        <v>897599</v>
      </c>
      <c r="I1100" s="4">
        <v>1238354.6063276958</v>
      </c>
      <c r="J1100" s="3">
        <v>0.37963010913302686</v>
      </c>
      <c r="K1100" s="3">
        <v>-0.2751680371571407</v>
      </c>
      <c r="L1100" t="s">
        <v>54</v>
      </c>
    </row>
    <row r="1101" spans="1:12" x14ac:dyDescent="0.25">
      <c r="A1101" t="s">
        <v>487</v>
      </c>
      <c r="B1101" t="s">
        <v>455</v>
      </c>
      <c r="C1101" t="s">
        <v>477</v>
      </c>
      <c r="D1101" t="s">
        <v>358</v>
      </c>
      <c r="E1101" t="s">
        <v>360</v>
      </c>
      <c r="F1101">
        <v>1</v>
      </c>
      <c r="G1101" t="s">
        <v>498</v>
      </c>
      <c r="H1101" s="4">
        <v>897599</v>
      </c>
      <c r="I1101" s="4">
        <v>919337</v>
      </c>
      <c r="J1101" s="3">
        <v>0.0242179414192752</v>
      </c>
      <c r="K1101" s="3">
        <v>-0.02364530090706672</v>
      </c>
      <c r="L1101" t="s">
        <v>54</v>
      </c>
    </row>
    <row r="1102" spans="1:12" x14ac:dyDescent="0.25">
      <c r="A1102" t="s">
        <v>487</v>
      </c>
      <c r="B1102" t="s">
        <v>455</v>
      </c>
      <c r="C1102" t="s">
        <v>477</v>
      </c>
      <c r="D1102" t="s">
        <v>358</v>
      </c>
      <c r="E1102" t="s">
        <v>360</v>
      </c>
      <c r="F1102">
        <v>1</v>
      </c>
      <c r="G1102" t="s">
        <v>499</v>
      </c>
      <c r="H1102" s="4">
        <v>897599</v>
      </c>
      <c r="I1102" s="4">
        <v>766916</v>
      </c>
      <c r="J1102" s="3">
        <v>0.14559173974124304</v>
      </c>
      <c r="K1102" s="3">
        <v>0.17040066969524695</v>
      </c>
      <c r="L1102" t="s">
        <v>54</v>
      </c>
    </row>
    <row r="1103" spans="1:12" x14ac:dyDescent="0.25">
      <c r="A1103" t="s">
        <v>487</v>
      </c>
      <c r="B1103" t="s">
        <v>455</v>
      </c>
      <c r="C1103" t="s">
        <v>477</v>
      </c>
      <c r="D1103" t="s">
        <v>358</v>
      </c>
      <c r="E1103" t="s">
        <v>362</v>
      </c>
      <c r="F1103">
        <v>2</v>
      </c>
      <c r="G1103" t="s">
        <v>488</v>
      </c>
      <c r="H1103" s="4">
        <v>1347318</v>
      </c>
      <c r="I1103" s="4">
        <v>1785436.6556105684</v>
      </c>
      <c r="J1103" s="3">
        <v>0.325178358494853</v>
      </c>
      <c r="K1103" s="3">
        <v>-0.2453845977866654</v>
      </c>
      <c r="L1103" t="s">
        <v>54</v>
      </c>
    </row>
    <row r="1104" spans="1:12" x14ac:dyDescent="0.25">
      <c r="A1104" t="s">
        <v>487</v>
      </c>
      <c r="B1104" t="s">
        <v>455</v>
      </c>
      <c r="C1104" t="s">
        <v>477</v>
      </c>
      <c r="D1104" t="s">
        <v>358</v>
      </c>
      <c r="E1104" t="s">
        <v>362</v>
      </c>
      <c r="F1104">
        <v>2</v>
      </c>
      <c r="G1104" t="s">
        <v>498</v>
      </c>
      <c r="H1104" s="4">
        <v>1347318</v>
      </c>
      <c r="I1104" s="4">
        <v>1325483</v>
      </c>
      <c r="J1104" s="3">
        <v>0.016206270531530047</v>
      </c>
      <c r="K1104" s="3">
        <v>0.01647324032069819</v>
      </c>
      <c r="L1104" t="s">
        <v>54</v>
      </c>
    </row>
    <row r="1105" spans="1:12" x14ac:dyDescent="0.25">
      <c r="A1105" t="s">
        <v>487</v>
      </c>
      <c r="B1105" t="s">
        <v>455</v>
      </c>
      <c r="C1105" t="s">
        <v>477</v>
      </c>
      <c r="D1105" t="s">
        <v>358</v>
      </c>
      <c r="E1105" t="s">
        <v>362</v>
      </c>
      <c r="F1105">
        <v>2</v>
      </c>
      <c r="G1105" t="s">
        <v>499</v>
      </c>
      <c r="H1105" s="4">
        <v>1347318</v>
      </c>
      <c r="I1105" s="4">
        <v>766916</v>
      </c>
      <c r="J1105" s="3">
        <v>0.4307832300911886</v>
      </c>
      <c r="K1105" s="3">
        <v>0.7567999624469955</v>
      </c>
      <c r="L1105" t="s">
        <v>54</v>
      </c>
    </row>
    <row r="1106" spans="1:12" x14ac:dyDescent="0.25">
      <c r="A1106" t="s">
        <v>487</v>
      </c>
      <c r="B1106" t="s">
        <v>455</v>
      </c>
      <c r="C1106" t="s">
        <v>477</v>
      </c>
      <c r="D1106" t="s">
        <v>358</v>
      </c>
      <c r="E1106" t="s">
        <v>364</v>
      </c>
      <c r="F1106">
        <v>3</v>
      </c>
      <c r="G1106" t="s">
        <v>488</v>
      </c>
      <c r="H1106" s="4">
        <v>1374828</v>
      </c>
      <c r="I1106" s="4">
        <v>2997690.2813328803</v>
      </c>
      <c r="J1106" s="3">
        <v>1.1804111360351115</v>
      </c>
      <c r="K1106" s="3">
        <v>-0.5413708986010715</v>
      </c>
      <c r="L1106" t="s">
        <v>54</v>
      </c>
    </row>
    <row r="1107" spans="1:12" x14ac:dyDescent="0.25">
      <c r="A1107" t="s">
        <v>487</v>
      </c>
      <c r="B1107" t="s">
        <v>455</v>
      </c>
      <c r="C1107" t="s">
        <v>477</v>
      </c>
      <c r="D1107" t="s">
        <v>358</v>
      </c>
      <c r="E1107" t="s">
        <v>364</v>
      </c>
      <c r="F1107">
        <v>3</v>
      </c>
      <c r="G1107" t="s">
        <v>498</v>
      </c>
      <c r="H1107" s="4">
        <v>1374828</v>
      </c>
      <c r="I1107" s="4">
        <v>2225443</v>
      </c>
      <c r="J1107" s="3">
        <v>0.6187064854658183</v>
      </c>
      <c r="K1107" s="3">
        <v>-0.38222277542044436</v>
      </c>
      <c r="L1107" t="s">
        <v>54</v>
      </c>
    </row>
    <row r="1108" spans="1:12" x14ac:dyDescent="0.25">
      <c r="A1108" t="s">
        <v>487</v>
      </c>
      <c r="B1108" t="s">
        <v>455</v>
      </c>
      <c r="C1108" t="s">
        <v>477</v>
      </c>
      <c r="D1108" t="s">
        <v>358</v>
      </c>
      <c r="E1108" t="s">
        <v>364</v>
      </c>
      <c r="F1108">
        <v>3</v>
      </c>
      <c r="G1108" t="s">
        <v>499</v>
      </c>
      <c r="H1108" s="4">
        <v>1374828</v>
      </c>
      <c r="I1108" s="4">
        <v>766916</v>
      </c>
      <c r="J1108" s="3">
        <v>0.442173130020628</v>
      </c>
      <c r="K1108" s="3">
        <v>0.7926709052881933</v>
      </c>
      <c r="L1108" t="s">
        <v>54</v>
      </c>
    </row>
    <row r="1109" spans="1:12" x14ac:dyDescent="0.25">
      <c r="A1109" t="s">
        <v>487</v>
      </c>
      <c r="B1109" t="s">
        <v>455</v>
      </c>
      <c r="C1109" t="s">
        <v>477</v>
      </c>
      <c r="D1109" t="s">
        <v>360</v>
      </c>
      <c r="E1109" t="s">
        <v>362</v>
      </c>
      <c r="F1109">
        <v>1</v>
      </c>
      <c r="G1109" t="s">
        <v>488</v>
      </c>
      <c r="H1109" s="4">
        <v>1347318</v>
      </c>
      <c r="I1109" s="4">
        <v>1731265.9830369565</v>
      </c>
      <c r="J1109" s="3">
        <v>0.2849720578489685</v>
      </c>
      <c r="K1109" s="3">
        <v>-0.2217729608268752</v>
      </c>
      <c r="L1109" t="s">
        <v>54</v>
      </c>
    </row>
    <row r="1110" spans="1:12" x14ac:dyDescent="0.25">
      <c r="A1110" t="s">
        <v>487</v>
      </c>
      <c r="B1110" t="s">
        <v>455</v>
      </c>
      <c r="C1110" t="s">
        <v>477</v>
      </c>
      <c r="D1110" t="s">
        <v>360</v>
      </c>
      <c r="E1110" t="s">
        <v>362</v>
      </c>
      <c r="F1110">
        <v>1</v>
      </c>
      <c r="G1110" t="s">
        <v>498</v>
      </c>
      <c r="H1110" s="4">
        <v>1347318</v>
      </c>
      <c r="I1110" s="4">
        <v>1325483</v>
      </c>
      <c r="J1110" s="3">
        <v>0.016206270531530047</v>
      </c>
      <c r="K1110" s="3">
        <v>0.01647324032069819</v>
      </c>
      <c r="L1110" t="s">
        <v>54</v>
      </c>
    </row>
    <row r="1111" spans="1:12" x14ac:dyDescent="0.25">
      <c r="A1111" t="s">
        <v>487</v>
      </c>
      <c r="B1111" t="s">
        <v>455</v>
      </c>
      <c r="C1111" t="s">
        <v>477</v>
      </c>
      <c r="D1111" t="s">
        <v>360</v>
      </c>
      <c r="E1111" t="s">
        <v>362</v>
      </c>
      <c r="F1111">
        <v>1</v>
      </c>
      <c r="G1111" t="s">
        <v>499</v>
      </c>
      <c r="H1111" s="4">
        <v>1347318</v>
      </c>
      <c r="I1111" s="4">
        <v>897599</v>
      </c>
      <c r="J1111" s="3">
        <v>0.3337883112969618</v>
      </c>
      <c r="K1111" s="3">
        <v>0.501024399536987</v>
      </c>
      <c r="L1111" t="s">
        <v>54</v>
      </c>
    </row>
    <row r="1112" spans="1:12" x14ac:dyDescent="0.25">
      <c r="A1112" t="s">
        <v>487</v>
      </c>
      <c r="B1112" t="s">
        <v>455</v>
      </c>
      <c r="C1112" t="s">
        <v>477</v>
      </c>
      <c r="D1112" t="s">
        <v>360</v>
      </c>
      <c r="E1112" t="s">
        <v>364</v>
      </c>
      <c r="F1112">
        <v>2</v>
      </c>
      <c r="G1112" t="s">
        <v>488</v>
      </c>
      <c r="H1112" s="4">
        <v>1374828</v>
      </c>
      <c r="I1112" s="4">
        <v>2906739.477675469</v>
      </c>
      <c r="J1112" s="3">
        <v>1.1142568217082203</v>
      </c>
      <c r="K1112" s="3">
        <v>-0.5270205635699229</v>
      </c>
      <c r="L1112" t="s">
        <v>54</v>
      </c>
    </row>
    <row r="1113" spans="1:12" x14ac:dyDescent="0.25">
      <c r="A1113" t="s">
        <v>487</v>
      </c>
      <c r="B1113" t="s">
        <v>455</v>
      </c>
      <c r="C1113" t="s">
        <v>477</v>
      </c>
      <c r="D1113" t="s">
        <v>360</v>
      </c>
      <c r="E1113" t="s">
        <v>364</v>
      </c>
      <c r="F1113">
        <v>2</v>
      </c>
      <c r="G1113" t="s">
        <v>498</v>
      </c>
      <c r="H1113" s="4">
        <v>1374828</v>
      </c>
      <c r="I1113" s="4">
        <v>2225443</v>
      </c>
      <c r="J1113" s="3">
        <v>0.6187064854658183</v>
      </c>
      <c r="K1113" s="3">
        <v>-0.38222277542044436</v>
      </c>
      <c r="L1113" t="s">
        <v>54</v>
      </c>
    </row>
    <row r="1114" spans="1:12" x14ac:dyDescent="0.25">
      <c r="A1114" t="s">
        <v>487</v>
      </c>
      <c r="B1114" t="s">
        <v>455</v>
      </c>
      <c r="C1114" t="s">
        <v>477</v>
      </c>
      <c r="D1114" t="s">
        <v>360</v>
      </c>
      <c r="E1114" t="s">
        <v>364</v>
      </c>
      <c r="F1114">
        <v>2</v>
      </c>
      <c r="G1114" t="s">
        <v>499</v>
      </c>
      <c r="H1114" s="4">
        <v>1374828</v>
      </c>
      <c r="I1114" s="4">
        <v>897599</v>
      </c>
      <c r="J1114" s="3">
        <v>0.3471190578021396</v>
      </c>
      <c r="K1114" s="3">
        <v>0.531672829403776</v>
      </c>
      <c r="L1114" t="s">
        <v>54</v>
      </c>
    </row>
    <row r="1115" spans="1:12" x14ac:dyDescent="0.25">
      <c r="A1115" t="s">
        <v>487</v>
      </c>
      <c r="B1115" t="s">
        <v>455</v>
      </c>
      <c r="C1115" t="s">
        <v>477</v>
      </c>
      <c r="D1115" t="s">
        <v>360</v>
      </c>
      <c r="E1115" t="s">
        <v>366</v>
      </c>
      <c r="F1115">
        <v>3</v>
      </c>
      <c r="G1115" t="s">
        <v>488</v>
      </c>
      <c r="H1115" s="4">
        <v>913457</v>
      </c>
      <c r="I1115" s="4">
        <v>1158075.7136831533</v>
      </c>
      <c r="J1115" s="3">
        <v>0.2677944486529232</v>
      </c>
      <c r="K1115" s="3">
        <v>-0.21122860171651986</v>
      </c>
      <c r="L1115" t="s">
        <v>54</v>
      </c>
    </row>
    <row r="1116" spans="1:12" x14ac:dyDescent="0.25">
      <c r="A1116" t="s">
        <v>487</v>
      </c>
      <c r="B1116" t="s">
        <v>455</v>
      </c>
      <c r="C1116" t="s">
        <v>477</v>
      </c>
      <c r="D1116" t="s">
        <v>360</v>
      </c>
      <c r="E1116" t="s">
        <v>366</v>
      </c>
      <c r="F1116">
        <v>3</v>
      </c>
      <c r="G1116" t="s">
        <v>498</v>
      </c>
      <c r="H1116" s="4">
        <v>913457</v>
      </c>
      <c r="I1116" s="4">
        <v>886640</v>
      </c>
      <c r="J1116" s="3">
        <v>0.02935770375617024</v>
      </c>
      <c r="K1116" s="3">
        <v>0.03024564648560859</v>
      </c>
      <c r="L1116" t="s">
        <v>54</v>
      </c>
    </row>
    <row r="1117" spans="1:12" x14ac:dyDescent="0.25">
      <c r="A1117" t="s">
        <v>487</v>
      </c>
      <c r="B1117" t="s">
        <v>455</v>
      </c>
      <c r="C1117" t="s">
        <v>477</v>
      </c>
      <c r="D1117" t="s">
        <v>360</v>
      </c>
      <c r="E1117" t="s">
        <v>366</v>
      </c>
      <c r="F1117">
        <v>3</v>
      </c>
      <c r="G1117" t="s">
        <v>499</v>
      </c>
      <c r="H1117" s="4">
        <v>913457</v>
      </c>
      <c r="I1117" s="4">
        <v>897599</v>
      </c>
      <c r="J1117" s="3">
        <v>0.017360423095996856</v>
      </c>
      <c r="K1117" s="3">
        <v>0.01766713198209891</v>
      </c>
      <c r="L1117" t="s">
        <v>54</v>
      </c>
    </row>
    <row r="1118" spans="1:12" x14ac:dyDescent="0.25">
      <c r="A1118" t="s">
        <v>487</v>
      </c>
      <c r="B1118" t="s">
        <v>455</v>
      </c>
      <c r="C1118" t="s">
        <v>477</v>
      </c>
      <c r="D1118" t="s">
        <v>362</v>
      </c>
      <c r="E1118" t="s">
        <v>364</v>
      </c>
      <c r="F1118">
        <v>1</v>
      </c>
      <c r="G1118" t="s">
        <v>488</v>
      </c>
      <c r="H1118" s="4">
        <v>1374828</v>
      </c>
      <c r="I1118" s="4">
        <v>2846144.0886355545</v>
      </c>
      <c r="J1118" s="3">
        <v>1.0701819344933</v>
      </c>
      <c r="K1118" s="3">
        <v>-0.5169506682779738</v>
      </c>
      <c r="L1118" t="s">
        <v>54</v>
      </c>
    </row>
    <row r="1119" spans="1:12" x14ac:dyDescent="0.25">
      <c r="A1119" t="s">
        <v>487</v>
      </c>
      <c r="B1119" t="s">
        <v>455</v>
      </c>
      <c r="C1119" t="s">
        <v>477</v>
      </c>
      <c r="D1119" t="s">
        <v>362</v>
      </c>
      <c r="E1119" t="s">
        <v>364</v>
      </c>
      <c r="F1119">
        <v>1</v>
      </c>
      <c r="G1119" t="s">
        <v>498</v>
      </c>
      <c r="H1119" s="4">
        <v>1374828</v>
      </c>
      <c r="I1119" s="4">
        <v>2225443</v>
      </c>
      <c r="J1119" s="3">
        <v>0.6187064854658183</v>
      </c>
      <c r="K1119" s="3">
        <v>-0.38222277542044436</v>
      </c>
      <c r="L1119" t="s">
        <v>54</v>
      </c>
    </row>
    <row r="1120" spans="1:12" x14ac:dyDescent="0.25">
      <c r="A1120" t="s">
        <v>487</v>
      </c>
      <c r="B1120" t="s">
        <v>455</v>
      </c>
      <c r="C1120" t="s">
        <v>477</v>
      </c>
      <c r="D1120" t="s">
        <v>362</v>
      </c>
      <c r="E1120" t="s">
        <v>364</v>
      </c>
      <c r="F1120">
        <v>1</v>
      </c>
      <c r="G1120" t="s">
        <v>499</v>
      </c>
      <c r="H1120" s="4">
        <v>1374828</v>
      </c>
      <c r="I1120" s="4">
        <v>1347318</v>
      </c>
      <c r="J1120" s="3">
        <v>0.02000977576831429</v>
      </c>
      <c r="K1120" s="3">
        <v>0.020418342217650175</v>
      </c>
      <c r="L1120" t="s">
        <v>54</v>
      </c>
    </row>
    <row r="1121" spans="1:12" x14ac:dyDescent="0.25">
      <c r="A1121" t="s">
        <v>487</v>
      </c>
      <c r="B1121" t="s">
        <v>455</v>
      </c>
      <c r="C1121" t="s">
        <v>477</v>
      </c>
      <c r="D1121" t="s">
        <v>362</v>
      </c>
      <c r="E1121" t="s">
        <v>366</v>
      </c>
      <c r="F1121">
        <v>2</v>
      </c>
      <c r="G1121" t="s">
        <v>488</v>
      </c>
      <c r="H1121" s="4">
        <v>913457</v>
      </c>
      <c r="I1121" s="4">
        <v>1133933.8705811957</v>
      </c>
      <c r="J1121" s="3">
        <v>0.24136535226200653</v>
      </c>
      <c r="K1121" s="3">
        <v>-0.19443538666694088</v>
      </c>
      <c r="L1121" t="s">
        <v>54</v>
      </c>
    </row>
    <row r="1122" spans="1:12" x14ac:dyDescent="0.25">
      <c r="A1122" t="s">
        <v>487</v>
      </c>
      <c r="B1122" t="s">
        <v>455</v>
      </c>
      <c r="C1122" t="s">
        <v>477</v>
      </c>
      <c r="D1122" t="s">
        <v>362</v>
      </c>
      <c r="E1122" t="s">
        <v>366</v>
      </c>
      <c r="F1122">
        <v>2</v>
      </c>
      <c r="G1122" t="s">
        <v>498</v>
      </c>
      <c r="H1122" s="4">
        <v>913457</v>
      </c>
      <c r="I1122" s="4">
        <v>886640</v>
      </c>
      <c r="J1122" s="3">
        <v>0.02935770375617024</v>
      </c>
      <c r="K1122" s="3">
        <v>0.03024564648560859</v>
      </c>
      <c r="L1122" t="s">
        <v>54</v>
      </c>
    </row>
    <row r="1123" spans="1:12" x14ac:dyDescent="0.25">
      <c r="A1123" t="s">
        <v>487</v>
      </c>
      <c r="B1123" t="s">
        <v>455</v>
      </c>
      <c r="C1123" t="s">
        <v>477</v>
      </c>
      <c r="D1123" t="s">
        <v>362</v>
      </c>
      <c r="E1123" t="s">
        <v>366</v>
      </c>
      <c r="F1123">
        <v>2</v>
      </c>
      <c r="G1123" t="s">
        <v>499</v>
      </c>
      <c r="H1123" s="4">
        <v>913457</v>
      </c>
      <c r="I1123" s="4">
        <v>1347318</v>
      </c>
      <c r="J1123" s="3">
        <v>0.4749659808836103</v>
      </c>
      <c r="K1123" s="3">
        <v>-0.32201826146462825</v>
      </c>
      <c r="L1123" t="s">
        <v>54</v>
      </c>
    </row>
    <row r="1124" spans="1:12" x14ac:dyDescent="0.25">
      <c r="A1124" t="s">
        <v>487</v>
      </c>
      <c r="B1124" t="s">
        <v>455</v>
      </c>
      <c r="C1124" t="s">
        <v>477</v>
      </c>
      <c r="D1124" t="s">
        <v>362</v>
      </c>
      <c r="E1124" t="s">
        <v>368</v>
      </c>
      <c r="F1124">
        <v>3</v>
      </c>
      <c r="G1124" t="s">
        <v>488</v>
      </c>
      <c r="H1124" s="4">
        <v>1352766</v>
      </c>
      <c r="I1124" s="4">
        <v>1437909.3331830977</v>
      </c>
      <c r="J1124" s="3">
        <v>0.06294017825928332</v>
      </c>
      <c r="K1124" s="3">
        <v>-0.0592132836321578</v>
      </c>
      <c r="L1124" t="s">
        <v>54</v>
      </c>
    </row>
    <row r="1125" spans="1:12" x14ac:dyDescent="0.25">
      <c r="A1125" t="s">
        <v>487</v>
      </c>
      <c r="B1125" t="s">
        <v>455</v>
      </c>
      <c r="C1125" t="s">
        <v>477</v>
      </c>
      <c r="D1125" t="s">
        <v>362</v>
      </c>
      <c r="E1125" t="s">
        <v>368</v>
      </c>
      <c r="F1125">
        <v>3</v>
      </c>
      <c r="G1125" t="s">
        <v>498</v>
      </c>
      <c r="H1125" s="4">
        <v>1352766</v>
      </c>
      <c r="I1125" s="4">
        <v>1124323</v>
      </c>
      <c r="J1125" s="3">
        <v>0.1688710390414898</v>
      </c>
      <c r="K1125" s="3">
        <v>0.20318271528733292</v>
      </c>
      <c r="L1125" t="s">
        <v>54</v>
      </c>
    </row>
    <row r="1126" spans="1:12" x14ac:dyDescent="0.25">
      <c r="A1126" t="s">
        <v>487</v>
      </c>
      <c r="B1126" t="s">
        <v>455</v>
      </c>
      <c r="C1126" t="s">
        <v>477</v>
      </c>
      <c r="D1126" t="s">
        <v>362</v>
      </c>
      <c r="E1126" t="s">
        <v>368</v>
      </c>
      <c r="F1126">
        <v>3</v>
      </c>
      <c r="G1126" t="s">
        <v>499</v>
      </c>
      <c r="H1126" s="4">
        <v>1352766</v>
      </c>
      <c r="I1126" s="4">
        <v>1347318</v>
      </c>
      <c r="J1126" s="3">
        <v>0.0040273040570209485</v>
      </c>
      <c r="K1126" s="3">
        <v>0.004043588818675324</v>
      </c>
      <c r="L1126" t="s">
        <v>54</v>
      </c>
    </row>
    <row r="1127" spans="1:12" x14ac:dyDescent="0.25">
      <c r="A1127" t="s">
        <v>487</v>
      </c>
      <c r="B1127" t="s">
        <v>455</v>
      </c>
      <c r="C1127" t="s">
        <v>477</v>
      </c>
      <c r="D1127" t="s">
        <v>364</v>
      </c>
      <c r="E1127" t="s">
        <v>366</v>
      </c>
      <c r="F1127">
        <v>1</v>
      </c>
      <c r="G1127" t="s">
        <v>488</v>
      </c>
      <c r="H1127" s="4">
        <v>913457</v>
      </c>
      <c r="I1127" s="4">
        <v>961144.7861847291</v>
      </c>
      <c r="J1127" s="3">
        <v>0.052205835835435144</v>
      </c>
      <c r="K1127" s="3">
        <v>-0.049615611373210564</v>
      </c>
      <c r="L1127" t="s">
        <v>54</v>
      </c>
    </row>
    <row r="1128" spans="1:12" x14ac:dyDescent="0.25">
      <c r="A1128" t="s">
        <v>487</v>
      </c>
      <c r="B1128" t="s">
        <v>455</v>
      </c>
      <c r="C1128" t="s">
        <v>477</v>
      </c>
      <c r="D1128" t="s">
        <v>364</v>
      </c>
      <c r="E1128" t="s">
        <v>366</v>
      </c>
      <c r="F1128">
        <v>1</v>
      </c>
      <c r="G1128" t="s">
        <v>498</v>
      </c>
      <c r="H1128" s="4">
        <v>913457</v>
      </c>
      <c r="I1128" s="4">
        <v>886640</v>
      </c>
      <c r="J1128" s="3">
        <v>0.02935770375617024</v>
      </c>
      <c r="K1128" s="3">
        <v>0.03024564648560859</v>
      </c>
      <c r="L1128" t="s">
        <v>54</v>
      </c>
    </row>
    <row r="1129" spans="1:12" x14ac:dyDescent="0.25">
      <c r="A1129" t="s">
        <v>487</v>
      </c>
      <c r="B1129" t="s">
        <v>455</v>
      </c>
      <c r="C1129" t="s">
        <v>477</v>
      </c>
      <c r="D1129" t="s">
        <v>364</v>
      </c>
      <c r="E1129" t="s">
        <v>366</v>
      </c>
      <c r="F1129">
        <v>1</v>
      </c>
      <c r="G1129" t="s">
        <v>499</v>
      </c>
      <c r="H1129" s="4">
        <v>913457</v>
      </c>
      <c r="I1129" s="4">
        <v>1374828</v>
      </c>
      <c r="J1129" s="3">
        <v>0.505082341040684</v>
      </c>
      <c r="K1129" s="3">
        <v>-0.3355845240277329</v>
      </c>
      <c r="L1129" t="s">
        <v>54</v>
      </c>
    </row>
    <row r="1130" spans="1:12" x14ac:dyDescent="0.25">
      <c r="A1130" t="s">
        <v>487</v>
      </c>
      <c r="B1130" t="s">
        <v>455</v>
      </c>
      <c r="C1130" t="s">
        <v>477</v>
      </c>
      <c r="D1130" t="s">
        <v>364</v>
      </c>
      <c r="E1130" t="s">
        <v>368</v>
      </c>
      <c r="F1130">
        <v>2</v>
      </c>
      <c r="G1130" t="s">
        <v>488</v>
      </c>
      <c r="H1130" s="4">
        <v>1352766</v>
      </c>
      <c r="I1130" s="4">
        <v>1218800.403137207</v>
      </c>
      <c r="J1130" s="3">
        <v>0.09903087220021273</v>
      </c>
      <c r="K1130" s="3">
        <v>0.10991594400359886</v>
      </c>
      <c r="L1130" t="s">
        <v>54</v>
      </c>
    </row>
    <row r="1131" spans="1:12" x14ac:dyDescent="0.25">
      <c r="A1131" t="s">
        <v>487</v>
      </c>
      <c r="B1131" t="s">
        <v>455</v>
      </c>
      <c r="C1131" t="s">
        <v>477</v>
      </c>
      <c r="D1131" t="s">
        <v>364</v>
      </c>
      <c r="E1131" t="s">
        <v>368</v>
      </c>
      <c r="F1131">
        <v>2</v>
      </c>
      <c r="G1131" t="s">
        <v>498</v>
      </c>
      <c r="H1131" s="4">
        <v>1352766</v>
      </c>
      <c r="I1131" s="4">
        <v>1124323</v>
      </c>
      <c r="J1131" s="3">
        <v>0.1688710390414898</v>
      </c>
      <c r="K1131" s="3">
        <v>0.20318271528733292</v>
      </c>
      <c r="L1131" t="s">
        <v>54</v>
      </c>
    </row>
    <row r="1132" spans="1:12" x14ac:dyDescent="0.25">
      <c r="A1132" t="s">
        <v>487</v>
      </c>
      <c r="B1132" t="s">
        <v>455</v>
      </c>
      <c r="C1132" t="s">
        <v>477</v>
      </c>
      <c r="D1132" t="s">
        <v>364</v>
      </c>
      <c r="E1132" t="s">
        <v>368</v>
      </c>
      <c r="F1132">
        <v>2</v>
      </c>
      <c r="G1132" t="s">
        <v>499</v>
      </c>
      <c r="H1132" s="4">
        <v>1352766</v>
      </c>
      <c r="I1132" s="4">
        <v>1374828</v>
      </c>
      <c r="J1132" s="3">
        <v>0.016308807288178444</v>
      </c>
      <c r="K1132" s="3">
        <v>-0.016047098255199923</v>
      </c>
      <c r="L1132" t="s">
        <v>54</v>
      </c>
    </row>
    <row r="1133" spans="1:12" x14ac:dyDescent="0.25">
      <c r="A1133" t="s">
        <v>487</v>
      </c>
      <c r="B1133" t="s">
        <v>455</v>
      </c>
      <c r="C1133" t="s">
        <v>477</v>
      </c>
      <c r="D1133" t="s">
        <v>364</v>
      </c>
      <c r="E1133" t="s">
        <v>370</v>
      </c>
      <c r="F1133">
        <v>3</v>
      </c>
      <c r="G1133" t="s">
        <v>488</v>
      </c>
      <c r="H1133" s="4">
        <v>1360487</v>
      </c>
      <c r="I1133" s="4">
        <v>828297.9346980464</v>
      </c>
      <c r="J1133" s="3">
        <v>0.39117541387896654</v>
      </c>
      <c r="K1133" s="3">
        <v>0.6425092264608405</v>
      </c>
      <c r="L1133" t="s">
        <v>54</v>
      </c>
    </row>
    <row r="1134" spans="1:12" x14ac:dyDescent="0.25">
      <c r="A1134" t="s">
        <v>487</v>
      </c>
      <c r="B1134" t="s">
        <v>455</v>
      </c>
      <c r="C1134" t="s">
        <v>477</v>
      </c>
      <c r="D1134" t="s">
        <v>364</v>
      </c>
      <c r="E1134" t="s">
        <v>370</v>
      </c>
      <c r="F1134">
        <v>3</v>
      </c>
      <c r="G1134" t="s">
        <v>498</v>
      </c>
      <c r="H1134" s="4">
        <v>1360487</v>
      </c>
      <c r="I1134" s="4">
        <v>764091</v>
      </c>
      <c r="J1134" s="3">
        <v>0.4383694956291387</v>
      </c>
      <c r="K1134" s="3">
        <v>0.7805300677537099</v>
      </c>
      <c r="L1134" t="s">
        <v>54</v>
      </c>
    </row>
    <row r="1135" spans="1:12" x14ac:dyDescent="0.25">
      <c r="A1135" t="s">
        <v>487</v>
      </c>
      <c r="B1135" t="s">
        <v>455</v>
      </c>
      <c r="C1135" t="s">
        <v>477</v>
      </c>
      <c r="D1135" t="s">
        <v>364</v>
      </c>
      <c r="E1135" t="s">
        <v>370</v>
      </c>
      <c r="F1135">
        <v>3</v>
      </c>
      <c r="G1135" t="s">
        <v>499</v>
      </c>
      <c r="H1135" s="4">
        <v>1360487</v>
      </c>
      <c r="I1135" s="4">
        <v>1374828</v>
      </c>
      <c r="J1135" s="3">
        <v>0.01054107830504812</v>
      </c>
      <c r="K1135" s="3">
        <v>-0.010431123020479653</v>
      </c>
      <c r="L1135" t="s">
        <v>54</v>
      </c>
    </row>
    <row r="1136" spans="1:12" x14ac:dyDescent="0.25">
      <c r="A1136" t="s">
        <v>487</v>
      </c>
      <c r="B1136" t="s">
        <v>455</v>
      </c>
      <c r="C1136" t="s">
        <v>477</v>
      </c>
      <c r="D1136" t="s">
        <v>366</v>
      </c>
      <c r="E1136" t="s">
        <v>368</v>
      </c>
      <c r="F1136">
        <v>1</v>
      </c>
      <c r="G1136" t="s">
        <v>488</v>
      </c>
      <c r="H1136" s="4">
        <v>1352766</v>
      </c>
      <c r="I1136" s="4">
        <v>1179211.6993110627</v>
      </c>
      <c r="J1136" s="3">
        <v>0.12829587725366937</v>
      </c>
      <c r="K1136" s="3">
        <v>0.1471782384709496</v>
      </c>
      <c r="L1136" t="s">
        <v>54</v>
      </c>
    </row>
    <row r="1137" spans="1:12" x14ac:dyDescent="0.25">
      <c r="A1137" t="s">
        <v>487</v>
      </c>
      <c r="B1137" t="s">
        <v>455</v>
      </c>
      <c r="C1137" t="s">
        <v>477</v>
      </c>
      <c r="D1137" t="s">
        <v>366</v>
      </c>
      <c r="E1137" t="s">
        <v>368</v>
      </c>
      <c r="F1137">
        <v>1</v>
      </c>
      <c r="G1137" t="s">
        <v>498</v>
      </c>
      <c r="H1137" s="4">
        <v>1352766</v>
      </c>
      <c r="I1137" s="4">
        <v>1124323</v>
      </c>
      <c r="J1137" s="3">
        <v>0.1688710390414898</v>
      </c>
      <c r="K1137" s="3">
        <v>0.20318271528733292</v>
      </c>
      <c r="L1137" t="s">
        <v>54</v>
      </c>
    </row>
    <row r="1138" spans="1:12" x14ac:dyDescent="0.25">
      <c r="A1138" t="s">
        <v>487</v>
      </c>
      <c r="B1138" t="s">
        <v>455</v>
      </c>
      <c r="C1138" t="s">
        <v>477</v>
      </c>
      <c r="D1138" t="s">
        <v>366</v>
      </c>
      <c r="E1138" t="s">
        <v>368</v>
      </c>
      <c r="F1138">
        <v>1</v>
      </c>
      <c r="G1138" t="s">
        <v>499</v>
      </c>
      <c r="H1138" s="4">
        <v>1352766</v>
      </c>
      <c r="I1138" s="4">
        <v>913457</v>
      </c>
      <c r="J1138" s="3">
        <v>0.32474870007081785</v>
      </c>
      <c r="K1138" s="3">
        <v>0.4809301368318377</v>
      </c>
      <c r="L1138" t="s">
        <v>54</v>
      </c>
    </row>
    <row r="1139" spans="1:12" x14ac:dyDescent="0.25">
      <c r="A1139" t="s">
        <v>487</v>
      </c>
      <c r="B1139" t="s">
        <v>455</v>
      </c>
      <c r="C1139" t="s">
        <v>477</v>
      </c>
      <c r="D1139" t="s">
        <v>366</v>
      </c>
      <c r="E1139" t="s">
        <v>370</v>
      </c>
      <c r="F1139">
        <v>2</v>
      </c>
      <c r="G1139" t="s">
        <v>488</v>
      </c>
      <c r="H1139" s="4">
        <v>1360487</v>
      </c>
      <c r="I1139" s="4">
        <v>801393.4132258161</v>
      </c>
      <c r="J1139" s="3">
        <v>0.4109510688262247</v>
      </c>
      <c r="K1139" s="3">
        <v>0.6976518368471327</v>
      </c>
      <c r="L1139" t="s">
        <v>54</v>
      </c>
    </row>
    <row r="1140" spans="1:12" x14ac:dyDescent="0.25">
      <c r="A1140" t="s">
        <v>487</v>
      </c>
      <c r="B1140" t="s">
        <v>455</v>
      </c>
      <c r="C1140" t="s">
        <v>477</v>
      </c>
      <c r="D1140" t="s">
        <v>366</v>
      </c>
      <c r="E1140" t="s">
        <v>370</v>
      </c>
      <c r="F1140">
        <v>2</v>
      </c>
      <c r="G1140" t="s">
        <v>498</v>
      </c>
      <c r="H1140" s="4">
        <v>1360487</v>
      </c>
      <c r="I1140" s="4">
        <v>764091</v>
      </c>
      <c r="J1140" s="3">
        <v>0.4383694956291387</v>
      </c>
      <c r="K1140" s="3">
        <v>0.7805300677537099</v>
      </c>
      <c r="L1140" t="s">
        <v>54</v>
      </c>
    </row>
    <row r="1141" spans="1:12" x14ac:dyDescent="0.25">
      <c r="A1141" t="s">
        <v>487</v>
      </c>
      <c r="B1141" t="s">
        <v>455</v>
      </c>
      <c r="C1141" t="s">
        <v>477</v>
      </c>
      <c r="D1141" t="s">
        <v>366</v>
      </c>
      <c r="E1141" t="s">
        <v>370</v>
      </c>
      <c r="F1141">
        <v>2</v>
      </c>
      <c r="G1141" t="s">
        <v>499</v>
      </c>
      <c r="H1141" s="4">
        <v>1360487</v>
      </c>
      <c r="I1141" s="4">
        <v>913457</v>
      </c>
      <c r="J1141" s="3">
        <v>0.32858086846842344</v>
      </c>
      <c r="K1141" s="3">
        <v>0.48938264198533704</v>
      </c>
      <c r="L1141" t="s">
        <v>54</v>
      </c>
    </row>
    <row r="1142" spans="1:12" x14ac:dyDescent="0.25">
      <c r="A1142" t="s">
        <v>487</v>
      </c>
      <c r="B1142" t="s">
        <v>455</v>
      </c>
      <c r="C1142" t="s">
        <v>477</v>
      </c>
      <c r="D1142" t="s">
        <v>366</v>
      </c>
      <c r="E1142" t="s">
        <v>372</v>
      </c>
      <c r="F1142">
        <v>3</v>
      </c>
      <c r="G1142" t="s">
        <v>488</v>
      </c>
      <c r="H1142" s="4">
        <v>1042640</v>
      </c>
      <c r="I1142" s="4">
        <v>774135.6475718223</v>
      </c>
      <c r="J1142" s="3">
        <v>0.2575235483274934</v>
      </c>
      <c r="K1142" s="3">
        <v>0.34684406185192057</v>
      </c>
      <c r="L1142" t="s">
        <v>54</v>
      </c>
    </row>
    <row r="1143" spans="1:12" x14ac:dyDescent="0.25">
      <c r="A1143" t="s">
        <v>487</v>
      </c>
      <c r="B1143" t="s">
        <v>455</v>
      </c>
      <c r="C1143" t="s">
        <v>477</v>
      </c>
      <c r="D1143" t="s">
        <v>366</v>
      </c>
      <c r="E1143" t="s">
        <v>372</v>
      </c>
      <c r="F1143">
        <v>3</v>
      </c>
      <c r="G1143" t="s">
        <v>498</v>
      </c>
      <c r="H1143" s="4">
        <v>1042640</v>
      </c>
      <c r="I1143" s="4">
        <v>738102</v>
      </c>
      <c r="J1143" s="3">
        <v>0.2920835571242231</v>
      </c>
      <c r="K1143" s="3">
        <v>0.4125960910551658</v>
      </c>
      <c r="L1143" t="s">
        <v>54</v>
      </c>
    </row>
    <row r="1144" spans="1:12" x14ac:dyDescent="0.25">
      <c r="A1144" t="s">
        <v>487</v>
      </c>
      <c r="B1144" t="s">
        <v>455</v>
      </c>
      <c r="C1144" t="s">
        <v>477</v>
      </c>
      <c r="D1144" t="s">
        <v>366</v>
      </c>
      <c r="E1144" t="s">
        <v>372</v>
      </c>
      <c r="F1144">
        <v>3</v>
      </c>
      <c r="G1144" t="s">
        <v>499</v>
      </c>
      <c r="H1144" s="4">
        <v>1042640</v>
      </c>
      <c r="I1144" s="4">
        <v>913457</v>
      </c>
      <c r="J1144" s="3">
        <v>0.12389990792603392</v>
      </c>
      <c r="K1144" s="3">
        <v>0.141422092118184</v>
      </c>
      <c r="L1144" t="s">
        <v>54</v>
      </c>
    </row>
    <row r="1145" spans="1:12" x14ac:dyDescent="0.25">
      <c r="A1145" t="s">
        <v>487</v>
      </c>
      <c r="B1145" t="s">
        <v>455</v>
      </c>
      <c r="C1145" t="s">
        <v>477</v>
      </c>
      <c r="D1145" t="s">
        <v>368</v>
      </c>
      <c r="E1145" t="s">
        <v>370</v>
      </c>
      <c r="F1145">
        <v>1</v>
      </c>
      <c r="G1145" t="s">
        <v>488</v>
      </c>
      <c r="H1145" s="4">
        <v>1360487</v>
      </c>
      <c r="I1145" s="4">
        <v>810801.4681082544</v>
      </c>
      <c r="J1145" s="3">
        <v>0.4040358576684273</v>
      </c>
      <c r="K1145" s="3">
        <v>0.6779533011629355</v>
      </c>
      <c r="L1145" t="s">
        <v>54</v>
      </c>
    </row>
    <row r="1146" spans="1:12" x14ac:dyDescent="0.25">
      <c r="A1146" t="s">
        <v>487</v>
      </c>
      <c r="B1146" t="s">
        <v>455</v>
      </c>
      <c r="C1146" t="s">
        <v>477</v>
      </c>
      <c r="D1146" t="s">
        <v>368</v>
      </c>
      <c r="E1146" t="s">
        <v>370</v>
      </c>
      <c r="F1146">
        <v>1</v>
      </c>
      <c r="G1146" t="s">
        <v>498</v>
      </c>
      <c r="H1146" s="4">
        <v>1360487</v>
      </c>
      <c r="I1146" s="4">
        <v>764091</v>
      </c>
      <c r="J1146" s="3">
        <v>0.4383694956291387</v>
      </c>
      <c r="K1146" s="3">
        <v>0.7805300677537099</v>
      </c>
      <c r="L1146" t="s">
        <v>54</v>
      </c>
    </row>
    <row r="1147" spans="1:12" x14ac:dyDescent="0.25">
      <c r="A1147" t="s">
        <v>487</v>
      </c>
      <c r="B1147" t="s">
        <v>455</v>
      </c>
      <c r="C1147" t="s">
        <v>477</v>
      </c>
      <c r="D1147" t="s">
        <v>368</v>
      </c>
      <c r="E1147" t="s">
        <v>370</v>
      </c>
      <c r="F1147">
        <v>1</v>
      </c>
      <c r="G1147" t="s">
        <v>499</v>
      </c>
      <c r="H1147" s="4">
        <v>1360487</v>
      </c>
      <c r="I1147" s="4">
        <v>1352766</v>
      </c>
      <c r="J1147" s="3">
        <v>0.005675173669428668</v>
      </c>
      <c r="K1147" s="3">
        <v>0.005707565092558506</v>
      </c>
      <c r="L1147" t="s">
        <v>54</v>
      </c>
    </row>
    <row r="1148" spans="1:12" x14ac:dyDescent="0.25">
      <c r="A1148" t="s">
        <v>487</v>
      </c>
      <c r="B1148" t="s">
        <v>455</v>
      </c>
      <c r="C1148" t="s">
        <v>477</v>
      </c>
      <c r="D1148" t="s">
        <v>368</v>
      </c>
      <c r="E1148" t="s">
        <v>372</v>
      </c>
      <c r="F1148">
        <v>2</v>
      </c>
      <c r="G1148" t="s">
        <v>488</v>
      </c>
      <c r="H1148" s="4">
        <v>1042640</v>
      </c>
      <c r="I1148" s="4">
        <v>783223.7066182415</v>
      </c>
      <c r="J1148" s="3">
        <v>0.2488071562396978</v>
      </c>
      <c r="K1148" s="3">
        <v>0.33121608959188853</v>
      </c>
      <c r="L1148" t="s">
        <v>54</v>
      </c>
    </row>
    <row r="1149" spans="1:12" x14ac:dyDescent="0.25">
      <c r="A1149" t="s">
        <v>487</v>
      </c>
      <c r="B1149" t="s">
        <v>455</v>
      </c>
      <c r="C1149" t="s">
        <v>477</v>
      </c>
      <c r="D1149" t="s">
        <v>368</v>
      </c>
      <c r="E1149" t="s">
        <v>372</v>
      </c>
      <c r="F1149">
        <v>2</v>
      </c>
      <c r="G1149" t="s">
        <v>498</v>
      </c>
      <c r="H1149" s="4">
        <v>1042640</v>
      </c>
      <c r="I1149" s="4">
        <v>738102</v>
      </c>
      <c r="J1149" s="3">
        <v>0.2920835571242231</v>
      </c>
      <c r="K1149" s="3">
        <v>0.4125960910551658</v>
      </c>
      <c r="L1149" t="s">
        <v>54</v>
      </c>
    </row>
    <row r="1150" spans="1:12" x14ac:dyDescent="0.25">
      <c r="A1150" t="s">
        <v>487</v>
      </c>
      <c r="B1150" t="s">
        <v>455</v>
      </c>
      <c r="C1150" t="s">
        <v>477</v>
      </c>
      <c r="D1150" t="s">
        <v>368</v>
      </c>
      <c r="E1150" t="s">
        <v>372</v>
      </c>
      <c r="F1150">
        <v>2</v>
      </c>
      <c r="G1150" t="s">
        <v>499</v>
      </c>
      <c r="H1150" s="4">
        <v>1042640</v>
      </c>
      <c r="I1150" s="4">
        <v>1352766</v>
      </c>
      <c r="J1150" s="3">
        <v>0.29744302923348426</v>
      </c>
      <c r="K1150" s="3">
        <v>-0.2292532485293096</v>
      </c>
      <c r="L1150" t="s">
        <v>54</v>
      </c>
    </row>
    <row r="1151" spans="1:12" x14ac:dyDescent="0.25">
      <c r="A1151" t="s">
        <v>487</v>
      </c>
      <c r="B1151" t="s">
        <v>455</v>
      </c>
      <c r="C1151" t="s">
        <v>477</v>
      </c>
      <c r="D1151" t="s">
        <v>368</v>
      </c>
      <c r="E1151" t="s">
        <v>374</v>
      </c>
      <c r="F1151">
        <v>3</v>
      </c>
      <c r="G1151" t="s">
        <v>488</v>
      </c>
      <c r="H1151" s="4">
        <v>1498940</v>
      </c>
      <c r="I1151" s="4">
        <v>1190432.0791616617</v>
      </c>
      <c r="J1151" s="3">
        <v>0.20581739151556322</v>
      </c>
      <c r="K1151" s="3">
        <v>0.25915625615163107</v>
      </c>
      <c r="L1151" t="s">
        <v>54</v>
      </c>
    </row>
    <row r="1152" spans="1:12" x14ac:dyDescent="0.25">
      <c r="A1152" t="s">
        <v>487</v>
      </c>
      <c r="B1152" t="s">
        <v>455</v>
      </c>
      <c r="C1152" t="s">
        <v>477</v>
      </c>
      <c r="D1152" t="s">
        <v>368</v>
      </c>
      <c r="E1152" t="s">
        <v>374</v>
      </c>
      <c r="F1152">
        <v>3</v>
      </c>
      <c r="G1152" t="s">
        <v>498</v>
      </c>
      <c r="H1152" s="4">
        <v>1498940</v>
      </c>
      <c r="I1152" s="4">
        <v>1121851</v>
      </c>
      <c r="J1152" s="3">
        <v>0.25157044311313326</v>
      </c>
      <c r="K1152" s="3">
        <v>0.3361310904924094</v>
      </c>
      <c r="L1152" t="s">
        <v>54</v>
      </c>
    </row>
    <row r="1153" spans="1:12" x14ac:dyDescent="0.25">
      <c r="A1153" t="s">
        <v>487</v>
      </c>
      <c r="B1153" t="s">
        <v>455</v>
      </c>
      <c r="C1153" t="s">
        <v>477</v>
      </c>
      <c r="D1153" t="s">
        <v>368</v>
      </c>
      <c r="E1153" t="s">
        <v>374</v>
      </c>
      <c r="F1153">
        <v>3</v>
      </c>
      <c r="G1153" t="s">
        <v>499</v>
      </c>
      <c r="H1153" s="4">
        <v>1498940</v>
      </c>
      <c r="I1153" s="4">
        <v>1352766</v>
      </c>
      <c r="J1153" s="3">
        <v>0.09751824622733399</v>
      </c>
      <c r="K1153" s="3">
        <v>0.1080556430306498</v>
      </c>
      <c r="L1153" t="s">
        <v>54</v>
      </c>
    </row>
    <row r="1154" spans="1:12" x14ac:dyDescent="0.25">
      <c r="A1154" t="s">
        <v>487</v>
      </c>
      <c r="B1154" t="s">
        <v>455</v>
      </c>
      <c r="C1154" t="s">
        <v>477</v>
      </c>
      <c r="D1154" t="s">
        <v>370</v>
      </c>
      <c r="E1154" t="s">
        <v>372</v>
      </c>
      <c r="F1154">
        <v>1</v>
      </c>
      <c r="G1154" t="s">
        <v>488</v>
      </c>
      <c r="H1154" s="4">
        <v>1042640</v>
      </c>
      <c r="I1154" s="4">
        <v>805885.3495399263</v>
      </c>
      <c r="J1154" s="3">
        <v>0.22707228809567417</v>
      </c>
      <c r="K1154" s="3">
        <v>0.2937820505053667</v>
      </c>
      <c r="L1154" t="s">
        <v>54</v>
      </c>
    </row>
    <row r="1155" spans="1:12" x14ac:dyDescent="0.25">
      <c r="A1155" t="s">
        <v>487</v>
      </c>
      <c r="B1155" t="s">
        <v>455</v>
      </c>
      <c r="C1155" t="s">
        <v>477</v>
      </c>
      <c r="D1155" t="s">
        <v>370</v>
      </c>
      <c r="E1155" t="s">
        <v>372</v>
      </c>
      <c r="F1155">
        <v>1</v>
      </c>
      <c r="G1155" t="s">
        <v>498</v>
      </c>
      <c r="H1155" s="4">
        <v>1042640</v>
      </c>
      <c r="I1155" s="4">
        <v>738102</v>
      </c>
      <c r="J1155" s="3">
        <v>0.2920835571242231</v>
      </c>
      <c r="K1155" s="3">
        <v>0.4125960910551658</v>
      </c>
      <c r="L1155" t="s">
        <v>54</v>
      </c>
    </row>
    <row r="1156" spans="1:12" x14ac:dyDescent="0.25">
      <c r="A1156" t="s">
        <v>487</v>
      </c>
      <c r="B1156" t="s">
        <v>455</v>
      </c>
      <c r="C1156" t="s">
        <v>477</v>
      </c>
      <c r="D1156" t="s">
        <v>370</v>
      </c>
      <c r="E1156" t="s">
        <v>372</v>
      </c>
      <c r="F1156">
        <v>1</v>
      </c>
      <c r="G1156" t="s">
        <v>499</v>
      </c>
      <c r="H1156" s="4">
        <v>1042640</v>
      </c>
      <c r="I1156" s="4">
        <v>1360487</v>
      </c>
      <c r="J1156" s="3">
        <v>0.30484826977672064</v>
      </c>
      <c r="K1156" s="3">
        <v>-0.23362737019905372</v>
      </c>
      <c r="L1156" t="s">
        <v>54</v>
      </c>
    </row>
    <row r="1157" spans="1:12" x14ac:dyDescent="0.25">
      <c r="A1157" t="s">
        <v>487</v>
      </c>
      <c r="B1157" t="s">
        <v>455</v>
      </c>
      <c r="C1157" t="s">
        <v>477</v>
      </c>
      <c r="D1157" t="s">
        <v>370</v>
      </c>
      <c r="E1157" t="s">
        <v>374</v>
      </c>
      <c r="F1157">
        <v>2</v>
      </c>
      <c r="G1157" t="s">
        <v>488</v>
      </c>
      <c r="H1157" s="4">
        <v>1498940</v>
      </c>
      <c r="I1157" s="4">
        <v>1224875.810208773</v>
      </c>
      <c r="J1157" s="3">
        <v>0.18283866585135294</v>
      </c>
      <c r="K1157" s="3">
        <v>0.2237485527161438</v>
      </c>
      <c r="L1157" t="s">
        <v>54</v>
      </c>
    </row>
    <row r="1158" spans="1:12" x14ac:dyDescent="0.25">
      <c r="A1158" t="s">
        <v>487</v>
      </c>
      <c r="B1158" t="s">
        <v>455</v>
      </c>
      <c r="C1158" t="s">
        <v>477</v>
      </c>
      <c r="D1158" t="s">
        <v>370</v>
      </c>
      <c r="E1158" t="s">
        <v>374</v>
      </c>
      <c r="F1158">
        <v>2</v>
      </c>
      <c r="G1158" t="s">
        <v>498</v>
      </c>
      <c r="H1158" s="4">
        <v>1498940</v>
      </c>
      <c r="I1158" s="4">
        <v>1121851</v>
      </c>
      <c r="J1158" s="3">
        <v>0.25157044311313326</v>
      </c>
      <c r="K1158" s="3">
        <v>0.3361310904924094</v>
      </c>
      <c r="L1158" t="s">
        <v>54</v>
      </c>
    </row>
    <row r="1159" spans="1:12" x14ac:dyDescent="0.25">
      <c r="A1159" t="s">
        <v>487</v>
      </c>
      <c r="B1159" t="s">
        <v>455</v>
      </c>
      <c r="C1159" t="s">
        <v>477</v>
      </c>
      <c r="D1159" t="s">
        <v>370</v>
      </c>
      <c r="E1159" t="s">
        <v>374</v>
      </c>
      <c r="F1159">
        <v>2</v>
      </c>
      <c r="G1159" t="s">
        <v>499</v>
      </c>
      <c r="H1159" s="4">
        <v>1498940</v>
      </c>
      <c r="I1159" s="4">
        <v>1360487</v>
      </c>
      <c r="J1159" s="3">
        <v>0.09236727287283013</v>
      </c>
      <c r="K1159" s="3">
        <v>0.1017672348210604</v>
      </c>
      <c r="L1159" t="s">
        <v>54</v>
      </c>
    </row>
    <row r="1160" spans="1:12" x14ac:dyDescent="0.25">
      <c r="A1160" t="s">
        <v>487</v>
      </c>
      <c r="B1160" t="s">
        <v>455</v>
      </c>
      <c r="C1160" t="s">
        <v>477</v>
      </c>
      <c r="D1160" t="s">
        <v>370</v>
      </c>
      <c r="E1160" t="s">
        <v>376</v>
      </c>
      <c r="F1160">
        <v>3</v>
      </c>
      <c r="G1160" t="s">
        <v>488</v>
      </c>
      <c r="H1160" s="4">
        <v>989301</v>
      </c>
      <c r="I1160" s="4">
        <v>1135090.970242594</v>
      </c>
      <c r="J1160" s="3">
        <v>0.14736664598801974</v>
      </c>
      <c r="K1160" s="3">
        <v>-0.12843901860256662</v>
      </c>
      <c r="L1160" t="s">
        <v>377</v>
      </c>
    </row>
    <row r="1161" spans="1:12" x14ac:dyDescent="0.25">
      <c r="A1161" t="s">
        <v>487</v>
      </c>
      <c r="B1161" t="s">
        <v>455</v>
      </c>
      <c r="C1161" t="s">
        <v>477</v>
      </c>
      <c r="D1161" t="s">
        <v>370</v>
      </c>
      <c r="E1161" t="s">
        <v>376</v>
      </c>
      <c r="F1161">
        <v>3</v>
      </c>
      <c r="G1161" t="s">
        <v>498</v>
      </c>
      <c r="H1161" s="4">
        <v>989301</v>
      </c>
      <c r="I1161" s="4">
        <v>1039618</v>
      </c>
      <c r="J1161" s="3">
        <v>0.050861163589241296</v>
      </c>
      <c r="K1161" s="3">
        <v>-0.04839950828092626</v>
      </c>
      <c r="L1161" t="s">
        <v>377</v>
      </c>
    </row>
    <row r="1162" spans="1:12" x14ac:dyDescent="0.25">
      <c r="A1162" t="s">
        <v>487</v>
      </c>
      <c r="B1162" t="s">
        <v>455</v>
      </c>
      <c r="C1162" t="s">
        <v>477</v>
      </c>
      <c r="D1162" t="s">
        <v>370</v>
      </c>
      <c r="E1162" t="s">
        <v>376</v>
      </c>
      <c r="F1162">
        <v>3</v>
      </c>
      <c r="G1162" t="s">
        <v>499</v>
      </c>
      <c r="H1162" s="4">
        <v>989301</v>
      </c>
      <c r="I1162" s="4">
        <v>1360487</v>
      </c>
      <c r="J1162" s="3">
        <v>0.37520026766373427</v>
      </c>
      <c r="K1162" s="3">
        <v>-0.2728331839995531</v>
      </c>
      <c r="L1162" t="s">
        <v>377</v>
      </c>
    </row>
    <row r="1163" spans="1:12" x14ac:dyDescent="0.25">
      <c r="A1163" t="s">
        <v>487</v>
      </c>
      <c r="B1163" t="s">
        <v>455</v>
      </c>
      <c r="C1163" t="s">
        <v>477</v>
      </c>
      <c r="D1163" t="s">
        <v>372</v>
      </c>
      <c r="E1163" t="s">
        <v>374</v>
      </c>
      <c r="F1163">
        <v>1</v>
      </c>
      <c r="G1163" t="s">
        <v>488</v>
      </c>
      <c r="H1163" s="4">
        <v>1498940</v>
      </c>
      <c r="I1163" s="4">
        <v>1237443.4387357072</v>
      </c>
      <c r="J1163" s="3">
        <v>0.1744543218970024</v>
      </c>
      <c r="K1163" s="3">
        <v>0.2113200111444796</v>
      </c>
      <c r="L1163" t="s">
        <v>54</v>
      </c>
    </row>
    <row r="1164" spans="1:12" x14ac:dyDescent="0.25">
      <c r="A1164" t="s">
        <v>487</v>
      </c>
      <c r="B1164" t="s">
        <v>455</v>
      </c>
      <c r="C1164" t="s">
        <v>477</v>
      </c>
      <c r="D1164" t="s">
        <v>372</v>
      </c>
      <c r="E1164" t="s">
        <v>374</v>
      </c>
      <c r="F1164">
        <v>1</v>
      </c>
      <c r="G1164" t="s">
        <v>498</v>
      </c>
      <c r="H1164" s="4">
        <v>1498940</v>
      </c>
      <c r="I1164" s="4">
        <v>1121851</v>
      </c>
      <c r="J1164" s="3">
        <v>0.25157044311313326</v>
      </c>
      <c r="K1164" s="3">
        <v>0.3361310904924094</v>
      </c>
      <c r="L1164" t="s">
        <v>54</v>
      </c>
    </row>
    <row r="1165" spans="1:12" x14ac:dyDescent="0.25">
      <c r="A1165" t="s">
        <v>487</v>
      </c>
      <c r="B1165" t="s">
        <v>455</v>
      </c>
      <c r="C1165" t="s">
        <v>477</v>
      </c>
      <c r="D1165" t="s">
        <v>372</v>
      </c>
      <c r="E1165" t="s">
        <v>374</v>
      </c>
      <c r="F1165">
        <v>1</v>
      </c>
      <c r="G1165" t="s">
        <v>499</v>
      </c>
      <c r="H1165" s="4">
        <v>1498940</v>
      </c>
      <c r="I1165" s="4">
        <v>1042640</v>
      </c>
      <c r="J1165" s="3">
        <v>0.30441512001814613</v>
      </c>
      <c r="K1165" s="3">
        <v>0.43763907005294256</v>
      </c>
      <c r="L1165" t="s">
        <v>54</v>
      </c>
    </row>
    <row r="1166" spans="1:12" x14ac:dyDescent="0.25">
      <c r="A1166" t="s">
        <v>487</v>
      </c>
      <c r="B1166" t="s">
        <v>455</v>
      </c>
      <c r="C1166" t="s">
        <v>477</v>
      </c>
      <c r="D1166" t="s">
        <v>372</v>
      </c>
      <c r="E1166" t="s">
        <v>376</v>
      </c>
      <c r="F1166">
        <v>2</v>
      </c>
      <c r="G1166" t="s">
        <v>488</v>
      </c>
      <c r="H1166" s="4">
        <v>989301</v>
      </c>
      <c r="I1166" s="4">
        <v>1146737.3767920504</v>
      </c>
      <c r="J1166" s="3">
        <v>0.1591390050066162</v>
      </c>
      <c r="K1166" s="3">
        <v>-0.13729069966522944</v>
      </c>
      <c r="L1166" t="s">
        <v>377</v>
      </c>
    </row>
    <row r="1167" spans="1:12" x14ac:dyDescent="0.25">
      <c r="A1167" t="s">
        <v>487</v>
      </c>
      <c r="B1167" t="s">
        <v>455</v>
      </c>
      <c r="C1167" t="s">
        <v>477</v>
      </c>
      <c r="D1167" t="s">
        <v>372</v>
      </c>
      <c r="E1167" t="s">
        <v>376</v>
      </c>
      <c r="F1167">
        <v>2</v>
      </c>
      <c r="G1167" t="s">
        <v>498</v>
      </c>
      <c r="H1167" s="4">
        <v>989301</v>
      </c>
      <c r="I1167" s="4">
        <v>1039618</v>
      </c>
      <c r="J1167" s="3">
        <v>0.050861163589241296</v>
      </c>
      <c r="K1167" s="3">
        <v>-0.04839950828092626</v>
      </c>
      <c r="L1167" t="s">
        <v>377</v>
      </c>
    </row>
    <row r="1168" spans="1:12" x14ac:dyDescent="0.25">
      <c r="A1168" t="s">
        <v>487</v>
      </c>
      <c r="B1168" t="s">
        <v>455</v>
      </c>
      <c r="C1168" t="s">
        <v>477</v>
      </c>
      <c r="D1168" t="s">
        <v>372</v>
      </c>
      <c r="E1168" t="s">
        <v>376</v>
      </c>
      <c r="F1168">
        <v>2</v>
      </c>
      <c r="G1168" t="s">
        <v>499</v>
      </c>
      <c r="H1168" s="4">
        <v>989301</v>
      </c>
      <c r="I1168" s="4">
        <v>1042640</v>
      </c>
      <c r="J1168" s="3">
        <v>0.05391584563242127</v>
      </c>
      <c r="K1168" s="3">
        <v>-0.05115763830276989</v>
      </c>
      <c r="L1168" t="s">
        <v>377</v>
      </c>
    </row>
    <row r="1169" spans="1:12" x14ac:dyDescent="0.25">
      <c r="A1169" t="s">
        <v>487</v>
      </c>
      <c r="B1169" t="s">
        <v>455</v>
      </c>
      <c r="C1169" t="s">
        <v>477</v>
      </c>
      <c r="D1169" t="s">
        <v>372</v>
      </c>
      <c r="E1169" t="s">
        <v>379</v>
      </c>
      <c r="F1169">
        <v>3</v>
      </c>
      <c r="G1169" t="s">
        <v>488</v>
      </c>
      <c r="H1169" s="4">
        <v>630967</v>
      </c>
      <c r="I1169" s="4">
        <v>1292769.5809775072</v>
      </c>
      <c r="J1169" s="3">
        <v>1.0488703545153821</v>
      </c>
      <c r="K1169" s="3">
        <v>-0.5119261705377501</v>
      </c>
      <c r="L1169" t="s">
        <v>377</v>
      </c>
    </row>
    <row r="1170" spans="1:12" x14ac:dyDescent="0.25">
      <c r="A1170" t="s">
        <v>487</v>
      </c>
      <c r="B1170" t="s">
        <v>455</v>
      </c>
      <c r="C1170" t="s">
        <v>477</v>
      </c>
      <c r="D1170" t="s">
        <v>372</v>
      </c>
      <c r="E1170" t="s">
        <v>379</v>
      </c>
      <c r="F1170">
        <v>3</v>
      </c>
      <c r="G1170" t="s">
        <v>498</v>
      </c>
      <c r="H1170" s="4">
        <v>630967</v>
      </c>
      <c r="I1170" s="4">
        <v>1172009</v>
      </c>
      <c r="J1170" s="3">
        <v>0.8574806606367686</v>
      </c>
      <c r="K1170" s="3">
        <v>-0.46163638675129626</v>
      </c>
      <c r="L1170" t="s">
        <v>377</v>
      </c>
    </row>
    <row r="1171" spans="1:12" x14ac:dyDescent="0.25">
      <c r="A1171" t="s">
        <v>487</v>
      </c>
      <c r="B1171" t="s">
        <v>455</v>
      </c>
      <c r="C1171" t="s">
        <v>477</v>
      </c>
      <c r="D1171" t="s">
        <v>372</v>
      </c>
      <c r="E1171" t="s">
        <v>379</v>
      </c>
      <c r="F1171">
        <v>3</v>
      </c>
      <c r="G1171" t="s">
        <v>499</v>
      </c>
      <c r="H1171" s="4">
        <v>630967</v>
      </c>
      <c r="I1171" s="4">
        <v>1042640</v>
      </c>
      <c r="J1171" s="3">
        <v>0.6524477508332448</v>
      </c>
      <c r="K1171" s="3">
        <v>-0.3948371441724852</v>
      </c>
      <c r="L1171" t="s">
        <v>377</v>
      </c>
    </row>
    <row r="1172" spans="1:12" x14ac:dyDescent="0.25">
      <c r="A1172" t="s">
        <v>487</v>
      </c>
      <c r="B1172" t="s">
        <v>455</v>
      </c>
      <c r="C1172" t="s">
        <v>477</v>
      </c>
      <c r="D1172" t="s">
        <v>374</v>
      </c>
      <c r="E1172" t="s">
        <v>376</v>
      </c>
      <c r="F1172">
        <v>1</v>
      </c>
      <c r="G1172" t="s">
        <v>488</v>
      </c>
      <c r="H1172" s="4">
        <v>989301</v>
      </c>
      <c r="I1172" s="4">
        <v>1165623.683636111</v>
      </c>
      <c r="J1172" s="3">
        <v>0.1782295617169203</v>
      </c>
      <c r="K1172" s="3">
        <v>-0.15126896108191645</v>
      </c>
      <c r="L1172" t="s">
        <v>377</v>
      </c>
    </row>
    <row r="1173" spans="1:12" x14ac:dyDescent="0.25">
      <c r="A1173" t="s">
        <v>487</v>
      </c>
      <c r="B1173" t="s">
        <v>455</v>
      </c>
      <c r="C1173" t="s">
        <v>477</v>
      </c>
      <c r="D1173" t="s">
        <v>374</v>
      </c>
      <c r="E1173" t="s">
        <v>376</v>
      </c>
      <c r="F1173">
        <v>1</v>
      </c>
      <c r="G1173" t="s">
        <v>498</v>
      </c>
      <c r="H1173" s="4">
        <v>989301</v>
      </c>
      <c r="I1173" s="4">
        <v>1039618</v>
      </c>
      <c r="J1173" s="3">
        <v>0.050861163589241296</v>
      </c>
      <c r="K1173" s="3">
        <v>-0.04839950828092626</v>
      </c>
      <c r="L1173" t="s">
        <v>377</v>
      </c>
    </row>
    <row r="1174" spans="1:12" x14ac:dyDescent="0.25">
      <c r="A1174" t="s">
        <v>487</v>
      </c>
      <c r="B1174" t="s">
        <v>455</v>
      </c>
      <c r="C1174" t="s">
        <v>477</v>
      </c>
      <c r="D1174" t="s">
        <v>374</v>
      </c>
      <c r="E1174" t="s">
        <v>376</v>
      </c>
      <c r="F1174">
        <v>1</v>
      </c>
      <c r="G1174" t="s">
        <v>499</v>
      </c>
      <c r="H1174" s="4">
        <v>989301</v>
      </c>
      <c r="I1174" s="4">
        <v>1498940</v>
      </c>
      <c r="J1174" s="3">
        <v>0.5151505962290547</v>
      </c>
      <c r="K1174" s="3">
        <v>-0.33999959971713345</v>
      </c>
      <c r="L1174" t="s">
        <v>377</v>
      </c>
    </row>
    <row r="1175" spans="1:12" x14ac:dyDescent="0.25">
      <c r="A1175" t="s">
        <v>487</v>
      </c>
      <c r="B1175" t="s">
        <v>455</v>
      </c>
      <c r="C1175" t="s">
        <v>477</v>
      </c>
      <c r="D1175" t="s">
        <v>374</v>
      </c>
      <c r="E1175" t="s">
        <v>379</v>
      </c>
      <c r="F1175">
        <v>2</v>
      </c>
      <c r="G1175" t="s">
        <v>488</v>
      </c>
      <c r="H1175" s="4">
        <v>630967</v>
      </c>
      <c r="I1175" s="4">
        <v>1314060.9799317392</v>
      </c>
      <c r="J1175" s="3">
        <v>1.0826144313914026</v>
      </c>
      <c r="K1175" s="3">
        <v>-0.5198343078166916</v>
      </c>
      <c r="L1175" t="s">
        <v>377</v>
      </c>
    </row>
    <row r="1176" spans="1:12" x14ac:dyDescent="0.25">
      <c r="A1176" t="s">
        <v>487</v>
      </c>
      <c r="B1176" t="s">
        <v>455</v>
      </c>
      <c r="C1176" t="s">
        <v>477</v>
      </c>
      <c r="D1176" t="s">
        <v>374</v>
      </c>
      <c r="E1176" t="s">
        <v>379</v>
      </c>
      <c r="F1176">
        <v>2</v>
      </c>
      <c r="G1176" t="s">
        <v>498</v>
      </c>
      <c r="H1176" s="4">
        <v>630967</v>
      </c>
      <c r="I1176" s="4">
        <v>1172009</v>
      </c>
      <c r="J1176" s="3">
        <v>0.8574806606367686</v>
      </c>
      <c r="K1176" s="3">
        <v>-0.46163638675129626</v>
      </c>
      <c r="L1176" t="s">
        <v>377</v>
      </c>
    </row>
    <row r="1177" spans="1:12" x14ac:dyDescent="0.25">
      <c r="A1177" t="s">
        <v>487</v>
      </c>
      <c r="B1177" t="s">
        <v>455</v>
      </c>
      <c r="C1177" t="s">
        <v>477</v>
      </c>
      <c r="D1177" t="s">
        <v>374</v>
      </c>
      <c r="E1177" t="s">
        <v>379</v>
      </c>
      <c r="F1177">
        <v>2</v>
      </c>
      <c r="G1177" t="s">
        <v>499</v>
      </c>
      <c r="H1177" s="4">
        <v>630967</v>
      </c>
      <c r="I1177" s="4">
        <v>1498940</v>
      </c>
      <c r="J1177" s="3">
        <v>1.3756234478189826</v>
      </c>
      <c r="K1177" s="3">
        <v>-0.5790578675597422</v>
      </c>
      <c r="L1177" t="s">
        <v>377</v>
      </c>
    </row>
    <row r="1178" spans="1:12" x14ac:dyDescent="0.25">
      <c r="A1178" t="s">
        <v>487</v>
      </c>
      <c r="B1178" t="s">
        <v>455</v>
      </c>
      <c r="C1178" t="s">
        <v>477</v>
      </c>
      <c r="D1178" t="s">
        <v>374</v>
      </c>
      <c r="E1178" t="s">
        <v>381</v>
      </c>
      <c r="F1178">
        <v>3</v>
      </c>
      <c r="G1178" t="s">
        <v>488</v>
      </c>
      <c r="H1178" s="4">
        <v>1125282</v>
      </c>
      <c r="I1178" s="4">
        <v>1317040.0185088136</v>
      </c>
      <c r="J1178" s="3">
        <v>0.1704088561878832</v>
      </c>
      <c r="K1178" s="3">
        <v>-0.14559771594938087</v>
      </c>
      <c r="L1178" t="s">
        <v>377</v>
      </c>
    </row>
    <row r="1179" spans="1:12" x14ac:dyDescent="0.25">
      <c r="A1179" t="s">
        <v>487</v>
      </c>
      <c r="B1179" t="s">
        <v>455</v>
      </c>
      <c r="C1179" t="s">
        <v>477</v>
      </c>
      <c r="D1179" t="s">
        <v>374</v>
      </c>
      <c r="E1179" t="s">
        <v>381</v>
      </c>
      <c r="F1179">
        <v>3</v>
      </c>
      <c r="G1179" t="s">
        <v>498</v>
      </c>
      <c r="H1179" s="4">
        <v>1125282</v>
      </c>
      <c r="I1179" s="4">
        <v>1174666</v>
      </c>
      <c r="J1179" s="3">
        <v>0.04388588815959022</v>
      </c>
      <c r="K1179" s="3">
        <v>-0.042040886515826624</v>
      </c>
      <c r="L1179" t="s">
        <v>377</v>
      </c>
    </row>
    <row r="1180" spans="1:12" x14ac:dyDescent="0.25">
      <c r="A1180" t="s">
        <v>487</v>
      </c>
      <c r="B1180" t="s">
        <v>455</v>
      </c>
      <c r="C1180" t="s">
        <v>477</v>
      </c>
      <c r="D1180" t="s">
        <v>374</v>
      </c>
      <c r="E1180" t="s">
        <v>381</v>
      </c>
      <c r="F1180">
        <v>3</v>
      </c>
      <c r="G1180" t="s">
        <v>499</v>
      </c>
      <c r="H1180" s="4">
        <v>1125282</v>
      </c>
      <c r="I1180" s="4">
        <v>1498940</v>
      </c>
      <c r="J1180" s="3">
        <v>0.3320572087707792</v>
      </c>
      <c r="K1180" s="3">
        <v>-0.24928149225452653</v>
      </c>
      <c r="L1180" t="s">
        <v>377</v>
      </c>
    </row>
    <row r="1181" spans="1:12" x14ac:dyDescent="0.25">
      <c r="A1181" t="s">
        <v>487</v>
      </c>
      <c r="B1181" t="s">
        <v>455</v>
      </c>
      <c r="C1181" t="s">
        <v>477</v>
      </c>
      <c r="D1181" t="s">
        <v>376</v>
      </c>
      <c r="E1181" t="s">
        <v>379</v>
      </c>
      <c r="F1181">
        <v>1</v>
      </c>
      <c r="G1181" t="s">
        <v>488</v>
      </c>
      <c r="H1181" s="4">
        <v>630967</v>
      </c>
      <c r="I1181" s="4">
        <v>1279113.1819738613</v>
      </c>
      <c r="J1181" s="3">
        <v>1.0272267519123208</v>
      </c>
      <c r="K1181" s="3">
        <v>-0.5067152704764372</v>
      </c>
      <c r="L1181" t="s">
        <v>377</v>
      </c>
    </row>
    <row r="1182" spans="1:12" x14ac:dyDescent="0.25">
      <c r="A1182" t="s">
        <v>487</v>
      </c>
      <c r="B1182" t="s">
        <v>455</v>
      </c>
      <c r="C1182" t="s">
        <v>477</v>
      </c>
      <c r="D1182" t="s">
        <v>376</v>
      </c>
      <c r="E1182" t="s">
        <v>379</v>
      </c>
      <c r="F1182">
        <v>1</v>
      </c>
      <c r="G1182" t="s">
        <v>498</v>
      </c>
      <c r="H1182" s="4">
        <v>630967</v>
      </c>
      <c r="I1182" s="4">
        <v>1172009</v>
      </c>
      <c r="J1182" s="3">
        <v>0.8574806606367686</v>
      </c>
      <c r="K1182" s="3">
        <v>-0.46163638675129626</v>
      </c>
      <c r="L1182" t="s">
        <v>377</v>
      </c>
    </row>
    <row r="1183" spans="1:12" x14ac:dyDescent="0.25">
      <c r="A1183" t="s">
        <v>487</v>
      </c>
      <c r="B1183" t="s">
        <v>455</v>
      </c>
      <c r="C1183" t="s">
        <v>477</v>
      </c>
      <c r="D1183" t="s">
        <v>376</v>
      </c>
      <c r="E1183" t="s">
        <v>379</v>
      </c>
      <c r="F1183">
        <v>1</v>
      </c>
      <c r="G1183" t="s">
        <v>499</v>
      </c>
      <c r="H1183" s="4">
        <v>630967</v>
      </c>
      <c r="I1183" s="4">
        <v>989301</v>
      </c>
      <c r="J1183" s="3">
        <v>0.5679124264818921</v>
      </c>
      <c r="K1183" s="3">
        <v>-0.3622092770552137</v>
      </c>
      <c r="L1183" t="s">
        <v>377</v>
      </c>
    </row>
    <row r="1184" spans="1:12" x14ac:dyDescent="0.25">
      <c r="A1184" t="s">
        <v>487</v>
      </c>
      <c r="B1184" t="s">
        <v>455</v>
      </c>
      <c r="C1184" t="s">
        <v>477</v>
      </c>
      <c r="D1184" t="s">
        <v>376</v>
      </c>
      <c r="E1184" t="s">
        <v>381</v>
      </c>
      <c r="F1184">
        <v>2</v>
      </c>
      <c r="G1184" t="s">
        <v>488</v>
      </c>
      <c r="H1184" s="4">
        <v>1125282</v>
      </c>
      <c r="I1184" s="4">
        <v>1282012.9922351346</v>
      </c>
      <c r="J1184" s="3">
        <v>0.1392815243069156</v>
      </c>
      <c r="K1184" s="3">
        <v>-0.12225382518306685</v>
      </c>
      <c r="L1184" t="s">
        <v>377</v>
      </c>
    </row>
    <row r="1185" spans="1:12" x14ac:dyDescent="0.25">
      <c r="A1185" t="s">
        <v>487</v>
      </c>
      <c r="B1185" t="s">
        <v>455</v>
      </c>
      <c r="C1185" t="s">
        <v>477</v>
      </c>
      <c r="D1185" t="s">
        <v>376</v>
      </c>
      <c r="E1185" t="s">
        <v>381</v>
      </c>
      <c r="F1185">
        <v>2</v>
      </c>
      <c r="G1185" t="s">
        <v>498</v>
      </c>
      <c r="H1185" s="4">
        <v>1125282</v>
      </c>
      <c r="I1185" s="4">
        <v>1174666</v>
      </c>
      <c r="J1185" s="3">
        <v>0.04388588815959022</v>
      </c>
      <c r="K1185" s="3">
        <v>-0.042040886515826624</v>
      </c>
      <c r="L1185" t="s">
        <v>377</v>
      </c>
    </row>
    <row r="1186" spans="1:12" x14ac:dyDescent="0.25">
      <c r="A1186" t="s">
        <v>487</v>
      </c>
      <c r="B1186" t="s">
        <v>455</v>
      </c>
      <c r="C1186" t="s">
        <v>477</v>
      </c>
      <c r="D1186" t="s">
        <v>376</v>
      </c>
      <c r="E1186" t="s">
        <v>381</v>
      </c>
      <c r="F1186">
        <v>2</v>
      </c>
      <c r="G1186" t="s">
        <v>499</v>
      </c>
      <c r="H1186" s="4">
        <v>1125282</v>
      </c>
      <c r="I1186" s="4">
        <v>989301</v>
      </c>
      <c r="J1186" s="3">
        <v>0.12084170901160776</v>
      </c>
      <c r="K1186" s="3">
        <v>0.1374515946107403</v>
      </c>
      <c r="L1186" t="s">
        <v>377</v>
      </c>
    </row>
    <row r="1187" spans="1:12" x14ac:dyDescent="0.25">
      <c r="A1187" t="s">
        <v>487</v>
      </c>
      <c r="B1187" t="s">
        <v>455</v>
      </c>
      <c r="C1187" t="s">
        <v>477</v>
      </c>
      <c r="D1187" t="s">
        <v>376</v>
      </c>
      <c r="E1187" t="s">
        <v>383</v>
      </c>
      <c r="F1187">
        <v>3</v>
      </c>
      <c r="G1187" t="s">
        <v>488</v>
      </c>
      <c r="H1187" s="4">
        <v>781894</v>
      </c>
      <c r="I1187" s="4">
        <v>837000.7099490413</v>
      </c>
      <c r="J1187" s="3">
        <v>0.07047849190432623</v>
      </c>
      <c r="K1187" s="3">
        <v>-0.06583830729653299</v>
      </c>
      <c r="L1187" t="s">
        <v>377</v>
      </c>
    </row>
    <row r="1188" spans="1:12" x14ac:dyDescent="0.25">
      <c r="A1188" t="s">
        <v>487</v>
      </c>
      <c r="B1188" t="s">
        <v>455</v>
      </c>
      <c r="C1188" t="s">
        <v>477</v>
      </c>
      <c r="D1188" t="s">
        <v>376</v>
      </c>
      <c r="E1188" t="s">
        <v>383</v>
      </c>
      <c r="F1188">
        <v>3</v>
      </c>
      <c r="G1188" t="s">
        <v>498</v>
      </c>
      <c r="H1188" s="4">
        <v>781894</v>
      </c>
      <c r="I1188" s="4">
        <v>766916</v>
      </c>
      <c r="J1188" s="3">
        <v>0.019156049285453017</v>
      </c>
      <c r="K1188" s="3">
        <v>0.019530170188130122</v>
      </c>
      <c r="L1188" t="s">
        <v>377</v>
      </c>
    </row>
    <row r="1189" spans="1:12" x14ac:dyDescent="0.25">
      <c r="A1189" t="s">
        <v>487</v>
      </c>
      <c r="B1189" t="s">
        <v>455</v>
      </c>
      <c r="C1189" t="s">
        <v>477</v>
      </c>
      <c r="D1189" t="s">
        <v>376</v>
      </c>
      <c r="E1189" t="s">
        <v>383</v>
      </c>
      <c r="F1189">
        <v>3</v>
      </c>
      <c r="G1189" t="s">
        <v>499</v>
      </c>
      <c r="H1189" s="4">
        <v>781894</v>
      </c>
      <c r="I1189" s="4">
        <v>989301</v>
      </c>
      <c r="J1189" s="3">
        <v>0.2652622989817034</v>
      </c>
      <c r="K1189" s="3">
        <v>-0.20965004584044694</v>
      </c>
      <c r="L1189" t="s">
        <v>377</v>
      </c>
    </row>
    <row r="1190" spans="1:12" x14ac:dyDescent="0.25">
      <c r="A1190" t="s">
        <v>487</v>
      </c>
      <c r="B1190" t="s">
        <v>455</v>
      </c>
      <c r="C1190" t="s">
        <v>477</v>
      </c>
      <c r="D1190" t="s">
        <v>379</v>
      </c>
      <c r="E1190" t="s">
        <v>381</v>
      </c>
      <c r="F1190">
        <v>1</v>
      </c>
      <c r="G1190" t="s">
        <v>488</v>
      </c>
      <c r="H1190" s="4">
        <v>1125282</v>
      </c>
      <c r="I1190" s="4">
        <v>1257717.2347194373</v>
      </c>
      <c r="J1190" s="3">
        <v>0.11769070750215263</v>
      </c>
      <c r="K1190" s="3">
        <v>-0.1052980996551105</v>
      </c>
      <c r="L1190" t="s">
        <v>377</v>
      </c>
    </row>
    <row r="1191" spans="1:12" x14ac:dyDescent="0.25">
      <c r="A1191" t="s">
        <v>487</v>
      </c>
      <c r="B1191" t="s">
        <v>455</v>
      </c>
      <c r="C1191" t="s">
        <v>477</v>
      </c>
      <c r="D1191" t="s">
        <v>379</v>
      </c>
      <c r="E1191" t="s">
        <v>381</v>
      </c>
      <c r="F1191">
        <v>1</v>
      </c>
      <c r="G1191" t="s">
        <v>498</v>
      </c>
      <c r="H1191" s="4">
        <v>1125282</v>
      </c>
      <c r="I1191" s="4">
        <v>1174666</v>
      </c>
      <c r="J1191" s="3">
        <v>0.04388588815959022</v>
      </c>
      <c r="K1191" s="3">
        <v>-0.042040886515826624</v>
      </c>
      <c r="L1191" t="s">
        <v>377</v>
      </c>
    </row>
    <row r="1192" spans="1:12" x14ac:dyDescent="0.25">
      <c r="A1192" t="s">
        <v>487</v>
      </c>
      <c r="B1192" t="s">
        <v>455</v>
      </c>
      <c r="C1192" t="s">
        <v>477</v>
      </c>
      <c r="D1192" t="s">
        <v>379</v>
      </c>
      <c r="E1192" t="s">
        <v>381</v>
      </c>
      <c r="F1192">
        <v>1</v>
      </c>
      <c r="G1192" t="s">
        <v>499</v>
      </c>
      <c r="H1192" s="4">
        <v>1125282</v>
      </c>
      <c r="I1192" s="4">
        <v>630967</v>
      </c>
      <c r="J1192" s="3">
        <v>0.43928099800761056</v>
      </c>
      <c r="K1192" s="3">
        <v>0.7834244897118233</v>
      </c>
      <c r="L1192" t="s">
        <v>377</v>
      </c>
    </row>
    <row r="1193" spans="1:12" x14ac:dyDescent="0.25">
      <c r="A1193" t="s">
        <v>487</v>
      </c>
      <c r="B1193" t="s">
        <v>455</v>
      </c>
      <c r="C1193" t="s">
        <v>477</v>
      </c>
      <c r="D1193" t="s">
        <v>379</v>
      </c>
      <c r="E1193" t="s">
        <v>383</v>
      </c>
      <c r="F1193">
        <v>2</v>
      </c>
      <c r="G1193" t="s">
        <v>488</v>
      </c>
      <c r="H1193" s="4">
        <v>781894</v>
      </c>
      <c r="I1193" s="4">
        <v>821138.4945014941</v>
      </c>
      <c r="J1193" s="3">
        <v>0.05019157903947863</v>
      </c>
      <c r="K1193" s="3">
        <v>-0.04779278375606917</v>
      </c>
      <c r="L1193" t="s">
        <v>377</v>
      </c>
    </row>
    <row r="1194" spans="1:12" x14ac:dyDescent="0.25">
      <c r="A1194" t="s">
        <v>487</v>
      </c>
      <c r="B1194" t="s">
        <v>455</v>
      </c>
      <c r="C1194" t="s">
        <v>477</v>
      </c>
      <c r="D1194" t="s">
        <v>379</v>
      </c>
      <c r="E1194" t="s">
        <v>383</v>
      </c>
      <c r="F1194">
        <v>2</v>
      </c>
      <c r="G1194" t="s">
        <v>498</v>
      </c>
      <c r="H1194" s="4">
        <v>781894</v>
      </c>
      <c r="I1194" s="4">
        <v>766916</v>
      </c>
      <c r="J1194" s="3">
        <v>0.019156049285453017</v>
      </c>
      <c r="K1194" s="3">
        <v>0.019530170188130122</v>
      </c>
      <c r="L1194" t="s">
        <v>377</v>
      </c>
    </row>
    <row r="1195" spans="1:12" x14ac:dyDescent="0.25">
      <c r="A1195" t="s">
        <v>487</v>
      </c>
      <c r="B1195" t="s">
        <v>455</v>
      </c>
      <c r="C1195" t="s">
        <v>477</v>
      </c>
      <c r="D1195" t="s">
        <v>379</v>
      </c>
      <c r="E1195" t="s">
        <v>383</v>
      </c>
      <c r="F1195">
        <v>2</v>
      </c>
      <c r="G1195" t="s">
        <v>499</v>
      </c>
      <c r="H1195" s="4">
        <v>781894</v>
      </c>
      <c r="I1195" s="4">
        <v>630967</v>
      </c>
      <c r="J1195" s="3">
        <v>0.19302744361767707</v>
      </c>
      <c r="K1195" s="3">
        <v>0.239199514396157</v>
      </c>
      <c r="L1195" t="s">
        <v>377</v>
      </c>
    </row>
    <row r="1196" spans="1:12" x14ac:dyDescent="0.25">
      <c r="A1196" t="s">
        <v>487</v>
      </c>
      <c r="B1196" t="s">
        <v>455</v>
      </c>
      <c r="C1196" t="s">
        <v>477</v>
      </c>
      <c r="D1196" t="s">
        <v>379</v>
      </c>
      <c r="E1196" t="s">
        <v>385</v>
      </c>
      <c r="F1196">
        <v>3</v>
      </c>
      <c r="G1196" t="s">
        <v>488</v>
      </c>
      <c r="H1196" s="4">
        <v>900039</v>
      </c>
      <c r="I1196" s="4">
        <v>961061.0438770954</v>
      </c>
      <c r="J1196" s="3">
        <v>0.06779933300345369</v>
      </c>
      <c r="K1196" s="3">
        <v>-0.0634944515396456</v>
      </c>
      <c r="L1196" t="s">
        <v>377</v>
      </c>
    </row>
    <row r="1197" spans="1:12" x14ac:dyDescent="0.25">
      <c r="A1197" t="s">
        <v>487</v>
      </c>
      <c r="B1197" t="s">
        <v>455</v>
      </c>
      <c r="C1197" t="s">
        <v>477</v>
      </c>
      <c r="D1197" t="s">
        <v>379</v>
      </c>
      <c r="E1197" t="s">
        <v>385</v>
      </c>
      <c r="F1197">
        <v>3</v>
      </c>
      <c r="G1197" t="s">
        <v>498</v>
      </c>
      <c r="H1197" s="4">
        <v>900039</v>
      </c>
      <c r="I1197" s="4">
        <v>897599</v>
      </c>
      <c r="J1197" s="3">
        <v>0.0027109936347202734</v>
      </c>
      <c r="K1197" s="3">
        <v>0.002718363099780637</v>
      </c>
      <c r="L1197" t="s">
        <v>377</v>
      </c>
    </row>
    <row r="1198" spans="1:12" x14ac:dyDescent="0.25">
      <c r="A1198" t="s">
        <v>487</v>
      </c>
      <c r="B1198" t="s">
        <v>455</v>
      </c>
      <c r="C1198" t="s">
        <v>477</v>
      </c>
      <c r="D1198" t="s">
        <v>379</v>
      </c>
      <c r="E1198" t="s">
        <v>385</v>
      </c>
      <c r="F1198">
        <v>3</v>
      </c>
      <c r="G1198" t="s">
        <v>499</v>
      </c>
      <c r="H1198" s="4">
        <v>900039</v>
      </c>
      <c r="I1198" s="4">
        <v>630967</v>
      </c>
      <c r="J1198" s="3">
        <v>0.2989559341317432</v>
      </c>
      <c r="K1198" s="3">
        <v>0.42644385522539213</v>
      </c>
      <c r="L1198" t="s">
        <v>377</v>
      </c>
    </row>
    <row r="1199" spans="1:12" x14ac:dyDescent="0.25">
      <c r="A1199" t="s">
        <v>487</v>
      </c>
      <c r="B1199" t="s">
        <v>455</v>
      </c>
      <c r="C1199" t="s">
        <v>477</v>
      </c>
      <c r="D1199" t="s">
        <v>381</v>
      </c>
      <c r="E1199" t="s">
        <v>383</v>
      </c>
      <c r="F1199">
        <v>1</v>
      </c>
      <c r="G1199" t="s">
        <v>488</v>
      </c>
      <c r="H1199" s="4">
        <v>781894</v>
      </c>
      <c r="I1199" s="4">
        <v>814841.0426377914</v>
      </c>
      <c r="J1199" s="3">
        <v>0.04213747980901678</v>
      </c>
      <c r="K1199" s="3">
        <v>-0.04043370536557129</v>
      </c>
      <c r="L1199" t="s">
        <v>377</v>
      </c>
    </row>
    <row r="1200" spans="1:12" x14ac:dyDescent="0.25">
      <c r="A1200" t="s">
        <v>487</v>
      </c>
      <c r="B1200" t="s">
        <v>455</v>
      </c>
      <c r="C1200" t="s">
        <v>477</v>
      </c>
      <c r="D1200" t="s">
        <v>381</v>
      </c>
      <c r="E1200" t="s">
        <v>383</v>
      </c>
      <c r="F1200">
        <v>1</v>
      </c>
      <c r="G1200" t="s">
        <v>498</v>
      </c>
      <c r="H1200" s="4">
        <v>781894</v>
      </c>
      <c r="I1200" s="4">
        <v>766916</v>
      </c>
      <c r="J1200" s="3">
        <v>0.019156049285453017</v>
      </c>
      <c r="K1200" s="3">
        <v>0.019530170188130122</v>
      </c>
      <c r="L1200" t="s">
        <v>377</v>
      </c>
    </row>
    <row r="1201" spans="1:12" x14ac:dyDescent="0.25">
      <c r="A1201" t="s">
        <v>487</v>
      </c>
      <c r="B1201" t="s">
        <v>455</v>
      </c>
      <c r="C1201" t="s">
        <v>477</v>
      </c>
      <c r="D1201" t="s">
        <v>381</v>
      </c>
      <c r="E1201" t="s">
        <v>383</v>
      </c>
      <c r="F1201">
        <v>1</v>
      </c>
      <c r="G1201" t="s">
        <v>499</v>
      </c>
      <c r="H1201" s="4">
        <v>781894</v>
      </c>
      <c r="I1201" s="4">
        <v>1125282</v>
      </c>
      <c r="J1201" s="3">
        <v>0.4391746195775898</v>
      </c>
      <c r="K1201" s="3">
        <v>-0.30515728501833317</v>
      </c>
      <c r="L1201" t="s">
        <v>377</v>
      </c>
    </row>
    <row r="1202" spans="1:12" x14ac:dyDescent="0.25">
      <c r="A1202" t="s">
        <v>487</v>
      </c>
      <c r="B1202" t="s">
        <v>455</v>
      </c>
      <c r="C1202" t="s">
        <v>477</v>
      </c>
      <c r="D1202" t="s">
        <v>381</v>
      </c>
      <c r="E1202" t="s">
        <v>385</v>
      </c>
      <c r="F1202">
        <v>2</v>
      </c>
      <c r="G1202" t="s">
        <v>488</v>
      </c>
      <c r="H1202" s="4">
        <v>900039</v>
      </c>
      <c r="I1202" s="4">
        <v>953690.5019984442</v>
      </c>
      <c r="J1202" s="3">
        <v>0.059610196889739446</v>
      </c>
      <c r="K1202" s="3">
        <v>-0.05625672258035315</v>
      </c>
      <c r="L1202" t="s">
        <v>377</v>
      </c>
    </row>
    <row r="1203" spans="1:12" x14ac:dyDescent="0.25">
      <c r="A1203" t="s">
        <v>487</v>
      </c>
      <c r="B1203" t="s">
        <v>455</v>
      </c>
      <c r="C1203" t="s">
        <v>477</v>
      </c>
      <c r="D1203" t="s">
        <v>381</v>
      </c>
      <c r="E1203" t="s">
        <v>385</v>
      </c>
      <c r="F1203">
        <v>2</v>
      </c>
      <c r="G1203" t="s">
        <v>498</v>
      </c>
      <c r="H1203" s="4">
        <v>900039</v>
      </c>
      <c r="I1203" s="4">
        <v>897599</v>
      </c>
      <c r="J1203" s="3">
        <v>0.0027109936347202734</v>
      </c>
      <c r="K1203" s="3">
        <v>0.002718363099780637</v>
      </c>
      <c r="L1203" t="s">
        <v>377</v>
      </c>
    </row>
    <row r="1204" spans="1:12" x14ac:dyDescent="0.25">
      <c r="A1204" t="s">
        <v>487</v>
      </c>
      <c r="B1204" t="s">
        <v>455</v>
      </c>
      <c r="C1204" t="s">
        <v>477</v>
      </c>
      <c r="D1204" t="s">
        <v>381</v>
      </c>
      <c r="E1204" t="s">
        <v>385</v>
      </c>
      <c r="F1204">
        <v>2</v>
      </c>
      <c r="G1204" t="s">
        <v>499</v>
      </c>
      <c r="H1204" s="4">
        <v>900039</v>
      </c>
      <c r="I1204" s="4">
        <v>1125282</v>
      </c>
      <c r="J1204" s="3">
        <v>0.25025915543659777</v>
      </c>
      <c r="K1204" s="3">
        <v>-0.20016582509984163</v>
      </c>
      <c r="L1204" t="s">
        <v>377</v>
      </c>
    </row>
    <row r="1205" spans="1:12" x14ac:dyDescent="0.25">
      <c r="A1205" t="s">
        <v>487</v>
      </c>
      <c r="B1205" t="s">
        <v>455</v>
      </c>
      <c r="C1205" t="s">
        <v>477</v>
      </c>
      <c r="D1205" t="s">
        <v>381</v>
      </c>
      <c r="E1205" t="s">
        <v>387</v>
      </c>
      <c r="F1205">
        <v>3</v>
      </c>
      <c r="G1205" t="s">
        <v>488</v>
      </c>
      <c r="H1205" s="4">
        <v>970512</v>
      </c>
      <c r="I1205" s="4">
        <v>1431512.7131063424</v>
      </c>
      <c r="J1205" s="3">
        <v>0.4750077413842821</v>
      </c>
      <c r="K1205" s="3">
        <v>-0.3220374565210698</v>
      </c>
      <c r="L1205" t="s">
        <v>377</v>
      </c>
    </row>
    <row r="1206" spans="1:12" x14ac:dyDescent="0.25">
      <c r="A1206" t="s">
        <v>487</v>
      </c>
      <c r="B1206" t="s">
        <v>455</v>
      </c>
      <c r="C1206" t="s">
        <v>477</v>
      </c>
      <c r="D1206" t="s">
        <v>381</v>
      </c>
      <c r="E1206" t="s">
        <v>387</v>
      </c>
      <c r="F1206">
        <v>3</v>
      </c>
      <c r="G1206" t="s">
        <v>498</v>
      </c>
      <c r="H1206" s="4">
        <v>970512</v>
      </c>
      <c r="I1206" s="4">
        <v>1347318</v>
      </c>
      <c r="J1206" s="3">
        <v>0.3882548592907661</v>
      </c>
      <c r="K1206" s="3">
        <v>-0.2796711689445254</v>
      </c>
      <c r="L1206" t="s">
        <v>377</v>
      </c>
    </row>
    <row r="1207" spans="1:12" x14ac:dyDescent="0.25">
      <c r="A1207" t="s">
        <v>487</v>
      </c>
      <c r="B1207" t="s">
        <v>455</v>
      </c>
      <c r="C1207" t="s">
        <v>477</v>
      </c>
      <c r="D1207" t="s">
        <v>381</v>
      </c>
      <c r="E1207" t="s">
        <v>387</v>
      </c>
      <c r="F1207">
        <v>3</v>
      </c>
      <c r="G1207" t="s">
        <v>499</v>
      </c>
      <c r="H1207" s="4">
        <v>970512</v>
      </c>
      <c r="I1207" s="4">
        <v>1125282</v>
      </c>
      <c r="J1207" s="3">
        <v>0.15947252584202978</v>
      </c>
      <c r="K1207" s="3">
        <v>-0.13753885692653042</v>
      </c>
      <c r="L1207" t="s">
        <v>377</v>
      </c>
    </row>
    <row r="1208" spans="1:12" x14ac:dyDescent="0.25">
      <c r="A1208" t="s">
        <v>487</v>
      </c>
      <c r="B1208" t="s">
        <v>455</v>
      </c>
      <c r="C1208" t="s">
        <v>477</v>
      </c>
      <c r="D1208" t="s">
        <v>383</v>
      </c>
      <c r="E1208" t="s">
        <v>385</v>
      </c>
      <c r="F1208">
        <v>1</v>
      </c>
      <c r="G1208" t="s">
        <v>488</v>
      </c>
      <c r="H1208" s="4">
        <v>900039</v>
      </c>
      <c r="I1208" s="4">
        <v>960486.5933833069</v>
      </c>
      <c r="J1208" s="3">
        <v>0.06716108233455091</v>
      </c>
      <c r="K1208" s="3">
        <v>-0.06293434369591841</v>
      </c>
      <c r="L1208" t="s">
        <v>377</v>
      </c>
    </row>
    <row r="1209" spans="1:12" x14ac:dyDescent="0.25">
      <c r="A1209" t="s">
        <v>487</v>
      </c>
      <c r="B1209" t="s">
        <v>455</v>
      </c>
      <c r="C1209" t="s">
        <v>477</v>
      </c>
      <c r="D1209" t="s">
        <v>383</v>
      </c>
      <c r="E1209" t="s">
        <v>385</v>
      </c>
      <c r="F1209">
        <v>1</v>
      </c>
      <c r="G1209" t="s">
        <v>498</v>
      </c>
      <c r="H1209" s="4">
        <v>900039</v>
      </c>
      <c r="I1209" s="4">
        <v>897599</v>
      </c>
      <c r="J1209" s="3">
        <v>0.0027109936347202734</v>
      </c>
      <c r="K1209" s="3">
        <v>0.002718363099780637</v>
      </c>
      <c r="L1209" t="s">
        <v>377</v>
      </c>
    </row>
    <row r="1210" spans="1:12" x14ac:dyDescent="0.25">
      <c r="A1210" t="s">
        <v>487</v>
      </c>
      <c r="B1210" t="s">
        <v>455</v>
      </c>
      <c r="C1210" t="s">
        <v>477</v>
      </c>
      <c r="D1210" t="s">
        <v>383</v>
      </c>
      <c r="E1210" t="s">
        <v>385</v>
      </c>
      <c r="F1210">
        <v>1</v>
      </c>
      <c r="G1210" t="s">
        <v>499</v>
      </c>
      <c r="H1210" s="4">
        <v>900039</v>
      </c>
      <c r="I1210" s="4">
        <v>781894</v>
      </c>
      <c r="J1210" s="3">
        <v>0.13126653400574864</v>
      </c>
      <c r="K1210" s="3">
        <v>0.15110104438709082</v>
      </c>
      <c r="L1210" t="s">
        <v>377</v>
      </c>
    </row>
    <row r="1211" spans="1:12" x14ac:dyDescent="0.25">
      <c r="A1211" t="s">
        <v>487</v>
      </c>
      <c r="B1211" t="s">
        <v>455</v>
      </c>
      <c r="C1211" t="s">
        <v>477</v>
      </c>
      <c r="D1211" t="s">
        <v>383</v>
      </c>
      <c r="E1211" t="s">
        <v>387</v>
      </c>
      <c r="F1211">
        <v>2</v>
      </c>
      <c r="G1211" t="s">
        <v>488</v>
      </c>
      <c r="H1211" s="4">
        <v>970512</v>
      </c>
      <c r="I1211" s="4">
        <v>1441713.8120965045</v>
      </c>
      <c r="J1211" s="3">
        <v>0.48551879018137284</v>
      </c>
      <c r="K1211" s="3">
        <v>-0.32683449942904724</v>
      </c>
      <c r="L1211" t="s">
        <v>377</v>
      </c>
    </row>
    <row r="1212" spans="1:12" x14ac:dyDescent="0.25">
      <c r="A1212" t="s">
        <v>487</v>
      </c>
      <c r="B1212" t="s">
        <v>455</v>
      </c>
      <c r="C1212" t="s">
        <v>477</v>
      </c>
      <c r="D1212" t="s">
        <v>383</v>
      </c>
      <c r="E1212" t="s">
        <v>387</v>
      </c>
      <c r="F1212">
        <v>2</v>
      </c>
      <c r="G1212" t="s">
        <v>498</v>
      </c>
      <c r="H1212" s="4">
        <v>970512</v>
      </c>
      <c r="I1212" s="4">
        <v>1347318</v>
      </c>
      <c r="J1212" s="3">
        <v>0.3882548592907661</v>
      </c>
      <c r="K1212" s="3">
        <v>-0.2796711689445254</v>
      </c>
      <c r="L1212" t="s">
        <v>377</v>
      </c>
    </row>
    <row r="1213" spans="1:12" x14ac:dyDescent="0.25">
      <c r="A1213" t="s">
        <v>487</v>
      </c>
      <c r="B1213" t="s">
        <v>455</v>
      </c>
      <c r="C1213" t="s">
        <v>477</v>
      </c>
      <c r="D1213" t="s">
        <v>383</v>
      </c>
      <c r="E1213" t="s">
        <v>387</v>
      </c>
      <c r="F1213">
        <v>2</v>
      </c>
      <c r="G1213" t="s">
        <v>499</v>
      </c>
      <c r="H1213" s="4">
        <v>970512</v>
      </c>
      <c r="I1213" s="4">
        <v>781894</v>
      </c>
      <c r="J1213" s="3">
        <v>0.19434896219727318</v>
      </c>
      <c r="K1213" s="3">
        <v>0.24123218748321384</v>
      </c>
      <c r="L1213" t="s">
        <v>377</v>
      </c>
    </row>
    <row r="1214" spans="1:12" x14ac:dyDescent="0.25">
      <c r="A1214" t="s">
        <v>487</v>
      </c>
      <c r="B1214" t="s">
        <v>455</v>
      </c>
      <c r="C1214" t="s">
        <v>477</v>
      </c>
      <c r="D1214" t="s">
        <v>383</v>
      </c>
      <c r="E1214" t="s">
        <v>389</v>
      </c>
      <c r="F1214">
        <v>3</v>
      </c>
      <c r="G1214" t="s">
        <v>488</v>
      </c>
      <c r="H1214" s="4">
        <v>1136023</v>
      </c>
      <c r="I1214" s="4">
        <v>1471151.2180918038</v>
      </c>
      <c r="J1214" s="3">
        <v>0.2950012614989343</v>
      </c>
      <c r="K1214" s="3">
        <v>-0.22779998002278168</v>
      </c>
      <c r="L1214" t="s">
        <v>377</v>
      </c>
    </row>
    <row r="1215" spans="1:12" x14ac:dyDescent="0.25">
      <c r="A1215" t="s">
        <v>487</v>
      </c>
      <c r="B1215" t="s">
        <v>455</v>
      </c>
      <c r="C1215" t="s">
        <v>477</v>
      </c>
      <c r="D1215" t="s">
        <v>383</v>
      </c>
      <c r="E1215" t="s">
        <v>389</v>
      </c>
      <c r="F1215">
        <v>3</v>
      </c>
      <c r="G1215" t="s">
        <v>498</v>
      </c>
      <c r="H1215" s="4">
        <v>1136023</v>
      </c>
      <c r="I1215" s="4">
        <v>1374828</v>
      </c>
      <c r="J1215" s="3">
        <v>0.21021141297315282</v>
      </c>
      <c r="K1215" s="3">
        <v>-0.17369809168856032</v>
      </c>
      <c r="L1215" t="s">
        <v>377</v>
      </c>
    </row>
    <row r="1216" spans="1:12" x14ac:dyDescent="0.25">
      <c r="A1216" t="s">
        <v>487</v>
      </c>
      <c r="B1216" t="s">
        <v>455</v>
      </c>
      <c r="C1216" t="s">
        <v>477</v>
      </c>
      <c r="D1216" t="s">
        <v>383</v>
      </c>
      <c r="E1216" t="s">
        <v>389</v>
      </c>
      <c r="F1216">
        <v>3</v>
      </c>
      <c r="G1216" t="s">
        <v>499</v>
      </c>
      <c r="H1216" s="4">
        <v>1136023</v>
      </c>
      <c r="I1216" s="4">
        <v>781894</v>
      </c>
      <c r="J1216" s="3">
        <v>0.31172696327451116</v>
      </c>
      <c r="K1216" s="3">
        <v>0.4529117757650014</v>
      </c>
      <c r="L1216" t="s">
        <v>377</v>
      </c>
    </row>
    <row r="1217" spans="1:12" x14ac:dyDescent="0.25">
      <c r="A1217" t="s">
        <v>487</v>
      </c>
      <c r="B1217" t="s">
        <v>455</v>
      </c>
      <c r="C1217" t="s">
        <v>477</v>
      </c>
      <c r="D1217" t="s">
        <v>385</v>
      </c>
      <c r="E1217" t="s">
        <v>387</v>
      </c>
      <c r="F1217">
        <v>1</v>
      </c>
      <c r="G1217" t="s">
        <v>488</v>
      </c>
      <c r="H1217" s="4">
        <v>970512</v>
      </c>
      <c r="I1217" s="4">
        <v>1444673.8320183693</v>
      </c>
      <c r="J1217" s="3">
        <v>0.48856874723689075</v>
      </c>
      <c r="K1217" s="3">
        <v>-0.3282137611338282</v>
      </c>
      <c r="L1217" t="s">
        <v>377</v>
      </c>
    </row>
    <row r="1218" spans="1:12" x14ac:dyDescent="0.25">
      <c r="A1218" t="s">
        <v>487</v>
      </c>
      <c r="B1218" t="s">
        <v>455</v>
      </c>
      <c r="C1218" t="s">
        <v>477</v>
      </c>
      <c r="D1218" t="s">
        <v>385</v>
      </c>
      <c r="E1218" t="s">
        <v>387</v>
      </c>
      <c r="F1218">
        <v>1</v>
      </c>
      <c r="G1218" t="s">
        <v>498</v>
      </c>
      <c r="H1218" s="4">
        <v>970512</v>
      </c>
      <c r="I1218" s="4">
        <v>1347318</v>
      </c>
      <c r="J1218" s="3">
        <v>0.3882548592907661</v>
      </c>
      <c r="K1218" s="3">
        <v>-0.2796711689445254</v>
      </c>
      <c r="L1218" t="s">
        <v>377</v>
      </c>
    </row>
    <row r="1219" spans="1:12" x14ac:dyDescent="0.25">
      <c r="A1219" t="s">
        <v>487</v>
      </c>
      <c r="B1219" t="s">
        <v>455</v>
      </c>
      <c r="C1219" t="s">
        <v>477</v>
      </c>
      <c r="D1219" t="s">
        <v>385</v>
      </c>
      <c r="E1219" t="s">
        <v>387</v>
      </c>
      <c r="F1219">
        <v>1</v>
      </c>
      <c r="G1219" t="s">
        <v>499</v>
      </c>
      <c r="H1219" s="4">
        <v>970512</v>
      </c>
      <c r="I1219" s="4">
        <v>900039</v>
      </c>
      <c r="J1219" s="3">
        <v>0.07261424897373757</v>
      </c>
      <c r="K1219" s="3">
        <v>0.07829994033591878</v>
      </c>
      <c r="L1219" t="s">
        <v>377</v>
      </c>
    </row>
    <row r="1220" spans="1:12" x14ac:dyDescent="0.25">
      <c r="A1220" t="s">
        <v>487</v>
      </c>
      <c r="B1220" t="s">
        <v>455</v>
      </c>
      <c r="C1220" t="s">
        <v>477</v>
      </c>
      <c r="D1220" t="s">
        <v>385</v>
      </c>
      <c r="E1220" t="s">
        <v>389</v>
      </c>
      <c r="F1220">
        <v>2</v>
      </c>
      <c r="G1220" t="s">
        <v>488</v>
      </c>
      <c r="H1220" s="4">
        <v>1136023</v>
      </c>
      <c r="I1220" s="4">
        <v>1474171.6767134045</v>
      </c>
      <c r="J1220" s="3">
        <v>0.29766006208800744</v>
      </c>
      <c r="K1220" s="3">
        <v>-0.2293821554537602</v>
      </c>
      <c r="L1220" t="s">
        <v>377</v>
      </c>
    </row>
    <row r="1221" spans="1:12" x14ac:dyDescent="0.25">
      <c r="A1221" t="s">
        <v>487</v>
      </c>
      <c r="B1221" t="s">
        <v>455</v>
      </c>
      <c r="C1221" t="s">
        <v>477</v>
      </c>
      <c r="D1221" t="s">
        <v>385</v>
      </c>
      <c r="E1221" t="s">
        <v>389</v>
      </c>
      <c r="F1221">
        <v>2</v>
      </c>
      <c r="G1221" t="s">
        <v>498</v>
      </c>
      <c r="H1221" s="4">
        <v>1136023</v>
      </c>
      <c r="I1221" s="4">
        <v>1374828</v>
      </c>
      <c r="J1221" s="3">
        <v>0.21021141297315282</v>
      </c>
      <c r="K1221" s="3">
        <v>-0.17369809168856032</v>
      </c>
      <c r="L1221" t="s">
        <v>377</v>
      </c>
    </row>
    <row r="1222" spans="1:12" x14ac:dyDescent="0.25">
      <c r="A1222" t="s">
        <v>487</v>
      </c>
      <c r="B1222" t="s">
        <v>455</v>
      </c>
      <c r="C1222" t="s">
        <v>477</v>
      </c>
      <c r="D1222" t="s">
        <v>385</v>
      </c>
      <c r="E1222" t="s">
        <v>389</v>
      </c>
      <c r="F1222">
        <v>2</v>
      </c>
      <c r="G1222" t="s">
        <v>499</v>
      </c>
      <c r="H1222" s="4">
        <v>1136023</v>
      </c>
      <c r="I1222" s="4">
        <v>900039</v>
      </c>
      <c r="J1222" s="3">
        <v>0.20772818860181527</v>
      </c>
      <c r="K1222" s="3">
        <v>0.2621930827441922</v>
      </c>
      <c r="L1222" t="s">
        <v>377</v>
      </c>
    </row>
    <row r="1223" spans="1:12" x14ac:dyDescent="0.25">
      <c r="A1223" t="s">
        <v>487</v>
      </c>
      <c r="B1223" t="s">
        <v>455</v>
      </c>
      <c r="C1223" t="s">
        <v>477</v>
      </c>
      <c r="D1223" t="s">
        <v>385</v>
      </c>
      <c r="E1223" t="s">
        <v>391</v>
      </c>
      <c r="F1223">
        <v>3</v>
      </c>
      <c r="G1223" t="s">
        <v>488</v>
      </c>
      <c r="H1223" s="4">
        <v>1093231</v>
      </c>
      <c r="I1223" s="4">
        <v>979462.4762483718</v>
      </c>
      <c r="J1223" s="3">
        <v>0.10406631695554575</v>
      </c>
      <c r="K1223" s="3">
        <v>0.1161540401092189</v>
      </c>
      <c r="L1223" t="s">
        <v>377</v>
      </c>
    </row>
    <row r="1224" spans="1:12" x14ac:dyDescent="0.25">
      <c r="A1224" t="s">
        <v>487</v>
      </c>
      <c r="B1224" t="s">
        <v>455</v>
      </c>
      <c r="C1224" t="s">
        <v>477</v>
      </c>
      <c r="D1224" t="s">
        <v>385</v>
      </c>
      <c r="E1224" t="s">
        <v>391</v>
      </c>
      <c r="F1224">
        <v>3</v>
      </c>
      <c r="G1224" t="s">
        <v>498</v>
      </c>
      <c r="H1224" s="4">
        <v>1093231</v>
      </c>
      <c r="I1224" s="4">
        <v>913457</v>
      </c>
      <c r="J1224" s="3">
        <v>0.16444283047224237</v>
      </c>
      <c r="K1224" s="3">
        <v>0.19680619886869333</v>
      </c>
      <c r="L1224" t="s">
        <v>377</v>
      </c>
    </row>
    <row r="1225" spans="1:12" x14ac:dyDescent="0.25">
      <c r="A1225" t="s">
        <v>487</v>
      </c>
      <c r="B1225" t="s">
        <v>455</v>
      </c>
      <c r="C1225" t="s">
        <v>477</v>
      </c>
      <c r="D1225" t="s">
        <v>385</v>
      </c>
      <c r="E1225" t="s">
        <v>391</v>
      </c>
      <c r="F1225">
        <v>3</v>
      </c>
      <c r="G1225" t="s">
        <v>499</v>
      </c>
      <c r="H1225" s="4">
        <v>1093231</v>
      </c>
      <c r="I1225" s="4">
        <v>900039</v>
      </c>
      <c r="J1225" s="3">
        <v>0.17671654023715025</v>
      </c>
      <c r="K1225" s="3">
        <v>0.21464847634380288</v>
      </c>
      <c r="L1225" t="s">
        <v>377</v>
      </c>
    </row>
    <row r="1226" spans="1:12" x14ac:dyDescent="0.25">
      <c r="A1226" t="s">
        <v>487</v>
      </c>
      <c r="B1226" t="s">
        <v>455</v>
      </c>
      <c r="C1226" t="s">
        <v>477</v>
      </c>
      <c r="D1226" t="s">
        <v>387</v>
      </c>
      <c r="E1226" t="s">
        <v>389</v>
      </c>
      <c r="F1226">
        <v>1</v>
      </c>
      <c r="G1226" t="s">
        <v>488</v>
      </c>
      <c r="H1226" s="4">
        <v>1136023</v>
      </c>
      <c r="I1226" s="4">
        <v>1440242.707888297</v>
      </c>
      <c r="J1226" s="3">
        <v>0.26779361675626023</v>
      </c>
      <c r="K1226" s="3">
        <v>-0.21122808414308725</v>
      </c>
      <c r="L1226" t="s">
        <v>377</v>
      </c>
    </row>
    <row r="1227" spans="1:12" x14ac:dyDescent="0.25">
      <c r="A1227" t="s">
        <v>487</v>
      </c>
      <c r="B1227" t="s">
        <v>455</v>
      </c>
      <c r="C1227" t="s">
        <v>477</v>
      </c>
      <c r="D1227" t="s">
        <v>387</v>
      </c>
      <c r="E1227" t="s">
        <v>389</v>
      </c>
      <c r="F1227">
        <v>1</v>
      </c>
      <c r="G1227" t="s">
        <v>498</v>
      </c>
      <c r="H1227" s="4">
        <v>1136023</v>
      </c>
      <c r="I1227" s="4">
        <v>1374828</v>
      </c>
      <c r="J1227" s="3">
        <v>0.21021141297315282</v>
      </c>
      <c r="K1227" s="3">
        <v>-0.17369809168856032</v>
      </c>
      <c r="L1227" t="s">
        <v>377</v>
      </c>
    </row>
    <row r="1228" spans="1:12" x14ac:dyDescent="0.25">
      <c r="A1228" t="s">
        <v>487</v>
      </c>
      <c r="B1228" t="s">
        <v>455</v>
      </c>
      <c r="C1228" t="s">
        <v>477</v>
      </c>
      <c r="D1228" t="s">
        <v>387</v>
      </c>
      <c r="E1228" t="s">
        <v>389</v>
      </c>
      <c r="F1228">
        <v>1</v>
      </c>
      <c r="G1228" t="s">
        <v>499</v>
      </c>
      <c r="H1228" s="4">
        <v>1136023</v>
      </c>
      <c r="I1228" s="4">
        <v>970512</v>
      </c>
      <c r="J1228" s="3">
        <v>0.14569335303950712</v>
      </c>
      <c r="K1228" s="3">
        <v>0.17053987998087608</v>
      </c>
      <c r="L1228" t="s">
        <v>377</v>
      </c>
    </row>
    <row r="1229" spans="1:12" x14ac:dyDescent="0.25">
      <c r="A1229" t="s">
        <v>487</v>
      </c>
      <c r="B1229" t="s">
        <v>455</v>
      </c>
      <c r="C1229" t="s">
        <v>477</v>
      </c>
      <c r="D1229" t="s">
        <v>387</v>
      </c>
      <c r="E1229" t="s">
        <v>391</v>
      </c>
      <c r="F1229">
        <v>2</v>
      </c>
      <c r="G1229" t="s">
        <v>488</v>
      </c>
      <c r="H1229" s="4">
        <v>1093231</v>
      </c>
      <c r="I1229" s="4">
        <v>956919.5442771896</v>
      </c>
      <c r="J1229" s="3">
        <v>0.12468678232030592</v>
      </c>
      <c r="K1229" s="3">
        <v>0.1424481886047937</v>
      </c>
      <c r="L1229" t="s">
        <v>377</v>
      </c>
    </row>
    <row r="1230" spans="1:12" x14ac:dyDescent="0.25">
      <c r="A1230" t="s">
        <v>487</v>
      </c>
      <c r="B1230" t="s">
        <v>455</v>
      </c>
      <c r="C1230" t="s">
        <v>477</v>
      </c>
      <c r="D1230" t="s">
        <v>387</v>
      </c>
      <c r="E1230" t="s">
        <v>391</v>
      </c>
      <c r="F1230">
        <v>2</v>
      </c>
      <c r="G1230" t="s">
        <v>498</v>
      </c>
      <c r="H1230" s="4">
        <v>1093231</v>
      </c>
      <c r="I1230" s="4">
        <v>913457</v>
      </c>
      <c r="J1230" s="3">
        <v>0.16444283047224237</v>
      </c>
      <c r="K1230" s="3">
        <v>0.19680619886869333</v>
      </c>
      <c r="L1230" t="s">
        <v>377</v>
      </c>
    </row>
    <row r="1231" spans="1:12" x14ac:dyDescent="0.25">
      <c r="A1231" t="s">
        <v>487</v>
      </c>
      <c r="B1231" t="s">
        <v>455</v>
      </c>
      <c r="C1231" t="s">
        <v>477</v>
      </c>
      <c r="D1231" t="s">
        <v>387</v>
      </c>
      <c r="E1231" t="s">
        <v>391</v>
      </c>
      <c r="F1231">
        <v>2</v>
      </c>
      <c r="G1231" t="s">
        <v>499</v>
      </c>
      <c r="H1231" s="4">
        <v>1093231</v>
      </c>
      <c r="I1231" s="4">
        <v>970512</v>
      </c>
      <c r="J1231" s="3">
        <v>0.11225349445817032</v>
      </c>
      <c r="K1231" s="3">
        <v>0.126447689467003</v>
      </c>
      <c r="L1231" t="s">
        <v>377</v>
      </c>
    </row>
    <row r="1232" spans="1:12" x14ac:dyDescent="0.25">
      <c r="A1232" t="s">
        <v>487</v>
      </c>
      <c r="B1232" t="s">
        <v>455</v>
      </c>
      <c r="C1232" t="s">
        <v>477</v>
      </c>
      <c r="D1232" t="s">
        <v>387</v>
      </c>
      <c r="E1232" t="s">
        <v>393</v>
      </c>
      <c r="F1232">
        <v>3</v>
      </c>
      <c r="G1232" t="s">
        <v>488</v>
      </c>
      <c r="H1232" s="4">
        <v>1736243</v>
      </c>
      <c r="I1232" s="4">
        <v>1417130.9916434784</v>
      </c>
      <c r="J1232" s="3">
        <v>0.1837945543086547</v>
      </c>
      <c r="K1232" s="3">
        <v>0.22518173001526154</v>
      </c>
      <c r="L1232" t="s">
        <v>377</v>
      </c>
    </row>
    <row r="1233" spans="1:12" x14ac:dyDescent="0.25">
      <c r="A1233" t="s">
        <v>487</v>
      </c>
      <c r="B1233" t="s">
        <v>455</v>
      </c>
      <c r="C1233" t="s">
        <v>477</v>
      </c>
      <c r="D1233" t="s">
        <v>387</v>
      </c>
      <c r="E1233" t="s">
        <v>393</v>
      </c>
      <c r="F1233">
        <v>3</v>
      </c>
      <c r="G1233" t="s">
        <v>498</v>
      </c>
      <c r="H1233" s="4">
        <v>1736243</v>
      </c>
      <c r="I1233" s="4">
        <v>1352766</v>
      </c>
      <c r="J1233" s="3">
        <v>0.22086597325374385</v>
      </c>
      <c r="K1233" s="3">
        <v>0.28347622574783815</v>
      </c>
      <c r="L1233" t="s">
        <v>377</v>
      </c>
    </row>
    <row r="1234" spans="1:12" x14ac:dyDescent="0.25">
      <c r="A1234" t="s">
        <v>487</v>
      </c>
      <c r="B1234" t="s">
        <v>455</v>
      </c>
      <c r="C1234" t="s">
        <v>477</v>
      </c>
      <c r="D1234" t="s">
        <v>387</v>
      </c>
      <c r="E1234" t="s">
        <v>393</v>
      </c>
      <c r="F1234">
        <v>3</v>
      </c>
      <c r="G1234" t="s">
        <v>499</v>
      </c>
      <c r="H1234" s="4">
        <v>1736243</v>
      </c>
      <c r="I1234" s="4">
        <v>970512</v>
      </c>
      <c r="J1234" s="3">
        <v>0.44102755201892824</v>
      </c>
      <c r="K1234" s="3">
        <v>0.7889969418203999</v>
      </c>
      <c r="L1234" t="s">
        <v>377</v>
      </c>
    </row>
    <row r="1235" spans="1:12" x14ac:dyDescent="0.25">
      <c r="A1235" t="s">
        <v>487</v>
      </c>
      <c r="B1235" t="s">
        <v>455</v>
      </c>
      <c r="C1235" t="s">
        <v>477</v>
      </c>
      <c r="D1235" t="s">
        <v>389</v>
      </c>
      <c r="E1235" t="s">
        <v>391</v>
      </c>
      <c r="F1235">
        <v>1</v>
      </c>
      <c r="G1235" t="s">
        <v>488</v>
      </c>
      <c r="H1235" s="4">
        <v>1093231</v>
      </c>
      <c r="I1235" s="4">
        <v>972792.7386128292</v>
      </c>
      <c r="J1235" s="3">
        <v>0.11016725777733229</v>
      </c>
      <c r="K1235" s="3">
        <v>0.12380670270926548</v>
      </c>
      <c r="L1235" t="s">
        <v>377</v>
      </c>
    </row>
    <row r="1236" spans="1:12" x14ac:dyDescent="0.25">
      <c r="A1236" t="s">
        <v>487</v>
      </c>
      <c r="B1236" t="s">
        <v>455</v>
      </c>
      <c r="C1236" t="s">
        <v>477</v>
      </c>
      <c r="D1236" t="s">
        <v>389</v>
      </c>
      <c r="E1236" t="s">
        <v>391</v>
      </c>
      <c r="F1236">
        <v>1</v>
      </c>
      <c r="G1236" t="s">
        <v>498</v>
      </c>
      <c r="H1236" s="4">
        <v>1093231</v>
      </c>
      <c r="I1236" s="4">
        <v>913457</v>
      </c>
      <c r="J1236" s="3">
        <v>0.16444283047224237</v>
      </c>
      <c r="K1236" s="3">
        <v>0.19680619886869333</v>
      </c>
      <c r="L1236" t="s">
        <v>377</v>
      </c>
    </row>
    <row r="1237" spans="1:12" x14ac:dyDescent="0.25">
      <c r="A1237" t="s">
        <v>487</v>
      </c>
      <c r="B1237" t="s">
        <v>455</v>
      </c>
      <c r="C1237" t="s">
        <v>477</v>
      </c>
      <c r="D1237" t="s">
        <v>389</v>
      </c>
      <c r="E1237" t="s">
        <v>391</v>
      </c>
      <c r="F1237">
        <v>1</v>
      </c>
      <c r="G1237" t="s">
        <v>499</v>
      </c>
      <c r="H1237" s="4">
        <v>1093231</v>
      </c>
      <c r="I1237" s="4">
        <v>1136023</v>
      </c>
      <c r="J1237" s="3">
        <v>0.03914268805037545</v>
      </c>
      <c r="K1237" s="3">
        <v>-0.03766825143505017</v>
      </c>
      <c r="L1237" t="s">
        <v>377</v>
      </c>
    </row>
    <row r="1238" spans="1:12" x14ac:dyDescent="0.25">
      <c r="A1238" t="s">
        <v>487</v>
      </c>
      <c r="B1238" t="s">
        <v>455</v>
      </c>
      <c r="C1238" t="s">
        <v>477</v>
      </c>
      <c r="D1238" t="s">
        <v>389</v>
      </c>
      <c r="E1238" t="s">
        <v>393</v>
      </c>
      <c r="F1238">
        <v>2</v>
      </c>
      <c r="G1238" t="s">
        <v>488</v>
      </c>
      <c r="H1238" s="4">
        <v>1736243</v>
      </c>
      <c r="I1238" s="4">
        <v>1440638.0835029155</v>
      </c>
      <c r="J1238" s="3">
        <v>0.17025549793265374</v>
      </c>
      <c r="K1238" s="3">
        <v>0.20519026942444862</v>
      </c>
      <c r="L1238" t="s">
        <v>377</v>
      </c>
    </row>
    <row r="1239" spans="1:12" x14ac:dyDescent="0.25">
      <c r="A1239" t="s">
        <v>487</v>
      </c>
      <c r="B1239" t="s">
        <v>455</v>
      </c>
      <c r="C1239" t="s">
        <v>477</v>
      </c>
      <c r="D1239" t="s">
        <v>389</v>
      </c>
      <c r="E1239" t="s">
        <v>393</v>
      </c>
      <c r="F1239">
        <v>2</v>
      </c>
      <c r="G1239" t="s">
        <v>498</v>
      </c>
      <c r="H1239" s="4">
        <v>1736243</v>
      </c>
      <c r="I1239" s="4">
        <v>1352766</v>
      </c>
      <c r="J1239" s="3">
        <v>0.22086597325374385</v>
      </c>
      <c r="K1239" s="3">
        <v>0.28347622574783815</v>
      </c>
      <c r="L1239" t="s">
        <v>377</v>
      </c>
    </row>
    <row r="1240" spans="1:12" x14ac:dyDescent="0.25">
      <c r="A1240" t="s">
        <v>487</v>
      </c>
      <c r="B1240" t="s">
        <v>455</v>
      </c>
      <c r="C1240" t="s">
        <v>477</v>
      </c>
      <c r="D1240" t="s">
        <v>389</v>
      </c>
      <c r="E1240" t="s">
        <v>393</v>
      </c>
      <c r="F1240">
        <v>2</v>
      </c>
      <c r="G1240" t="s">
        <v>499</v>
      </c>
      <c r="H1240" s="4">
        <v>1736243</v>
      </c>
      <c r="I1240" s="4">
        <v>1136023</v>
      </c>
      <c r="J1240" s="3">
        <v>0.34570045782761977</v>
      </c>
      <c r="K1240" s="3">
        <v>0.5283519787891618</v>
      </c>
      <c r="L1240" t="s">
        <v>377</v>
      </c>
    </row>
    <row r="1241" spans="1:12" x14ac:dyDescent="0.25">
      <c r="A1241" t="s">
        <v>487</v>
      </c>
      <c r="B1241" t="s">
        <v>455</v>
      </c>
      <c r="C1241" t="s">
        <v>477</v>
      </c>
      <c r="D1241" t="s">
        <v>389</v>
      </c>
      <c r="E1241" t="s">
        <v>395</v>
      </c>
      <c r="F1241">
        <v>3</v>
      </c>
      <c r="G1241" t="s">
        <v>488</v>
      </c>
      <c r="H1241" s="4">
        <v>719548</v>
      </c>
      <c r="I1241" s="4">
        <v>1448860.619139327</v>
      </c>
      <c r="J1241" s="3">
        <v>1.0135704902790739</v>
      </c>
      <c r="K1241" s="3">
        <v>-0.503369757936111</v>
      </c>
      <c r="L1241" t="s">
        <v>377</v>
      </c>
    </row>
    <row r="1242" spans="1:12" x14ac:dyDescent="0.25">
      <c r="A1242" t="s">
        <v>487</v>
      </c>
      <c r="B1242" t="s">
        <v>455</v>
      </c>
      <c r="C1242" t="s">
        <v>477</v>
      </c>
      <c r="D1242" t="s">
        <v>389</v>
      </c>
      <c r="E1242" t="s">
        <v>395</v>
      </c>
      <c r="F1242">
        <v>3</v>
      </c>
      <c r="G1242" t="s">
        <v>498</v>
      </c>
      <c r="H1242" s="4">
        <v>719548</v>
      </c>
      <c r="I1242" s="4">
        <v>1360487</v>
      </c>
      <c r="J1242" s="3">
        <v>0.8907522500236259</v>
      </c>
      <c r="K1242" s="3">
        <v>-0.47110997753010503</v>
      </c>
      <c r="L1242" t="s">
        <v>377</v>
      </c>
    </row>
    <row r="1243" spans="1:12" x14ac:dyDescent="0.25">
      <c r="A1243" t="s">
        <v>487</v>
      </c>
      <c r="B1243" t="s">
        <v>455</v>
      </c>
      <c r="C1243" t="s">
        <v>477</v>
      </c>
      <c r="D1243" t="s">
        <v>389</v>
      </c>
      <c r="E1243" t="s">
        <v>395</v>
      </c>
      <c r="F1243">
        <v>3</v>
      </c>
      <c r="G1243" t="s">
        <v>499</v>
      </c>
      <c r="H1243" s="4">
        <v>719548</v>
      </c>
      <c r="I1243" s="4">
        <v>1136023</v>
      </c>
      <c r="J1243" s="3">
        <v>0.5788008583166099</v>
      </c>
      <c r="K1243" s="3">
        <v>-0.3666078943824201</v>
      </c>
      <c r="L1243" t="s">
        <v>377</v>
      </c>
    </row>
    <row r="1244" spans="1:12" x14ac:dyDescent="0.25">
      <c r="A1244" t="s">
        <v>487</v>
      </c>
      <c r="B1244" t="s">
        <v>455</v>
      </c>
      <c r="C1244" t="s">
        <v>477</v>
      </c>
      <c r="D1244" t="s">
        <v>391</v>
      </c>
      <c r="E1244" t="s">
        <v>393</v>
      </c>
      <c r="F1244">
        <v>1</v>
      </c>
      <c r="G1244" t="s">
        <v>488</v>
      </c>
      <c r="H1244" s="4">
        <v>1736243</v>
      </c>
      <c r="I1244" s="4">
        <v>1459414.537853337</v>
      </c>
      <c r="J1244" s="3">
        <v>0.15944108177637756</v>
      </c>
      <c r="K1244" s="3">
        <v>0.18968459952019667</v>
      </c>
      <c r="L1244" t="s">
        <v>377</v>
      </c>
    </row>
    <row r="1245" spans="1:12" x14ac:dyDescent="0.25">
      <c r="A1245" t="s">
        <v>487</v>
      </c>
      <c r="B1245" t="s">
        <v>455</v>
      </c>
      <c r="C1245" t="s">
        <v>477</v>
      </c>
      <c r="D1245" t="s">
        <v>391</v>
      </c>
      <c r="E1245" t="s">
        <v>393</v>
      </c>
      <c r="F1245">
        <v>1</v>
      </c>
      <c r="G1245" t="s">
        <v>498</v>
      </c>
      <c r="H1245" s="4">
        <v>1736243</v>
      </c>
      <c r="I1245" s="4">
        <v>1352766</v>
      </c>
      <c r="J1245" s="3">
        <v>0.22086597325374385</v>
      </c>
      <c r="K1245" s="3">
        <v>0.28347622574783815</v>
      </c>
      <c r="L1245" t="s">
        <v>377</v>
      </c>
    </row>
    <row r="1246" spans="1:12" x14ac:dyDescent="0.25">
      <c r="A1246" t="s">
        <v>487</v>
      </c>
      <c r="B1246" t="s">
        <v>455</v>
      </c>
      <c r="C1246" t="s">
        <v>477</v>
      </c>
      <c r="D1246" t="s">
        <v>391</v>
      </c>
      <c r="E1246" t="s">
        <v>393</v>
      </c>
      <c r="F1246">
        <v>1</v>
      </c>
      <c r="G1246" t="s">
        <v>499</v>
      </c>
      <c r="H1246" s="4">
        <v>1736243</v>
      </c>
      <c r="I1246" s="4">
        <v>1093231</v>
      </c>
      <c r="J1246" s="3">
        <v>0.3703467774960072</v>
      </c>
      <c r="K1246" s="3">
        <v>0.58817578352608</v>
      </c>
      <c r="L1246" t="s">
        <v>377</v>
      </c>
    </row>
    <row r="1247" spans="1:12" x14ac:dyDescent="0.25">
      <c r="A1247" t="s">
        <v>487</v>
      </c>
      <c r="B1247" t="s">
        <v>455</v>
      </c>
      <c r="C1247" t="s">
        <v>477</v>
      </c>
      <c r="D1247" t="s">
        <v>391</v>
      </c>
      <c r="E1247" t="s">
        <v>395</v>
      </c>
      <c r="F1247">
        <v>2</v>
      </c>
      <c r="G1247" t="s">
        <v>488</v>
      </c>
      <c r="H1247" s="4">
        <v>719548</v>
      </c>
      <c r="I1247" s="4">
        <v>1467744.241325161</v>
      </c>
      <c r="J1247" s="3">
        <v>1.0398142185443653</v>
      </c>
      <c r="K1247" s="3">
        <v>-0.5097592756689325</v>
      </c>
      <c r="L1247" t="s">
        <v>377</v>
      </c>
    </row>
    <row r="1248" spans="1:12" x14ac:dyDescent="0.25">
      <c r="A1248" t="s">
        <v>487</v>
      </c>
      <c r="B1248" t="s">
        <v>455</v>
      </c>
      <c r="C1248" t="s">
        <v>477</v>
      </c>
      <c r="D1248" t="s">
        <v>391</v>
      </c>
      <c r="E1248" t="s">
        <v>395</v>
      </c>
      <c r="F1248">
        <v>2</v>
      </c>
      <c r="G1248" t="s">
        <v>498</v>
      </c>
      <c r="H1248" s="4">
        <v>719548</v>
      </c>
      <c r="I1248" s="4">
        <v>1360487</v>
      </c>
      <c r="J1248" s="3">
        <v>0.8907522500236259</v>
      </c>
      <c r="K1248" s="3">
        <v>-0.47110997753010503</v>
      </c>
      <c r="L1248" t="s">
        <v>377</v>
      </c>
    </row>
    <row r="1249" spans="1:12" x14ac:dyDescent="0.25">
      <c r="A1249" t="s">
        <v>487</v>
      </c>
      <c r="B1249" t="s">
        <v>455</v>
      </c>
      <c r="C1249" t="s">
        <v>477</v>
      </c>
      <c r="D1249" t="s">
        <v>391</v>
      </c>
      <c r="E1249" t="s">
        <v>395</v>
      </c>
      <c r="F1249">
        <v>2</v>
      </c>
      <c r="G1249" t="s">
        <v>499</v>
      </c>
      <c r="H1249" s="4">
        <v>719548</v>
      </c>
      <c r="I1249" s="4">
        <v>1093231</v>
      </c>
      <c r="J1249" s="3">
        <v>0.5193301906196668</v>
      </c>
      <c r="K1249" s="3">
        <v>-0.34181522477866066</v>
      </c>
      <c r="L1249" t="s">
        <v>377</v>
      </c>
    </row>
    <row r="1250" spans="1:12" x14ac:dyDescent="0.25">
      <c r="A1250" t="s">
        <v>487</v>
      </c>
      <c r="B1250" t="s">
        <v>455</v>
      </c>
      <c r="C1250" t="s">
        <v>477</v>
      </c>
      <c r="D1250" t="s">
        <v>391</v>
      </c>
      <c r="E1250" t="s">
        <v>397</v>
      </c>
      <c r="F1250">
        <v>3</v>
      </c>
      <c r="G1250" t="s">
        <v>488</v>
      </c>
      <c r="H1250" s="4">
        <v>1009723</v>
      </c>
      <c r="I1250" s="4">
        <v>1124839.0140995583</v>
      </c>
      <c r="J1250" s="3">
        <v>0.1140075189923953</v>
      </c>
      <c r="K1250" s="3">
        <v>-0.10233999057341511</v>
      </c>
      <c r="L1250" t="s">
        <v>377</v>
      </c>
    </row>
    <row r="1251" spans="1:12" x14ac:dyDescent="0.25">
      <c r="A1251" t="s">
        <v>487</v>
      </c>
      <c r="B1251" t="s">
        <v>455</v>
      </c>
      <c r="C1251" t="s">
        <v>477</v>
      </c>
      <c r="D1251" t="s">
        <v>391</v>
      </c>
      <c r="E1251" t="s">
        <v>397</v>
      </c>
      <c r="F1251">
        <v>3</v>
      </c>
      <c r="G1251" t="s">
        <v>498</v>
      </c>
      <c r="H1251" s="4">
        <v>1009723</v>
      </c>
      <c r="I1251" s="4">
        <v>1042640</v>
      </c>
      <c r="J1251" s="3">
        <v>0.03260002990919292</v>
      </c>
      <c r="K1251" s="3">
        <v>-0.03157082022558122</v>
      </c>
      <c r="L1251" t="s">
        <v>377</v>
      </c>
    </row>
    <row r="1252" spans="1:12" x14ac:dyDescent="0.25">
      <c r="A1252" t="s">
        <v>487</v>
      </c>
      <c r="B1252" t="s">
        <v>455</v>
      </c>
      <c r="C1252" t="s">
        <v>477</v>
      </c>
      <c r="D1252" t="s">
        <v>391</v>
      </c>
      <c r="E1252" t="s">
        <v>397</v>
      </c>
      <c r="F1252">
        <v>3</v>
      </c>
      <c r="G1252" t="s">
        <v>499</v>
      </c>
      <c r="H1252" s="4">
        <v>1009723</v>
      </c>
      <c r="I1252" s="4">
        <v>1093231</v>
      </c>
      <c r="J1252" s="3">
        <v>0.08270387026937091</v>
      </c>
      <c r="K1252" s="3">
        <v>-0.0763864178750877</v>
      </c>
      <c r="L1252" t="s">
        <v>377</v>
      </c>
    </row>
    <row r="1253" spans="1:12" x14ac:dyDescent="0.25">
      <c r="A1253" t="s">
        <v>487</v>
      </c>
      <c r="B1253" t="s">
        <v>455</v>
      </c>
      <c r="C1253" t="s">
        <v>477</v>
      </c>
      <c r="D1253" t="s">
        <v>393</v>
      </c>
      <c r="E1253" t="s">
        <v>395</v>
      </c>
      <c r="F1253">
        <v>1</v>
      </c>
      <c r="G1253" t="s">
        <v>488</v>
      </c>
      <c r="H1253" s="4">
        <v>719548</v>
      </c>
      <c r="I1253" s="4">
        <v>1476847.4310889845</v>
      </c>
      <c r="J1253" s="3">
        <v>1.05246547984149</v>
      </c>
      <c r="K1253" s="3">
        <v>-0.5127810870284507</v>
      </c>
      <c r="L1253" t="s">
        <v>377</v>
      </c>
    </row>
    <row r="1254" spans="1:12" x14ac:dyDescent="0.25">
      <c r="A1254" t="s">
        <v>487</v>
      </c>
      <c r="B1254" t="s">
        <v>455</v>
      </c>
      <c r="C1254" t="s">
        <v>477</v>
      </c>
      <c r="D1254" t="s">
        <v>393</v>
      </c>
      <c r="E1254" t="s">
        <v>395</v>
      </c>
      <c r="F1254">
        <v>1</v>
      </c>
      <c r="G1254" t="s">
        <v>498</v>
      </c>
      <c r="H1254" s="4">
        <v>719548</v>
      </c>
      <c r="I1254" s="4">
        <v>1360487</v>
      </c>
      <c r="J1254" s="3">
        <v>0.8907522500236259</v>
      </c>
      <c r="K1254" s="3">
        <v>-0.47110997753010503</v>
      </c>
      <c r="L1254" t="s">
        <v>377</v>
      </c>
    </row>
    <row r="1255" spans="1:12" x14ac:dyDescent="0.25">
      <c r="A1255" t="s">
        <v>487</v>
      </c>
      <c r="B1255" t="s">
        <v>455</v>
      </c>
      <c r="C1255" t="s">
        <v>477</v>
      </c>
      <c r="D1255" t="s">
        <v>393</v>
      </c>
      <c r="E1255" t="s">
        <v>395</v>
      </c>
      <c r="F1255">
        <v>1</v>
      </c>
      <c r="G1255" t="s">
        <v>499</v>
      </c>
      <c r="H1255" s="4">
        <v>719548</v>
      </c>
      <c r="I1255" s="4">
        <v>1736243</v>
      </c>
      <c r="J1255" s="3">
        <v>1.4129634159222177</v>
      </c>
      <c r="K1255" s="3">
        <v>-0.5855718352788175</v>
      </c>
      <c r="L1255" t="s">
        <v>377</v>
      </c>
    </row>
    <row r="1256" spans="1:12" x14ac:dyDescent="0.25">
      <c r="A1256" t="s">
        <v>487</v>
      </c>
      <c r="B1256" t="s">
        <v>455</v>
      </c>
      <c r="C1256" t="s">
        <v>477</v>
      </c>
      <c r="D1256" t="s">
        <v>393</v>
      </c>
      <c r="E1256" t="s">
        <v>397</v>
      </c>
      <c r="F1256">
        <v>2</v>
      </c>
      <c r="G1256" t="s">
        <v>488</v>
      </c>
      <c r="H1256" s="4">
        <v>1009723</v>
      </c>
      <c r="I1256" s="4">
        <v>1131815.4495784368</v>
      </c>
      <c r="J1256" s="3">
        <v>0.12091677576764795</v>
      </c>
      <c r="K1256" s="3">
        <v>-0.1078731074256957</v>
      </c>
      <c r="L1256" t="s">
        <v>377</v>
      </c>
    </row>
    <row r="1257" spans="1:12" x14ac:dyDescent="0.25">
      <c r="A1257" t="s">
        <v>487</v>
      </c>
      <c r="B1257" t="s">
        <v>455</v>
      </c>
      <c r="C1257" t="s">
        <v>477</v>
      </c>
      <c r="D1257" t="s">
        <v>393</v>
      </c>
      <c r="E1257" t="s">
        <v>397</v>
      </c>
      <c r="F1257">
        <v>2</v>
      </c>
      <c r="G1257" t="s">
        <v>498</v>
      </c>
      <c r="H1257" s="4">
        <v>1009723</v>
      </c>
      <c r="I1257" s="4">
        <v>1042640</v>
      </c>
      <c r="J1257" s="3">
        <v>0.03260002990919292</v>
      </c>
      <c r="K1257" s="3">
        <v>-0.03157082022558122</v>
      </c>
      <c r="L1257" t="s">
        <v>377</v>
      </c>
    </row>
    <row r="1258" spans="1:12" x14ac:dyDescent="0.25">
      <c r="A1258" t="s">
        <v>487</v>
      </c>
      <c r="B1258" t="s">
        <v>455</v>
      </c>
      <c r="C1258" t="s">
        <v>477</v>
      </c>
      <c r="D1258" t="s">
        <v>393</v>
      </c>
      <c r="E1258" t="s">
        <v>397</v>
      </c>
      <c r="F1258">
        <v>2</v>
      </c>
      <c r="G1258" t="s">
        <v>499</v>
      </c>
      <c r="H1258" s="4">
        <v>1009723</v>
      </c>
      <c r="I1258" s="4">
        <v>1736243</v>
      </c>
      <c r="J1258" s="3">
        <v>0.7195240674917774</v>
      </c>
      <c r="K1258" s="3">
        <v>-0.41844373166659277</v>
      </c>
      <c r="L1258" t="s">
        <v>377</v>
      </c>
    </row>
    <row r="1259" spans="1:12" x14ac:dyDescent="0.25">
      <c r="A1259" t="s">
        <v>487</v>
      </c>
      <c r="B1259" t="s">
        <v>455</v>
      </c>
      <c r="C1259" t="s">
        <v>477</v>
      </c>
      <c r="D1259" t="s">
        <v>393</v>
      </c>
      <c r="E1259" t="s">
        <v>399</v>
      </c>
      <c r="F1259">
        <v>3</v>
      </c>
      <c r="G1259" t="s">
        <v>488</v>
      </c>
      <c r="H1259" s="4">
        <v>1231043</v>
      </c>
      <c r="I1259" s="4">
        <v>1627142.110403497</v>
      </c>
      <c r="J1259" s="3">
        <v>0.3217589559450783</v>
      </c>
      <c r="K1259" s="3">
        <v>-0.24343240081548426</v>
      </c>
      <c r="L1259" t="s">
        <v>377</v>
      </c>
    </row>
    <row r="1260" spans="1:12" x14ac:dyDescent="0.25">
      <c r="A1260" t="s">
        <v>487</v>
      </c>
      <c r="B1260" t="s">
        <v>455</v>
      </c>
      <c r="C1260" t="s">
        <v>477</v>
      </c>
      <c r="D1260" t="s">
        <v>393</v>
      </c>
      <c r="E1260" t="s">
        <v>399</v>
      </c>
      <c r="F1260">
        <v>3</v>
      </c>
      <c r="G1260" t="s">
        <v>498</v>
      </c>
      <c r="H1260" s="4">
        <v>1231043</v>
      </c>
      <c r="I1260" s="4">
        <v>1498940</v>
      </c>
      <c r="J1260" s="3">
        <v>0.2176179061170081</v>
      </c>
      <c r="K1260" s="3">
        <v>-0.17872429850427635</v>
      </c>
      <c r="L1260" t="s">
        <v>377</v>
      </c>
    </row>
    <row r="1261" spans="1:12" x14ac:dyDescent="0.25">
      <c r="A1261" t="s">
        <v>487</v>
      </c>
      <c r="B1261" t="s">
        <v>455</v>
      </c>
      <c r="C1261" t="s">
        <v>477</v>
      </c>
      <c r="D1261" t="s">
        <v>393</v>
      </c>
      <c r="E1261" t="s">
        <v>399</v>
      </c>
      <c r="F1261">
        <v>3</v>
      </c>
      <c r="G1261" t="s">
        <v>499</v>
      </c>
      <c r="H1261" s="4">
        <v>1231043</v>
      </c>
      <c r="I1261" s="4">
        <v>1736243</v>
      </c>
      <c r="J1261" s="3">
        <v>0.41038371527233414</v>
      </c>
      <c r="K1261" s="3">
        <v>-0.290973095355892</v>
      </c>
      <c r="L1261" t="s">
        <v>377</v>
      </c>
    </row>
    <row r="1262" spans="1:12" x14ac:dyDescent="0.25">
      <c r="A1262" t="s">
        <v>487</v>
      </c>
      <c r="B1262" t="s">
        <v>455</v>
      </c>
      <c r="C1262" t="s">
        <v>477</v>
      </c>
      <c r="D1262" t="s">
        <v>395</v>
      </c>
      <c r="E1262" t="s">
        <v>397</v>
      </c>
      <c r="F1262">
        <v>1</v>
      </c>
      <c r="G1262" t="s">
        <v>488</v>
      </c>
      <c r="H1262" s="4">
        <v>1009723</v>
      </c>
      <c r="I1262" s="4">
        <v>1023064.6181772103</v>
      </c>
      <c r="J1262" s="3">
        <v>0.013213146751346983</v>
      </c>
      <c r="K1262" s="3">
        <v>-0.013040836267977904</v>
      </c>
      <c r="L1262" t="s">
        <v>377</v>
      </c>
    </row>
    <row r="1263" spans="1:12" x14ac:dyDescent="0.25">
      <c r="A1263" t="s">
        <v>487</v>
      </c>
      <c r="B1263" t="s">
        <v>455</v>
      </c>
      <c r="C1263" t="s">
        <v>477</v>
      </c>
      <c r="D1263" t="s">
        <v>395</v>
      </c>
      <c r="E1263" t="s">
        <v>397</v>
      </c>
      <c r="F1263">
        <v>1</v>
      </c>
      <c r="G1263" t="s">
        <v>498</v>
      </c>
      <c r="H1263" s="4">
        <v>1009723</v>
      </c>
      <c r="I1263" s="4">
        <v>1042640</v>
      </c>
      <c r="J1263" s="3">
        <v>0.03260002990919292</v>
      </c>
      <c r="K1263" s="3">
        <v>-0.03157082022558122</v>
      </c>
      <c r="L1263" t="s">
        <v>377</v>
      </c>
    </row>
    <row r="1264" spans="1:12" x14ac:dyDescent="0.25">
      <c r="A1264" t="s">
        <v>487</v>
      </c>
      <c r="B1264" t="s">
        <v>455</v>
      </c>
      <c r="C1264" t="s">
        <v>477</v>
      </c>
      <c r="D1264" t="s">
        <v>395</v>
      </c>
      <c r="E1264" t="s">
        <v>397</v>
      </c>
      <c r="F1264">
        <v>1</v>
      </c>
      <c r="G1264" t="s">
        <v>499</v>
      </c>
      <c r="H1264" s="4">
        <v>1009723</v>
      </c>
      <c r="I1264" s="4">
        <v>719548</v>
      </c>
      <c r="J1264" s="3">
        <v>0.28738079651548</v>
      </c>
      <c r="K1264" s="3">
        <v>0.4032739997887563</v>
      </c>
      <c r="L1264" t="s">
        <v>377</v>
      </c>
    </row>
    <row r="1265" spans="1:12" x14ac:dyDescent="0.25">
      <c r="A1265" t="s">
        <v>487</v>
      </c>
      <c r="B1265" t="s">
        <v>455</v>
      </c>
      <c r="C1265" t="s">
        <v>477</v>
      </c>
      <c r="D1265" t="s">
        <v>395</v>
      </c>
      <c r="E1265" t="s">
        <v>399</v>
      </c>
      <c r="F1265">
        <v>2</v>
      </c>
      <c r="G1265" t="s">
        <v>488</v>
      </c>
      <c r="H1265" s="4">
        <v>1231043</v>
      </c>
      <c r="I1265" s="4">
        <v>1470797.6662803534</v>
      </c>
      <c r="J1265" s="3">
        <v>0.1947573450158552</v>
      </c>
      <c r="K1265" s="3">
        <v>-0.16300995832193077</v>
      </c>
      <c r="L1265" t="s">
        <v>377</v>
      </c>
    </row>
    <row r="1266" spans="1:12" x14ac:dyDescent="0.25">
      <c r="A1266" t="s">
        <v>487</v>
      </c>
      <c r="B1266" t="s">
        <v>455</v>
      </c>
      <c r="C1266" t="s">
        <v>477</v>
      </c>
      <c r="D1266" t="s">
        <v>395</v>
      </c>
      <c r="E1266" t="s">
        <v>399</v>
      </c>
      <c r="F1266">
        <v>2</v>
      </c>
      <c r="G1266" t="s">
        <v>498</v>
      </c>
      <c r="H1266" s="4">
        <v>1231043</v>
      </c>
      <c r="I1266" s="4">
        <v>1498940</v>
      </c>
      <c r="J1266" s="3">
        <v>0.2176179061170081</v>
      </c>
      <c r="K1266" s="3">
        <v>-0.17872429850427635</v>
      </c>
      <c r="L1266" t="s">
        <v>377</v>
      </c>
    </row>
    <row r="1267" spans="1:12" x14ac:dyDescent="0.25">
      <c r="A1267" t="s">
        <v>487</v>
      </c>
      <c r="B1267" t="s">
        <v>455</v>
      </c>
      <c r="C1267" t="s">
        <v>477</v>
      </c>
      <c r="D1267" t="s">
        <v>395</v>
      </c>
      <c r="E1267" t="s">
        <v>399</v>
      </c>
      <c r="F1267">
        <v>2</v>
      </c>
      <c r="G1267" t="s">
        <v>499</v>
      </c>
      <c r="H1267" s="4">
        <v>1231043</v>
      </c>
      <c r="I1267" s="4">
        <v>719548</v>
      </c>
      <c r="J1267" s="3">
        <v>0.41549726532704384</v>
      </c>
      <c r="K1267" s="3">
        <v>0.7108559818108035</v>
      </c>
      <c r="L1267" t="s">
        <v>377</v>
      </c>
    </row>
    <row r="1268" spans="1:12" x14ac:dyDescent="0.25">
      <c r="A1268" t="s">
        <v>487</v>
      </c>
      <c r="B1268" t="s">
        <v>455</v>
      </c>
      <c r="C1268" t="s">
        <v>477</v>
      </c>
      <c r="D1268" t="s">
        <v>395</v>
      </c>
      <c r="E1268" t="s">
        <v>401</v>
      </c>
      <c r="F1268">
        <v>3</v>
      </c>
      <c r="G1268" t="s">
        <v>488</v>
      </c>
      <c r="H1268" s="4">
        <v>1076394</v>
      </c>
      <c r="I1268" s="4">
        <v>970727.0484801392</v>
      </c>
      <c r="J1268" s="3">
        <v>0.09816754043580768</v>
      </c>
      <c r="K1268" s="3">
        <v>0.10885341217729824</v>
      </c>
      <c r="L1268" t="s">
        <v>377</v>
      </c>
    </row>
    <row r="1269" spans="1:12" x14ac:dyDescent="0.25">
      <c r="A1269" t="s">
        <v>487</v>
      </c>
      <c r="B1269" t="s">
        <v>455</v>
      </c>
      <c r="C1269" t="s">
        <v>477</v>
      </c>
      <c r="D1269" t="s">
        <v>395</v>
      </c>
      <c r="E1269" t="s">
        <v>401</v>
      </c>
      <c r="F1269">
        <v>3</v>
      </c>
      <c r="G1269" t="s">
        <v>498</v>
      </c>
      <c r="H1269" s="4">
        <v>1076394</v>
      </c>
      <c r="I1269" s="4">
        <v>989301</v>
      </c>
      <c r="J1269" s="3">
        <v>0.08091182225096015</v>
      </c>
      <c r="K1269" s="3">
        <v>0.08803488523715229</v>
      </c>
      <c r="L1269" t="s">
        <v>377</v>
      </c>
    </row>
    <row r="1270" spans="1:12" x14ac:dyDescent="0.25">
      <c r="A1270" t="s">
        <v>487</v>
      </c>
      <c r="B1270" t="s">
        <v>455</v>
      </c>
      <c r="C1270" t="s">
        <v>477</v>
      </c>
      <c r="D1270" t="s">
        <v>395</v>
      </c>
      <c r="E1270" t="s">
        <v>401</v>
      </c>
      <c r="F1270">
        <v>3</v>
      </c>
      <c r="G1270" t="s">
        <v>499</v>
      </c>
      <c r="H1270" s="4">
        <v>1076394</v>
      </c>
      <c r="I1270" s="4">
        <v>719548</v>
      </c>
      <c r="J1270" s="3">
        <v>0.3315198709766127</v>
      </c>
      <c r="K1270" s="3">
        <v>0.4959307787666702</v>
      </c>
      <c r="L1270" t="s">
        <v>377</v>
      </c>
    </row>
    <row r="1271" spans="1:12" x14ac:dyDescent="0.25">
      <c r="A1271" t="s">
        <v>487</v>
      </c>
      <c r="B1271" t="s">
        <v>455</v>
      </c>
      <c r="C1271" t="s">
        <v>477</v>
      </c>
      <c r="D1271" t="s">
        <v>397</v>
      </c>
      <c r="E1271" t="s">
        <v>399</v>
      </c>
      <c r="F1271">
        <v>1</v>
      </c>
      <c r="G1271" t="s">
        <v>488</v>
      </c>
      <c r="H1271" s="4">
        <v>1231043</v>
      </c>
      <c r="I1271" s="4">
        <v>1415316.0371140898</v>
      </c>
      <c r="J1271" s="3">
        <v>0.14968854630917833</v>
      </c>
      <c r="K1271" s="3">
        <v>-0.130199215074135</v>
      </c>
      <c r="L1271" t="s">
        <v>377</v>
      </c>
    </row>
    <row r="1272" spans="1:12" x14ac:dyDescent="0.25">
      <c r="A1272" t="s">
        <v>487</v>
      </c>
      <c r="B1272" t="s">
        <v>455</v>
      </c>
      <c r="C1272" t="s">
        <v>477</v>
      </c>
      <c r="D1272" t="s">
        <v>397</v>
      </c>
      <c r="E1272" t="s">
        <v>399</v>
      </c>
      <c r="F1272">
        <v>1</v>
      </c>
      <c r="G1272" t="s">
        <v>498</v>
      </c>
      <c r="H1272" s="4">
        <v>1231043</v>
      </c>
      <c r="I1272" s="4">
        <v>1498940</v>
      </c>
      <c r="J1272" s="3">
        <v>0.2176179061170081</v>
      </c>
      <c r="K1272" s="3">
        <v>-0.17872429850427635</v>
      </c>
      <c r="L1272" t="s">
        <v>377</v>
      </c>
    </row>
    <row r="1273" spans="1:12" x14ac:dyDescent="0.25">
      <c r="A1273" t="s">
        <v>487</v>
      </c>
      <c r="B1273" t="s">
        <v>455</v>
      </c>
      <c r="C1273" t="s">
        <v>477</v>
      </c>
      <c r="D1273" t="s">
        <v>397</v>
      </c>
      <c r="E1273" t="s">
        <v>399</v>
      </c>
      <c r="F1273">
        <v>1</v>
      </c>
      <c r="G1273" t="s">
        <v>499</v>
      </c>
      <c r="H1273" s="4">
        <v>1231043</v>
      </c>
      <c r="I1273" s="4">
        <v>1009723</v>
      </c>
      <c r="J1273" s="3">
        <v>0.17978250962801462</v>
      </c>
      <c r="K1273" s="3">
        <v>0.2191888270347412</v>
      </c>
      <c r="L1273" t="s">
        <v>377</v>
      </c>
    </row>
    <row r="1274" spans="1:12" x14ac:dyDescent="0.25">
      <c r="A1274" t="s">
        <v>487</v>
      </c>
      <c r="B1274" t="s">
        <v>455</v>
      </c>
      <c r="C1274" t="s">
        <v>477</v>
      </c>
      <c r="D1274" t="s">
        <v>397</v>
      </c>
      <c r="E1274" t="s">
        <v>401</v>
      </c>
      <c r="F1274">
        <v>2</v>
      </c>
      <c r="G1274" t="s">
        <v>488</v>
      </c>
      <c r="H1274" s="4">
        <v>1076394</v>
      </c>
      <c r="I1274" s="4">
        <v>934109.1510220597</v>
      </c>
      <c r="J1274" s="3">
        <v>0.13218658686126109</v>
      </c>
      <c r="K1274" s="3">
        <v>0.1523214378343887</v>
      </c>
      <c r="L1274" t="s">
        <v>377</v>
      </c>
    </row>
    <row r="1275" spans="1:12" x14ac:dyDescent="0.25">
      <c r="A1275" t="s">
        <v>487</v>
      </c>
      <c r="B1275" t="s">
        <v>455</v>
      </c>
      <c r="C1275" t="s">
        <v>477</v>
      </c>
      <c r="D1275" t="s">
        <v>397</v>
      </c>
      <c r="E1275" t="s">
        <v>401</v>
      </c>
      <c r="F1275">
        <v>2</v>
      </c>
      <c r="G1275" t="s">
        <v>498</v>
      </c>
      <c r="H1275" s="4">
        <v>1076394</v>
      </c>
      <c r="I1275" s="4">
        <v>989301</v>
      </c>
      <c r="J1275" s="3">
        <v>0.08091182225096015</v>
      </c>
      <c r="K1275" s="3">
        <v>0.08803488523715229</v>
      </c>
      <c r="L1275" t="s">
        <v>377</v>
      </c>
    </row>
    <row r="1276" spans="1:12" x14ac:dyDescent="0.25">
      <c r="A1276" t="s">
        <v>487</v>
      </c>
      <c r="B1276" t="s">
        <v>455</v>
      </c>
      <c r="C1276" t="s">
        <v>477</v>
      </c>
      <c r="D1276" t="s">
        <v>397</v>
      </c>
      <c r="E1276" t="s">
        <v>401</v>
      </c>
      <c r="F1276">
        <v>2</v>
      </c>
      <c r="G1276" t="s">
        <v>499</v>
      </c>
      <c r="H1276" s="4">
        <v>1076394</v>
      </c>
      <c r="I1276" s="4">
        <v>1009723</v>
      </c>
      <c r="J1276" s="3">
        <v>0.061939215566047374</v>
      </c>
      <c r="K1276" s="3">
        <v>0.06602900003268224</v>
      </c>
      <c r="L1276" t="s">
        <v>377</v>
      </c>
    </row>
    <row r="1277" spans="1:12" x14ac:dyDescent="0.25">
      <c r="A1277" t="s">
        <v>487</v>
      </c>
      <c r="B1277" t="s">
        <v>455</v>
      </c>
      <c r="C1277" t="s">
        <v>477</v>
      </c>
      <c r="D1277" t="s">
        <v>397</v>
      </c>
      <c r="E1277" t="s">
        <v>403</v>
      </c>
      <c r="F1277">
        <v>3</v>
      </c>
      <c r="G1277" t="s">
        <v>488</v>
      </c>
      <c r="H1277" s="4">
        <v>767523</v>
      </c>
      <c r="I1277" s="4">
        <v>595766.1507397</v>
      </c>
      <c r="J1277" s="3">
        <v>0.2237807196140051</v>
      </c>
      <c r="K1277" s="3">
        <v>0.2882957500137389</v>
      </c>
      <c r="L1277" t="s">
        <v>377</v>
      </c>
    </row>
    <row r="1278" spans="1:12" x14ac:dyDescent="0.25">
      <c r="A1278" t="s">
        <v>487</v>
      </c>
      <c r="B1278" t="s">
        <v>455</v>
      </c>
      <c r="C1278" t="s">
        <v>477</v>
      </c>
      <c r="D1278" t="s">
        <v>397</v>
      </c>
      <c r="E1278" t="s">
        <v>403</v>
      </c>
      <c r="F1278">
        <v>3</v>
      </c>
      <c r="G1278" t="s">
        <v>498</v>
      </c>
      <c r="H1278" s="4">
        <v>767523</v>
      </c>
      <c r="I1278" s="4">
        <v>630967</v>
      </c>
      <c r="J1278" s="3">
        <v>0.17791779529733961</v>
      </c>
      <c r="K1278" s="3">
        <v>0.21642336287000746</v>
      </c>
      <c r="L1278" t="s">
        <v>377</v>
      </c>
    </row>
    <row r="1279" spans="1:12" x14ac:dyDescent="0.25">
      <c r="A1279" t="s">
        <v>487</v>
      </c>
      <c r="B1279" t="s">
        <v>455</v>
      </c>
      <c r="C1279" t="s">
        <v>477</v>
      </c>
      <c r="D1279" t="s">
        <v>397</v>
      </c>
      <c r="E1279" t="s">
        <v>403</v>
      </c>
      <c r="F1279">
        <v>3</v>
      </c>
      <c r="G1279" t="s">
        <v>499</v>
      </c>
      <c r="H1279" s="4">
        <v>767523</v>
      </c>
      <c r="I1279" s="4">
        <v>1009723</v>
      </c>
      <c r="J1279" s="3">
        <v>0.315560576034855</v>
      </c>
      <c r="K1279" s="3">
        <v>-0.23986776571396315</v>
      </c>
      <c r="L1279" t="s">
        <v>377</v>
      </c>
    </row>
    <row r="1280" spans="1:12" x14ac:dyDescent="0.25">
      <c r="A1280" t="s">
        <v>487</v>
      </c>
      <c r="B1280" t="s">
        <v>455</v>
      </c>
      <c r="C1280" t="s">
        <v>477</v>
      </c>
      <c r="D1280" t="s">
        <v>399</v>
      </c>
      <c r="E1280" t="s">
        <v>401</v>
      </c>
      <c r="F1280">
        <v>1</v>
      </c>
      <c r="G1280" t="s">
        <v>488</v>
      </c>
      <c r="H1280" s="4">
        <v>1076394</v>
      </c>
      <c r="I1280" s="4">
        <v>891663.5717562422</v>
      </c>
      <c r="J1280" s="3">
        <v>0.1716197119676975</v>
      </c>
      <c r="K1280" s="3">
        <v>0.20717503113860342</v>
      </c>
      <c r="L1280" t="s">
        <v>377</v>
      </c>
    </row>
    <row r="1281" spans="1:12" x14ac:dyDescent="0.25">
      <c r="A1281" t="s">
        <v>487</v>
      </c>
      <c r="B1281" t="s">
        <v>455</v>
      </c>
      <c r="C1281" t="s">
        <v>477</v>
      </c>
      <c r="D1281" t="s">
        <v>399</v>
      </c>
      <c r="E1281" t="s">
        <v>401</v>
      </c>
      <c r="F1281">
        <v>1</v>
      </c>
      <c r="G1281" t="s">
        <v>498</v>
      </c>
      <c r="H1281" s="4">
        <v>1076394</v>
      </c>
      <c r="I1281" s="4">
        <v>989301</v>
      </c>
      <c r="J1281" s="3">
        <v>0.08091182225096015</v>
      </c>
      <c r="K1281" s="3">
        <v>0.08803488523715229</v>
      </c>
      <c r="L1281" t="s">
        <v>377</v>
      </c>
    </row>
    <row r="1282" spans="1:12" x14ac:dyDescent="0.25">
      <c r="A1282" t="s">
        <v>487</v>
      </c>
      <c r="B1282" t="s">
        <v>455</v>
      </c>
      <c r="C1282" t="s">
        <v>477</v>
      </c>
      <c r="D1282" t="s">
        <v>399</v>
      </c>
      <c r="E1282" t="s">
        <v>401</v>
      </c>
      <c r="F1282">
        <v>1</v>
      </c>
      <c r="G1282" t="s">
        <v>499</v>
      </c>
      <c r="H1282" s="4">
        <v>1076394</v>
      </c>
      <c r="I1282" s="4">
        <v>1231043</v>
      </c>
      <c r="J1282" s="3">
        <v>0.1436732274613199</v>
      </c>
      <c r="K1282" s="3">
        <v>-0.12562436892943626</v>
      </c>
      <c r="L1282" t="s">
        <v>377</v>
      </c>
    </row>
    <row r="1283" spans="1:12" x14ac:dyDescent="0.25">
      <c r="A1283" t="s">
        <v>487</v>
      </c>
      <c r="B1283" t="s">
        <v>455</v>
      </c>
      <c r="C1283" t="s">
        <v>477</v>
      </c>
      <c r="D1283" t="s">
        <v>399</v>
      </c>
      <c r="E1283" t="s">
        <v>403</v>
      </c>
      <c r="F1283">
        <v>2</v>
      </c>
      <c r="G1283" t="s">
        <v>488</v>
      </c>
      <c r="H1283" s="4">
        <v>767523</v>
      </c>
      <c r="I1283" s="4">
        <v>568694.754053944</v>
      </c>
      <c r="J1283" s="3">
        <v>0.2590518407214585</v>
      </c>
      <c r="K1283" s="3">
        <v>0.3496220855365864</v>
      </c>
      <c r="L1283" t="s">
        <v>377</v>
      </c>
    </row>
    <row r="1284" spans="1:12" x14ac:dyDescent="0.25">
      <c r="A1284" t="s">
        <v>487</v>
      </c>
      <c r="B1284" t="s">
        <v>455</v>
      </c>
      <c r="C1284" t="s">
        <v>477</v>
      </c>
      <c r="D1284" t="s">
        <v>399</v>
      </c>
      <c r="E1284" t="s">
        <v>403</v>
      </c>
      <c r="F1284">
        <v>2</v>
      </c>
      <c r="G1284" t="s">
        <v>498</v>
      </c>
      <c r="H1284" s="4">
        <v>767523</v>
      </c>
      <c r="I1284" s="4">
        <v>630967</v>
      </c>
      <c r="J1284" s="3">
        <v>0.17791779529733961</v>
      </c>
      <c r="K1284" s="3">
        <v>0.21642336287000746</v>
      </c>
      <c r="L1284" t="s">
        <v>377</v>
      </c>
    </row>
    <row r="1285" spans="1:12" x14ac:dyDescent="0.25">
      <c r="A1285" t="s">
        <v>487</v>
      </c>
      <c r="B1285" t="s">
        <v>455</v>
      </c>
      <c r="C1285" t="s">
        <v>477</v>
      </c>
      <c r="D1285" t="s">
        <v>399</v>
      </c>
      <c r="E1285" t="s">
        <v>403</v>
      </c>
      <c r="F1285">
        <v>2</v>
      </c>
      <c r="G1285" t="s">
        <v>499</v>
      </c>
      <c r="H1285" s="4">
        <v>767523</v>
      </c>
      <c r="I1285" s="4">
        <v>1231043</v>
      </c>
      <c r="J1285" s="3">
        <v>0.6039167555890833</v>
      </c>
      <c r="K1285" s="3">
        <v>-0.3765262464430568</v>
      </c>
      <c r="L1285" t="s">
        <v>377</v>
      </c>
    </row>
    <row r="1286" spans="1:12" x14ac:dyDescent="0.25">
      <c r="A1286" t="s">
        <v>487</v>
      </c>
      <c r="B1286" t="s">
        <v>455</v>
      </c>
      <c r="C1286" t="s">
        <v>477</v>
      </c>
      <c r="D1286" t="s">
        <v>399</v>
      </c>
      <c r="E1286" t="s">
        <v>405</v>
      </c>
      <c r="F1286">
        <v>3</v>
      </c>
      <c r="G1286" t="s">
        <v>488</v>
      </c>
      <c r="H1286" s="4">
        <v>894921</v>
      </c>
      <c r="I1286" s="4">
        <v>1014224.1515504459</v>
      </c>
      <c r="J1286" s="3">
        <v>0.13331137782043995</v>
      </c>
      <c r="K1286" s="3">
        <v>-0.11762996509999002</v>
      </c>
      <c r="L1286" t="s">
        <v>377</v>
      </c>
    </row>
    <row r="1287" spans="1:12" x14ac:dyDescent="0.25">
      <c r="A1287" t="s">
        <v>487</v>
      </c>
      <c r="B1287" t="s">
        <v>455</v>
      </c>
      <c r="C1287" t="s">
        <v>477</v>
      </c>
      <c r="D1287" t="s">
        <v>399</v>
      </c>
      <c r="E1287" t="s">
        <v>405</v>
      </c>
      <c r="F1287">
        <v>3</v>
      </c>
      <c r="G1287" t="s">
        <v>498</v>
      </c>
      <c r="H1287" s="4">
        <v>894921</v>
      </c>
      <c r="I1287" s="4">
        <v>1125282</v>
      </c>
      <c r="J1287" s="3">
        <v>0.2574093132242958</v>
      </c>
      <c r="K1287" s="3">
        <v>-0.20471401835273292</v>
      </c>
      <c r="L1287" t="s">
        <v>377</v>
      </c>
    </row>
    <row r="1288" spans="1:12" x14ac:dyDescent="0.25">
      <c r="A1288" t="s">
        <v>487</v>
      </c>
      <c r="B1288" t="s">
        <v>455</v>
      </c>
      <c r="C1288" t="s">
        <v>477</v>
      </c>
      <c r="D1288" t="s">
        <v>399</v>
      </c>
      <c r="E1288" t="s">
        <v>405</v>
      </c>
      <c r="F1288">
        <v>3</v>
      </c>
      <c r="G1288" t="s">
        <v>499</v>
      </c>
      <c r="H1288" s="4">
        <v>894921</v>
      </c>
      <c r="I1288" s="4">
        <v>1231043</v>
      </c>
      <c r="J1288" s="3">
        <v>0.3755884597634875</v>
      </c>
      <c r="K1288" s="3">
        <v>-0.27303839102289684</v>
      </c>
      <c r="L1288" t="s">
        <v>377</v>
      </c>
    </row>
    <row r="1289" spans="1:12" x14ac:dyDescent="0.25">
      <c r="A1289" t="s">
        <v>487</v>
      </c>
      <c r="B1289" t="s">
        <v>455</v>
      </c>
      <c r="C1289" t="s">
        <v>477</v>
      </c>
      <c r="D1289" t="s">
        <v>401</v>
      </c>
      <c r="E1289" t="s">
        <v>403</v>
      </c>
      <c r="F1289">
        <v>1</v>
      </c>
      <c r="G1289" t="s">
        <v>488</v>
      </c>
      <c r="H1289" s="4">
        <v>767523</v>
      </c>
      <c r="I1289" s="4">
        <v>575868.5540518541</v>
      </c>
      <c r="J1289" s="3">
        <v>0.24970515013640757</v>
      </c>
      <c r="K1289" s="3">
        <v>0.3328093617886425</v>
      </c>
      <c r="L1289" t="s">
        <v>377</v>
      </c>
    </row>
    <row r="1290" spans="1:12" x14ac:dyDescent="0.25">
      <c r="A1290" t="s">
        <v>487</v>
      </c>
      <c r="B1290" t="s">
        <v>455</v>
      </c>
      <c r="C1290" t="s">
        <v>477</v>
      </c>
      <c r="D1290" t="s">
        <v>401</v>
      </c>
      <c r="E1290" t="s">
        <v>403</v>
      </c>
      <c r="F1290">
        <v>1</v>
      </c>
      <c r="G1290" t="s">
        <v>498</v>
      </c>
      <c r="H1290" s="4">
        <v>767523</v>
      </c>
      <c r="I1290" s="4">
        <v>630967</v>
      </c>
      <c r="J1290" s="3">
        <v>0.17791779529733961</v>
      </c>
      <c r="K1290" s="3">
        <v>0.21642336287000746</v>
      </c>
      <c r="L1290" t="s">
        <v>377</v>
      </c>
    </row>
    <row r="1291" spans="1:12" x14ac:dyDescent="0.25">
      <c r="A1291" t="s">
        <v>487</v>
      </c>
      <c r="B1291" t="s">
        <v>455</v>
      </c>
      <c r="C1291" t="s">
        <v>477</v>
      </c>
      <c r="D1291" t="s">
        <v>401</v>
      </c>
      <c r="E1291" t="s">
        <v>403</v>
      </c>
      <c r="F1291">
        <v>1</v>
      </c>
      <c r="G1291" t="s">
        <v>499</v>
      </c>
      <c r="H1291" s="4">
        <v>767523</v>
      </c>
      <c r="I1291" s="4">
        <v>1076394</v>
      </c>
      <c r="J1291" s="3">
        <v>0.40242572535285587</v>
      </c>
      <c r="K1291" s="3">
        <v>-0.2869497600321072</v>
      </c>
      <c r="L1291" t="s">
        <v>377</v>
      </c>
    </row>
    <row r="1292" spans="1:12" x14ac:dyDescent="0.25">
      <c r="A1292" t="s">
        <v>487</v>
      </c>
      <c r="B1292" t="s">
        <v>455</v>
      </c>
      <c r="C1292" t="s">
        <v>477</v>
      </c>
      <c r="D1292" t="s">
        <v>401</v>
      </c>
      <c r="E1292" t="s">
        <v>405</v>
      </c>
      <c r="F1292">
        <v>2</v>
      </c>
      <c r="G1292" t="s">
        <v>488</v>
      </c>
      <c r="H1292" s="4">
        <v>894921</v>
      </c>
      <c r="I1292" s="4">
        <v>1027018.0821510134</v>
      </c>
      <c r="J1292" s="3">
        <v>0.14760753424158493</v>
      </c>
      <c r="K1292" s="3">
        <v>-0.12862196337804088</v>
      </c>
      <c r="L1292" t="s">
        <v>377</v>
      </c>
    </row>
    <row r="1293" spans="1:12" x14ac:dyDescent="0.25">
      <c r="A1293" t="s">
        <v>487</v>
      </c>
      <c r="B1293" t="s">
        <v>455</v>
      </c>
      <c r="C1293" t="s">
        <v>477</v>
      </c>
      <c r="D1293" t="s">
        <v>401</v>
      </c>
      <c r="E1293" t="s">
        <v>405</v>
      </c>
      <c r="F1293">
        <v>2</v>
      </c>
      <c r="G1293" t="s">
        <v>498</v>
      </c>
      <c r="H1293" s="4">
        <v>894921</v>
      </c>
      <c r="I1293" s="4">
        <v>1125282</v>
      </c>
      <c r="J1293" s="3">
        <v>0.2574093132242958</v>
      </c>
      <c r="K1293" s="3">
        <v>-0.20471401835273292</v>
      </c>
      <c r="L1293" t="s">
        <v>377</v>
      </c>
    </row>
    <row r="1294" spans="1:12" x14ac:dyDescent="0.25">
      <c r="A1294" t="s">
        <v>487</v>
      </c>
      <c r="B1294" t="s">
        <v>455</v>
      </c>
      <c r="C1294" t="s">
        <v>477</v>
      </c>
      <c r="D1294" t="s">
        <v>401</v>
      </c>
      <c r="E1294" t="s">
        <v>405</v>
      </c>
      <c r="F1294">
        <v>2</v>
      </c>
      <c r="G1294" t="s">
        <v>499</v>
      </c>
      <c r="H1294" s="4">
        <v>894921</v>
      </c>
      <c r="I1294" s="4">
        <v>1076394</v>
      </c>
      <c r="J1294" s="3">
        <v>0.20278102759908417</v>
      </c>
      <c r="K1294" s="3">
        <v>-0.1685934704206824</v>
      </c>
      <c r="L1294" t="s">
        <v>377</v>
      </c>
    </row>
    <row r="1295" spans="1:12" x14ac:dyDescent="0.25">
      <c r="A1295" t="s">
        <v>487</v>
      </c>
      <c r="B1295" t="s">
        <v>455</v>
      </c>
      <c r="C1295" t="s">
        <v>477</v>
      </c>
      <c r="D1295" t="s">
        <v>401</v>
      </c>
      <c r="E1295" t="s">
        <v>407</v>
      </c>
      <c r="F1295">
        <v>3</v>
      </c>
      <c r="G1295" t="s">
        <v>488</v>
      </c>
      <c r="H1295" s="4">
        <v>881211</v>
      </c>
      <c r="I1295" s="4">
        <v>713616.0325370748</v>
      </c>
      <c r="J1295" s="3">
        <v>0.19018710327370544</v>
      </c>
      <c r="K1295" s="3">
        <v>0.23485314205607918</v>
      </c>
      <c r="L1295" t="s">
        <v>377</v>
      </c>
    </row>
    <row r="1296" spans="1:12" x14ac:dyDescent="0.25">
      <c r="A1296" t="s">
        <v>487</v>
      </c>
      <c r="B1296" t="s">
        <v>455</v>
      </c>
      <c r="C1296" t="s">
        <v>477</v>
      </c>
      <c r="D1296" t="s">
        <v>401</v>
      </c>
      <c r="E1296" t="s">
        <v>407</v>
      </c>
      <c r="F1296">
        <v>3</v>
      </c>
      <c r="G1296" t="s">
        <v>498</v>
      </c>
      <c r="H1296" s="4">
        <v>881211</v>
      </c>
      <c r="I1296" s="4">
        <v>781894</v>
      </c>
      <c r="J1296" s="3">
        <v>0.11270512964545382</v>
      </c>
      <c r="K1296" s="3">
        <v>0.1270210540047628</v>
      </c>
      <c r="L1296" t="s">
        <v>377</v>
      </c>
    </row>
    <row r="1297" spans="1:12" x14ac:dyDescent="0.25">
      <c r="A1297" t="s">
        <v>487</v>
      </c>
      <c r="B1297" t="s">
        <v>455</v>
      </c>
      <c r="C1297" t="s">
        <v>477</v>
      </c>
      <c r="D1297" t="s">
        <v>401</v>
      </c>
      <c r="E1297" t="s">
        <v>407</v>
      </c>
      <c r="F1297">
        <v>3</v>
      </c>
      <c r="G1297" t="s">
        <v>499</v>
      </c>
      <c r="H1297" s="4">
        <v>881211</v>
      </c>
      <c r="I1297" s="4">
        <v>1076394</v>
      </c>
      <c r="J1297" s="3">
        <v>0.22149405760935803</v>
      </c>
      <c r="K1297" s="3">
        <v>-0.18133044219867447</v>
      </c>
      <c r="L1297" t="s">
        <v>377</v>
      </c>
    </row>
    <row r="1298" spans="1:12" x14ac:dyDescent="0.25">
      <c r="A1298" t="s">
        <v>487</v>
      </c>
      <c r="B1298" t="s">
        <v>455</v>
      </c>
      <c r="C1298" t="s">
        <v>477</v>
      </c>
      <c r="D1298" t="s">
        <v>403</v>
      </c>
      <c r="E1298" t="s">
        <v>405</v>
      </c>
      <c r="F1298">
        <v>1</v>
      </c>
      <c r="G1298" t="s">
        <v>488</v>
      </c>
      <c r="H1298" s="4">
        <v>894921</v>
      </c>
      <c r="I1298" s="4">
        <v>1090602.1180821268</v>
      </c>
      <c r="J1298" s="3">
        <v>0.21865742124961515</v>
      </c>
      <c r="K1298" s="3">
        <v>-0.17942484691506094</v>
      </c>
      <c r="L1298" t="s">
        <v>377</v>
      </c>
    </row>
    <row r="1299" spans="1:12" x14ac:dyDescent="0.25">
      <c r="A1299" t="s">
        <v>487</v>
      </c>
      <c r="B1299" t="s">
        <v>455</v>
      </c>
      <c r="C1299" t="s">
        <v>477</v>
      </c>
      <c r="D1299" t="s">
        <v>403</v>
      </c>
      <c r="E1299" t="s">
        <v>405</v>
      </c>
      <c r="F1299">
        <v>1</v>
      </c>
      <c r="G1299" t="s">
        <v>498</v>
      </c>
      <c r="H1299" s="4">
        <v>894921</v>
      </c>
      <c r="I1299" s="4">
        <v>1125282</v>
      </c>
      <c r="J1299" s="3">
        <v>0.2574093132242958</v>
      </c>
      <c r="K1299" s="3">
        <v>-0.20471401835273292</v>
      </c>
      <c r="L1299" t="s">
        <v>377</v>
      </c>
    </row>
    <row r="1300" spans="1:12" x14ac:dyDescent="0.25">
      <c r="A1300" t="s">
        <v>487</v>
      </c>
      <c r="B1300" t="s">
        <v>455</v>
      </c>
      <c r="C1300" t="s">
        <v>477</v>
      </c>
      <c r="D1300" t="s">
        <v>403</v>
      </c>
      <c r="E1300" t="s">
        <v>405</v>
      </c>
      <c r="F1300">
        <v>1</v>
      </c>
      <c r="G1300" t="s">
        <v>499</v>
      </c>
      <c r="H1300" s="4">
        <v>894921</v>
      </c>
      <c r="I1300" s="4">
        <v>767523</v>
      </c>
      <c r="J1300" s="3">
        <v>0.14235669964164435</v>
      </c>
      <c r="K1300" s="3">
        <v>0.16598590530837512</v>
      </c>
      <c r="L1300" t="s">
        <v>377</v>
      </c>
    </row>
    <row r="1301" spans="1:12" x14ac:dyDescent="0.25">
      <c r="A1301" t="s">
        <v>487</v>
      </c>
      <c r="B1301" t="s">
        <v>455</v>
      </c>
      <c r="C1301" t="s">
        <v>477</v>
      </c>
      <c r="D1301" t="s">
        <v>403</v>
      </c>
      <c r="E1301" t="s">
        <v>407</v>
      </c>
      <c r="F1301">
        <v>2</v>
      </c>
      <c r="G1301" t="s">
        <v>488</v>
      </c>
      <c r="H1301" s="4">
        <v>881211</v>
      </c>
      <c r="I1301" s="4">
        <v>757796.9366929414</v>
      </c>
      <c r="J1301" s="3">
        <v>0.14005052513763291</v>
      </c>
      <c r="K1301" s="3">
        <v>0.16285901582770043</v>
      </c>
      <c r="L1301" t="s">
        <v>377</v>
      </c>
    </row>
    <row r="1302" spans="1:12" x14ac:dyDescent="0.25">
      <c r="A1302" t="s">
        <v>487</v>
      </c>
      <c r="B1302" t="s">
        <v>455</v>
      </c>
      <c r="C1302" t="s">
        <v>477</v>
      </c>
      <c r="D1302" t="s">
        <v>403</v>
      </c>
      <c r="E1302" t="s">
        <v>407</v>
      </c>
      <c r="F1302">
        <v>2</v>
      </c>
      <c r="G1302" t="s">
        <v>498</v>
      </c>
      <c r="H1302" s="4">
        <v>881211</v>
      </c>
      <c r="I1302" s="4">
        <v>781894</v>
      </c>
      <c r="J1302" s="3">
        <v>0.11270512964545382</v>
      </c>
      <c r="K1302" s="3">
        <v>0.1270210540047628</v>
      </c>
      <c r="L1302" t="s">
        <v>377</v>
      </c>
    </row>
    <row r="1303" spans="1:12" x14ac:dyDescent="0.25">
      <c r="A1303" t="s">
        <v>487</v>
      </c>
      <c r="B1303" t="s">
        <v>455</v>
      </c>
      <c r="C1303" t="s">
        <v>477</v>
      </c>
      <c r="D1303" t="s">
        <v>403</v>
      </c>
      <c r="E1303" t="s">
        <v>407</v>
      </c>
      <c r="F1303">
        <v>2</v>
      </c>
      <c r="G1303" t="s">
        <v>499</v>
      </c>
      <c r="H1303" s="4">
        <v>881211</v>
      </c>
      <c r="I1303" s="4">
        <v>767523</v>
      </c>
      <c r="J1303" s="3">
        <v>0.1290133691022922</v>
      </c>
      <c r="K1303" s="3">
        <v>0.14812324842382574</v>
      </c>
      <c r="L1303" t="s">
        <v>377</v>
      </c>
    </row>
    <row r="1304" spans="1:12" x14ac:dyDescent="0.25">
      <c r="A1304" t="s">
        <v>487</v>
      </c>
      <c r="B1304" t="s">
        <v>455</v>
      </c>
      <c r="C1304" t="s">
        <v>477</v>
      </c>
      <c r="D1304" t="s">
        <v>403</v>
      </c>
      <c r="E1304" t="s">
        <v>409</v>
      </c>
      <c r="F1304">
        <v>3</v>
      </c>
      <c r="G1304" t="s">
        <v>488</v>
      </c>
      <c r="H1304" s="4">
        <v>1784869</v>
      </c>
      <c r="I1304" s="4">
        <v>872300.845260583</v>
      </c>
      <c r="J1304" s="3">
        <v>0.5112801862430335</v>
      </c>
      <c r="K1304" s="3">
        <v>1.0461621809695771</v>
      </c>
      <c r="L1304" t="s">
        <v>377</v>
      </c>
    </row>
    <row r="1305" spans="1:12" x14ac:dyDescent="0.25">
      <c r="A1305" t="s">
        <v>487</v>
      </c>
      <c r="B1305" t="s">
        <v>455</v>
      </c>
      <c r="C1305" t="s">
        <v>477</v>
      </c>
      <c r="D1305" t="s">
        <v>403</v>
      </c>
      <c r="E1305" t="s">
        <v>409</v>
      </c>
      <c r="F1305">
        <v>3</v>
      </c>
      <c r="G1305" t="s">
        <v>498</v>
      </c>
      <c r="H1305" s="4">
        <v>1784869</v>
      </c>
      <c r="I1305" s="4">
        <v>900039</v>
      </c>
      <c r="J1305" s="3">
        <v>0.49573946323231566</v>
      </c>
      <c r="K1305" s="3">
        <v>0.9831018433645653</v>
      </c>
      <c r="L1305" t="s">
        <v>377</v>
      </c>
    </row>
    <row r="1306" spans="1:12" x14ac:dyDescent="0.25">
      <c r="A1306" t="s">
        <v>487</v>
      </c>
      <c r="B1306" t="s">
        <v>455</v>
      </c>
      <c r="C1306" t="s">
        <v>477</v>
      </c>
      <c r="D1306" t="s">
        <v>403</v>
      </c>
      <c r="E1306" t="s">
        <v>409</v>
      </c>
      <c r="F1306">
        <v>3</v>
      </c>
      <c r="G1306" t="s">
        <v>499</v>
      </c>
      <c r="H1306" s="4">
        <v>1784869</v>
      </c>
      <c r="I1306" s="4">
        <v>767523</v>
      </c>
      <c r="J1306" s="3">
        <v>0.5699835674214746</v>
      </c>
      <c r="K1306" s="3">
        <v>1.3254925259568768</v>
      </c>
      <c r="L1306" t="s">
        <v>377</v>
      </c>
    </row>
    <row r="1307" spans="1:12" x14ac:dyDescent="0.25">
      <c r="A1307" t="s">
        <v>487</v>
      </c>
      <c r="B1307" t="s">
        <v>455</v>
      </c>
      <c r="C1307" t="s">
        <v>477</v>
      </c>
      <c r="D1307" t="s">
        <v>405</v>
      </c>
      <c r="E1307" t="s">
        <v>407</v>
      </c>
      <c r="F1307">
        <v>1</v>
      </c>
      <c r="G1307" t="s">
        <v>488</v>
      </c>
      <c r="H1307" s="4">
        <v>881211</v>
      </c>
      <c r="I1307" s="4">
        <v>747197.5078809009</v>
      </c>
      <c r="J1307" s="3">
        <v>0.15207877808958256</v>
      </c>
      <c r="K1307" s="3">
        <v>0.1793548435395212</v>
      </c>
      <c r="L1307" t="s">
        <v>377</v>
      </c>
    </row>
    <row r="1308" spans="1:12" x14ac:dyDescent="0.25">
      <c r="A1308" t="s">
        <v>487</v>
      </c>
      <c r="B1308" t="s">
        <v>455</v>
      </c>
      <c r="C1308" t="s">
        <v>477</v>
      </c>
      <c r="D1308" t="s">
        <v>405</v>
      </c>
      <c r="E1308" t="s">
        <v>407</v>
      </c>
      <c r="F1308">
        <v>1</v>
      </c>
      <c r="G1308" t="s">
        <v>498</v>
      </c>
      <c r="H1308" s="4">
        <v>881211</v>
      </c>
      <c r="I1308" s="4">
        <v>781894</v>
      </c>
      <c r="J1308" s="3">
        <v>0.11270512964545382</v>
      </c>
      <c r="K1308" s="3">
        <v>0.1270210540047628</v>
      </c>
      <c r="L1308" t="s">
        <v>377</v>
      </c>
    </row>
    <row r="1309" spans="1:12" x14ac:dyDescent="0.25">
      <c r="A1309" t="s">
        <v>487</v>
      </c>
      <c r="B1309" t="s">
        <v>455</v>
      </c>
      <c r="C1309" t="s">
        <v>477</v>
      </c>
      <c r="D1309" t="s">
        <v>405</v>
      </c>
      <c r="E1309" t="s">
        <v>407</v>
      </c>
      <c r="F1309">
        <v>1</v>
      </c>
      <c r="G1309" t="s">
        <v>499</v>
      </c>
      <c r="H1309" s="4">
        <v>881211</v>
      </c>
      <c r="I1309" s="4">
        <v>894921</v>
      </c>
      <c r="J1309" s="3">
        <v>0.015558135338755417</v>
      </c>
      <c r="K1309" s="3">
        <v>-0.01531978800363384</v>
      </c>
      <c r="L1309" t="s">
        <v>377</v>
      </c>
    </row>
    <row r="1310" spans="1:12" x14ac:dyDescent="0.25">
      <c r="A1310" t="s">
        <v>487</v>
      </c>
      <c r="B1310" t="s">
        <v>455</v>
      </c>
      <c r="C1310" t="s">
        <v>477</v>
      </c>
      <c r="D1310" t="s">
        <v>405</v>
      </c>
      <c r="E1310" t="s">
        <v>409</v>
      </c>
      <c r="F1310">
        <v>2</v>
      </c>
      <c r="G1310" t="s">
        <v>488</v>
      </c>
      <c r="H1310" s="4">
        <v>1784869</v>
      </c>
      <c r="I1310" s="4">
        <v>860099.8316851365</v>
      </c>
      <c r="J1310" s="3">
        <v>0.5181159896411801</v>
      </c>
      <c r="K1310" s="3">
        <v>1.0751881749622303</v>
      </c>
      <c r="L1310" t="s">
        <v>377</v>
      </c>
    </row>
    <row r="1311" spans="1:12" x14ac:dyDescent="0.25">
      <c r="A1311" t="s">
        <v>487</v>
      </c>
      <c r="B1311" t="s">
        <v>455</v>
      </c>
      <c r="C1311" t="s">
        <v>477</v>
      </c>
      <c r="D1311" t="s">
        <v>405</v>
      </c>
      <c r="E1311" t="s">
        <v>409</v>
      </c>
      <c r="F1311">
        <v>2</v>
      </c>
      <c r="G1311" t="s">
        <v>498</v>
      </c>
      <c r="H1311" s="4">
        <v>1784869</v>
      </c>
      <c r="I1311" s="4">
        <v>900039</v>
      </c>
      <c r="J1311" s="3">
        <v>0.49573946323231566</v>
      </c>
      <c r="K1311" s="3">
        <v>0.9831018433645653</v>
      </c>
      <c r="L1311" t="s">
        <v>377</v>
      </c>
    </row>
    <row r="1312" spans="1:12" x14ac:dyDescent="0.25">
      <c r="A1312" t="s">
        <v>487</v>
      </c>
      <c r="B1312" t="s">
        <v>455</v>
      </c>
      <c r="C1312" t="s">
        <v>477</v>
      </c>
      <c r="D1312" t="s">
        <v>405</v>
      </c>
      <c r="E1312" t="s">
        <v>409</v>
      </c>
      <c r="F1312">
        <v>2</v>
      </c>
      <c r="G1312" t="s">
        <v>499</v>
      </c>
      <c r="H1312" s="4">
        <v>1784869</v>
      </c>
      <c r="I1312" s="4">
        <v>894921</v>
      </c>
      <c r="J1312" s="3">
        <v>0.4986069005624502</v>
      </c>
      <c r="K1312" s="3">
        <v>0.9944430849203449</v>
      </c>
      <c r="L1312" t="s">
        <v>377</v>
      </c>
    </row>
    <row r="1313" spans="1:12" x14ac:dyDescent="0.25">
      <c r="A1313" t="s">
        <v>487</v>
      </c>
      <c r="B1313" t="s">
        <v>455</v>
      </c>
      <c r="C1313" t="s">
        <v>477</v>
      </c>
      <c r="D1313" t="s">
        <v>405</v>
      </c>
      <c r="E1313" t="s">
        <v>411</v>
      </c>
      <c r="F1313">
        <v>3</v>
      </c>
      <c r="G1313" t="s">
        <v>488</v>
      </c>
      <c r="H1313" s="4">
        <v>1092735</v>
      </c>
      <c r="I1313" s="4">
        <v>927445.5971890165</v>
      </c>
      <c r="J1313" s="3">
        <v>0.1512621109518625</v>
      </c>
      <c r="K1313" s="3">
        <v>0.17822005227256144</v>
      </c>
      <c r="L1313" t="s">
        <v>377</v>
      </c>
    </row>
    <row r="1314" spans="1:12" x14ac:dyDescent="0.25">
      <c r="A1314" t="s">
        <v>487</v>
      </c>
      <c r="B1314" t="s">
        <v>455</v>
      </c>
      <c r="C1314" t="s">
        <v>477</v>
      </c>
      <c r="D1314" t="s">
        <v>405</v>
      </c>
      <c r="E1314" t="s">
        <v>411</v>
      </c>
      <c r="F1314">
        <v>3</v>
      </c>
      <c r="G1314" t="s">
        <v>498</v>
      </c>
      <c r="H1314" s="4">
        <v>1092735</v>
      </c>
      <c r="I1314" s="4">
        <v>970512</v>
      </c>
      <c r="J1314" s="3">
        <v>0.11185054015840987</v>
      </c>
      <c r="K1314" s="3">
        <v>0.12593661902171224</v>
      </c>
      <c r="L1314" t="s">
        <v>377</v>
      </c>
    </row>
    <row r="1315" spans="1:12" x14ac:dyDescent="0.25">
      <c r="A1315" t="s">
        <v>487</v>
      </c>
      <c r="B1315" t="s">
        <v>455</v>
      </c>
      <c r="C1315" t="s">
        <v>477</v>
      </c>
      <c r="D1315" t="s">
        <v>405</v>
      </c>
      <c r="E1315" t="s">
        <v>411</v>
      </c>
      <c r="F1315">
        <v>3</v>
      </c>
      <c r="G1315" t="s">
        <v>499</v>
      </c>
      <c r="H1315" s="4">
        <v>1092735</v>
      </c>
      <c r="I1315" s="4">
        <v>894921</v>
      </c>
      <c r="J1315" s="3">
        <v>0.18102650688410274</v>
      </c>
      <c r="K1315" s="3">
        <v>0.2210407399088858</v>
      </c>
      <c r="L1315" t="s">
        <v>377</v>
      </c>
    </row>
    <row r="1316" spans="1:12" x14ac:dyDescent="0.25">
      <c r="A1316" t="s">
        <v>487</v>
      </c>
      <c r="B1316" t="s">
        <v>455</v>
      </c>
      <c r="C1316" t="s">
        <v>477</v>
      </c>
      <c r="D1316" t="s">
        <v>407</v>
      </c>
      <c r="E1316" t="s">
        <v>409</v>
      </c>
      <c r="F1316">
        <v>1</v>
      </c>
      <c r="G1316" t="s">
        <v>488</v>
      </c>
      <c r="H1316" s="4">
        <v>1784869</v>
      </c>
      <c r="I1316" s="4">
        <v>868161.9973167564</v>
      </c>
      <c r="J1316" s="3">
        <v>0.5135990387435961</v>
      </c>
      <c r="K1316" s="3">
        <v>1.0559169895901066</v>
      </c>
      <c r="L1316" t="s">
        <v>377</v>
      </c>
    </row>
    <row r="1317" spans="1:12" x14ac:dyDescent="0.25">
      <c r="A1317" t="s">
        <v>487</v>
      </c>
      <c r="B1317" t="s">
        <v>455</v>
      </c>
      <c r="C1317" t="s">
        <v>477</v>
      </c>
      <c r="D1317" t="s">
        <v>407</v>
      </c>
      <c r="E1317" t="s">
        <v>409</v>
      </c>
      <c r="F1317">
        <v>1</v>
      </c>
      <c r="G1317" t="s">
        <v>498</v>
      </c>
      <c r="H1317" s="4">
        <v>1784869</v>
      </c>
      <c r="I1317" s="4">
        <v>900039</v>
      </c>
      <c r="J1317" s="3">
        <v>0.49573946323231566</v>
      </c>
      <c r="K1317" s="3">
        <v>0.9831018433645653</v>
      </c>
      <c r="L1317" t="s">
        <v>377</v>
      </c>
    </row>
    <row r="1318" spans="1:12" x14ac:dyDescent="0.25">
      <c r="A1318" t="s">
        <v>487</v>
      </c>
      <c r="B1318" t="s">
        <v>455</v>
      </c>
      <c r="C1318" t="s">
        <v>477</v>
      </c>
      <c r="D1318" t="s">
        <v>407</v>
      </c>
      <c r="E1318" t="s">
        <v>409</v>
      </c>
      <c r="F1318">
        <v>1</v>
      </c>
      <c r="G1318" t="s">
        <v>499</v>
      </c>
      <c r="H1318" s="4">
        <v>1784869</v>
      </c>
      <c r="I1318" s="4">
        <v>881211</v>
      </c>
      <c r="J1318" s="3">
        <v>0.5062881365523184</v>
      </c>
      <c r="K1318" s="3">
        <v>1.0254729003609806</v>
      </c>
      <c r="L1318" t="s">
        <v>377</v>
      </c>
    </row>
    <row r="1319" spans="1:12" x14ac:dyDescent="0.25">
      <c r="A1319" t="s">
        <v>487</v>
      </c>
      <c r="B1319" t="s">
        <v>455</v>
      </c>
      <c r="C1319" t="s">
        <v>477</v>
      </c>
      <c r="D1319" t="s">
        <v>407</v>
      </c>
      <c r="E1319" t="s">
        <v>411</v>
      </c>
      <c r="F1319">
        <v>2</v>
      </c>
      <c r="G1319" t="s">
        <v>488</v>
      </c>
      <c r="H1319" s="4">
        <v>1092735</v>
      </c>
      <c r="I1319" s="4">
        <v>936139.0299085705</v>
      </c>
      <c r="J1319" s="3">
        <v>0.14330644675189277</v>
      </c>
      <c r="K1319" s="3">
        <v>0.1672785399266215</v>
      </c>
      <c r="L1319" t="s">
        <v>377</v>
      </c>
    </row>
    <row r="1320" spans="1:12" x14ac:dyDescent="0.25">
      <c r="A1320" t="s">
        <v>487</v>
      </c>
      <c r="B1320" t="s">
        <v>455</v>
      </c>
      <c r="C1320" t="s">
        <v>477</v>
      </c>
      <c r="D1320" t="s">
        <v>407</v>
      </c>
      <c r="E1320" t="s">
        <v>411</v>
      </c>
      <c r="F1320">
        <v>2</v>
      </c>
      <c r="G1320" t="s">
        <v>498</v>
      </c>
      <c r="H1320" s="4">
        <v>1092735</v>
      </c>
      <c r="I1320" s="4">
        <v>970512</v>
      </c>
      <c r="J1320" s="3">
        <v>0.11185054015840987</v>
      </c>
      <c r="K1320" s="3">
        <v>0.12593661902171224</v>
      </c>
      <c r="L1320" t="s">
        <v>377</v>
      </c>
    </row>
    <row r="1321" spans="1:12" x14ac:dyDescent="0.25">
      <c r="A1321" t="s">
        <v>487</v>
      </c>
      <c r="B1321" t="s">
        <v>455</v>
      </c>
      <c r="C1321" t="s">
        <v>477</v>
      </c>
      <c r="D1321" t="s">
        <v>407</v>
      </c>
      <c r="E1321" t="s">
        <v>411</v>
      </c>
      <c r="F1321">
        <v>2</v>
      </c>
      <c r="G1321" t="s">
        <v>499</v>
      </c>
      <c r="H1321" s="4">
        <v>1092735</v>
      </c>
      <c r="I1321" s="4">
        <v>881211</v>
      </c>
      <c r="J1321" s="3">
        <v>0.19357300717923376</v>
      </c>
      <c r="K1321" s="3">
        <v>0.24003785699452232</v>
      </c>
      <c r="L1321" t="s">
        <v>377</v>
      </c>
    </row>
    <row r="1322" spans="1:12" x14ac:dyDescent="0.25">
      <c r="A1322" t="s">
        <v>487</v>
      </c>
      <c r="B1322" t="s">
        <v>455</v>
      </c>
      <c r="C1322" t="s">
        <v>477</v>
      </c>
      <c r="D1322" t="s">
        <v>407</v>
      </c>
      <c r="E1322" t="s">
        <v>413</v>
      </c>
      <c r="F1322">
        <v>3</v>
      </c>
      <c r="G1322" t="s">
        <v>488</v>
      </c>
      <c r="H1322" s="4">
        <v>1226468</v>
      </c>
      <c r="I1322" s="4">
        <v>1095788.067714592</v>
      </c>
      <c r="J1322" s="3">
        <v>0.1065498099301474</v>
      </c>
      <c r="K1322" s="3">
        <v>0.11925657536859108</v>
      </c>
      <c r="L1322" t="s">
        <v>377</v>
      </c>
    </row>
    <row r="1323" spans="1:12" x14ac:dyDescent="0.25">
      <c r="A1323" t="s">
        <v>487</v>
      </c>
      <c r="B1323" t="s">
        <v>455</v>
      </c>
      <c r="C1323" t="s">
        <v>477</v>
      </c>
      <c r="D1323" t="s">
        <v>407</v>
      </c>
      <c r="E1323" t="s">
        <v>413</v>
      </c>
      <c r="F1323">
        <v>3</v>
      </c>
      <c r="G1323" t="s">
        <v>498</v>
      </c>
      <c r="H1323" s="4">
        <v>1226468</v>
      </c>
      <c r="I1323" s="4">
        <v>1136023</v>
      </c>
      <c r="J1323" s="3">
        <v>0.07374428032366112</v>
      </c>
      <c r="K1323" s="3">
        <v>0.07961546553194786</v>
      </c>
      <c r="L1323" t="s">
        <v>377</v>
      </c>
    </row>
    <row r="1324" spans="1:12" x14ac:dyDescent="0.25">
      <c r="A1324" t="s">
        <v>487</v>
      </c>
      <c r="B1324" t="s">
        <v>455</v>
      </c>
      <c r="C1324" t="s">
        <v>477</v>
      </c>
      <c r="D1324" t="s">
        <v>407</v>
      </c>
      <c r="E1324" t="s">
        <v>413</v>
      </c>
      <c r="F1324">
        <v>3</v>
      </c>
      <c r="G1324" t="s">
        <v>499</v>
      </c>
      <c r="H1324" s="4">
        <v>1226468</v>
      </c>
      <c r="I1324" s="4">
        <v>881211</v>
      </c>
      <c r="J1324" s="3">
        <v>0.28150510245681093</v>
      </c>
      <c r="K1324" s="3">
        <v>0.3917983320680291</v>
      </c>
      <c r="L1324" t="s">
        <v>377</v>
      </c>
    </row>
    <row r="1325" spans="1:12" x14ac:dyDescent="0.25">
      <c r="A1325" t="s">
        <v>487</v>
      </c>
      <c r="B1325" t="s">
        <v>455</v>
      </c>
      <c r="C1325" t="s">
        <v>477</v>
      </c>
      <c r="D1325" t="s">
        <v>409</v>
      </c>
      <c r="E1325" t="s">
        <v>411</v>
      </c>
      <c r="F1325">
        <v>1</v>
      </c>
      <c r="G1325" t="s">
        <v>488</v>
      </c>
      <c r="H1325" s="4">
        <v>1092735</v>
      </c>
      <c r="I1325" s="4">
        <v>1015428.5242584652</v>
      </c>
      <c r="J1325" s="3">
        <v>0.0707458585489939</v>
      </c>
      <c r="K1325" s="3">
        <v>0.07613187328767358</v>
      </c>
      <c r="L1325" t="s">
        <v>377</v>
      </c>
    </row>
    <row r="1326" spans="1:12" x14ac:dyDescent="0.25">
      <c r="A1326" t="s">
        <v>487</v>
      </c>
      <c r="B1326" t="s">
        <v>455</v>
      </c>
      <c r="C1326" t="s">
        <v>477</v>
      </c>
      <c r="D1326" t="s">
        <v>409</v>
      </c>
      <c r="E1326" t="s">
        <v>411</v>
      </c>
      <c r="F1326">
        <v>1</v>
      </c>
      <c r="G1326" t="s">
        <v>498</v>
      </c>
      <c r="H1326" s="4">
        <v>1092735</v>
      </c>
      <c r="I1326" s="4">
        <v>970512</v>
      </c>
      <c r="J1326" s="3">
        <v>0.11185054015840987</v>
      </c>
      <c r="K1326" s="3">
        <v>0.12593661902171224</v>
      </c>
      <c r="L1326" t="s">
        <v>377</v>
      </c>
    </row>
    <row r="1327" spans="1:12" x14ac:dyDescent="0.25">
      <c r="A1327" t="s">
        <v>487</v>
      </c>
      <c r="B1327" t="s">
        <v>455</v>
      </c>
      <c r="C1327" t="s">
        <v>477</v>
      </c>
      <c r="D1327" t="s">
        <v>409</v>
      </c>
      <c r="E1327" t="s">
        <v>411</v>
      </c>
      <c r="F1327">
        <v>1</v>
      </c>
      <c r="G1327" t="s">
        <v>499</v>
      </c>
      <c r="H1327" s="4">
        <v>1092735</v>
      </c>
      <c r="I1327" s="4">
        <v>1784869</v>
      </c>
      <c r="J1327" s="3">
        <v>0.6333960200780611</v>
      </c>
      <c r="K1327" s="3">
        <v>-0.38777859887756466</v>
      </c>
      <c r="L1327" t="s">
        <v>377</v>
      </c>
    </row>
    <row r="1328" spans="1:12" x14ac:dyDescent="0.25">
      <c r="A1328" t="s">
        <v>487</v>
      </c>
      <c r="B1328" t="s">
        <v>455</v>
      </c>
      <c r="C1328" t="s">
        <v>477</v>
      </c>
      <c r="D1328" t="s">
        <v>409</v>
      </c>
      <c r="E1328" t="s">
        <v>413</v>
      </c>
      <c r="F1328">
        <v>2</v>
      </c>
      <c r="G1328" t="s">
        <v>488</v>
      </c>
      <c r="H1328" s="4">
        <v>1226468</v>
      </c>
      <c r="I1328" s="4">
        <v>1188599.5829146618</v>
      </c>
      <c r="J1328" s="3">
        <v>0.030875992757526612</v>
      </c>
      <c r="K1328" s="3">
        <v>0.03185969238898597</v>
      </c>
      <c r="L1328" t="s">
        <v>377</v>
      </c>
    </row>
    <row r="1329" spans="1:12" x14ac:dyDescent="0.25">
      <c r="A1329" t="s">
        <v>487</v>
      </c>
      <c r="B1329" t="s">
        <v>455</v>
      </c>
      <c r="C1329" t="s">
        <v>477</v>
      </c>
      <c r="D1329" t="s">
        <v>409</v>
      </c>
      <c r="E1329" t="s">
        <v>413</v>
      </c>
      <c r="F1329">
        <v>2</v>
      </c>
      <c r="G1329" t="s">
        <v>498</v>
      </c>
      <c r="H1329" s="4">
        <v>1226468</v>
      </c>
      <c r="I1329" s="4">
        <v>1136023</v>
      </c>
      <c r="J1329" s="3">
        <v>0.07374428032366112</v>
      </c>
      <c r="K1329" s="3">
        <v>0.07961546553194786</v>
      </c>
      <c r="L1329" t="s">
        <v>377</v>
      </c>
    </row>
    <row r="1330" spans="1:12" x14ac:dyDescent="0.25">
      <c r="A1330" t="s">
        <v>487</v>
      </c>
      <c r="B1330" t="s">
        <v>455</v>
      </c>
      <c r="C1330" t="s">
        <v>477</v>
      </c>
      <c r="D1330" t="s">
        <v>409</v>
      </c>
      <c r="E1330" t="s">
        <v>413</v>
      </c>
      <c r="F1330">
        <v>2</v>
      </c>
      <c r="G1330" t="s">
        <v>499</v>
      </c>
      <c r="H1330" s="4">
        <v>1226468</v>
      </c>
      <c r="I1330" s="4">
        <v>1784869</v>
      </c>
      <c r="J1330" s="3">
        <v>0.4552919440213687</v>
      </c>
      <c r="K1330" s="3">
        <v>-0.3128526519313182</v>
      </c>
      <c r="L1330" t="s">
        <v>377</v>
      </c>
    </row>
    <row r="1331" spans="1:12" x14ac:dyDescent="0.25">
      <c r="A1331" t="s">
        <v>487</v>
      </c>
      <c r="B1331" t="s">
        <v>455</v>
      </c>
      <c r="C1331" t="s">
        <v>477</v>
      </c>
      <c r="D1331" t="s">
        <v>409</v>
      </c>
      <c r="E1331" t="s">
        <v>415</v>
      </c>
      <c r="F1331">
        <v>3</v>
      </c>
      <c r="G1331" t="s">
        <v>488</v>
      </c>
      <c r="H1331" s="4">
        <v>1414501</v>
      </c>
      <c r="I1331" s="4">
        <v>1143827.1149698368</v>
      </c>
      <c r="J1331" s="3">
        <v>0.1913564465703193</v>
      </c>
      <c r="K1331" s="3">
        <v>0.23663880798743</v>
      </c>
      <c r="L1331" t="s">
        <v>377</v>
      </c>
    </row>
    <row r="1332" spans="1:12" x14ac:dyDescent="0.25">
      <c r="A1332" t="s">
        <v>487</v>
      </c>
      <c r="B1332" t="s">
        <v>455</v>
      </c>
      <c r="C1332" t="s">
        <v>477</v>
      </c>
      <c r="D1332" t="s">
        <v>409</v>
      </c>
      <c r="E1332" t="s">
        <v>415</v>
      </c>
      <c r="F1332">
        <v>3</v>
      </c>
      <c r="G1332" t="s">
        <v>498</v>
      </c>
      <c r="H1332" s="4">
        <v>1414501</v>
      </c>
      <c r="I1332" s="4">
        <v>1093231</v>
      </c>
      <c r="J1332" s="3">
        <v>0.22712603243122487</v>
      </c>
      <c r="K1332" s="3">
        <v>0.2938720178992363</v>
      </c>
      <c r="L1332" t="s">
        <v>377</v>
      </c>
    </row>
    <row r="1333" spans="1:12" x14ac:dyDescent="0.25">
      <c r="A1333" t="s">
        <v>487</v>
      </c>
      <c r="B1333" t="s">
        <v>455</v>
      </c>
      <c r="C1333" t="s">
        <v>477</v>
      </c>
      <c r="D1333" t="s">
        <v>409</v>
      </c>
      <c r="E1333" t="s">
        <v>415</v>
      </c>
      <c r="F1333">
        <v>3</v>
      </c>
      <c r="G1333" t="s">
        <v>499</v>
      </c>
      <c r="H1333" s="4">
        <v>1414501</v>
      </c>
      <c r="I1333" s="4">
        <v>1784869</v>
      </c>
      <c r="J1333" s="3">
        <v>0.2618365063015155</v>
      </c>
      <c r="K1333" s="3">
        <v>-0.20750430423745383</v>
      </c>
      <c r="L1333" t="s">
        <v>377</v>
      </c>
    </row>
    <row r="1334" spans="1:12" x14ac:dyDescent="0.25">
      <c r="A1334" t="s">
        <v>487</v>
      </c>
      <c r="B1334" t="s">
        <v>455</v>
      </c>
      <c r="C1334" t="s">
        <v>477</v>
      </c>
      <c r="D1334" t="s">
        <v>411</v>
      </c>
      <c r="E1334" t="s">
        <v>413</v>
      </c>
      <c r="F1334">
        <v>1</v>
      </c>
      <c r="G1334" t="s">
        <v>488</v>
      </c>
      <c r="H1334" s="4">
        <v>1226468</v>
      </c>
      <c r="I1334" s="4">
        <v>1226997.8975903927</v>
      </c>
      <c r="J1334" s="3">
        <v>0.0004320517048897606</v>
      </c>
      <c r="K1334" s="3">
        <v>-0.00043186511682975185</v>
      </c>
      <c r="L1334" t="s">
        <v>377</v>
      </c>
    </row>
    <row r="1335" spans="1:12" x14ac:dyDescent="0.25">
      <c r="A1335" t="s">
        <v>487</v>
      </c>
      <c r="B1335" t="s">
        <v>455</v>
      </c>
      <c r="C1335" t="s">
        <v>477</v>
      </c>
      <c r="D1335" t="s">
        <v>411</v>
      </c>
      <c r="E1335" t="s">
        <v>413</v>
      </c>
      <c r="F1335">
        <v>1</v>
      </c>
      <c r="G1335" t="s">
        <v>498</v>
      </c>
      <c r="H1335" s="4">
        <v>1226468</v>
      </c>
      <c r="I1335" s="4">
        <v>1136023</v>
      </c>
      <c r="J1335" s="3">
        <v>0.07374428032366112</v>
      </c>
      <c r="K1335" s="3">
        <v>0.07961546553194786</v>
      </c>
      <c r="L1335" t="s">
        <v>377</v>
      </c>
    </row>
    <row r="1336" spans="1:12" x14ac:dyDescent="0.25">
      <c r="A1336" t="s">
        <v>487</v>
      </c>
      <c r="B1336" t="s">
        <v>455</v>
      </c>
      <c r="C1336" t="s">
        <v>477</v>
      </c>
      <c r="D1336" t="s">
        <v>411</v>
      </c>
      <c r="E1336" t="s">
        <v>413</v>
      </c>
      <c r="F1336">
        <v>1</v>
      </c>
      <c r="G1336" t="s">
        <v>499</v>
      </c>
      <c r="H1336" s="4">
        <v>1226468</v>
      </c>
      <c r="I1336" s="4">
        <v>1092735</v>
      </c>
      <c r="J1336" s="3">
        <v>0.10903912698904497</v>
      </c>
      <c r="K1336" s="3">
        <v>0.12238374354257894</v>
      </c>
      <c r="L1336" t="s">
        <v>377</v>
      </c>
    </row>
    <row r="1337" spans="1:12" x14ac:dyDescent="0.25">
      <c r="A1337" t="s">
        <v>487</v>
      </c>
      <c r="B1337" t="s">
        <v>455</v>
      </c>
      <c r="C1337" t="s">
        <v>477</v>
      </c>
      <c r="D1337" t="s">
        <v>411</v>
      </c>
      <c r="E1337" t="s">
        <v>415</v>
      </c>
      <c r="F1337">
        <v>2</v>
      </c>
      <c r="G1337" t="s">
        <v>488</v>
      </c>
      <c r="H1337" s="4">
        <v>1414501</v>
      </c>
      <c r="I1337" s="4">
        <v>1180779.03227368</v>
      </c>
      <c r="J1337" s="3">
        <v>0.16523280487346423</v>
      </c>
      <c r="K1337" s="3">
        <v>0.1979387856136559</v>
      </c>
      <c r="L1337" t="s">
        <v>377</v>
      </c>
    </row>
    <row r="1338" spans="1:12" x14ac:dyDescent="0.25">
      <c r="A1338" t="s">
        <v>487</v>
      </c>
      <c r="B1338" t="s">
        <v>455</v>
      </c>
      <c r="C1338" t="s">
        <v>477</v>
      </c>
      <c r="D1338" t="s">
        <v>411</v>
      </c>
      <c r="E1338" t="s">
        <v>415</v>
      </c>
      <c r="F1338">
        <v>2</v>
      </c>
      <c r="G1338" t="s">
        <v>498</v>
      </c>
      <c r="H1338" s="4">
        <v>1414501</v>
      </c>
      <c r="I1338" s="4">
        <v>1093231</v>
      </c>
      <c r="J1338" s="3">
        <v>0.22712603243122487</v>
      </c>
      <c r="K1338" s="3">
        <v>0.2938720178992363</v>
      </c>
      <c r="L1338" t="s">
        <v>377</v>
      </c>
    </row>
    <row r="1339" spans="1:12" x14ac:dyDescent="0.25">
      <c r="A1339" t="s">
        <v>487</v>
      </c>
      <c r="B1339" t="s">
        <v>455</v>
      </c>
      <c r="C1339" t="s">
        <v>477</v>
      </c>
      <c r="D1339" t="s">
        <v>411</v>
      </c>
      <c r="E1339" t="s">
        <v>415</v>
      </c>
      <c r="F1339">
        <v>2</v>
      </c>
      <c r="G1339" t="s">
        <v>499</v>
      </c>
      <c r="H1339" s="4">
        <v>1414501</v>
      </c>
      <c r="I1339" s="4">
        <v>1092735</v>
      </c>
      <c r="J1339" s="3">
        <v>0.2274766861246475</v>
      </c>
      <c r="K1339" s="3">
        <v>0.2944593153875368</v>
      </c>
      <c r="L1339" t="s">
        <v>377</v>
      </c>
    </row>
    <row r="1340" spans="1:12" x14ac:dyDescent="0.25">
      <c r="A1340" t="s">
        <v>487</v>
      </c>
      <c r="B1340" t="s">
        <v>455</v>
      </c>
      <c r="C1340" t="s">
        <v>477</v>
      </c>
      <c r="D1340" t="s">
        <v>411</v>
      </c>
      <c r="E1340" t="s">
        <v>417</v>
      </c>
      <c r="F1340">
        <v>3</v>
      </c>
      <c r="G1340" t="s">
        <v>488</v>
      </c>
      <c r="H1340" s="4">
        <v>1541998</v>
      </c>
      <c r="I1340" s="4">
        <v>1875284.6647524182</v>
      </c>
      <c r="J1340" s="3">
        <v>0.21613949223826373</v>
      </c>
      <c r="K1340" s="3">
        <v>-0.17772590530751228</v>
      </c>
      <c r="L1340" t="s">
        <v>377</v>
      </c>
    </row>
    <row r="1341" spans="1:12" x14ac:dyDescent="0.25">
      <c r="A1341" t="s">
        <v>487</v>
      </c>
      <c r="B1341" t="s">
        <v>455</v>
      </c>
      <c r="C1341" t="s">
        <v>477</v>
      </c>
      <c r="D1341" t="s">
        <v>411</v>
      </c>
      <c r="E1341" t="s">
        <v>417</v>
      </c>
      <c r="F1341">
        <v>3</v>
      </c>
      <c r="G1341" t="s">
        <v>498</v>
      </c>
      <c r="H1341" s="4">
        <v>1541998</v>
      </c>
      <c r="I1341" s="4">
        <v>1736243</v>
      </c>
      <c r="J1341" s="3">
        <v>0.12596968348856483</v>
      </c>
      <c r="K1341" s="3">
        <v>-0.11187662095685914</v>
      </c>
      <c r="L1341" t="s">
        <v>377</v>
      </c>
    </row>
    <row r="1342" spans="1:12" x14ac:dyDescent="0.25">
      <c r="A1342" t="s">
        <v>487</v>
      </c>
      <c r="B1342" t="s">
        <v>455</v>
      </c>
      <c r="C1342" t="s">
        <v>477</v>
      </c>
      <c r="D1342" t="s">
        <v>411</v>
      </c>
      <c r="E1342" t="s">
        <v>417</v>
      </c>
      <c r="F1342">
        <v>3</v>
      </c>
      <c r="G1342" t="s">
        <v>499</v>
      </c>
      <c r="H1342" s="4">
        <v>1541998</v>
      </c>
      <c r="I1342" s="4">
        <v>1092735</v>
      </c>
      <c r="J1342" s="3">
        <v>0.2913512209484059</v>
      </c>
      <c r="K1342" s="3">
        <v>0.41113627732249813</v>
      </c>
      <c r="L1342" t="s">
        <v>377</v>
      </c>
    </row>
    <row r="1343" spans="1:12" x14ac:dyDescent="0.25">
      <c r="A1343" t="s">
        <v>487</v>
      </c>
      <c r="B1343" t="s">
        <v>455</v>
      </c>
      <c r="C1343" t="s">
        <v>477</v>
      </c>
      <c r="D1343" t="s">
        <v>413</v>
      </c>
      <c r="E1343" t="s">
        <v>415</v>
      </c>
      <c r="F1343">
        <v>1</v>
      </c>
      <c r="G1343" t="s">
        <v>488</v>
      </c>
      <c r="H1343" s="4">
        <v>1414501</v>
      </c>
      <c r="I1343" s="4">
        <v>1203856.5517298244</v>
      </c>
      <c r="J1343" s="3">
        <v>0.14891785037279975</v>
      </c>
      <c r="K1343" s="3">
        <v>0.1749747077153836</v>
      </c>
      <c r="L1343" t="s">
        <v>377</v>
      </c>
    </row>
    <row r="1344" spans="1:12" x14ac:dyDescent="0.25">
      <c r="A1344" t="s">
        <v>487</v>
      </c>
      <c r="B1344" t="s">
        <v>455</v>
      </c>
      <c r="C1344" t="s">
        <v>477</v>
      </c>
      <c r="D1344" t="s">
        <v>413</v>
      </c>
      <c r="E1344" t="s">
        <v>415</v>
      </c>
      <c r="F1344">
        <v>1</v>
      </c>
      <c r="G1344" t="s">
        <v>498</v>
      </c>
      <c r="H1344" s="4">
        <v>1414501</v>
      </c>
      <c r="I1344" s="4">
        <v>1093231</v>
      </c>
      <c r="J1344" s="3">
        <v>0.22712603243122487</v>
      </c>
      <c r="K1344" s="3">
        <v>0.2938720178992363</v>
      </c>
      <c r="L1344" t="s">
        <v>377</v>
      </c>
    </row>
    <row r="1345" spans="1:12" x14ac:dyDescent="0.25">
      <c r="A1345" t="s">
        <v>487</v>
      </c>
      <c r="B1345" t="s">
        <v>455</v>
      </c>
      <c r="C1345" t="s">
        <v>477</v>
      </c>
      <c r="D1345" t="s">
        <v>413</v>
      </c>
      <c r="E1345" t="s">
        <v>415</v>
      </c>
      <c r="F1345">
        <v>1</v>
      </c>
      <c r="G1345" t="s">
        <v>499</v>
      </c>
      <c r="H1345" s="4">
        <v>1414501</v>
      </c>
      <c r="I1345" s="4">
        <v>1226468</v>
      </c>
      <c r="J1345" s="3">
        <v>0.13293239099866314</v>
      </c>
      <c r="K1345" s="3">
        <v>0.15331260171484296</v>
      </c>
      <c r="L1345" t="s">
        <v>377</v>
      </c>
    </row>
    <row r="1346" spans="1:12" x14ac:dyDescent="0.25">
      <c r="A1346" t="s">
        <v>487</v>
      </c>
      <c r="B1346" t="s">
        <v>455</v>
      </c>
      <c r="C1346" t="s">
        <v>477</v>
      </c>
      <c r="D1346" t="s">
        <v>413</v>
      </c>
      <c r="E1346" t="s">
        <v>417</v>
      </c>
      <c r="F1346">
        <v>2</v>
      </c>
      <c r="G1346" t="s">
        <v>488</v>
      </c>
      <c r="H1346" s="4">
        <v>1541998</v>
      </c>
      <c r="I1346" s="4">
        <v>1911935.8222965186</v>
      </c>
      <c r="J1346" s="3">
        <v>0.23990810772550847</v>
      </c>
      <c r="K1346" s="3">
        <v>-0.19348861922162658</v>
      </c>
      <c r="L1346" t="s">
        <v>377</v>
      </c>
    </row>
    <row r="1347" spans="1:12" x14ac:dyDescent="0.25">
      <c r="A1347" t="s">
        <v>487</v>
      </c>
      <c r="B1347" t="s">
        <v>455</v>
      </c>
      <c r="C1347" t="s">
        <v>477</v>
      </c>
      <c r="D1347" t="s">
        <v>413</v>
      </c>
      <c r="E1347" t="s">
        <v>417</v>
      </c>
      <c r="F1347">
        <v>2</v>
      </c>
      <c r="G1347" t="s">
        <v>498</v>
      </c>
      <c r="H1347" s="4">
        <v>1541998</v>
      </c>
      <c r="I1347" s="4">
        <v>1736243</v>
      </c>
      <c r="J1347" s="3">
        <v>0.12596968348856483</v>
      </c>
      <c r="K1347" s="3">
        <v>-0.11187662095685914</v>
      </c>
      <c r="L1347" t="s">
        <v>377</v>
      </c>
    </row>
    <row r="1348" spans="1:12" x14ac:dyDescent="0.25">
      <c r="A1348" t="s">
        <v>487</v>
      </c>
      <c r="B1348" t="s">
        <v>455</v>
      </c>
      <c r="C1348" t="s">
        <v>477</v>
      </c>
      <c r="D1348" t="s">
        <v>413</v>
      </c>
      <c r="E1348" t="s">
        <v>417</v>
      </c>
      <c r="F1348">
        <v>2</v>
      </c>
      <c r="G1348" t="s">
        <v>499</v>
      </c>
      <c r="H1348" s="4">
        <v>1541998</v>
      </c>
      <c r="I1348" s="4">
        <v>1226468</v>
      </c>
      <c r="J1348" s="3">
        <v>0.2046241305111939</v>
      </c>
      <c r="K1348" s="3">
        <v>0.2572672095806821</v>
      </c>
      <c r="L1348" t="s">
        <v>377</v>
      </c>
    </row>
    <row r="1349" spans="1:12" x14ac:dyDescent="0.25">
      <c r="A1349" t="s">
        <v>487</v>
      </c>
      <c r="B1349" t="s">
        <v>455</v>
      </c>
      <c r="C1349" t="s">
        <v>477</v>
      </c>
      <c r="D1349" t="s">
        <v>413</v>
      </c>
      <c r="E1349" t="s">
        <v>419</v>
      </c>
      <c r="F1349">
        <v>3</v>
      </c>
      <c r="G1349" t="s">
        <v>488</v>
      </c>
      <c r="H1349" s="4">
        <v>924151</v>
      </c>
      <c r="I1349" s="4">
        <v>792360.0538990311</v>
      </c>
      <c r="J1349" s="3">
        <v>0.14260758912879914</v>
      </c>
      <c r="K1349" s="3">
        <v>0.16632709517908476</v>
      </c>
      <c r="L1349" t="s">
        <v>377</v>
      </c>
    </row>
    <row r="1350" spans="1:12" x14ac:dyDescent="0.25">
      <c r="A1350" t="s">
        <v>487</v>
      </c>
      <c r="B1350" t="s">
        <v>455</v>
      </c>
      <c r="C1350" t="s">
        <v>477</v>
      </c>
      <c r="D1350" t="s">
        <v>413</v>
      </c>
      <c r="E1350" t="s">
        <v>419</v>
      </c>
      <c r="F1350">
        <v>3</v>
      </c>
      <c r="G1350" t="s">
        <v>498</v>
      </c>
      <c r="H1350" s="4">
        <v>924151</v>
      </c>
      <c r="I1350" s="4">
        <v>719548</v>
      </c>
      <c r="J1350" s="3">
        <v>0.22139563772586948</v>
      </c>
      <c r="K1350" s="3">
        <v>0.2843493415310723</v>
      </c>
      <c r="L1350" t="s">
        <v>377</v>
      </c>
    </row>
    <row r="1351" spans="1:12" x14ac:dyDescent="0.25">
      <c r="A1351" t="s">
        <v>487</v>
      </c>
      <c r="B1351" t="s">
        <v>455</v>
      </c>
      <c r="C1351" t="s">
        <v>477</v>
      </c>
      <c r="D1351" t="s">
        <v>413</v>
      </c>
      <c r="E1351" t="s">
        <v>419</v>
      </c>
      <c r="F1351">
        <v>3</v>
      </c>
      <c r="G1351" t="s">
        <v>499</v>
      </c>
      <c r="H1351" s="4">
        <v>924151</v>
      </c>
      <c r="I1351" s="4">
        <v>1226468</v>
      </c>
      <c r="J1351" s="3">
        <v>0.32712944096798036</v>
      </c>
      <c r="K1351" s="3">
        <v>-0.24649399739740457</v>
      </c>
      <c r="L1351" t="s">
        <v>377</v>
      </c>
    </row>
    <row r="1352" spans="1:12" x14ac:dyDescent="0.25">
      <c r="A1352" t="s">
        <v>487</v>
      </c>
      <c r="B1352" t="s">
        <v>455</v>
      </c>
      <c r="C1352" t="s">
        <v>477</v>
      </c>
      <c r="D1352" t="s">
        <v>415</v>
      </c>
      <c r="E1352" t="s">
        <v>417</v>
      </c>
      <c r="F1352">
        <v>1</v>
      </c>
      <c r="G1352" t="s">
        <v>488</v>
      </c>
      <c r="H1352" s="4">
        <v>1541998</v>
      </c>
      <c r="I1352" s="4">
        <v>1925979.9763657723</v>
      </c>
      <c r="J1352" s="3">
        <v>0.24901587185312324</v>
      </c>
      <c r="K1352" s="3">
        <v>-0.19936966171908344</v>
      </c>
      <c r="L1352" t="s">
        <v>377</v>
      </c>
    </row>
    <row r="1353" spans="1:12" x14ac:dyDescent="0.25">
      <c r="A1353" t="s">
        <v>487</v>
      </c>
      <c r="B1353" t="s">
        <v>455</v>
      </c>
      <c r="C1353" t="s">
        <v>477</v>
      </c>
      <c r="D1353" t="s">
        <v>415</v>
      </c>
      <c r="E1353" t="s">
        <v>417</v>
      </c>
      <c r="F1353">
        <v>1</v>
      </c>
      <c r="G1353" t="s">
        <v>498</v>
      </c>
      <c r="H1353" s="4">
        <v>1541998</v>
      </c>
      <c r="I1353" s="4">
        <v>1736243</v>
      </c>
      <c r="J1353" s="3">
        <v>0.12596968348856483</v>
      </c>
      <c r="K1353" s="3">
        <v>-0.11187662095685914</v>
      </c>
      <c r="L1353" t="s">
        <v>377</v>
      </c>
    </row>
    <row r="1354" spans="1:12" x14ac:dyDescent="0.25">
      <c r="A1354" t="s">
        <v>487</v>
      </c>
      <c r="B1354" t="s">
        <v>455</v>
      </c>
      <c r="C1354" t="s">
        <v>477</v>
      </c>
      <c r="D1354" t="s">
        <v>415</v>
      </c>
      <c r="E1354" t="s">
        <v>417</v>
      </c>
      <c r="F1354">
        <v>1</v>
      </c>
      <c r="G1354" t="s">
        <v>499</v>
      </c>
      <c r="H1354" s="4">
        <v>1541998</v>
      </c>
      <c r="I1354" s="4">
        <v>1414501</v>
      </c>
      <c r="J1354" s="3">
        <v>0.08268298661865969</v>
      </c>
      <c r="K1354" s="3">
        <v>0.09013567328690471</v>
      </c>
      <c r="L1354" t="s">
        <v>377</v>
      </c>
    </row>
    <row r="1355" spans="1:12" x14ac:dyDescent="0.25">
      <c r="A1355" t="s">
        <v>487</v>
      </c>
      <c r="B1355" t="s">
        <v>455</v>
      </c>
      <c r="C1355" t="s">
        <v>477</v>
      </c>
      <c r="D1355" t="s">
        <v>415</v>
      </c>
      <c r="E1355" t="s">
        <v>419</v>
      </c>
      <c r="F1355">
        <v>2</v>
      </c>
      <c r="G1355" t="s">
        <v>488</v>
      </c>
      <c r="H1355" s="4">
        <v>924151</v>
      </c>
      <c r="I1355" s="4">
        <v>798180.3468950135</v>
      </c>
      <c r="J1355" s="3">
        <v>0.13630959995172492</v>
      </c>
      <c r="K1355" s="3">
        <v>0.15782229366461178</v>
      </c>
      <c r="L1355" t="s">
        <v>377</v>
      </c>
    </row>
    <row r="1356" spans="1:12" x14ac:dyDescent="0.25">
      <c r="A1356" t="s">
        <v>487</v>
      </c>
      <c r="B1356" t="s">
        <v>455</v>
      </c>
      <c r="C1356" t="s">
        <v>477</v>
      </c>
      <c r="D1356" t="s">
        <v>415</v>
      </c>
      <c r="E1356" t="s">
        <v>419</v>
      </c>
      <c r="F1356">
        <v>2</v>
      </c>
      <c r="G1356" t="s">
        <v>498</v>
      </c>
      <c r="H1356" s="4">
        <v>924151</v>
      </c>
      <c r="I1356" s="4">
        <v>719548</v>
      </c>
      <c r="J1356" s="3">
        <v>0.22139563772586948</v>
      </c>
      <c r="K1356" s="3">
        <v>0.2843493415310723</v>
      </c>
      <c r="L1356" t="s">
        <v>377</v>
      </c>
    </row>
    <row r="1357" spans="1:12" x14ac:dyDescent="0.25">
      <c r="A1357" t="s">
        <v>487</v>
      </c>
      <c r="B1357" t="s">
        <v>455</v>
      </c>
      <c r="C1357" t="s">
        <v>477</v>
      </c>
      <c r="D1357" t="s">
        <v>415</v>
      </c>
      <c r="E1357" t="s">
        <v>419</v>
      </c>
      <c r="F1357">
        <v>2</v>
      </c>
      <c r="G1357" t="s">
        <v>499</v>
      </c>
      <c r="H1357" s="4">
        <v>924151</v>
      </c>
      <c r="I1357" s="4">
        <v>1414501</v>
      </c>
      <c r="J1357" s="3">
        <v>0.5305951083751465</v>
      </c>
      <c r="K1357" s="3">
        <v>-0.34665935195521247</v>
      </c>
      <c r="L1357" t="s">
        <v>377</v>
      </c>
    </row>
    <row r="1358" spans="1:12" x14ac:dyDescent="0.25">
      <c r="A1358" t="s">
        <v>487</v>
      </c>
      <c r="B1358" t="s">
        <v>455</v>
      </c>
      <c r="C1358" t="s">
        <v>477</v>
      </c>
      <c r="D1358" t="s">
        <v>415</v>
      </c>
      <c r="E1358" t="s">
        <v>421</v>
      </c>
      <c r="F1358">
        <v>3</v>
      </c>
      <c r="G1358" t="s">
        <v>488</v>
      </c>
      <c r="H1358" s="4">
        <v>997366</v>
      </c>
      <c r="I1358" s="4">
        <v>1120065.7279401424</v>
      </c>
      <c r="J1358" s="3">
        <v>0.12302377255705768</v>
      </c>
      <c r="K1358" s="3">
        <v>-0.10954689968578309</v>
      </c>
      <c r="L1358" t="s">
        <v>377</v>
      </c>
    </row>
    <row r="1359" spans="1:12" x14ac:dyDescent="0.25">
      <c r="A1359" t="s">
        <v>487</v>
      </c>
      <c r="B1359" t="s">
        <v>455</v>
      </c>
      <c r="C1359" t="s">
        <v>477</v>
      </c>
      <c r="D1359" t="s">
        <v>415</v>
      </c>
      <c r="E1359" t="s">
        <v>421</v>
      </c>
      <c r="F1359">
        <v>3</v>
      </c>
      <c r="G1359" t="s">
        <v>498</v>
      </c>
      <c r="H1359" s="4">
        <v>997366</v>
      </c>
      <c r="I1359" s="4">
        <v>1009723</v>
      </c>
      <c r="J1359" s="3">
        <v>0.012389634296737607</v>
      </c>
      <c r="K1359" s="3">
        <v>-0.012238009830418837</v>
      </c>
      <c r="L1359" t="s">
        <v>377</v>
      </c>
    </row>
    <row r="1360" spans="1:12" x14ac:dyDescent="0.25">
      <c r="A1360" t="s">
        <v>487</v>
      </c>
      <c r="B1360" t="s">
        <v>455</v>
      </c>
      <c r="C1360" t="s">
        <v>477</v>
      </c>
      <c r="D1360" t="s">
        <v>415</v>
      </c>
      <c r="E1360" t="s">
        <v>421</v>
      </c>
      <c r="F1360">
        <v>3</v>
      </c>
      <c r="G1360" t="s">
        <v>499</v>
      </c>
      <c r="H1360" s="4">
        <v>997366</v>
      </c>
      <c r="I1360" s="4">
        <v>1414501</v>
      </c>
      <c r="J1360" s="3">
        <v>0.41823663529737326</v>
      </c>
      <c r="K1360" s="3">
        <v>-0.29489904920533816</v>
      </c>
      <c r="L1360" t="s">
        <v>377</v>
      </c>
    </row>
    <row r="1361" spans="1:12" x14ac:dyDescent="0.25">
      <c r="A1361" t="s">
        <v>487</v>
      </c>
      <c r="B1361" t="s">
        <v>455</v>
      </c>
      <c r="C1361" t="s">
        <v>477</v>
      </c>
      <c r="D1361" t="s">
        <v>417</v>
      </c>
      <c r="E1361" t="s">
        <v>419</v>
      </c>
      <c r="F1361">
        <v>1</v>
      </c>
      <c r="G1361" t="s">
        <v>488</v>
      </c>
      <c r="H1361" s="4">
        <v>924151</v>
      </c>
      <c r="I1361" s="4">
        <v>774474.0677166241</v>
      </c>
      <c r="J1361" s="3">
        <v>0.1619615542085394</v>
      </c>
      <c r="K1361" s="3">
        <v>0.193262677890129</v>
      </c>
      <c r="L1361" t="s">
        <v>377</v>
      </c>
    </row>
    <row r="1362" spans="1:12" x14ac:dyDescent="0.25">
      <c r="A1362" t="s">
        <v>487</v>
      </c>
      <c r="B1362" t="s">
        <v>455</v>
      </c>
      <c r="C1362" t="s">
        <v>477</v>
      </c>
      <c r="D1362" t="s">
        <v>417</v>
      </c>
      <c r="E1362" t="s">
        <v>419</v>
      </c>
      <c r="F1362">
        <v>1</v>
      </c>
      <c r="G1362" t="s">
        <v>498</v>
      </c>
      <c r="H1362" s="4">
        <v>924151</v>
      </c>
      <c r="I1362" s="4">
        <v>719548</v>
      </c>
      <c r="J1362" s="3">
        <v>0.22139563772586948</v>
      </c>
      <c r="K1362" s="3">
        <v>0.2843493415310723</v>
      </c>
      <c r="L1362" t="s">
        <v>377</v>
      </c>
    </row>
    <row r="1363" spans="1:12" x14ac:dyDescent="0.25">
      <c r="A1363" t="s">
        <v>487</v>
      </c>
      <c r="B1363" t="s">
        <v>455</v>
      </c>
      <c r="C1363" t="s">
        <v>477</v>
      </c>
      <c r="D1363" t="s">
        <v>417</v>
      </c>
      <c r="E1363" t="s">
        <v>419</v>
      </c>
      <c r="F1363">
        <v>1</v>
      </c>
      <c r="G1363" t="s">
        <v>499</v>
      </c>
      <c r="H1363" s="4">
        <v>924151</v>
      </c>
      <c r="I1363" s="4">
        <v>1541998</v>
      </c>
      <c r="J1363" s="3">
        <v>0.6685563289981832</v>
      </c>
      <c r="K1363" s="3">
        <v>-0.4006795080149261</v>
      </c>
      <c r="L1363" t="s">
        <v>377</v>
      </c>
    </row>
    <row r="1364" spans="1:12" x14ac:dyDescent="0.25">
      <c r="A1364" t="s">
        <v>487</v>
      </c>
      <c r="B1364" t="s">
        <v>455</v>
      </c>
      <c r="C1364" t="s">
        <v>477</v>
      </c>
      <c r="D1364" t="s">
        <v>417</v>
      </c>
      <c r="E1364" t="s">
        <v>421</v>
      </c>
      <c r="F1364">
        <v>2</v>
      </c>
      <c r="G1364" t="s">
        <v>488</v>
      </c>
      <c r="H1364" s="4">
        <v>997366</v>
      </c>
      <c r="I1364" s="4">
        <v>1086799.3227373753</v>
      </c>
      <c r="J1364" s="3">
        <v>0.08966951223259594</v>
      </c>
      <c r="K1364" s="3">
        <v>-0.0822905580324757</v>
      </c>
      <c r="L1364" t="s">
        <v>377</v>
      </c>
    </row>
    <row r="1365" spans="1:12" x14ac:dyDescent="0.25">
      <c r="A1365" t="s">
        <v>487</v>
      </c>
      <c r="B1365" t="s">
        <v>455</v>
      </c>
      <c r="C1365" t="s">
        <v>477</v>
      </c>
      <c r="D1365" t="s">
        <v>417</v>
      </c>
      <c r="E1365" t="s">
        <v>421</v>
      </c>
      <c r="F1365">
        <v>2</v>
      </c>
      <c r="G1365" t="s">
        <v>498</v>
      </c>
      <c r="H1365" s="4">
        <v>997366</v>
      </c>
      <c r="I1365" s="4">
        <v>1009723</v>
      </c>
      <c r="J1365" s="3">
        <v>0.012389634296737607</v>
      </c>
      <c r="K1365" s="3">
        <v>-0.012238009830418837</v>
      </c>
      <c r="L1365" t="s">
        <v>377</v>
      </c>
    </row>
    <row r="1366" spans="1:12" x14ac:dyDescent="0.25">
      <c r="A1366" t="s">
        <v>487</v>
      </c>
      <c r="B1366" t="s">
        <v>455</v>
      </c>
      <c r="C1366" t="s">
        <v>477</v>
      </c>
      <c r="D1366" t="s">
        <v>417</v>
      </c>
      <c r="E1366" t="s">
        <v>421</v>
      </c>
      <c r="F1366">
        <v>2</v>
      </c>
      <c r="G1366" t="s">
        <v>499</v>
      </c>
      <c r="H1366" s="4">
        <v>997366</v>
      </c>
      <c r="I1366" s="4">
        <v>1541998</v>
      </c>
      <c r="J1366" s="3">
        <v>0.5460703493000564</v>
      </c>
      <c r="K1366" s="3">
        <v>-0.35319890168469736</v>
      </c>
      <c r="L1366" t="s">
        <v>377</v>
      </c>
    </row>
    <row r="1367" spans="1:12" x14ac:dyDescent="0.25">
      <c r="A1367" t="s">
        <v>487</v>
      </c>
      <c r="B1367" t="s">
        <v>455</v>
      </c>
      <c r="C1367" t="s">
        <v>477</v>
      </c>
      <c r="D1367" t="s">
        <v>417</v>
      </c>
      <c r="E1367" t="s">
        <v>423</v>
      </c>
      <c r="F1367">
        <v>3</v>
      </c>
      <c r="G1367" t="s">
        <v>488</v>
      </c>
      <c r="H1367" s="4">
        <v>1027273</v>
      </c>
      <c r="I1367" s="4">
        <v>1325013.5915103317</v>
      </c>
      <c r="J1367" s="3">
        <v>0.2898358970890228</v>
      </c>
      <c r="K1367" s="3">
        <v>-0.2247075753924522</v>
      </c>
      <c r="L1367" t="s">
        <v>377</v>
      </c>
    </row>
    <row r="1368" spans="1:12" x14ac:dyDescent="0.25">
      <c r="A1368" t="s">
        <v>487</v>
      </c>
      <c r="B1368" t="s">
        <v>455</v>
      </c>
      <c r="C1368" t="s">
        <v>477</v>
      </c>
      <c r="D1368" t="s">
        <v>417</v>
      </c>
      <c r="E1368" t="s">
        <v>423</v>
      </c>
      <c r="F1368">
        <v>3</v>
      </c>
      <c r="G1368" t="s">
        <v>498</v>
      </c>
      <c r="H1368" s="4">
        <v>1027273</v>
      </c>
      <c r="I1368" s="4">
        <v>1231043</v>
      </c>
      <c r="J1368" s="3">
        <v>0.19836012432917052</v>
      </c>
      <c r="K1368" s="3">
        <v>-0.16552630574236643</v>
      </c>
      <c r="L1368" t="s">
        <v>377</v>
      </c>
    </row>
    <row r="1369" spans="1:12" x14ac:dyDescent="0.25">
      <c r="A1369" t="s">
        <v>487</v>
      </c>
      <c r="B1369" t="s">
        <v>455</v>
      </c>
      <c r="C1369" t="s">
        <v>477</v>
      </c>
      <c r="D1369" t="s">
        <v>417</v>
      </c>
      <c r="E1369" t="s">
        <v>423</v>
      </c>
      <c r="F1369">
        <v>3</v>
      </c>
      <c r="G1369" t="s">
        <v>499</v>
      </c>
      <c r="H1369" s="4">
        <v>1027273</v>
      </c>
      <c r="I1369" s="4">
        <v>1541998</v>
      </c>
      <c r="J1369" s="3">
        <v>0.5010596014886014</v>
      </c>
      <c r="K1369" s="3">
        <v>-0.3338039348948572</v>
      </c>
      <c r="L1369" t="s">
        <v>377</v>
      </c>
    </row>
    <row r="1370" spans="1:12" x14ac:dyDescent="0.25">
      <c r="A1370" t="s">
        <v>487</v>
      </c>
      <c r="B1370" t="s">
        <v>455</v>
      </c>
      <c r="C1370" t="s">
        <v>477</v>
      </c>
      <c r="D1370" t="s">
        <v>419</v>
      </c>
      <c r="E1370" t="s">
        <v>421</v>
      </c>
      <c r="F1370">
        <v>1</v>
      </c>
      <c r="G1370" t="s">
        <v>488</v>
      </c>
      <c r="H1370" s="4">
        <v>997366</v>
      </c>
      <c r="I1370" s="4">
        <v>1150366.3769057428</v>
      </c>
      <c r="J1370" s="3">
        <v>0.15340444421179666</v>
      </c>
      <c r="K1370" s="3">
        <v>-0.13300143326275185</v>
      </c>
      <c r="L1370" t="s">
        <v>377</v>
      </c>
    </row>
    <row r="1371" spans="1:12" x14ac:dyDescent="0.25">
      <c r="A1371" t="s">
        <v>487</v>
      </c>
      <c r="B1371" t="s">
        <v>455</v>
      </c>
      <c r="C1371" t="s">
        <v>477</v>
      </c>
      <c r="D1371" t="s">
        <v>419</v>
      </c>
      <c r="E1371" t="s">
        <v>421</v>
      </c>
      <c r="F1371">
        <v>1</v>
      </c>
      <c r="G1371" t="s">
        <v>498</v>
      </c>
      <c r="H1371" s="4">
        <v>997366</v>
      </c>
      <c r="I1371" s="4">
        <v>1009723</v>
      </c>
      <c r="J1371" s="3">
        <v>0.012389634296737607</v>
      </c>
      <c r="K1371" s="3">
        <v>-0.012238009830418837</v>
      </c>
      <c r="L1371" t="s">
        <v>377</v>
      </c>
    </row>
    <row r="1372" spans="1:12" x14ac:dyDescent="0.25">
      <c r="A1372" t="s">
        <v>487</v>
      </c>
      <c r="B1372" t="s">
        <v>455</v>
      </c>
      <c r="C1372" t="s">
        <v>477</v>
      </c>
      <c r="D1372" t="s">
        <v>419</v>
      </c>
      <c r="E1372" t="s">
        <v>421</v>
      </c>
      <c r="F1372">
        <v>1</v>
      </c>
      <c r="G1372" t="s">
        <v>499</v>
      </c>
      <c r="H1372" s="4">
        <v>997366</v>
      </c>
      <c r="I1372" s="4">
        <v>924151</v>
      </c>
      <c r="J1372" s="3">
        <v>0.07340835761395516</v>
      </c>
      <c r="K1372" s="3">
        <v>0.07922406619697431</v>
      </c>
      <c r="L1372" t="s">
        <v>377</v>
      </c>
    </row>
    <row r="1373" spans="1:12" x14ac:dyDescent="0.25">
      <c r="A1373" t="s">
        <v>487</v>
      </c>
      <c r="B1373" t="s">
        <v>455</v>
      </c>
      <c r="C1373" t="s">
        <v>477</v>
      </c>
      <c r="D1373" t="s">
        <v>419</v>
      </c>
      <c r="E1373" t="s">
        <v>423</v>
      </c>
      <c r="F1373">
        <v>2</v>
      </c>
      <c r="G1373" t="s">
        <v>488</v>
      </c>
      <c r="H1373" s="4">
        <v>1027273</v>
      </c>
      <c r="I1373" s="4">
        <v>1402513.8337199176</v>
      </c>
      <c r="J1373" s="3">
        <v>0.36527859071533814</v>
      </c>
      <c r="K1373" s="3">
        <v>-0.26754875759382585</v>
      </c>
      <c r="L1373" t="s">
        <v>377</v>
      </c>
    </row>
    <row r="1374" spans="1:12" x14ac:dyDescent="0.25">
      <c r="A1374" t="s">
        <v>487</v>
      </c>
      <c r="B1374" t="s">
        <v>455</v>
      </c>
      <c r="C1374" t="s">
        <v>477</v>
      </c>
      <c r="D1374" t="s">
        <v>419</v>
      </c>
      <c r="E1374" t="s">
        <v>423</v>
      </c>
      <c r="F1374">
        <v>2</v>
      </c>
      <c r="G1374" t="s">
        <v>498</v>
      </c>
      <c r="H1374" s="4">
        <v>1027273</v>
      </c>
      <c r="I1374" s="4">
        <v>1231043</v>
      </c>
      <c r="J1374" s="3">
        <v>0.19836012432917052</v>
      </c>
      <c r="K1374" s="3">
        <v>-0.16552630574236643</v>
      </c>
      <c r="L1374" t="s">
        <v>377</v>
      </c>
    </row>
    <row r="1375" spans="1:12" x14ac:dyDescent="0.25">
      <c r="A1375" t="s">
        <v>487</v>
      </c>
      <c r="B1375" t="s">
        <v>455</v>
      </c>
      <c r="C1375" t="s">
        <v>477</v>
      </c>
      <c r="D1375" t="s">
        <v>419</v>
      </c>
      <c r="E1375" t="s">
        <v>423</v>
      </c>
      <c r="F1375">
        <v>2</v>
      </c>
      <c r="G1375" t="s">
        <v>499</v>
      </c>
      <c r="H1375" s="4">
        <v>1027273</v>
      </c>
      <c r="I1375" s="4">
        <v>924151</v>
      </c>
      <c r="J1375" s="3">
        <v>0.10038422113693245</v>
      </c>
      <c r="K1375" s="3">
        <v>0.11158566078487174</v>
      </c>
      <c r="L1375" t="s">
        <v>377</v>
      </c>
    </row>
    <row r="1376" spans="1:12" x14ac:dyDescent="0.25">
      <c r="A1376" t="s">
        <v>487</v>
      </c>
      <c r="B1376" t="s">
        <v>455</v>
      </c>
      <c r="C1376" t="s">
        <v>477</v>
      </c>
      <c r="D1376" t="s">
        <v>419</v>
      </c>
      <c r="E1376" t="s">
        <v>425</v>
      </c>
      <c r="F1376">
        <v>3</v>
      </c>
      <c r="G1376" t="s">
        <v>488</v>
      </c>
      <c r="H1376" s="4">
        <v>1201681</v>
      </c>
      <c r="I1376" s="4">
        <v>1226323.9184440486</v>
      </c>
      <c r="J1376" s="3">
        <v>0.02050703842704396</v>
      </c>
      <c r="K1376" s="3">
        <v>-0.020094950504851425</v>
      </c>
      <c r="L1376" t="s">
        <v>377</v>
      </c>
    </row>
    <row r="1377" spans="1:12" x14ac:dyDescent="0.25">
      <c r="A1377" t="s">
        <v>487</v>
      </c>
      <c r="B1377" t="s">
        <v>455</v>
      </c>
      <c r="C1377" t="s">
        <v>477</v>
      </c>
      <c r="D1377" t="s">
        <v>419</v>
      </c>
      <c r="E1377" t="s">
        <v>425</v>
      </c>
      <c r="F1377">
        <v>3</v>
      </c>
      <c r="G1377" t="s">
        <v>498</v>
      </c>
      <c r="H1377" s="4">
        <v>1201681</v>
      </c>
      <c r="I1377" s="4">
        <v>1076394</v>
      </c>
      <c r="J1377" s="3">
        <v>0.10425978275432499</v>
      </c>
      <c r="K1377" s="3">
        <v>0.1163951118270819</v>
      </c>
      <c r="L1377" t="s">
        <v>377</v>
      </c>
    </row>
    <row r="1378" spans="1:12" x14ac:dyDescent="0.25">
      <c r="A1378" t="s">
        <v>487</v>
      </c>
      <c r="B1378" t="s">
        <v>455</v>
      </c>
      <c r="C1378" t="s">
        <v>477</v>
      </c>
      <c r="D1378" t="s">
        <v>419</v>
      </c>
      <c r="E1378" t="s">
        <v>425</v>
      </c>
      <c r="F1378">
        <v>3</v>
      </c>
      <c r="G1378" t="s">
        <v>499</v>
      </c>
      <c r="H1378" s="4">
        <v>1201681</v>
      </c>
      <c r="I1378" s="4">
        <v>924151</v>
      </c>
      <c r="J1378" s="3">
        <v>0.23095147547477243</v>
      </c>
      <c r="K1378" s="3">
        <v>0.3003080665389098</v>
      </c>
      <c r="L1378" t="s">
        <v>377</v>
      </c>
    </row>
    <row r="1379" spans="1:12" x14ac:dyDescent="0.25">
      <c r="A1379" t="s">
        <v>487</v>
      </c>
      <c r="B1379" t="s">
        <v>455</v>
      </c>
      <c r="C1379" t="s">
        <v>477</v>
      </c>
      <c r="D1379" t="s">
        <v>421</v>
      </c>
      <c r="E1379" t="s">
        <v>423</v>
      </c>
      <c r="F1379">
        <v>1</v>
      </c>
      <c r="G1379" t="s">
        <v>488</v>
      </c>
      <c r="H1379" s="4">
        <v>1027273</v>
      </c>
      <c r="I1379" s="4">
        <v>1404497.1271288586</v>
      </c>
      <c r="J1379" s="3">
        <v>0.3672092298044031</v>
      </c>
      <c r="K1379" s="3">
        <v>-0.26858305356593964</v>
      </c>
      <c r="L1379" t="s">
        <v>377</v>
      </c>
    </row>
    <row r="1380" spans="1:12" x14ac:dyDescent="0.25">
      <c r="A1380" t="s">
        <v>487</v>
      </c>
      <c r="B1380" t="s">
        <v>455</v>
      </c>
      <c r="C1380" t="s">
        <v>477</v>
      </c>
      <c r="D1380" t="s">
        <v>421</v>
      </c>
      <c r="E1380" t="s">
        <v>423</v>
      </c>
      <c r="F1380">
        <v>1</v>
      </c>
      <c r="G1380" t="s">
        <v>498</v>
      </c>
      <c r="H1380" s="4">
        <v>1027273</v>
      </c>
      <c r="I1380" s="4">
        <v>1231043</v>
      </c>
      <c r="J1380" s="3">
        <v>0.19836012432917052</v>
      </c>
      <c r="K1380" s="3">
        <v>-0.16552630574236643</v>
      </c>
      <c r="L1380" t="s">
        <v>377</v>
      </c>
    </row>
    <row r="1381" spans="1:12" x14ac:dyDescent="0.25">
      <c r="A1381" t="s">
        <v>487</v>
      </c>
      <c r="B1381" t="s">
        <v>455</v>
      </c>
      <c r="C1381" t="s">
        <v>477</v>
      </c>
      <c r="D1381" t="s">
        <v>421</v>
      </c>
      <c r="E1381" t="s">
        <v>423</v>
      </c>
      <c r="F1381">
        <v>1</v>
      </c>
      <c r="G1381" t="s">
        <v>499</v>
      </c>
      <c r="H1381" s="4">
        <v>1027273</v>
      </c>
      <c r="I1381" s="4">
        <v>997366</v>
      </c>
      <c r="J1381" s="3">
        <v>0.02911300112044218</v>
      </c>
      <c r="K1381" s="3">
        <v>0.029985983079431223</v>
      </c>
      <c r="L1381" t="s">
        <v>377</v>
      </c>
    </row>
    <row r="1382" spans="1:12" x14ac:dyDescent="0.25">
      <c r="A1382" t="s">
        <v>487</v>
      </c>
      <c r="B1382" t="s">
        <v>455</v>
      </c>
      <c r="C1382" t="s">
        <v>477</v>
      </c>
      <c r="D1382" t="s">
        <v>421</v>
      </c>
      <c r="E1382" t="s">
        <v>425</v>
      </c>
      <c r="F1382">
        <v>2</v>
      </c>
      <c r="G1382" t="s">
        <v>488</v>
      </c>
      <c r="H1382" s="4">
        <v>1201681</v>
      </c>
      <c r="I1382" s="4">
        <v>1228058.0618700895</v>
      </c>
      <c r="J1382" s="3">
        <v>0.021950136408988324</v>
      </c>
      <c r="K1382" s="3">
        <v>-0.02147867652928596</v>
      </c>
      <c r="L1382" t="s">
        <v>377</v>
      </c>
    </row>
    <row r="1383" spans="1:12" x14ac:dyDescent="0.25">
      <c r="A1383" t="s">
        <v>487</v>
      </c>
      <c r="B1383" t="s">
        <v>455</v>
      </c>
      <c r="C1383" t="s">
        <v>477</v>
      </c>
      <c r="D1383" t="s">
        <v>421</v>
      </c>
      <c r="E1383" t="s">
        <v>425</v>
      </c>
      <c r="F1383">
        <v>2</v>
      </c>
      <c r="G1383" t="s">
        <v>498</v>
      </c>
      <c r="H1383" s="4">
        <v>1201681</v>
      </c>
      <c r="I1383" s="4">
        <v>1076394</v>
      </c>
      <c r="J1383" s="3">
        <v>0.10425978275432499</v>
      </c>
      <c r="K1383" s="3">
        <v>0.1163951118270819</v>
      </c>
      <c r="L1383" t="s">
        <v>377</v>
      </c>
    </row>
    <row r="1384" spans="1:12" x14ac:dyDescent="0.25">
      <c r="A1384" t="s">
        <v>487</v>
      </c>
      <c r="B1384" t="s">
        <v>455</v>
      </c>
      <c r="C1384" t="s">
        <v>477</v>
      </c>
      <c r="D1384" t="s">
        <v>421</v>
      </c>
      <c r="E1384" t="s">
        <v>425</v>
      </c>
      <c r="F1384">
        <v>2</v>
      </c>
      <c r="G1384" t="s">
        <v>499</v>
      </c>
      <c r="H1384" s="4">
        <v>1201681</v>
      </c>
      <c r="I1384" s="4">
        <v>997366</v>
      </c>
      <c r="J1384" s="3">
        <v>0.17002432425910038</v>
      </c>
      <c r="K1384" s="3">
        <v>0.20485458698211087</v>
      </c>
      <c r="L1384" t="s">
        <v>377</v>
      </c>
    </row>
    <row r="1385" spans="1:12" x14ac:dyDescent="0.25">
      <c r="A1385" t="s">
        <v>487</v>
      </c>
      <c r="B1385" t="s">
        <v>455</v>
      </c>
      <c r="C1385" t="s">
        <v>477</v>
      </c>
      <c r="D1385" t="s">
        <v>421</v>
      </c>
      <c r="E1385" t="s">
        <v>427</v>
      </c>
      <c r="F1385">
        <v>3</v>
      </c>
      <c r="G1385" t="s">
        <v>488</v>
      </c>
      <c r="H1385" s="4">
        <v>883804</v>
      </c>
      <c r="I1385" s="4">
        <v>875667.0957109726</v>
      </c>
      <c r="J1385" s="3">
        <v>0.009206684161904045</v>
      </c>
      <c r="K1385" s="3">
        <v>0.009292234833171297</v>
      </c>
      <c r="L1385" t="s">
        <v>377</v>
      </c>
    </row>
    <row r="1386" spans="1:12" x14ac:dyDescent="0.25">
      <c r="A1386" t="s">
        <v>487</v>
      </c>
      <c r="B1386" t="s">
        <v>455</v>
      </c>
      <c r="C1386" t="s">
        <v>477</v>
      </c>
      <c r="D1386" t="s">
        <v>421</v>
      </c>
      <c r="E1386" t="s">
        <v>427</v>
      </c>
      <c r="F1386">
        <v>3</v>
      </c>
      <c r="G1386" t="s">
        <v>498</v>
      </c>
      <c r="H1386" s="4">
        <v>883804</v>
      </c>
      <c r="I1386" s="4">
        <v>767523</v>
      </c>
      <c r="J1386" s="3">
        <v>0.13156876411512056</v>
      </c>
      <c r="K1386" s="3">
        <v>0.15150164881052425</v>
      </c>
      <c r="L1386" t="s">
        <v>377</v>
      </c>
    </row>
    <row r="1387" spans="1:12" x14ac:dyDescent="0.25">
      <c r="A1387" t="s">
        <v>487</v>
      </c>
      <c r="B1387" t="s">
        <v>455</v>
      </c>
      <c r="C1387" t="s">
        <v>477</v>
      </c>
      <c r="D1387" t="s">
        <v>421</v>
      </c>
      <c r="E1387" t="s">
        <v>427</v>
      </c>
      <c r="F1387">
        <v>3</v>
      </c>
      <c r="G1387" t="s">
        <v>499</v>
      </c>
      <c r="H1387" s="4">
        <v>883804</v>
      </c>
      <c r="I1387" s="4">
        <v>997366</v>
      </c>
      <c r="J1387" s="3">
        <v>0.12849229014577893</v>
      </c>
      <c r="K1387" s="3">
        <v>-0.11386191227693745</v>
      </c>
      <c r="L1387" t="s">
        <v>377</v>
      </c>
    </row>
    <row r="1388" spans="1:12" x14ac:dyDescent="0.25">
      <c r="A1388" t="s">
        <v>487</v>
      </c>
      <c r="B1388" t="s">
        <v>455</v>
      </c>
      <c r="C1388" t="s">
        <v>477</v>
      </c>
      <c r="D1388" t="s">
        <v>423</v>
      </c>
      <c r="E1388" t="s">
        <v>425</v>
      </c>
      <c r="F1388">
        <v>1</v>
      </c>
      <c r="G1388" t="s">
        <v>488</v>
      </c>
      <c r="H1388" s="4">
        <v>1201681</v>
      </c>
      <c r="I1388" s="4">
        <v>1229241.9152218364</v>
      </c>
      <c r="J1388" s="3">
        <v>0.02293530081763498</v>
      </c>
      <c r="K1388" s="3">
        <v>-0.022421066903549745</v>
      </c>
      <c r="L1388" t="s">
        <v>377</v>
      </c>
    </row>
    <row r="1389" spans="1:12" x14ac:dyDescent="0.25">
      <c r="A1389" t="s">
        <v>487</v>
      </c>
      <c r="B1389" t="s">
        <v>455</v>
      </c>
      <c r="C1389" t="s">
        <v>477</v>
      </c>
      <c r="D1389" t="s">
        <v>423</v>
      </c>
      <c r="E1389" t="s">
        <v>425</v>
      </c>
      <c r="F1389">
        <v>1</v>
      </c>
      <c r="G1389" t="s">
        <v>498</v>
      </c>
      <c r="H1389" s="4">
        <v>1201681</v>
      </c>
      <c r="I1389" s="4">
        <v>1076394</v>
      </c>
      <c r="J1389" s="3">
        <v>0.10425978275432499</v>
      </c>
      <c r="K1389" s="3">
        <v>0.1163951118270819</v>
      </c>
      <c r="L1389" t="s">
        <v>377</v>
      </c>
    </row>
    <row r="1390" spans="1:12" x14ac:dyDescent="0.25">
      <c r="A1390" t="s">
        <v>487</v>
      </c>
      <c r="B1390" t="s">
        <v>455</v>
      </c>
      <c r="C1390" t="s">
        <v>477</v>
      </c>
      <c r="D1390" t="s">
        <v>423</v>
      </c>
      <c r="E1390" t="s">
        <v>425</v>
      </c>
      <c r="F1390">
        <v>1</v>
      </c>
      <c r="G1390" t="s">
        <v>499</v>
      </c>
      <c r="H1390" s="4">
        <v>1201681</v>
      </c>
      <c r="I1390" s="4">
        <v>1027273</v>
      </c>
      <c r="J1390" s="3">
        <v>0.14513668768999427</v>
      </c>
      <c r="K1390" s="3">
        <v>0.16977765404133077</v>
      </c>
      <c r="L1390" t="s">
        <v>377</v>
      </c>
    </row>
    <row r="1391" spans="1:12" x14ac:dyDescent="0.25">
      <c r="A1391" t="s">
        <v>487</v>
      </c>
      <c r="B1391" t="s">
        <v>455</v>
      </c>
      <c r="C1391" t="s">
        <v>477</v>
      </c>
      <c r="D1391" t="s">
        <v>423</v>
      </c>
      <c r="E1391" t="s">
        <v>427</v>
      </c>
      <c r="F1391">
        <v>2</v>
      </c>
      <c r="G1391" t="s">
        <v>488</v>
      </c>
      <c r="H1391" s="4">
        <v>883804</v>
      </c>
      <c r="I1391" s="4">
        <v>876511.2426275226</v>
      </c>
      <c r="J1391" s="3">
        <v>0.008251555064785225</v>
      </c>
      <c r="K1391" s="3">
        <v>0.008320209733552193</v>
      </c>
      <c r="L1391" t="s">
        <v>377</v>
      </c>
    </row>
    <row r="1392" spans="1:12" x14ac:dyDescent="0.25">
      <c r="A1392" t="s">
        <v>487</v>
      </c>
      <c r="B1392" t="s">
        <v>455</v>
      </c>
      <c r="C1392" t="s">
        <v>477</v>
      </c>
      <c r="D1392" t="s">
        <v>423</v>
      </c>
      <c r="E1392" t="s">
        <v>427</v>
      </c>
      <c r="F1392">
        <v>2</v>
      </c>
      <c r="G1392" t="s">
        <v>498</v>
      </c>
      <c r="H1392" s="4">
        <v>883804</v>
      </c>
      <c r="I1392" s="4">
        <v>767523</v>
      </c>
      <c r="J1392" s="3">
        <v>0.13156876411512056</v>
      </c>
      <c r="K1392" s="3">
        <v>0.15150164881052425</v>
      </c>
      <c r="L1392" t="s">
        <v>377</v>
      </c>
    </row>
    <row r="1393" spans="1:12" x14ac:dyDescent="0.25">
      <c r="A1393" t="s">
        <v>487</v>
      </c>
      <c r="B1393" t="s">
        <v>455</v>
      </c>
      <c r="C1393" t="s">
        <v>477</v>
      </c>
      <c r="D1393" t="s">
        <v>423</v>
      </c>
      <c r="E1393" t="s">
        <v>427</v>
      </c>
      <c r="F1393">
        <v>2</v>
      </c>
      <c r="G1393" t="s">
        <v>499</v>
      </c>
      <c r="H1393" s="4">
        <v>883804</v>
      </c>
      <c r="I1393" s="4">
        <v>1027273</v>
      </c>
      <c r="J1393" s="3">
        <v>0.16233124086335884</v>
      </c>
      <c r="K1393" s="3">
        <v>-0.13966005141768548</v>
      </c>
      <c r="L1393" t="s">
        <v>377</v>
      </c>
    </row>
    <row r="1394" spans="1:12" x14ac:dyDescent="0.25">
      <c r="A1394" t="s">
        <v>487</v>
      </c>
      <c r="B1394" t="s">
        <v>455</v>
      </c>
      <c r="C1394" t="s">
        <v>477</v>
      </c>
      <c r="D1394" t="s">
        <v>423</v>
      </c>
      <c r="E1394" t="s">
        <v>429</v>
      </c>
      <c r="F1394">
        <v>3</v>
      </c>
      <c r="G1394" t="s">
        <v>488</v>
      </c>
      <c r="H1394" s="4">
        <v>1022641</v>
      </c>
      <c r="I1394" s="4">
        <v>1021999.7547480208</v>
      </c>
      <c r="J1394" s="3">
        <v>0.0006270482524944856</v>
      </c>
      <c r="K1394" s="3">
        <v>0.0006274416887089327</v>
      </c>
      <c r="L1394" t="s">
        <v>377</v>
      </c>
    </row>
    <row r="1395" spans="1:12" x14ac:dyDescent="0.25">
      <c r="A1395" t="s">
        <v>487</v>
      </c>
      <c r="B1395" t="s">
        <v>455</v>
      </c>
      <c r="C1395" t="s">
        <v>477</v>
      </c>
      <c r="D1395" t="s">
        <v>423</v>
      </c>
      <c r="E1395" t="s">
        <v>429</v>
      </c>
      <c r="F1395">
        <v>3</v>
      </c>
      <c r="G1395" t="s">
        <v>498</v>
      </c>
      <c r="H1395" s="4">
        <v>1022641</v>
      </c>
      <c r="I1395" s="4">
        <v>894921</v>
      </c>
      <c r="J1395" s="3">
        <v>0.12489231313823718</v>
      </c>
      <c r="K1395" s="3">
        <v>0.14271650793757215</v>
      </c>
      <c r="L1395" t="s">
        <v>377</v>
      </c>
    </row>
    <row r="1396" spans="1:12" x14ac:dyDescent="0.25">
      <c r="A1396" t="s">
        <v>487</v>
      </c>
      <c r="B1396" t="s">
        <v>455</v>
      </c>
      <c r="C1396" t="s">
        <v>477</v>
      </c>
      <c r="D1396" t="s">
        <v>423</v>
      </c>
      <c r="E1396" t="s">
        <v>429</v>
      </c>
      <c r="F1396">
        <v>3</v>
      </c>
      <c r="G1396" t="s">
        <v>499</v>
      </c>
      <c r="H1396" s="4">
        <v>1022641</v>
      </c>
      <c r="I1396" s="4">
        <v>1027273</v>
      </c>
      <c r="J1396" s="3">
        <v>0.004529448750832403</v>
      </c>
      <c r="K1396" s="3">
        <v>-0.00450902535158619</v>
      </c>
      <c r="L1396" t="s">
        <v>377</v>
      </c>
    </row>
    <row r="1397" spans="1:12" x14ac:dyDescent="0.25">
      <c r="A1397" t="s">
        <v>487</v>
      </c>
      <c r="B1397" t="s">
        <v>455</v>
      </c>
      <c r="C1397" t="s">
        <v>477</v>
      </c>
      <c r="D1397" t="s">
        <v>425</v>
      </c>
      <c r="E1397" t="s">
        <v>427</v>
      </c>
      <c r="F1397">
        <v>1</v>
      </c>
      <c r="G1397" t="s">
        <v>488</v>
      </c>
      <c r="H1397" s="4">
        <v>883804</v>
      </c>
      <c r="I1397" s="4">
        <v>878325.1698102712</v>
      </c>
      <c r="J1397" s="3">
        <v>0.006199146179162756</v>
      </c>
      <c r="K1397" s="3">
        <v>0.006237815308096264</v>
      </c>
      <c r="L1397" t="s">
        <v>377</v>
      </c>
    </row>
    <row r="1398" spans="1:12" x14ac:dyDescent="0.25">
      <c r="A1398" t="s">
        <v>487</v>
      </c>
      <c r="B1398" t="s">
        <v>455</v>
      </c>
      <c r="C1398" t="s">
        <v>477</v>
      </c>
      <c r="D1398" t="s">
        <v>425</v>
      </c>
      <c r="E1398" t="s">
        <v>427</v>
      </c>
      <c r="F1398">
        <v>1</v>
      </c>
      <c r="G1398" t="s">
        <v>498</v>
      </c>
      <c r="H1398" s="4">
        <v>883804</v>
      </c>
      <c r="I1398" s="4">
        <v>767523</v>
      </c>
      <c r="J1398" s="3">
        <v>0.13156876411512056</v>
      </c>
      <c r="K1398" s="3">
        <v>0.15150164881052425</v>
      </c>
      <c r="L1398" t="s">
        <v>377</v>
      </c>
    </row>
    <row r="1399" spans="1:12" x14ac:dyDescent="0.25">
      <c r="A1399" t="s">
        <v>487</v>
      </c>
      <c r="B1399" t="s">
        <v>455</v>
      </c>
      <c r="C1399" t="s">
        <v>477</v>
      </c>
      <c r="D1399" t="s">
        <v>425</v>
      </c>
      <c r="E1399" t="s">
        <v>427</v>
      </c>
      <c r="F1399">
        <v>1</v>
      </c>
      <c r="G1399" t="s">
        <v>499</v>
      </c>
      <c r="H1399" s="4">
        <v>883804</v>
      </c>
      <c r="I1399" s="4">
        <v>1201681</v>
      </c>
      <c r="J1399" s="3">
        <v>0.35966911215608893</v>
      </c>
      <c r="K1399" s="3">
        <v>-0.2645269418423026</v>
      </c>
      <c r="L1399" t="s">
        <v>377</v>
      </c>
    </row>
    <row r="1400" spans="1:12" x14ac:dyDescent="0.25">
      <c r="A1400" t="s">
        <v>487</v>
      </c>
      <c r="B1400" t="s">
        <v>455</v>
      </c>
      <c r="C1400" t="s">
        <v>477</v>
      </c>
      <c r="D1400" t="s">
        <v>425</v>
      </c>
      <c r="E1400" t="s">
        <v>429</v>
      </c>
      <c r="F1400">
        <v>2</v>
      </c>
      <c r="G1400" t="s">
        <v>488</v>
      </c>
      <c r="H1400" s="4">
        <v>1022641</v>
      </c>
      <c r="I1400" s="4">
        <v>1024114.7682763614</v>
      </c>
      <c r="J1400" s="3">
        <v>0.0014411394383379889</v>
      </c>
      <c r="K1400" s="3">
        <v>-0.0014390655442278488</v>
      </c>
      <c r="L1400" t="s">
        <v>377</v>
      </c>
    </row>
    <row r="1401" spans="1:12" x14ac:dyDescent="0.25">
      <c r="A1401" t="s">
        <v>487</v>
      </c>
      <c r="B1401" t="s">
        <v>455</v>
      </c>
      <c r="C1401" t="s">
        <v>477</v>
      </c>
      <c r="D1401" t="s">
        <v>425</v>
      </c>
      <c r="E1401" t="s">
        <v>429</v>
      </c>
      <c r="F1401">
        <v>2</v>
      </c>
      <c r="G1401" t="s">
        <v>498</v>
      </c>
      <c r="H1401" s="4">
        <v>1022641</v>
      </c>
      <c r="I1401" s="4">
        <v>894921</v>
      </c>
      <c r="J1401" s="3">
        <v>0.12489231313823718</v>
      </c>
      <c r="K1401" s="3">
        <v>0.14271650793757215</v>
      </c>
      <c r="L1401" t="s">
        <v>377</v>
      </c>
    </row>
    <row r="1402" spans="1:12" x14ac:dyDescent="0.25">
      <c r="A1402" t="s">
        <v>487</v>
      </c>
      <c r="B1402" t="s">
        <v>455</v>
      </c>
      <c r="C1402" t="s">
        <v>477</v>
      </c>
      <c r="D1402" t="s">
        <v>425</v>
      </c>
      <c r="E1402" t="s">
        <v>429</v>
      </c>
      <c r="F1402">
        <v>2</v>
      </c>
      <c r="G1402" t="s">
        <v>499</v>
      </c>
      <c r="H1402" s="4">
        <v>1022641</v>
      </c>
      <c r="I1402" s="4">
        <v>1201681</v>
      </c>
      <c r="J1402" s="3">
        <v>0.17507610197517995</v>
      </c>
      <c r="K1402" s="3">
        <v>-0.14899128803734102</v>
      </c>
      <c r="L1402" t="s">
        <v>377</v>
      </c>
    </row>
    <row r="1403" spans="1:12" x14ac:dyDescent="0.25">
      <c r="A1403" t="s">
        <v>487</v>
      </c>
      <c r="B1403" t="s">
        <v>455</v>
      </c>
      <c r="C1403" t="s">
        <v>477</v>
      </c>
      <c r="D1403" t="s">
        <v>425</v>
      </c>
      <c r="E1403" t="s">
        <v>431</v>
      </c>
      <c r="F1403">
        <v>3</v>
      </c>
      <c r="G1403" t="s">
        <v>488</v>
      </c>
      <c r="H1403" s="4">
        <v>1199374</v>
      </c>
      <c r="I1403" s="4">
        <v>1008425.547134977</v>
      </c>
      <c r="J1403" s="3">
        <v>0.15920676358252142</v>
      </c>
      <c r="K1403" s="3">
        <v>0.18935304981862458</v>
      </c>
      <c r="L1403" t="s">
        <v>377</v>
      </c>
    </row>
    <row r="1404" spans="1:12" x14ac:dyDescent="0.25">
      <c r="A1404" t="s">
        <v>487</v>
      </c>
      <c r="B1404" t="s">
        <v>455</v>
      </c>
      <c r="C1404" t="s">
        <v>477</v>
      </c>
      <c r="D1404" t="s">
        <v>425</v>
      </c>
      <c r="E1404" t="s">
        <v>431</v>
      </c>
      <c r="F1404">
        <v>3</v>
      </c>
      <c r="G1404" t="s">
        <v>498</v>
      </c>
      <c r="H1404" s="4">
        <v>1199374</v>
      </c>
      <c r="I1404" s="4">
        <v>881211</v>
      </c>
      <c r="J1404" s="3">
        <v>0.2652742180504163</v>
      </c>
      <c r="K1404" s="3">
        <v>0.3610520068405864</v>
      </c>
      <c r="L1404" t="s">
        <v>377</v>
      </c>
    </row>
    <row r="1405" spans="1:12" x14ac:dyDescent="0.25">
      <c r="A1405" t="s">
        <v>487</v>
      </c>
      <c r="B1405" t="s">
        <v>455</v>
      </c>
      <c r="C1405" t="s">
        <v>477</v>
      </c>
      <c r="D1405" t="s">
        <v>425</v>
      </c>
      <c r="E1405" t="s">
        <v>431</v>
      </c>
      <c r="F1405">
        <v>3</v>
      </c>
      <c r="G1405" t="s">
        <v>499</v>
      </c>
      <c r="H1405" s="4">
        <v>1199374</v>
      </c>
      <c r="I1405" s="4">
        <v>1201681</v>
      </c>
      <c r="J1405" s="3">
        <v>0.0019235034276214092</v>
      </c>
      <c r="K1405" s="3">
        <v>-0.001919810665226462</v>
      </c>
      <c r="L1405" t="s">
        <v>377</v>
      </c>
    </row>
    <row r="1406" spans="1:12" x14ac:dyDescent="0.25">
      <c r="A1406" t="s">
        <v>487</v>
      </c>
      <c r="B1406" t="s">
        <v>455</v>
      </c>
      <c r="C1406" t="s">
        <v>477</v>
      </c>
      <c r="D1406" t="s">
        <v>427</v>
      </c>
      <c r="E1406" t="s">
        <v>429</v>
      </c>
      <c r="F1406">
        <v>1</v>
      </c>
      <c r="G1406" t="s">
        <v>488</v>
      </c>
      <c r="H1406" s="4">
        <v>1022641</v>
      </c>
      <c r="I1406" s="4">
        <v>1019273.1178373756</v>
      </c>
      <c r="J1406" s="3">
        <v>0.003293318146470157</v>
      </c>
      <c r="K1406" s="3">
        <v>0.0033041999280527786</v>
      </c>
      <c r="L1406" t="s">
        <v>377</v>
      </c>
    </row>
    <row r="1407" spans="1:12" x14ac:dyDescent="0.25">
      <c r="A1407" t="s">
        <v>487</v>
      </c>
      <c r="B1407" t="s">
        <v>455</v>
      </c>
      <c r="C1407" t="s">
        <v>477</v>
      </c>
      <c r="D1407" t="s">
        <v>427</v>
      </c>
      <c r="E1407" t="s">
        <v>429</v>
      </c>
      <c r="F1407">
        <v>1</v>
      </c>
      <c r="G1407" t="s">
        <v>498</v>
      </c>
      <c r="H1407" s="4">
        <v>1022641</v>
      </c>
      <c r="I1407" s="4">
        <v>894921</v>
      </c>
      <c r="J1407" s="3">
        <v>0.12489231313823718</v>
      </c>
      <c r="K1407" s="3">
        <v>0.14271650793757215</v>
      </c>
      <c r="L1407" t="s">
        <v>377</v>
      </c>
    </row>
    <row r="1408" spans="1:12" x14ac:dyDescent="0.25">
      <c r="A1408" t="s">
        <v>487</v>
      </c>
      <c r="B1408" t="s">
        <v>455</v>
      </c>
      <c r="C1408" t="s">
        <v>477</v>
      </c>
      <c r="D1408" t="s">
        <v>427</v>
      </c>
      <c r="E1408" t="s">
        <v>429</v>
      </c>
      <c r="F1408">
        <v>1</v>
      </c>
      <c r="G1408" t="s">
        <v>499</v>
      </c>
      <c r="H1408" s="4">
        <v>1022641</v>
      </c>
      <c r="I1408" s="4">
        <v>883804</v>
      </c>
      <c r="J1408" s="3">
        <v>0.1357631857122881</v>
      </c>
      <c r="K1408" s="3">
        <v>0.15709025983136532</v>
      </c>
      <c r="L1408" t="s">
        <v>377</v>
      </c>
    </row>
    <row r="1409" spans="1:12" x14ac:dyDescent="0.25">
      <c r="A1409" t="s">
        <v>487</v>
      </c>
      <c r="B1409" t="s">
        <v>455</v>
      </c>
      <c r="C1409" t="s">
        <v>477</v>
      </c>
      <c r="D1409" t="s">
        <v>427</v>
      </c>
      <c r="E1409" t="s">
        <v>431</v>
      </c>
      <c r="F1409">
        <v>2</v>
      </c>
      <c r="G1409" t="s">
        <v>488</v>
      </c>
      <c r="H1409" s="4">
        <v>1199374</v>
      </c>
      <c r="I1409" s="4">
        <v>1003658.0697543041</v>
      </c>
      <c r="J1409" s="3">
        <v>0.16318173500984337</v>
      </c>
      <c r="K1409" s="3">
        <v>0.19500259714307602</v>
      </c>
      <c r="L1409" t="s">
        <v>377</v>
      </c>
    </row>
    <row r="1410" spans="1:12" x14ac:dyDescent="0.25">
      <c r="A1410" t="s">
        <v>487</v>
      </c>
      <c r="B1410" t="s">
        <v>455</v>
      </c>
      <c r="C1410" t="s">
        <v>477</v>
      </c>
      <c r="D1410" t="s">
        <v>427</v>
      </c>
      <c r="E1410" t="s">
        <v>431</v>
      </c>
      <c r="F1410">
        <v>2</v>
      </c>
      <c r="G1410" t="s">
        <v>498</v>
      </c>
      <c r="H1410" s="4">
        <v>1199374</v>
      </c>
      <c r="I1410" s="4">
        <v>881211</v>
      </c>
      <c r="J1410" s="3">
        <v>0.2652742180504163</v>
      </c>
      <c r="K1410" s="3">
        <v>0.3610520068405864</v>
      </c>
      <c r="L1410" t="s">
        <v>377</v>
      </c>
    </row>
    <row r="1411" spans="1:12" x14ac:dyDescent="0.25">
      <c r="A1411" t="s">
        <v>487</v>
      </c>
      <c r="B1411" t="s">
        <v>455</v>
      </c>
      <c r="C1411" t="s">
        <v>477</v>
      </c>
      <c r="D1411" t="s">
        <v>427</v>
      </c>
      <c r="E1411" t="s">
        <v>431</v>
      </c>
      <c r="F1411">
        <v>2</v>
      </c>
      <c r="G1411" t="s">
        <v>499</v>
      </c>
      <c r="H1411" s="4">
        <v>1199374</v>
      </c>
      <c r="I1411" s="4">
        <v>883804</v>
      </c>
      <c r="J1411" s="3">
        <v>0.263112256894013</v>
      </c>
      <c r="K1411" s="3">
        <v>0.35705880489339265</v>
      </c>
      <c r="L1411" t="s">
        <v>377</v>
      </c>
    </row>
    <row r="1412" spans="1:12" x14ac:dyDescent="0.25">
      <c r="A1412" t="s">
        <v>487</v>
      </c>
      <c r="B1412" t="s">
        <v>455</v>
      </c>
      <c r="C1412" t="s">
        <v>477</v>
      </c>
      <c r="D1412" t="s">
        <v>427</v>
      </c>
      <c r="E1412" t="s">
        <v>433</v>
      </c>
      <c r="F1412">
        <v>3</v>
      </c>
      <c r="G1412" t="s">
        <v>488</v>
      </c>
      <c r="H1412" s="4">
        <v>990291</v>
      </c>
      <c r="I1412" s="4">
        <v>2032882.2215159538</v>
      </c>
      <c r="J1412" s="3">
        <v>1.0528129827656252</v>
      </c>
      <c r="K1412" s="3">
        <v>-0.5128635640969285</v>
      </c>
      <c r="L1412" t="s">
        <v>377</v>
      </c>
    </row>
    <row r="1413" spans="1:12" x14ac:dyDescent="0.25">
      <c r="A1413" t="s">
        <v>487</v>
      </c>
      <c r="B1413" t="s">
        <v>455</v>
      </c>
      <c r="C1413" t="s">
        <v>477</v>
      </c>
      <c r="D1413" t="s">
        <v>427</v>
      </c>
      <c r="E1413" t="s">
        <v>433</v>
      </c>
      <c r="F1413">
        <v>3</v>
      </c>
      <c r="G1413" t="s">
        <v>498</v>
      </c>
      <c r="H1413" s="4">
        <v>990291</v>
      </c>
      <c r="I1413" s="4">
        <v>1784869</v>
      </c>
      <c r="J1413" s="3">
        <v>0.8023681927837373</v>
      </c>
      <c r="K1413" s="3">
        <v>-0.44517440775765615</v>
      </c>
      <c r="L1413" t="s">
        <v>377</v>
      </c>
    </row>
    <row r="1414" spans="1:12" x14ac:dyDescent="0.25">
      <c r="A1414" t="s">
        <v>487</v>
      </c>
      <c r="B1414" t="s">
        <v>455</v>
      </c>
      <c r="C1414" t="s">
        <v>477</v>
      </c>
      <c r="D1414" t="s">
        <v>427</v>
      </c>
      <c r="E1414" t="s">
        <v>433</v>
      </c>
      <c r="F1414">
        <v>3</v>
      </c>
      <c r="G1414" t="s">
        <v>499</v>
      </c>
      <c r="H1414" s="4">
        <v>990291</v>
      </c>
      <c r="I1414" s="4">
        <v>883804</v>
      </c>
      <c r="J1414" s="3">
        <v>0.1075310186601716</v>
      </c>
      <c r="K1414" s="3">
        <v>0.12048712157899263</v>
      </c>
      <c r="L1414" t="s">
        <v>377</v>
      </c>
    </row>
    <row r="1415" spans="1:12" x14ac:dyDescent="0.25">
      <c r="A1415" t="s">
        <v>487</v>
      </c>
      <c r="B1415" t="s">
        <v>455</v>
      </c>
      <c r="C1415" t="s">
        <v>477</v>
      </c>
      <c r="D1415" t="s">
        <v>429</v>
      </c>
      <c r="E1415" t="s">
        <v>431</v>
      </c>
      <c r="F1415">
        <v>1</v>
      </c>
      <c r="G1415" t="s">
        <v>488</v>
      </c>
      <c r="H1415" s="4">
        <v>1199374</v>
      </c>
      <c r="I1415" s="4">
        <v>1029171.3698795381</v>
      </c>
      <c r="J1415" s="3">
        <v>0.1419095545846933</v>
      </c>
      <c r="K1415" s="3">
        <v>0.16537831803500685</v>
      </c>
      <c r="L1415" t="s">
        <v>377</v>
      </c>
    </row>
    <row r="1416" spans="1:12" x14ac:dyDescent="0.25">
      <c r="A1416" t="s">
        <v>487</v>
      </c>
      <c r="B1416" t="s">
        <v>455</v>
      </c>
      <c r="C1416" t="s">
        <v>477</v>
      </c>
      <c r="D1416" t="s">
        <v>429</v>
      </c>
      <c r="E1416" t="s">
        <v>431</v>
      </c>
      <c r="F1416">
        <v>1</v>
      </c>
      <c r="G1416" t="s">
        <v>498</v>
      </c>
      <c r="H1416" s="4">
        <v>1199374</v>
      </c>
      <c r="I1416" s="4">
        <v>881211</v>
      </c>
      <c r="J1416" s="3">
        <v>0.2652742180504163</v>
      </c>
      <c r="K1416" s="3">
        <v>0.3610520068405864</v>
      </c>
      <c r="L1416" t="s">
        <v>377</v>
      </c>
    </row>
    <row r="1417" spans="1:12" x14ac:dyDescent="0.25">
      <c r="A1417" t="s">
        <v>487</v>
      </c>
      <c r="B1417" t="s">
        <v>455</v>
      </c>
      <c r="C1417" t="s">
        <v>477</v>
      </c>
      <c r="D1417" t="s">
        <v>429</v>
      </c>
      <c r="E1417" t="s">
        <v>431</v>
      </c>
      <c r="F1417">
        <v>1</v>
      </c>
      <c r="G1417" t="s">
        <v>499</v>
      </c>
      <c r="H1417" s="4">
        <v>1199374</v>
      </c>
      <c r="I1417" s="4">
        <v>1022641</v>
      </c>
      <c r="J1417" s="3">
        <v>0.14735436986294517</v>
      </c>
      <c r="K1417" s="3">
        <v>0.17282017834215527</v>
      </c>
      <c r="L1417" t="s">
        <v>377</v>
      </c>
    </row>
    <row r="1418" spans="1:12" x14ac:dyDescent="0.25">
      <c r="A1418" t="s">
        <v>487</v>
      </c>
      <c r="B1418" t="s">
        <v>455</v>
      </c>
      <c r="C1418" t="s">
        <v>477</v>
      </c>
      <c r="D1418" t="s">
        <v>429</v>
      </c>
      <c r="E1418" t="s">
        <v>433</v>
      </c>
      <c r="F1418">
        <v>2</v>
      </c>
      <c r="G1418" t="s">
        <v>488</v>
      </c>
      <c r="H1418" s="4">
        <v>990291</v>
      </c>
      <c r="I1418" s="4">
        <v>2084558.7195183914</v>
      </c>
      <c r="J1418" s="3">
        <v>1.1049961269146054</v>
      </c>
      <c r="K1418" s="3">
        <v>-0.5249397434921895</v>
      </c>
      <c r="L1418" t="s">
        <v>377</v>
      </c>
    </row>
    <row r="1419" spans="1:12" x14ac:dyDescent="0.25">
      <c r="A1419" t="s">
        <v>487</v>
      </c>
      <c r="B1419" t="s">
        <v>455</v>
      </c>
      <c r="C1419" t="s">
        <v>477</v>
      </c>
      <c r="D1419" t="s">
        <v>429</v>
      </c>
      <c r="E1419" t="s">
        <v>433</v>
      </c>
      <c r="F1419">
        <v>2</v>
      </c>
      <c r="G1419" t="s">
        <v>498</v>
      </c>
      <c r="H1419" s="4">
        <v>990291</v>
      </c>
      <c r="I1419" s="4">
        <v>1784869</v>
      </c>
      <c r="J1419" s="3">
        <v>0.8023681927837373</v>
      </c>
      <c r="K1419" s="3">
        <v>-0.44517440775765615</v>
      </c>
      <c r="L1419" t="s">
        <v>377</v>
      </c>
    </row>
    <row r="1420" spans="1:12" x14ac:dyDescent="0.25">
      <c r="A1420" t="s">
        <v>487</v>
      </c>
      <c r="B1420" t="s">
        <v>455</v>
      </c>
      <c r="C1420" t="s">
        <v>477</v>
      </c>
      <c r="D1420" t="s">
        <v>429</v>
      </c>
      <c r="E1420" t="s">
        <v>433</v>
      </c>
      <c r="F1420">
        <v>2</v>
      </c>
      <c r="G1420" t="s">
        <v>499</v>
      </c>
      <c r="H1420" s="4">
        <v>990291</v>
      </c>
      <c r="I1420" s="4">
        <v>1022641</v>
      </c>
      <c r="J1420" s="3">
        <v>0.032667165509935966</v>
      </c>
      <c r="K1420" s="3">
        <v>-0.031633779596163265</v>
      </c>
      <c r="L1420" t="s">
        <v>377</v>
      </c>
    </row>
    <row r="1421" spans="1:12" x14ac:dyDescent="0.25">
      <c r="A1421" t="s">
        <v>487</v>
      </c>
      <c r="B1421" t="s">
        <v>455</v>
      </c>
      <c r="C1421" t="s">
        <v>477</v>
      </c>
      <c r="D1421" t="s">
        <v>429</v>
      </c>
      <c r="E1421" t="s">
        <v>435</v>
      </c>
      <c r="F1421">
        <v>3</v>
      </c>
      <c r="G1421" t="s">
        <v>488</v>
      </c>
      <c r="H1421" s="4">
        <v>1022388</v>
      </c>
      <c r="I1421" s="4">
        <v>1276211.4599855393</v>
      </c>
      <c r="J1421" s="3">
        <v>0.2482652965268952</v>
      </c>
      <c r="K1421" s="3">
        <v>-0.19888824692768028</v>
      </c>
      <c r="L1421" t="s">
        <v>377</v>
      </c>
    </row>
    <row r="1422" spans="1:12" x14ac:dyDescent="0.25">
      <c r="A1422" t="s">
        <v>487</v>
      </c>
      <c r="B1422" t="s">
        <v>455</v>
      </c>
      <c r="C1422" t="s">
        <v>477</v>
      </c>
      <c r="D1422" t="s">
        <v>429</v>
      </c>
      <c r="E1422" t="s">
        <v>435</v>
      </c>
      <c r="F1422">
        <v>3</v>
      </c>
      <c r="G1422" t="s">
        <v>498</v>
      </c>
      <c r="H1422" s="4">
        <v>1022388</v>
      </c>
      <c r="I1422" s="4">
        <v>1092735</v>
      </c>
      <c r="J1422" s="3">
        <v>0.06880655876242679</v>
      </c>
      <c r="K1422" s="3">
        <v>-0.06437699899792722</v>
      </c>
      <c r="L1422" t="s">
        <v>377</v>
      </c>
    </row>
    <row r="1423" spans="1:12" x14ac:dyDescent="0.25">
      <c r="A1423" t="s">
        <v>487</v>
      </c>
      <c r="B1423" t="s">
        <v>455</v>
      </c>
      <c r="C1423" t="s">
        <v>477</v>
      </c>
      <c r="D1423" t="s">
        <v>429</v>
      </c>
      <c r="E1423" t="s">
        <v>435</v>
      </c>
      <c r="F1423">
        <v>3</v>
      </c>
      <c r="G1423" t="s">
        <v>499</v>
      </c>
      <c r="H1423" s="4">
        <v>1022388</v>
      </c>
      <c r="I1423" s="4">
        <v>1022641</v>
      </c>
      <c r="J1423" s="3">
        <v>0.00024745986846480984</v>
      </c>
      <c r="K1423" s="3">
        <v>-0.0002473986472281084</v>
      </c>
      <c r="L1423" t="s">
        <v>377</v>
      </c>
    </row>
    <row r="1424" spans="1:12" x14ac:dyDescent="0.25">
      <c r="A1424" t="s">
        <v>487</v>
      </c>
      <c r="B1424" t="s">
        <v>455</v>
      </c>
      <c r="C1424" t="s">
        <v>477</v>
      </c>
      <c r="D1424" t="s">
        <v>431</v>
      </c>
      <c r="E1424" t="s">
        <v>433</v>
      </c>
      <c r="F1424">
        <v>1</v>
      </c>
      <c r="G1424" t="s">
        <v>488</v>
      </c>
      <c r="H1424" s="4">
        <v>990291</v>
      </c>
      <c r="I1424" s="4">
        <v>2119368.2689148183</v>
      </c>
      <c r="J1424" s="3">
        <v>1.1401469557077852</v>
      </c>
      <c r="K1424" s="3">
        <v>-0.5327423673720191</v>
      </c>
      <c r="L1424" t="s">
        <v>377</v>
      </c>
    </row>
    <row r="1425" spans="1:12" x14ac:dyDescent="0.25">
      <c r="A1425" t="s">
        <v>487</v>
      </c>
      <c r="B1425" t="s">
        <v>455</v>
      </c>
      <c r="C1425" t="s">
        <v>477</v>
      </c>
      <c r="D1425" t="s">
        <v>431</v>
      </c>
      <c r="E1425" t="s">
        <v>433</v>
      </c>
      <c r="F1425">
        <v>1</v>
      </c>
      <c r="G1425" t="s">
        <v>498</v>
      </c>
      <c r="H1425" s="4">
        <v>990291</v>
      </c>
      <c r="I1425" s="4">
        <v>1784869</v>
      </c>
      <c r="J1425" s="3">
        <v>0.8023681927837373</v>
      </c>
      <c r="K1425" s="3">
        <v>-0.44517440775765615</v>
      </c>
      <c r="L1425" t="s">
        <v>377</v>
      </c>
    </row>
    <row r="1426" spans="1:12" x14ac:dyDescent="0.25">
      <c r="A1426" t="s">
        <v>487</v>
      </c>
      <c r="B1426" t="s">
        <v>455</v>
      </c>
      <c r="C1426" t="s">
        <v>477</v>
      </c>
      <c r="D1426" t="s">
        <v>431</v>
      </c>
      <c r="E1426" t="s">
        <v>433</v>
      </c>
      <c r="F1426">
        <v>1</v>
      </c>
      <c r="G1426" t="s">
        <v>499</v>
      </c>
      <c r="H1426" s="4">
        <v>990291</v>
      </c>
      <c r="I1426" s="4">
        <v>1199374</v>
      </c>
      <c r="J1426" s="3">
        <v>0.21113288922145107</v>
      </c>
      <c r="K1426" s="3">
        <v>-0.1743267738003325</v>
      </c>
      <c r="L1426" t="s">
        <v>377</v>
      </c>
    </row>
    <row r="1427" spans="1:12" x14ac:dyDescent="0.25">
      <c r="A1427" t="s">
        <v>487</v>
      </c>
      <c r="B1427" t="s">
        <v>455</v>
      </c>
      <c r="C1427" t="s">
        <v>477</v>
      </c>
      <c r="D1427" t="s">
        <v>431</v>
      </c>
      <c r="E1427" t="s">
        <v>435</v>
      </c>
      <c r="F1427">
        <v>2</v>
      </c>
      <c r="G1427" t="s">
        <v>488</v>
      </c>
      <c r="H1427" s="4">
        <v>1022388</v>
      </c>
      <c r="I1427" s="4">
        <v>1297522.6110894603</v>
      </c>
      <c r="J1427" s="3">
        <v>0.26910978130559077</v>
      </c>
      <c r="K1427" s="3">
        <v>-0.21204610134573648</v>
      </c>
      <c r="L1427" t="s">
        <v>377</v>
      </c>
    </row>
    <row r="1428" spans="1:12" x14ac:dyDescent="0.25">
      <c r="A1428" t="s">
        <v>487</v>
      </c>
      <c r="B1428" t="s">
        <v>455</v>
      </c>
      <c r="C1428" t="s">
        <v>477</v>
      </c>
      <c r="D1428" t="s">
        <v>431</v>
      </c>
      <c r="E1428" t="s">
        <v>435</v>
      </c>
      <c r="F1428">
        <v>2</v>
      </c>
      <c r="G1428" t="s">
        <v>498</v>
      </c>
      <c r="H1428" s="4">
        <v>1022388</v>
      </c>
      <c r="I1428" s="4">
        <v>1092735</v>
      </c>
      <c r="J1428" s="3">
        <v>0.06880655876242679</v>
      </c>
      <c r="K1428" s="3">
        <v>-0.06437699899792722</v>
      </c>
      <c r="L1428" t="s">
        <v>377</v>
      </c>
    </row>
    <row r="1429" spans="1:12" x14ac:dyDescent="0.25">
      <c r="A1429" t="s">
        <v>487</v>
      </c>
      <c r="B1429" t="s">
        <v>455</v>
      </c>
      <c r="C1429" t="s">
        <v>477</v>
      </c>
      <c r="D1429" t="s">
        <v>431</v>
      </c>
      <c r="E1429" t="s">
        <v>435</v>
      </c>
      <c r="F1429">
        <v>2</v>
      </c>
      <c r="G1429" t="s">
        <v>499</v>
      </c>
      <c r="H1429" s="4">
        <v>1022388</v>
      </c>
      <c r="I1429" s="4">
        <v>1199374</v>
      </c>
      <c r="J1429" s="3">
        <v>0.1731104042692207</v>
      </c>
      <c r="K1429" s="3">
        <v>-0.14756531323840605</v>
      </c>
      <c r="L1429" t="s">
        <v>377</v>
      </c>
    </row>
    <row r="1430" spans="1:12" x14ac:dyDescent="0.25">
      <c r="A1430" t="s">
        <v>487</v>
      </c>
      <c r="B1430" t="s">
        <v>455</v>
      </c>
      <c r="C1430" t="s">
        <v>477</v>
      </c>
      <c r="D1430" t="s">
        <v>431</v>
      </c>
      <c r="E1430" t="s">
        <v>437</v>
      </c>
      <c r="F1430">
        <v>3</v>
      </c>
      <c r="G1430" t="s">
        <v>488</v>
      </c>
      <c r="H1430" s="4">
        <v>1448396</v>
      </c>
      <c r="I1430" s="4">
        <v>1456318.2855657304</v>
      </c>
      <c r="J1430" s="3">
        <v>0.005469695832997617</v>
      </c>
      <c r="K1430" s="3">
        <v>-0.005439941010321708</v>
      </c>
      <c r="L1430" t="s">
        <v>377</v>
      </c>
    </row>
    <row r="1431" spans="1:12" x14ac:dyDescent="0.25">
      <c r="A1431" t="s">
        <v>487</v>
      </c>
      <c r="B1431" t="s">
        <v>455</v>
      </c>
      <c r="C1431" t="s">
        <v>477</v>
      </c>
      <c r="D1431" t="s">
        <v>431</v>
      </c>
      <c r="E1431" t="s">
        <v>437</v>
      </c>
      <c r="F1431">
        <v>3</v>
      </c>
      <c r="G1431" t="s">
        <v>498</v>
      </c>
      <c r="H1431" s="4">
        <v>1448396</v>
      </c>
      <c r="I1431" s="4">
        <v>1226468</v>
      </c>
      <c r="J1431" s="3">
        <v>0.15322328976329677</v>
      </c>
      <c r="K1431" s="3">
        <v>0.18094887106716195</v>
      </c>
      <c r="L1431" t="s">
        <v>377</v>
      </c>
    </row>
    <row r="1432" spans="1:12" x14ac:dyDescent="0.25">
      <c r="A1432" t="s">
        <v>487</v>
      </c>
      <c r="B1432" t="s">
        <v>455</v>
      </c>
      <c r="C1432" t="s">
        <v>477</v>
      </c>
      <c r="D1432" t="s">
        <v>431</v>
      </c>
      <c r="E1432" t="s">
        <v>437</v>
      </c>
      <c r="F1432">
        <v>3</v>
      </c>
      <c r="G1432" t="s">
        <v>499</v>
      </c>
      <c r="H1432" s="4">
        <v>1448396</v>
      </c>
      <c r="I1432" s="4">
        <v>1199374</v>
      </c>
      <c r="J1432" s="3">
        <v>0.17192949994338566</v>
      </c>
      <c r="K1432" s="3">
        <v>0.20762664523326335</v>
      </c>
      <c r="L1432" t="s">
        <v>377</v>
      </c>
    </row>
    <row r="1433" spans="1:12" x14ac:dyDescent="0.25">
      <c r="A1433" t="s">
        <v>487</v>
      </c>
      <c r="B1433" t="s">
        <v>455</v>
      </c>
      <c r="C1433" t="s">
        <v>477</v>
      </c>
      <c r="D1433" t="s">
        <v>433</v>
      </c>
      <c r="E1433" t="s">
        <v>435</v>
      </c>
      <c r="F1433">
        <v>1</v>
      </c>
      <c r="G1433" t="s">
        <v>488</v>
      </c>
      <c r="H1433" s="4">
        <v>1022388</v>
      </c>
      <c r="I1433" s="4">
        <v>1167461.9903169572</v>
      </c>
      <c r="J1433" s="3">
        <v>0.1418971958952543</v>
      </c>
      <c r="K1433" s="3">
        <v>-0.1242644227565565</v>
      </c>
      <c r="L1433" t="s">
        <v>377</v>
      </c>
    </row>
    <row r="1434" spans="1:12" x14ac:dyDescent="0.25">
      <c r="A1434" t="s">
        <v>487</v>
      </c>
      <c r="B1434" t="s">
        <v>455</v>
      </c>
      <c r="C1434" t="s">
        <v>477</v>
      </c>
      <c r="D1434" t="s">
        <v>433</v>
      </c>
      <c r="E1434" t="s">
        <v>435</v>
      </c>
      <c r="F1434">
        <v>1</v>
      </c>
      <c r="G1434" t="s">
        <v>498</v>
      </c>
      <c r="H1434" s="4">
        <v>1022388</v>
      </c>
      <c r="I1434" s="4">
        <v>1092735</v>
      </c>
      <c r="J1434" s="3">
        <v>0.06880655876242679</v>
      </c>
      <c r="K1434" s="3">
        <v>-0.06437699899792722</v>
      </c>
      <c r="L1434" t="s">
        <v>377</v>
      </c>
    </row>
    <row r="1435" spans="1:12" x14ac:dyDescent="0.25">
      <c r="A1435" t="s">
        <v>487</v>
      </c>
      <c r="B1435" t="s">
        <v>455</v>
      </c>
      <c r="C1435" t="s">
        <v>477</v>
      </c>
      <c r="D1435" t="s">
        <v>433</v>
      </c>
      <c r="E1435" t="s">
        <v>435</v>
      </c>
      <c r="F1435">
        <v>1</v>
      </c>
      <c r="G1435" t="s">
        <v>499</v>
      </c>
      <c r="H1435" s="4">
        <v>1022388</v>
      </c>
      <c r="I1435" s="4">
        <v>990291</v>
      </c>
      <c r="J1435" s="3">
        <v>0.03139414781863637</v>
      </c>
      <c r="K1435" s="3">
        <v>0.03241168505015193</v>
      </c>
      <c r="L1435" t="s">
        <v>377</v>
      </c>
    </row>
    <row r="1436" spans="1:12" x14ac:dyDescent="0.25">
      <c r="A1436" t="s">
        <v>487</v>
      </c>
      <c r="B1436" t="s">
        <v>455</v>
      </c>
      <c r="C1436" t="s">
        <v>477</v>
      </c>
      <c r="D1436" t="s">
        <v>433</v>
      </c>
      <c r="E1436" t="s">
        <v>437</v>
      </c>
      <c r="F1436">
        <v>2</v>
      </c>
      <c r="G1436" t="s">
        <v>488</v>
      </c>
      <c r="H1436" s="4">
        <v>1448396</v>
      </c>
      <c r="I1436" s="4">
        <v>1310340.3591356163</v>
      </c>
      <c r="J1436" s="3">
        <v>0.09531622626987624</v>
      </c>
      <c r="K1436" s="3">
        <v>0.10535861152552298</v>
      </c>
      <c r="L1436" t="s">
        <v>377</v>
      </c>
    </row>
    <row r="1437" spans="1:12" x14ac:dyDescent="0.25">
      <c r="A1437" t="s">
        <v>487</v>
      </c>
      <c r="B1437" t="s">
        <v>455</v>
      </c>
      <c r="C1437" t="s">
        <v>477</v>
      </c>
      <c r="D1437" t="s">
        <v>433</v>
      </c>
      <c r="E1437" t="s">
        <v>437</v>
      </c>
      <c r="F1437">
        <v>2</v>
      </c>
      <c r="G1437" t="s">
        <v>498</v>
      </c>
      <c r="H1437" s="4">
        <v>1448396</v>
      </c>
      <c r="I1437" s="4">
        <v>1226468</v>
      </c>
      <c r="J1437" s="3">
        <v>0.15322328976329677</v>
      </c>
      <c r="K1437" s="3">
        <v>0.18094887106716195</v>
      </c>
      <c r="L1437" t="s">
        <v>377</v>
      </c>
    </row>
    <row r="1438" spans="1:12" x14ac:dyDescent="0.25">
      <c r="A1438" t="s">
        <v>487</v>
      </c>
      <c r="B1438" t="s">
        <v>455</v>
      </c>
      <c r="C1438" t="s">
        <v>477</v>
      </c>
      <c r="D1438" t="s">
        <v>433</v>
      </c>
      <c r="E1438" t="s">
        <v>437</v>
      </c>
      <c r="F1438">
        <v>2</v>
      </c>
      <c r="G1438" t="s">
        <v>499</v>
      </c>
      <c r="H1438" s="4">
        <v>1448396</v>
      </c>
      <c r="I1438" s="4">
        <v>990291</v>
      </c>
      <c r="J1438" s="3">
        <v>0.3162843586974833</v>
      </c>
      <c r="K1438" s="3">
        <v>0.4625963479421705</v>
      </c>
      <c r="L1438" t="s">
        <v>377</v>
      </c>
    </row>
    <row r="1439" spans="1:12" x14ac:dyDescent="0.25">
      <c r="A1439" t="s">
        <v>487</v>
      </c>
      <c r="B1439" t="s">
        <v>455</v>
      </c>
      <c r="C1439" t="s">
        <v>477</v>
      </c>
      <c r="D1439" t="s">
        <v>433</v>
      </c>
      <c r="E1439" t="s">
        <v>11</v>
      </c>
      <c r="F1439">
        <v>3</v>
      </c>
      <c r="G1439" t="s">
        <v>488</v>
      </c>
      <c r="H1439" s="4">
        <v>1019780</v>
      </c>
      <c r="I1439" s="4">
        <v>1511232.0487266595</v>
      </c>
      <c r="J1439" s="3">
        <v>0.4819196775055988</v>
      </c>
      <c r="K1439" s="3">
        <v>-0.3251995940271048</v>
      </c>
      <c r="L1439" t="s">
        <v>377</v>
      </c>
    </row>
    <row r="1440" spans="1:12" x14ac:dyDescent="0.25">
      <c r="A1440" t="s">
        <v>487</v>
      </c>
      <c r="B1440" t="s">
        <v>455</v>
      </c>
      <c r="C1440" t="s">
        <v>477</v>
      </c>
      <c r="D1440" t="s">
        <v>433</v>
      </c>
      <c r="E1440" t="s">
        <v>11</v>
      </c>
      <c r="F1440">
        <v>3</v>
      </c>
      <c r="G1440" t="s">
        <v>498</v>
      </c>
      <c r="H1440" s="4">
        <v>1019780</v>
      </c>
      <c r="I1440" s="4">
        <v>1414501</v>
      </c>
      <c r="J1440" s="3">
        <v>0.38706485712604677</v>
      </c>
      <c r="K1440" s="3">
        <v>-0.2790531784707116</v>
      </c>
      <c r="L1440" t="s">
        <v>377</v>
      </c>
    </row>
    <row r="1441" spans="1:12" x14ac:dyDescent="0.25">
      <c r="A1441" t="s">
        <v>487</v>
      </c>
      <c r="B1441" t="s">
        <v>455</v>
      </c>
      <c r="C1441" t="s">
        <v>477</v>
      </c>
      <c r="D1441" t="s">
        <v>433</v>
      </c>
      <c r="E1441" t="s">
        <v>11</v>
      </c>
      <c r="F1441">
        <v>3</v>
      </c>
      <c r="G1441" t="s">
        <v>499</v>
      </c>
      <c r="H1441" s="4">
        <v>1019780</v>
      </c>
      <c r="I1441" s="4">
        <v>990291</v>
      </c>
      <c r="J1441" s="3">
        <v>0.02891702131832356</v>
      </c>
      <c r="K1441" s="3">
        <v>0.029778115725579653</v>
      </c>
      <c r="L1441" t="s">
        <v>377</v>
      </c>
    </row>
    <row r="1442" spans="1:12" x14ac:dyDescent="0.25">
      <c r="A1442" t="s">
        <v>487</v>
      </c>
      <c r="B1442" t="s">
        <v>455</v>
      </c>
      <c r="C1442" t="s">
        <v>477</v>
      </c>
      <c r="D1442" t="s">
        <v>435</v>
      </c>
      <c r="E1442" t="s">
        <v>437</v>
      </c>
      <c r="F1442">
        <v>1</v>
      </c>
      <c r="G1442" t="s">
        <v>488</v>
      </c>
      <c r="H1442" s="4">
        <v>1448396</v>
      </c>
      <c r="I1442" s="4">
        <v>1290889.2289301737</v>
      </c>
      <c r="J1442" s="3">
        <v>0.10874565455153586</v>
      </c>
      <c r="K1442" s="3">
        <v>0.1220141647632774</v>
      </c>
      <c r="L1442" t="s">
        <v>377</v>
      </c>
    </row>
    <row r="1443" spans="1:12" x14ac:dyDescent="0.25">
      <c r="A1443" t="s">
        <v>487</v>
      </c>
      <c r="B1443" t="s">
        <v>455</v>
      </c>
      <c r="C1443" t="s">
        <v>477</v>
      </c>
      <c r="D1443" t="s">
        <v>435</v>
      </c>
      <c r="E1443" t="s">
        <v>437</v>
      </c>
      <c r="F1443">
        <v>1</v>
      </c>
      <c r="G1443" t="s">
        <v>498</v>
      </c>
      <c r="H1443" s="4">
        <v>1448396</v>
      </c>
      <c r="I1443" s="4">
        <v>1226468</v>
      </c>
      <c r="J1443" s="3">
        <v>0.15322328976329677</v>
      </c>
      <c r="K1443" s="3">
        <v>0.18094887106716195</v>
      </c>
      <c r="L1443" t="s">
        <v>377</v>
      </c>
    </row>
    <row r="1444" spans="1:12" x14ac:dyDescent="0.25">
      <c r="A1444" t="s">
        <v>487</v>
      </c>
      <c r="B1444" t="s">
        <v>455</v>
      </c>
      <c r="C1444" t="s">
        <v>477</v>
      </c>
      <c r="D1444" t="s">
        <v>435</v>
      </c>
      <c r="E1444" t="s">
        <v>437</v>
      </c>
      <c r="F1444">
        <v>1</v>
      </c>
      <c r="G1444" t="s">
        <v>499</v>
      </c>
      <c r="H1444" s="4">
        <v>1448396</v>
      </c>
      <c r="I1444" s="4">
        <v>1022388</v>
      </c>
      <c r="J1444" s="3">
        <v>0.2941239826677235</v>
      </c>
      <c r="K1444" s="3">
        <v>0.41667938199587634</v>
      </c>
      <c r="L1444" t="s">
        <v>377</v>
      </c>
    </row>
    <row r="1445" spans="1:12" x14ac:dyDescent="0.25">
      <c r="A1445" t="s">
        <v>487</v>
      </c>
      <c r="B1445" t="s">
        <v>455</v>
      </c>
      <c r="C1445" t="s">
        <v>477</v>
      </c>
      <c r="D1445" t="s">
        <v>435</v>
      </c>
      <c r="E1445" t="s">
        <v>11</v>
      </c>
      <c r="F1445">
        <v>2</v>
      </c>
      <c r="G1445" t="s">
        <v>488</v>
      </c>
      <c r="H1445" s="4">
        <v>1019780</v>
      </c>
      <c r="I1445" s="4">
        <v>1488798.8151431263</v>
      </c>
      <c r="J1445" s="3">
        <v>0.459921566556636</v>
      </c>
      <c r="K1445" s="3">
        <v>-0.3150316956008841</v>
      </c>
      <c r="L1445" t="s">
        <v>377</v>
      </c>
    </row>
    <row r="1446" spans="1:12" x14ac:dyDescent="0.25">
      <c r="A1446" t="s">
        <v>487</v>
      </c>
      <c r="B1446" t="s">
        <v>455</v>
      </c>
      <c r="C1446" t="s">
        <v>477</v>
      </c>
      <c r="D1446" t="s">
        <v>435</v>
      </c>
      <c r="E1446" t="s">
        <v>11</v>
      </c>
      <c r="F1446">
        <v>2</v>
      </c>
      <c r="G1446" t="s">
        <v>498</v>
      </c>
      <c r="H1446" s="4">
        <v>1019780</v>
      </c>
      <c r="I1446" s="4">
        <v>1414501</v>
      </c>
      <c r="J1446" s="3">
        <v>0.38706485712604677</v>
      </c>
      <c r="K1446" s="3">
        <v>-0.2790531784707116</v>
      </c>
      <c r="L1446" t="s">
        <v>377</v>
      </c>
    </row>
    <row r="1447" spans="1:12" x14ac:dyDescent="0.25">
      <c r="A1447" t="s">
        <v>487</v>
      </c>
      <c r="B1447" t="s">
        <v>455</v>
      </c>
      <c r="C1447" t="s">
        <v>477</v>
      </c>
      <c r="D1447" t="s">
        <v>435</v>
      </c>
      <c r="E1447" t="s">
        <v>11</v>
      </c>
      <c r="F1447">
        <v>2</v>
      </c>
      <c r="G1447" t="s">
        <v>499</v>
      </c>
      <c r="H1447" s="4">
        <v>1019780</v>
      </c>
      <c r="I1447" s="4">
        <v>1022388</v>
      </c>
      <c r="J1447" s="3">
        <v>0.0025574143442703328</v>
      </c>
      <c r="K1447" s="3">
        <v>-0.002550890659906024</v>
      </c>
      <c r="L1447" t="s">
        <v>377</v>
      </c>
    </row>
    <row r="1448" spans="1:12" x14ac:dyDescent="0.25">
      <c r="A1448" t="s">
        <v>487</v>
      </c>
      <c r="B1448" t="s">
        <v>455</v>
      </c>
      <c r="C1448" t="s">
        <v>477</v>
      </c>
      <c r="D1448" t="s">
        <v>437</v>
      </c>
      <c r="E1448" t="s">
        <v>11</v>
      </c>
      <c r="F1448">
        <v>1</v>
      </c>
      <c r="G1448" t="s">
        <v>488</v>
      </c>
      <c r="H1448" s="4">
        <v>1019780</v>
      </c>
      <c r="I1448" s="4">
        <v>1500743.49876504</v>
      </c>
      <c r="J1448" s="3">
        <v>0.4716345670292023</v>
      </c>
      <c r="K1448" s="3">
        <v>-0.3204834797957308</v>
      </c>
      <c r="L1448" t="s">
        <v>377</v>
      </c>
    </row>
    <row r="1449" spans="1:12" x14ac:dyDescent="0.25">
      <c r="A1449" t="s">
        <v>487</v>
      </c>
      <c r="B1449" t="s">
        <v>455</v>
      </c>
      <c r="C1449" t="s">
        <v>477</v>
      </c>
      <c r="D1449" t="s">
        <v>437</v>
      </c>
      <c r="E1449" t="s">
        <v>11</v>
      </c>
      <c r="F1449">
        <v>1</v>
      </c>
      <c r="G1449" t="s">
        <v>498</v>
      </c>
      <c r="H1449" s="4">
        <v>1019780</v>
      </c>
      <c r="I1449" s="4">
        <v>1414501</v>
      </c>
      <c r="J1449" s="3">
        <v>0.38706485712604677</v>
      </c>
      <c r="K1449" s="3">
        <v>-0.2790531784707116</v>
      </c>
      <c r="L1449" t="s">
        <v>377</v>
      </c>
    </row>
    <row r="1450" spans="1:12" x14ac:dyDescent="0.25">
      <c r="A1450" t="s">
        <v>487</v>
      </c>
      <c r="B1450" t="s">
        <v>455</v>
      </c>
      <c r="C1450" t="s">
        <v>477</v>
      </c>
      <c r="D1450" t="s">
        <v>437</v>
      </c>
      <c r="E1450" t="s">
        <v>11</v>
      </c>
      <c r="F1450">
        <v>1</v>
      </c>
      <c r="G1450" t="s">
        <v>499</v>
      </c>
      <c r="H1450" s="4">
        <v>1019780</v>
      </c>
      <c r="I1450" s="4">
        <v>1448396</v>
      </c>
      <c r="J1450" s="3">
        <v>0.4203024181686246</v>
      </c>
      <c r="K1450" s="3">
        <v>-0.295924595207388</v>
      </c>
      <c r="L1450" t="s">
        <v>377</v>
      </c>
    </row>
    <row r="1451" spans="1:12" x14ac:dyDescent="0.25">
      <c r="A1451" t="s">
        <v>487</v>
      </c>
      <c r="B1451" t="s">
        <v>461</v>
      </c>
      <c r="C1451" t="s">
        <v>462</v>
      </c>
      <c r="D1451" t="s">
        <v>114</v>
      </c>
      <c r="E1451" t="s">
        <v>116</v>
      </c>
      <c r="F1451">
        <v>1</v>
      </c>
      <c r="G1451" t="s">
        <v>488</v>
      </c>
      <c r="H1451" s="4">
        <v>24889337</v>
      </c>
      <c r="I1451" s="4">
        <v>22911770.04927205</v>
      </c>
      <c r="J1451" s="3">
        <v>0.07945438445097798</v>
      </c>
      <c r="K1451" s="3">
        <v>0.0863122729704064</v>
      </c>
      <c r="L1451" t="s">
        <v>54</v>
      </c>
    </row>
    <row r="1452" spans="1:12" x14ac:dyDescent="0.25">
      <c r="A1452" t="s">
        <v>487</v>
      </c>
      <c r="B1452" t="s">
        <v>461</v>
      </c>
      <c r="C1452" t="s">
        <v>462</v>
      </c>
      <c r="D1452" t="s">
        <v>114</v>
      </c>
      <c r="E1452" t="s">
        <v>116</v>
      </c>
      <c r="F1452">
        <v>1</v>
      </c>
      <c r="G1452" t="s">
        <v>498</v>
      </c>
      <c r="H1452" s="4">
        <v>24889337</v>
      </c>
      <c r="I1452" s="4">
        <v>29120733</v>
      </c>
      <c r="J1452" s="3">
        <v>0.1700083855186661</v>
      </c>
      <c r="K1452" s="3">
        <v>-0.14530527099025975</v>
      </c>
      <c r="L1452" t="s">
        <v>54</v>
      </c>
    </row>
    <row r="1453" spans="1:12" x14ac:dyDescent="0.25">
      <c r="A1453" t="s">
        <v>487</v>
      </c>
      <c r="B1453" t="s">
        <v>461</v>
      </c>
      <c r="C1453" t="s">
        <v>462</v>
      </c>
      <c r="D1453" t="s">
        <v>114</v>
      </c>
      <c r="E1453" t="s">
        <v>116</v>
      </c>
      <c r="F1453">
        <v>1</v>
      </c>
      <c r="G1453" t="s">
        <v>499</v>
      </c>
      <c r="H1453" s="4">
        <v>24889337</v>
      </c>
      <c r="I1453" s="4">
        <v>21067914</v>
      </c>
      <c r="J1453" s="3">
        <v>0.1535365526209075</v>
      </c>
      <c r="K1453" s="3">
        <v>0.18138592173862111</v>
      </c>
      <c r="L1453" t="s">
        <v>54</v>
      </c>
    </row>
    <row r="1454" spans="1:12" x14ac:dyDescent="0.25">
      <c r="A1454" t="s">
        <v>487</v>
      </c>
      <c r="B1454" t="s">
        <v>461</v>
      </c>
      <c r="C1454" t="s">
        <v>462</v>
      </c>
      <c r="D1454" t="s">
        <v>114</v>
      </c>
      <c r="E1454" t="s">
        <v>118</v>
      </c>
      <c r="F1454">
        <v>2</v>
      </c>
      <c r="G1454" t="s">
        <v>488</v>
      </c>
      <c r="H1454" s="4">
        <v>24699391</v>
      </c>
      <c r="I1454" s="4">
        <v>21791031.890990607</v>
      </c>
      <c r="J1454" s="3">
        <v>0.11775023558311185</v>
      </c>
      <c r="K1454" s="3">
        <v>0.1334658736473989</v>
      </c>
      <c r="L1454" t="s">
        <v>54</v>
      </c>
    </row>
    <row r="1455" spans="1:12" x14ac:dyDescent="0.25">
      <c r="A1455" t="s">
        <v>487</v>
      </c>
      <c r="B1455" t="s">
        <v>461</v>
      </c>
      <c r="C1455" t="s">
        <v>462</v>
      </c>
      <c r="D1455" t="s">
        <v>114</v>
      </c>
      <c r="E1455" t="s">
        <v>118</v>
      </c>
      <c r="F1455">
        <v>2</v>
      </c>
      <c r="G1455" t="s">
        <v>498</v>
      </c>
      <c r="H1455" s="4">
        <v>24699391</v>
      </c>
      <c r="I1455" s="4">
        <v>27696281</v>
      </c>
      <c r="J1455" s="3">
        <v>0.1213345705568206</v>
      </c>
      <c r="K1455" s="3">
        <v>-0.10820550239218038</v>
      </c>
      <c r="L1455" t="s">
        <v>54</v>
      </c>
    </row>
    <row r="1456" spans="1:12" x14ac:dyDescent="0.25">
      <c r="A1456" t="s">
        <v>487</v>
      </c>
      <c r="B1456" t="s">
        <v>461</v>
      </c>
      <c r="C1456" t="s">
        <v>462</v>
      </c>
      <c r="D1456" t="s">
        <v>114</v>
      </c>
      <c r="E1456" t="s">
        <v>118</v>
      </c>
      <c r="F1456">
        <v>2</v>
      </c>
      <c r="G1456" t="s">
        <v>499</v>
      </c>
      <c r="H1456" s="4">
        <v>24699391</v>
      </c>
      <c r="I1456" s="4">
        <v>21067914</v>
      </c>
      <c r="J1456" s="3">
        <v>0.1470269854021907</v>
      </c>
      <c r="K1456" s="3">
        <v>0.17237003150857746</v>
      </c>
      <c r="L1456" t="s">
        <v>54</v>
      </c>
    </row>
    <row r="1457" spans="1:12" x14ac:dyDescent="0.25">
      <c r="A1457" t="s">
        <v>487</v>
      </c>
      <c r="B1457" t="s">
        <v>461</v>
      </c>
      <c r="C1457" t="s">
        <v>462</v>
      </c>
      <c r="D1457" t="s">
        <v>114</v>
      </c>
      <c r="E1457" t="s">
        <v>120</v>
      </c>
      <c r="F1457">
        <v>3</v>
      </c>
      <c r="G1457" t="s">
        <v>488</v>
      </c>
      <c r="H1457" s="4">
        <v>24966437</v>
      </c>
      <c r="I1457" s="4">
        <v>17060317.361363254</v>
      </c>
      <c r="J1457" s="3">
        <v>0.31666992124814386</v>
      </c>
      <c r="K1457" s="3">
        <v>0.4634216041339212</v>
      </c>
      <c r="L1457" t="s">
        <v>54</v>
      </c>
    </row>
    <row r="1458" spans="1:12" x14ac:dyDescent="0.25">
      <c r="A1458" t="s">
        <v>487</v>
      </c>
      <c r="B1458" t="s">
        <v>461</v>
      </c>
      <c r="C1458" t="s">
        <v>462</v>
      </c>
      <c r="D1458" t="s">
        <v>114</v>
      </c>
      <c r="E1458" t="s">
        <v>120</v>
      </c>
      <c r="F1458">
        <v>3</v>
      </c>
      <c r="G1458" t="s">
        <v>498</v>
      </c>
      <c r="H1458" s="4">
        <v>24966437</v>
      </c>
      <c r="I1458" s="4">
        <v>21683569</v>
      </c>
      <c r="J1458" s="3">
        <v>0.13149124963245656</v>
      </c>
      <c r="K1458" s="3">
        <v>0.15139887718668454</v>
      </c>
      <c r="L1458" t="s">
        <v>54</v>
      </c>
    </row>
    <row r="1459" spans="1:12" x14ac:dyDescent="0.25">
      <c r="A1459" t="s">
        <v>487</v>
      </c>
      <c r="B1459" t="s">
        <v>461</v>
      </c>
      <c r="C1459" t="s">
        <v>462</v>
      </c>
      <c r="D1459" t="s">
        <v>114</v>
      </c>
      <c r="E1459" t="s">
        <v>120</v>
      </c>
      <c r="F1459">
        <v>3</v>
      </c>
      <c r="G1459" t="s">
        <v>499</v>
      </c>
      <c r="H1459" s="4">
        <v>24966437</v>
      </c>
      <c r="I1459" s="4">
        <v>21067914</v>
      </c>
      <c r="J1459" s="3">
        <v>0.15615055524342542</v>
      </c>
      <c r="K1459" s="3">
        <v>0.1850455151848446</v>
      </c>
      <c r="L1459" t="s">
        <v>54</v>
      </c>
    </row>
    <row r="1460" spans="1:12" x14ac:dyDescent="0.25">
      <c r="A1460" t="s">
        <v>487</v>
      </c>
      <c r="B1460" t="s">
        <v>461</v>
      </c>
      <c r="C1460" t="s">
        <v>462</v>
      </c>
      <c r="D1460" t="s">
        <v>116</v>
      </c>
      <c r="E1460" t="s">
        <v>118</v>
      </c>
      <c r="F1460">
        <v>1</v>
      </c>
      <c r="G1460" t="s">
        <v>488</v>
      </c>
      <c r="H1460" s="4">
        <v>24699391</v>
      </c>
      <c r="I1460" s="4">
        <v>21475595.514038973</v>
      </c>
      <c r="J1460" s="3">
        <v>0.1305212539839961</v>
      </c>
      <c r="K1460" s="3">
        <v>0.15011436976700254</v>
      </c>
      <c r="L1460" t="s">
        <v>54</v>
      </c>
    </row>
    <row r="1461" spans="1:12" x14ac:dyDescent="0.25">
      <c r="A1461" t="s">
        <v>487</v>
      </c>
      <c r="B1461" t="s">
        <v>461</v>
      </c>
      <c r="C1461" t="s">
        <v>462</v>
      </c>
      <c r="D1461" t="s">
        <v>116</v>
      </c>
      <c r="E1461" t="s">
        <v>118</v>
      </c>
      <c r="F1461">
        <v>1</v>
      </c>
      <c r="G1461" t="s">
        <v>498</v>
      </c>
      <c r="H1461" s="4">
        <v>24699391</v>
      </c>
      <c r="I1461" s="4">
        <v>27696281</v>
      </c>
      <c r="J1461" s="3">
        <v>0.1213345705568206</v>
      </c>
      <c r="K1461" s="3">
        <v>-0.10820550239218038</v>
      </c>
      <c r="L1461" t="s">
        <v>54</v>
      </c>
    </row>
    <row r="1462" spans="1:12" x14ac:dyDescent="0.25">
      <c r="A1462" t="s">
        <v>487</v>
      </c>
      <c r="B1462" t="s">
        <v>461</v>
      </c>
      <c r="C1462" t="s">
        <v>462</v>
      </c>
      <c r="D1462" t="s">
        <v>116</v>
      </c>
      <c r="E1462" t="s">
        <v>118</v>
      </c>
      <c r="F1462">
        <v>1</v>
      </c>
      <c r="G1462" t="s">
        <v>499</v>
      </c>
      <c r="H1462" s="4">
        <v>24699391</v>
      </c>
      <c r="I1462" s="4">
        <v>24889337</v>
      </c>
      <c r="J1462" s="3">
        <v>0.007690311068803276</v>
      </c>
      <c r="K1462" s="3">
        <v>-0.007631621525314234</v>
      </c>
      <c r="L1462" t="s">
        <v>54</v>
      </c>
    </row>
    <row r="1463" spans="1:12" x14ac:dyDescent="0.25">
      <c r="A1463" t="s">
        <v>487</v>
      </c>
      <c r="B1463" t="s">
        <v>461</v>
      </c>
      <c r="C1463" t="s">
        <v>462</v>
      </c>
      <c r="D1463" t="s">
        <v>116</v>
      </c>
      <c r="E1463" t="s">
        <v>120</v>
      </c>
      <c r="F1463">
        <v>2</v>
      </c>
      <c r="G1463" t="s">
        <v>488</v>
      </c>
      <c r="H1463" s="4">
        <v>24966437</v>
      </c>
      <c r="I1463" s="4">
        <v>16813360.506587673</v>
      </c>
      <c r="J1463" s="3">
        <v>0.3265614750479745</v>
      </c>
      <c r="K1463" s="3">
        <v>0.48491653350428404</v>
      </c>
      <c r="L1463" t="s">
        <v>54</v>
      </c>
    </row>
    <row r="1464" spans="1:12" x14ac:dyDescent="0.25">
      <c r="A1464" t="s">
        <v>487</v>
      </c>
      <c r="B1464" t="s">
        <v>461</v>
      </c>
      <c r="C1464" t="s">
        <v>462</v>
      </c>
      <c r="D1464" t="s">
        <v>116</v>
      </c>
      <c r="E1464" t="s">
        <v>120</v>
      </c>
      <c r="F1464">
        <v>2</v>
      </c>
      <c r="G1464" t="s">
        <v>498</v>
      </c>
      <c r="H1464" s="4">
        <v>24966437</v>
      </c>
      <c r="I1464" s="4">
        <v>21683569</v>
      </c>
      <c r="J1464" s="3">
        <v>0.13149124963245656</v>
      </c>
      <c r="K1464" s="3">
        <v>0.15139887718668454</v>
      </c>
      <c r="L1464" t="s">
        <v>54</v>
      </c>
    </row>
    <row r="1465" spans="1:12" x14ac:dyDescent="0.25">
      <c r="A1465" t="s">
        <v>487</v>
      </c>
      <c r="B1465" t="s">
        <v>461</v>
      </c>
      <c r="C1465" t="s">
        <v>462</v>
      </c>
      <c r="D1465" t="s">
        <v>116</v>
      </c>
      <c r="E1465" t="s">
        <v>120</v>
      </c>
      <c r="F1465">
        <v>2</v>
      </c>
      <c r="G1465" t="s">
        <v>499</v>
      </c>
      <c r="H1465" s="4">
        <v>24966437</v>
      </c>
      <c r="I1465" s="4">
        <v>24889337</v>
      </c>
      <c r="J1465" s="3">
        <v>0.003088145897630487</v>
      </c>
      <c r="K1465" s="3">
        <v>0.0030977120844962644</v>
      </c>
      <c r="L1465" t="s">
        <v>54</v>
      </c>
    </row>
    <row r="1466" spans="1:12" x14ac:dyDescent="0.25">
      <c r="A1466" t="s">
        <v>487</v>
      </c>
      <c r="B1466" t="s">
        <v>461</v>
      </c>
      <c r="C1466" t="s">
        <v>462</v>
      </c>
      <c r="D1466" t="s">
        <v>116</v>
      </c>
      <c r="E1466" t="s">
        <v>122</v>
      </c>
      <c r="F1466">
        <v>3</v>
      </c>
      <c r="G1466" t="s">
        <v>488</v>
      </c>
      <c r="H1466" s="4">
        <v>23720229</v>
      </c>
      <c r="I1466" s="4">
        <v>14030182.271738669</v>
      </c>
      <c r="J1466" s="3">
        <v>0.4085140463130154</v>
      </c>
      <c r="K1466" s="3">
        <v>0.6906572231623977</v>
      </c>
      <c r="L1466" t="s">
        <v>54</v>
      </c>
    </row>
    <row r="1467" spans="1:12" x14ac:dyDescent="0.25">
      <c r="A1467" t="s">
        <v>487</v>
      </c>
      <c r="B1467" t="s">
        <v>461</v>
      </c>
      <c r="C1467" t="s">
        <v>462</v>
      </c>
      <c r="D1467" t="s">
        <v>116</v>
      </c>
      <c r="E1467" t="s">
        <v>122</v>
      </c>
      <c r="F1467">
        <v>3</v>
      </c>
      <c r="G1467" t="s">
        <v>498</v>
      </c>
      <c r="H1467" s="4">
        <v>23720229</v>
      </c>
      <c r="I1467" s="4">
        <v>18094207</v>
      </c>
      <c r="J1467" s="3">
        <v>0.23718244878664535</v>
      </c>
      <c r="K1467" s="3">
        <v>0.31092945935679855</v>
      </c>
      <c r="L1467" t="s">
        <v>54</v>
      </c>
    </row>
    <row r="1468" spans="1:12" x14ac:dyDescent="0.25">
      <c r="A1468" t="s">
        <v>487</v>
      </c>
      <c r="B1468" t="s">
        <v>461</v>
      </c>
      <c r="C1468" t="s">
        <v>462</v>
      </c>
      <c r="D1468" t="s">
        <v>116</v>
      </c>
      <c r="E1468" t="s">
        <v>122</v>
      </c>
      <c r="F1468">
        <v>3</v>
      </c>
      <c r="G1468" t="s">
        <v>499</v>
      </c>
      <c r="H1468" s="4">
        <v>23720229</v>
      </c>
      <c r="I1468" s="4">
        <v>24889337</v>
      </c>
      <c r="J1468" s="3">
        <v>0.04928738251220087</v>
      </c>
      <c r="K1468" s="3">
        <v>-0.04697224357563241</v>
      </c>
      <c r="L1468" t="s">
        <v>54</v>
      </c>
    </row>
    <row r="1469" spans="1:12" x14ac:dyDescent="0.25">
      <c r="A1469" t="s">
        <v>487</v>
      </c>
      <c r="B1469" t="s">
        <v>461</v>
      </c>
      <c r="C1469" t="s">
        <v>462</v>
      </c>
      <c r="D1469" t="s">
        <v>118</v>
      </c>
      <c r="E1469" t="s">
        <v>120</v>
      </c>
      <c r="F1469">
        <v>1</v>
      </c>
      <c r="G1469" t="s">
        <v>488</v>
      </c>
      <c r="H1469" s="4">
        <v>24966437</v>
      </c>
      <c r="I1469" s="4">
        <v>16920139.63419583</v>
      </c>
      <c r="J1469" s="3">
        <v>0.32228456811054657</v>
      </c>
      <c r="K1469" s="3">
        <v>0.4755455652116779</v>
      </c>
      <c r="L1469" t="s">
        <v>54</v>
      </c>
    </row>
    <row r="1470" spans="1:12" x14ac:dyDescent="0.25">
      <c r="A1470" t="s">
        <v>487</v>
      </c>
      <c r="B1470" t="s">
        <v>461</v>
      </c>
      <c r="C1470" t="s">
        <v>462</v>
      </c>
      <c r="D1470" t="s">
        <v>118</v>
      </c>
      <c r="E1470" t="s">
        <v>120</v>
      </c>
      <c r="F1470">
        <v>1</v>
      </c>
      <c r="G1470" t="s">
        <v>498</v>
      </c>
      <c r="H1470" s="4">
        <v>24966437</v>
      </c>
      <c r="I1470" s="4">
        <v>21683569</v>
      </c>
      <c r="J1470" s="3">
        <v>0.13149124963245656</v>
      </c>
      <c r="K1470" s="3">
        <v>0.15139887718668454</v>
      </c>
      <c r="L1470" t="s">
        <v>54</v>
      </c>
    </row>
    <row r="1471" spans="1:12" x14ac:dyDescent="0.25">
      <c r="A1471" t="s">
        <v>487</v>
      </c>
      <c r="B1471" t="s">
        <v>461</v>
      </c>
      <c r="C1471" t="s">
        <v>462</v>
      </c>
      <c r="D1471" t="s">
        <v>118</v>
      </c>
      <c r="E1471" t="s">
        <v>120</v>
      </c>
      <c r="F1471">
        <v>1</v>
      </c>
      <c r="G1471" t="s">
        <v>499</v>
      </c>
      <c r="H1471" s="4">
        <v>24966437</v>
      </c>
      <c r="I1471" s="4">
        <v>24699391</v>
      </c>
      <c r="J1471" s="3">
        <v>0.010696199862239053</v>
      </c>
      <c r="K1471" s="3">
        <v>0.010811845522830908</v>
      </c>
      <c r="L1471" t="s">
        <v>54</v>
      </c>
    </row>
    <row r="1472" spans="1:12" x14ac:dyDescent="0.25">
      <c r="A1472" t="s">
        <v>487</v>
      </c>
      <c r="B1472" t="s">
        <v>461</v>
      </c>
      <c r="C1472" t="s">
        <v>462</v>
      </c>
      <c r="D1472" t="s">
        <v>118</v>
      </c>
      <c r="E1472" t="s">
        <v>122</v>
      </c>
      <c r="F1472">
        <v>2</v>
      </c>
      <c r="G1472" t="s">
        <v>488</v>
      </c>
      <c r="H1472" s="4">
        <v>23720229</v>
      </c>
      <c r="I1472" s="4">
        <v>14119285.852344863</v>
      </c>
      <c r="J1472" s="3">
        <v>0.4047576078483533</v>
      </c>
      <c r="K1472" s="3">
        <v>0.6799878724787386</v>
      </c>
      <c r="L1472" t="s">
        <v>54</v>
      </c>
    </row>
    <row r="1473" spans="1:12" x14ac:dyDescent="0.25">
      <c r="A1473" t="s">
        <v>487</v>
      </c>
      <c r="B1473" t="s">
        <v>461</v>
      </c>
      <c r="C1473" t="s">
        <v>462</v>
      </c>
      <c r="D1473" t="s">
        <v>118</v>
      </c>
      <c r="E1473" t="s">
        <v>122</v>
      </c>
      <c r="F1473">
        <v>2</v>
      </c>
      <c r="G1473" t="s">
        <v>498</v>
      </c>
      <c r="H1473" s="4">
        <v>23720229</v>
      </c>
      <c r="I1473" s="4">
        <v>18094207</v>
      </c>
      <c r="J1473" s="3">
        <v>0.23718244878664535</v>
      </c>
      <c r="K1473" s="3">
        <v>0.31092945935679855</v>
      </c>
      <c r="L1473" t="s">
        <v>54</v>
      </c>
    </row>
    <row r="1474" spans="1:12" x14ac:dyDescent="0.25">
      <c r="A1474" t="s">
        <v>487</v>
      </c>
      <c r="B1474" t="s">
        <v>461</v>
      </c>
      <c r="C1474" t="s">
        <v>462</v>
      </c>
      <c r="D1474" t="s">
        <v>118</v>
      </c>
      <c r="E1474" t="s">
        <v>122</v>
      </c>
      <c r="F1474">
        <v>2</v>
      </c>
      <c r="G1474" t="s">
        <v>499</v>
      </c>
      <c r="H1474" s="4">
        <v>23720229</v>
      </c>
      <c r="I1474" s="4">
        <v>24699391</v>
      </c>
      <c r="J1474" s="3">
        <v>0.04127961833758013</v>
      </c>
      <c r="K1474" s="3">
        <v>-0.039643163671525344</v>
      </c>
      <c r="L1474" t="s">
        <v>54</v>
      </c>
    </row>
    <row r="1475" spans="1:12" x14ac:dyDescent="0.25">
      <c r="A1475" t="s">
        <v>487</v>
      </c>
      <c r="B1475" t="s">
        <v>461</v>
      </c>
      <c r="C1475" t="s">
        <v>462</v>
      </c>
      <c r="D1475" t="s">
        <v>118</v>
      </c>
      <c r="E1475" t="s">
        <v>124</v>
      </c>
      <c r="F1475">
        <v>3</v>
      </c>
      <c r="G1475" t="s">
        <v>488</v>
      </c>
      <c r="H1475" s="4">
        <v>21448140</v>
      </c>
      <c r="I1475" s="4">
        <v>13886096.348900858</v>
      </c>
      <c r="J1475" s="3">
        <v>0.35257340035542206</v>
      </c>
      <c r="K1475" s="3">
        <v>0.54457663702569</v>
      </c>
      <c r="L1475" t="s">
        <v>54</v>
      </c>
    </row>
    <row r="1476" spans="1:12" x14ac:dyDescent="0.25">
      <c r="A1476" t="s">
        <v>487</v>
      </c>
      <c r="B1476" t="s">
        <v>461</v>
      </c>
      <c r="C1476" t="s">
        <v>462</v>
      </c>
      <c r="D1476" t="s">
        <v>118</v>
      </c>
      <c r="E1476" t="s">
        <v>124</v>
      </c>
      <c r="F1476">
        <v>3</v>
      </c>
      <c r="G1476" t="s">
        <v>498</v>
      </c>
      <c r="H1476" s="4">
        <v>21448140</v>
      </c>
      <c r="I1476" s="4">
        <v>17795369</v>
      </c>
      <c r="J1476" s="3">
        <v>0.1703071222026712</v>
      </c>
      <c r="K1476" s="3">
        <v>0.20526525749480104</v>
      </c>
      <c r="L1476" t="s">
        <v>54</v>
      </c>
    </row>
    <row r="1477" spans="1:12" x14ac:dyDescent="0.25">
      <c r="A1477" t="s">
        <v>487</v>
      </c>
      <c r="B1477" t="s">
        <v>461</v>
      </c>
      <c r="C1477" t="s">
        <v>462</v>
      </c>
      <c r="D1477" t="s">
        <v>118</v>
      </c>
      <c r="E1477" t="s">
        <v>124</v>
      </c>
      <c r="F1477">
        <v>3</v>
      </c>
      <c r="G1477" t="s">
        <v>499</v>
      </c>
      <c r="H1477" s="4">
        <v>21448140</v>
      </c>
      <c r="I1477" s="4">
        <v>24699391</v>
      </c>
      <c r="J1477" s="3">
        <v>0.15158661776732155</v>
      </c>
      <c r="K1477" s="3">
        <v>-0.13163284066396616</v>
      </c>
      <c r="L1477" t="s">
        <v>54</v>
      </c>
    </row>
    <row r="1478" spans="1:12" x14ac:dyDescent="0.25">
      <c r="A1478" t="s">
        <v>487</v>
      </c>
      <c r="B1478" t="s">
        <v>461</v>
      </c>
      <c r="C1478" t="s">
        <v>462</v>
      </c>
      <c r="D1478" t="s">
        <v>120</v>
      </c>
      <c r="E1478" t="s">
        <v>122</v>
      </c>
      <c r="F1478">
        <v>1</v>
      </c>
      <c r="G1478" t="s">
        <v>488</v>
      </c>
      <c r="H1478" s="4">
        <v>23720229</v>
      </c>
      <c r="I1478" s="4">
        <v>14929006.977136105</v>
      </c>
      <c r="J1478" s="3">
        <v>0.3706212963991155</v>
      </c>
      <c r="K1478" s="3">
        <v>0.5888685052078629</v>
      </c>
      <c r="L1478" t="s">
        <v>54</v>
      </c>
    </row>
    <row r="1479" spans="1:12" x14ac:dyDescent="0.25">
      <c r="A1479" t="s">
        <v>487</v>
      </c>
      <c r="B1479" t="s">
        <v>461</v>
      </c>
      <c r="C1479" t="s">
        <v>462</v>
      </c>
      <c r="D1479" t="s">
        <v>120</v>
      </c>
      <c r="E1479" t="s">
        <v>122</v>
      </c>
      <c r="F1479">
        <v>1</v>
      </c>
      <c r="G1479" t="s">
        <v>498</v>
      </c>
      <c r="H1479" s="4">
        <v>23720229</v>
      </c>
      <c r="I1479" s="4">
        <v>18094207</v>
      </c>
      <c r="J1479" s="3">
        <v>0.23718244878664535</v>
      </c>
      <c r="K1479" s="3">
        <v>0.31092945935679855</v>
      </c>
      <c r="L1479" t="s">
        <v>54</v>
      </c>
    </row>
    <row r="1480" spans="1:12" x14ac:dyDescent="0.25">
      <c r="A1480" t="s">
        <v>487</v>
      </c>
      <c r="B1480" t="s">
        <v>461</v>
      </c>
      <c r="C1480" t="s">
        <v>462</v>
      </c>
      <c r="D1480" t="s">
        <v>120</v>
      </c>
      <c r="E1480" t="s">
        <v>122</v>
      </c>
      <c r="F1480">
        <v>1</v>
      </c>
      <c r="G1480" t="s">
        <v>499</v>
      </c>
      <c r="H1480" s="4">
        <v>23720229</v>
      </c>
      <c r="I1480" s="4">
        <v>24966437</v>
      </c>
      <c r="J1480" s="3">
        <v>0.052537772717118375</v>
      </c>
      <c r="K1480" s="3">
        <v>-0.049915332331962305</v>
      </c>
      <c r="L1480" t="s">
        <v>54</v>
      </c>
    </row>
    <row r="1481" spans="1:12" x14ac:dyDescent="0.25">
      <c r="A1481" t="s">
        <v>487</v>
      </c>
      <c r="B1481" t="s">
        <v>461</v>
      </c>
      <c r="C1481" t="s">
        <v>462</v>
      </c>
      <c r="D1481" t="s">
        <v>120</v>
      </c>
      <c r="E1481" t="s">
        <v>124</v>
      </c>
      <c r="F1481">
        <v>2</v>
      </c>
      <c r="G1481" t="s">
        <v>488</v>
      </c>
      <c r="H1481" s="4">
        <v>21448140</v>
      </c>
      <c r="I1481" s="4">
        <v>14682444.38464264</v>
      </c>
      <c r="J1481" s="3">
        <v>0.31544439822555054</v>
      </c>
      <c r="K1481" s="3">
        <v>0.46080171925827673</v>
      </c>
      <c r="L1481" t="s">
        <v>54</v>
      </c>
    </row>
    <row r="1482" spans="1:12" x14ac:dyDescent="0.25">
      <c r="A1482" t="s">
        <v>487</v>
      </c>
      <c r="B1482" t="s">
        <v>461</v>
      </c>
      <c r="C1482" t="s">
        <v>462</v>
      </c>
      <c r="D1482" t="s">
        <v>120</v>
      </c>
      <c r="E1482" t="s">
        <v>124</v>
      </c>
      <c r="F1482">
        <v>2</v>
      </c>
      <c r="G1482" t="s">
        <v>498</v>
      </c>
      <c r="H1482" s="4">
        <v>21448140</v>
      </c>
      <c r="I1482" s="4">
        <v>17795369</v>
      </c>
      <c r="J1482" s="3">
        <v>0.1703071222026712</v>
      </c>
      <c r="K1482" s="3">
        <v>0.20526525749480104</v>
      </c>
      <c r="L1482" t="s">
        <v>54</v>
      </c>
    </row>
    <row r="1483" spans="1:12" x14ac:dyDescent="0.25">
      <c r="A1483" t="s">
        <v>487</v>
      </c>
      <c r="B1483" t="s">
        <v>461</v>
      </c>
      <c r="C1483" t="s">
        <v>462</v>
      </c>
      <c r="D1483" t="s">
        <v>120</v>
      </c>
      <c r="E1483" t="s">
        <v>124</v>
      </c>
      <c r="F1483">
        <v>2</v>
      </c>
      <c r="G1483" t="s">
        <v>499</v>
      </c>
      <c r="H1483" s="4">
        <v>21448140</v>
      </c>
      <c r="I1483" s="4">
        <v>24966437</v>
      </c>
      <c r="J1483" s="3">
        <v>0.16403739438478115</v>
      </c>
      <c r="K1483" s="3">
        <v>-0.14092106935402918</v>
      </c>
      <c r="L1483" t="s">
        <v>54</v>
      </c>
    </row>
    <row r="1484" spans="1:12" x14ac:dyDescent="0.25">
      <c r="A1484" t="s">
        <v>487</v>
      </c>
      <c r="B1484" t="s">
        <v>461</v>
      </c>
      <c r="C1484" t="s">
        <v>462</v>
      </c>
      <c r="D1484" t="s">
        <v>120</v>
      </c>
      <c r="E1484" t="s">
        <v>126</v>
      </c>
      <c r="F1484">
        <v>3</v>
      </c>
      <c r="G1484" t="s">
        <v>488</v>
      </c>
      <c r="H1484" s="4">
        <v>24186918</v>
      </c>
      <c r="I1484" s="4">
        <v>20438011.55304151</v>
      </c>
      <c r="J1484" s="3">
        <v>0.15499727774156632</v>
      </c>
      <c r="K1484" s="3">
        <v>0.18342814012161526</v>
      </c>
      <c r="L1484" t="s">
        <v>54</v>
      </c>
    </row>
    <row r="1485" spans="1:12" x14ac:dyDescent="0.25">
      <c r="A1485" t="s">
        <v>487</v>
      </c>
      <c r="B1485" t="s">
        <v>461</v>
      </c>
      <c r="C1485" t="s">
        <v>462</v>
      </c>
      <c r="D1485" t="s">
        <v>120</v>
      </c>
      <c r="E1485" t="s">
        <v>126</v>
      </c>
      <c r="F1485">
        <v>3</v>
      </c>
      <c r="G1485" t="s">
        <v>498</v>
      </c>
      <c r="H1485" s="4">
        <v>24186918</v>
      </c>
      <c r="I1485" s="4">
        <v>24771213</v>
      </c>
      <c r="J1485" s="3">
        <v>0.024157480502476587</v>
      </c>
      <c r="K1485" s="3">
        <v>-0.02358766201719714</v>
      </c>
      <c r="L1485" t="s">
        <v>54</v>
      </c>
    </row>
    <row r="1486" spans="1:12" x14ac:dyDescent="0.25">
      <c r="A1486" t="s">
        <v>487</v>
      </c>
      <c r="B1486" t="s">
        <v>461</v>
      </c>
      <c r="C1486" t="s">
        <v>462</v>
      </c>
      <c r="D1486" t="s">
        <v>120</v>
      </c>
      <c r="E1486" t="s">
        <v>126</v>
      </c>
      <c r="F1486">
        <v>3</v>
      </c>
      <c r="G1486" t="s">
        <v>499</v>
      </c>
      <c r="H1486" s="4">
        <v>24186918</v>
      </c>
      <c r="I1486" s="4">
        <v>24966437</v>
      </c>
      <c r="J1486" s="3">
        <v>0.03222895120411786</v>
      </c>
      <c r="K1486" s="3">
        <v>-0.031222677068417894</v>
      </c>
      <c r="L1486" t="s">
        <v>54</v>
      </c>
    </row>
    <row r="1487" spans="1:12" x14ac:dyDescent="0.25">
      <c r="A1487" t="s">
        <v>487</v>
      </c>
      <c r="B1487" t="s">
        <v>461</v>
      </c>
      <c r="C1487" t="s">
        <v>462</v>
      </c>
      <c r="D1487" t="s">
        <v>122</v>
      </c>
      <c r="E1487" t="s">
        <v>124</v>
      </c>
      <c r="F1487">
        <v>1</v>
      </c>
      <c r="G1487" t="s">
        <v>488</v>
      </c>
      <c r="H1487" s="4">
        <v>21448140</v>
      </c>
      <c r="I1487" s="4">
        <v>15509038.376336887</v>
      </c>
      <c r="J1487" s="3">
        <v>0.27690520593688367</v>
      </c>
      <c r="K1487" s="3">
        <v>0.3829445436620218</v>
      </c>
      <c r="L1487" t="s">
        <v>54</v>
      </c>
    </row>
    <row r="1488" spans="1:12" x14ac:dyDescent="0.25">
      <c r="A1488" t="s">
        <v>487</v>
      </c>
      <c r="B1488" t="s">
        <v>461</v>
      </c>
      <c r="C1488" t="s">
        <v>462</v>
      </c>
      <c r="D1488" t="s">
        <v>122</v>
      </c>
      <c r="E1488" t="s">
        <v>124</v>
      </c>
      <c r="F1488">
        <v>1</v>
      </c>
      <c r="G1488" t="s">
        <v>498</v>
      </c>
      <c r="H1488" s="4">
        <v>21448140</v>
      </c>
      <c r="I1488" s="4">
        <v>17795369</v>
      </c>
      <c r="J1488" s="3">
        <v>0.1703071222026712</v>
      </c>
      <c r="K1488" s="3">
        <v>0.20526525749480104</v>
      </c>
      <c r="L1488" t="s">
        <v>54</v>
      </c>
    </row>
    <row r="1489" spans="1:12" x14ac:dyDescent="0.25">
      <c r="A1489" t="s">
        <v>487</v>
      </c>
      <c r="B1489" t="s">
        <v>461</v>
      </c>
      <c r="C1489" t="s">
        <v>462</v>
      </c>
      <c r="D1489" t="s">
        <v>122</v>
      </c>
      <c r="E1489" t="s">
        <v>124</v>
      </c>
      <c r="F1489">
        <v>1</v>
      </c>
      <c r="G1489" t="s">
        <v>499</v>
      </c>
      <c r="H1489" s="4">
        <v>21448140</v>
      </c>
      <c r="I1489" s="4">
        <v>23720229</v>
      </c>
      <c r="J1489" s="3">
        <v>0.10593408099723332</v>
      </c>
      <c r="K1489" s="3">
        <v>-0.09578697574968606</v>
      </c>
      <c r="L1489" t="s">
        <v>54</v>
      </c>
    </row>
    <row r="1490" spans="1:12" x14ac:dyDescent="0.25">
      <c r="A1490" t="s">
        <v>487</v>
      </c>
      <c r="B1490" t="s">
        <v>461</v>
      </c>
      <c r="C1490" t="s">
        <v>462</v>
      </c>
      <c r="D1490" t="s">
        <v>122</v>
      </c>
      <c r="E1490" t="s">
        <v>126</v>
      </c>
      <c r="F1490">
        <v>2</v>
      </c>
      <c r="G1490" t="s">
        <v>488</v>
      </c>
      <c r="H1490" s="4">
        <v>24186918</v>
      </c>
      <c r="I1490" s="4">
        <v>21588633.146377306</v>
      </c>
      <c r="J1490" s="3">
        <v>0.10742521447431598</v>
      </c>
      <c r="K1490" s="3">
        <v>0.1203543010808306</v>
      </c>
      <c r="L1490" t="s">
        <v>54</v>
      </c>
    </row>
    <row r="1491" spans="1:12" x14ac:dyDescent="0.25">
      <c r="A1491" t="s">
        <v>487</v>
      </c>
      <c r="B1491" t="s">
        <v>461</v>
      </c>
      <c r="C1491" t="s">
        <v>462</v>
      </c>
      <c r="D1491" t="s">
        <v>122</v>
      </c>
      <c r="E1491" t="s">
        <v>126</v>
      </c>
      <c r="F1491">
        <v>2</v>
      </c>
      <c r="G1491" t="s">
        <v>498</v>
      </c>
      <c r="H1491" s="4">
        <v>24186918</v>
      </c>
      <c r="I1491" s="4">
        <v>24771213</v>
      </c>
      <c r="J1491" s="3">
        <v>0.024157480502476587</v>
      </c>
      <c r="K1491" s="3">
        <v>-0.02358766201719714</v>
      </c>
      <c r="L1491" t="s">
        <v>54</v>
      </c>
    </row>
    <row r="1492" spans="1:12" x14ac:dyDescent="0.25">
      <c r="A1492" t="s">
        <v>487</v>
      </c>
      <c r="B1492" t="s">
        <v>461</v>
      </c>
      <c r="C1492" t="s">
        <v>462</v>
      </c>
      <c r="D1492" t="s">
        <v>122</v>
      </c>
      <c r="E1492" t="s">
        <v>126</v>
      </c>
      <c r="F1492">
        <v>2</v>
      </c>
      <c r="G1492" t="s">
        <v>499</v>
      </c>
      <c r="H1492" s="4">
        <v>24186918</v>
      </c>
      <c r="I1492" s="4">
        <v>23720229</v>
      </c>
      <c r="J1492" s="3">
        <v>0.019295099937908584</v>
      </c>
      <c r="K1492" s="3">
        <v>0.019674725737259955</v>
      </c>
      <c r="L1492" t="s">
        <v>54</v>
      </c>
    </row>
    <row r="1493" spans="1:12" x14ac:dyDescent="0.25">
      <c r="A1493" t="s">
        <v>487</v>
      </c>
      <c r="B1493" t="s">
        <v>461</v>
      </c>
      <c r="C1493" t="s">
        <v>462</v>
      </c>
      <c r="D1493" t="s">
        <v>122</v>
      </c>
      <c r="E1493" t="s">
        <v>128</v>
      </c>
      <c r="F1493">
        <v>3</v>
      </c>
      <c r="G1493" t="s">
        <v>488</v>
      </c>
      <c r="H1493" s="4">
        <v>32766522</v>
      </c>
      <c r="I1493" s="4">
        <v>24880131.90642125</v>
      </c>
      <c r="J1493" s="3">
        <v>0.24068438186935887</v>
      </c>
      <c r="K1493" s="3">
        <v>0.3169754132832137</v>
      </c>
      <c r="L1493" t="s">
        <v>54</v>
      </c>
    </row>
    <row r="1494" spans="1:12" x14ac:dyDescent="0.25">
      <c r="A1494" t="s">
        <v>487</v>
      </c>
      <c r="B1494" t="s">
        <v>461</v>
      </c>
      <c r="C1494" t="s">
        <v>462</v>
      </c>
      <c r="D1494" t="s">
        <v>122</v>
      </c>
      <c r="E1494" t="s">
        <v>128</v>
      </c>
      <c r="F1494">
        <v>3</v>
      </c>
      <c r="G1494" t="s">
        <v>498</v>
      </c>
      <c r="H1494" s="4">
        <v>32766522</v>
      </c>
      <c r="I1494" s="4">
        <v>28547942</v>
      </c>
      <c r="J1494" s="3">
        <v>0.12874665184177925</v>
      </c>
      <c r="K1494" s="3">
        <v>0.14777177283041978</v>
      </c>
      <c r="L1494" t="s">
        <v>54</v>
      </c>
    </row>
    <row r="1495" spans="1:12" x14ac:dyDescent="0.25">
      <c r="A1495" t="s">
        <v>487</v>
      </c>
      <c r="B1495" t="s">
        <v>461</v>
      </c>
      <c r="C1495" t="s">
        <v>462</v>
      </c>
      <c r="D1495" t="s">
        <v>122</v>
      </c>
      <c r="E1495" t="s">
        <v>128</v>
      </c>
      <c r="F1495">
        <v>3</v>
      </c>
      <c r="G1495" t="s">
        <v>499</v>
      </c>
      <c r="H1495" s="4">
        <v>32766522</v>
      </c>
      <c r="I1495" s="4">
        <v>23720229</v>
      </c>
      <c r="J1495" s="3">
        <v>0.27608340610578075</v>
      </c>
      <c r="K1495" s="3">
        <v>0.38137460645932214</v>
      </c>
      <c r="L1495" t="s">
        <v>54</v>
      </c>
    </row>
    <row r="1496" spans="1:12" x14ac:dyDescent="0.25">
      <c r="A1496" t="s">
        <v>487</v>
      </c>
      <c r="B1496" t="s">
        <v>461</v>
      </c>
      <c r="C1496" t="s">
        <v>462</v>
      </c>
      <c r="D1496" t="s">
        <v>124</v>
      </c>
      <c r="E1496" t="s">
        <v>126</v>
      </c>
      <c r="F1496">
        <v>1</v>
      </c>
      <c r="G1496" t="s">
        <v>488</v>
      </c>
      <c r="H1496" s="4">
        <v>24186918</v>
      </c>
      <c r="I1496" s="4">
        <v>22694993.468680374</v>
      </c>
      <c r="J1496" s="3">
        <v>0.061683118589959486</v>
      </c>
      <c r="K1496" s="3">
        <v>0.06573804629547556</v>
      </c>
      <c r="L1496" t="s">
        <v>54</v>
      </c>
    </row>
    <row r="1497" spans="1:12" x14ac:dyDescent="0.25">
      <c r="A1497" t="s">
        <v>487</v>
      </c>
      <c r="B1497" t="s">
        <v>461</v>
      </c>
      <c r="C1497" t="s">
        <v>462</v>
      </c>
      <c r="D1497" t="s">
        <v>124</v>
      </c>
      <c r="E1497" t="s">
        <v>126</v>
      </c>
      <c r="F1497">
        <v>1</v>
      </c>
      <c r="G1497" t="s">
        <v>498</v>
      </c>
      <c r="H1497" s="4">
        <v>24186918</v>
      </c>
      <c r="I1497" s="4">
        <v>24771213</v>
      </c>
      <c r="J1497" s="3">
        <v>0.024157480502476587</v>
      </c>
      <c r="K1497" s="3">
        <v>-0.02358766201719714</v>
      </c>
      <c r="L1497" t="s">
        <v>54</v>
      </c>
    </row>
    <row r="1498" spans="1:12" x14ac:dyDescent="0.25">
      <c r="A1498" t="s">
        <v>487</v>
      </c>
      <c r="B1498" t="s">
        <v>461</v>
      </c>
      <c r="C1498" t="s">
        <v>462</v>
      </c>
      <c r="D1498" t="s">
        <v>124</v>
      </c>
      <c r="E1498" t="s">
        <v>126</v>
      </c>
      <c r="F1498">
        <v>1</v>
      </c>
      <c r="G1498" t="s">
        <v>499</v>
      </c>
      <c r="H1498" s="4">
        <v>24186918</v>
      </c>
      <c r="I1498" s="4">
        <v>21448140</v>
      </c>
      <c r="J1498" s="3">
        <v>0.11323385641775442</v>
      </c>
      <c r="K1498" s="3">
        <v>0.12769303072434254</v>
      </c>
      <c r="L1498" t="s">
        <v>54</v>
      </c>
    </row>
    <row r="1499" spans="1:12" x14ac:dyDescent="0.25">
      <c r="A1499" t="s">
        <v>487</v>
      </c>
      <c r="B1499" t="s">
        <v>461</v>
      </c>
      <c r="C1499" t="s">
        <v>462</v>
      </c>
      <c r="D1499" t="s">
        <v>124</v>
      </c>
      <c r="E1499" t="s">
        <v>128</v>
      </c>
      <c r="F1499">
        <v>2</v>
      </c>
      <c r="G1499" t="s">
        <v>488</v>
      </c>
      <c r="H1499" s="4">
        <v>32766522</v>
      </c>
      <c r="I1499" s="4">
        <v>26155172.830424823</v>
      </c>
      <c r="J1499" s="3">
        <v>0.20177146569218354</v>
      </c>
      <c r="K1499" s="3">
        <v>0.2527740578293779</v>
      </c>
      <c r="L1499" t="s">
        <v>54</v>
      </c>
    </row>
    <row r="1500" spans="1:12" x14ac:dyDescent="0.25">
      <c r="A1500" t="s">
        <v>487</v>
      </c>
      <c r="B1500" t="s">
        <v>461</v>
      </c>
      <c r="C1500" t="s">
        <v>462</v>
      </c>
      <c r="D1500" t="s">
        <v>124</v>
      </c>
      <c r="E1500" t="s">
        <v>128</v>
      </c>
      <c r="F1500">
        <v>2</v>
      </c>
      <c r="G1500" t="s">
        <v>498</v>
      </c>
      <c r="H1500" s="4">
        <v>32766522</v>
      </c>
      <c r="I1500" s="4">
        <v>28547942</v>
      </c>
      <c r="J1500" s="3">
        <v>0.12874665184177925</v>
      </c>
      <c r="K1500" s="3">
        <v>0.14777177283041978</v>
      </c>
      <c r="L1500" t="s">
        <v>54</v>
      </c>
    </row>
    <row r="1501" spans="1:12" x14ac:dyDescent="0.25">
      <c r="A1501" t="s">
        <v>487</v>
      </c>
      <c r="B1501" t="s">
        <v>461</v>
      </c>
      <c r="C1501" t="s">
        <v>462</v>
      </c>
      <c r="D1501" t="s">
        <v>124</v>
      </c>
      <c r="E1501" t="s">
        <v>128</v>
      </c>
      <c r="F1501">
        <v>2</v>
      </c>
      <c r="G1501" t="s">
        <v>499</v>
      </c>
      <c r="H1501" s="4">
        <v>32766522</v>
      </c>
      <c r="I1501" s="4">
        <v>21448140</v>
      </c>
      <c r="J1501" s="3">
        <v>0.34542518732992167</v>
      </c>
      <c r="K1501" s="3">
        <v>0.5277092559075053</v>
      </c>
      <c r="L1501" t="s">
        <v>54</v>
      </c>
    </row>
    <row r="1502" spans="1:12" x14ac:dyDescent="0.25">
      <c r="A1502" t="s">
        <v>487</v>
      </c>
      <c r="B1502" t="s">
        <v>461</v>
      </c>
      <c r="C1502" t="s">
        <v>462</v>
      </c>
      <c r="D1502" t="s">
        <v>124</v>
      </c>
      <c r="E1502" t="s">
        <v>130</v>
      </c>
      <c r="F1502">
        <v>3</v>
      </c>
      <c r="G1502" t="s">
        <v>488</v>
      </c>
      <c r="H1502" s="4">
        <v>23520679</v>
      </c>
      <c r="I1502" s="4">
        <v>19418268.07857584</v>
      </c>
      <c r="J1502" s="3">
        <v>0.17441719779535964</v>
      </c>
      <c r="K1502" s="3">
        <v>0.21126554154179944</v>
      </c>
      <c r="L1502" t="s">
        <v>54</v>
      </c>
    </row>
    <row r="1503" spans="1:12" x14ac:dyDescent="0.25">
      <c r="A1503" t="s">
        <v>487</v>
      </c>
      <c r="B1503" t="s">
        <v>461</v>
      </c>
      <c r="C1503" t="s">
        <v>462</v>
      </c>
      <c r="D1503" t="s">
        <v>124</v>
      </c>
      <c r="E1503" t="s">
        <v>130</v>
      </c>
      <c r="F1503">
        <v>3</v>
      </c>
      <c r="G1503" t="s">
        <v>498</v>
      </c>
      <c r="H1503" s="4">
        <v>23520679</v>
      </c>
      <c r="I1503" s="4">
        <v>21194721</v>
      </c>
      <c r="J1503" s="3">
        <v>0.09888991725111337</v>
      </c>
      <c r="K1503" s="3">
        <v>0.10974232687469677</v>
      </c>
      <c r="L1503" t="s">
        <v>54</v>
      </c>
    </row>
    <row r="1504" spans="1:12" x14ac:dyDescent="0.25">
      <c r="A1504" t="s">
        <v>487</v>
      </c>
      <c r="B1504" t="s">
        <v>461</v>
      </c>
      <c r="C1504" t="s">
        <v>462</v>
      </c>
      <c r="D1504" t="s">
        <v>124</v>
      </c>
      <c r="E1504" t="s">
        <v>130</v>
      </c>
      <c r="F1504">
        <v>3</v>
      </c>
      <c r="G1504" t="s">
        <v>499</v>
      </c>
      <c r="H1504" s="4">
        <v>23520679</v>
      </c>
      <c r="I1504" s="4">
        <v>21448140</v>
      </c>
      <c r="J1504" s="3">
        <v>0.08811561094813632</v>
      </c>
      <c r="K1504" s="3">
        <v>0.0966302439279117</v>
      </c>
      <c r="L1504" t="s">
        <v>54</v>
      </c>
    </row>
    <row r="1505" spans="1:12" x14ac:dyDescent="0.25">
      <c r="A1505" t="s">
        <v>487</v>
      </c>
      <c r="B1505" t="s">
        <v>461</v>
      </c>
      <c r="C1505" t="s">
        <v>462</v>
      </c>
      <c r="D1505" t="s">
        <v>126</v>
      </c>
      <c r="E1505" t="s">
        <v>128</v>
      </c>
      <c r="F1505">
        <v>1</v>
      </c>
      <c r="G1505" t="s">
        <v>488</v>
      </c>
      <c r="H1505" s="4">
        <v>32766522</v>
      </c>
      <c r="I1505" s="4">
        <v>26663431.93440677</v>
      </c>
      <c r="J1505" s="3">
        <v>0.18625992913111838</v>
      </c>
      <c r="K1505" s="3">
        <v>0.2288936428216407</v>
      </c>
      <c r="L1505" t="s">
        <v>54</v>
      </c>
    </row>
    <row r="1506" spans="1:12" x14ac:dyDescent="0.25">
      <c r="A1506" t="s">
        <v>487</v>
      </c>
      <c r="B1506" t="s">
        <v>461</v>
      </c>
      <c r="C1506" t="s">
        <v>462</v>
      </c>
      <c r="D1506" t="s">
        <v>126</v>
      </c>
      <c r="E1506" t="s">
        <v>128</v>
      </c>
      <c r="F1506">
        <v>1</v>
      </c>
      <c r="G1506" t="s">
        <v>498</v>
      </c>
      <c r="H1506" s="4">
        <v>32766522</v>
      </c>
      <c r="I1506" s="4">
        <v>28547942</v>
      </c>
      <c r="J1506" s="3">
        <v>0.12874665184177925</v>
      </c>
      <c r="K1506" s="3">
        <v>0.14777177283041978</v>
      </c>
      <c r="L1506" t="s">
        <v>54</v>
      </c>
    </row>
    <row r="1507" spans="1:12" x14ac:dyDescent="0.25">
      <c r="A1507" t="s">
        <v>487</v>
      </c>
      <c r="B1507" t="s">
        <v>461</v>
      </c>
      <c r="C1507" t="s">
        <v>462</v>
      </c>
      <c r="D1507" t="s">
        <v>126</v>
      </c>
      <c r="E1507" t="s">
        <v>128</v>
      </c>
      <c r="F1507">
        <v>1</v>
      </c>
      <c r="G1507" t="s">
        <v>499</v>
      </c>
      <c r="H1507" s="4">
        <v>32766522</v>
      </c>
      <c r="I1507" s="4">
        <v>24186918</v>
      </c>
      <c r="J1507" s="3">
        <v>0.2618405456642606</v>
      </c>
      <c r="K1507" s="3">
        <v>0.35472084537600035</v>
      </c>
      <c r="L1507" t="s">
        <v>54</v>
      </c>
    </row>
    <row r="1508" spans="1:12" x14ac:dyDescent="0.25">
      <c r="A1508" t="s">
        <v>487</v>
      </c>
      <c r="B1508" t="s">
        <v>461</v>
      </c>
      <c r="C1508" t="s">
        <v>462</v>
      </c>
      <c r="D1508" t="s">
        <v>126</v>
      </c>
      <c r="E1508" t="s">
        <v>130</v>
      </c>
      <c r="F1508">
        <v>2</v>
      </c>
      <c r="G1508" t="s">
        <v>488</v>
      </c>
      <c r="H1508" s="4">
        <v>23520679</v>
      </c>
      <c r="I1508" s="4">
        <v>19795612.613765355</v>
      </c>
      <c r="J1508" s="3">
        <v>0.15837410077466918</v>
      </c>
      <c r="K1508" s="3">
        <v>0.18817636306159732</v>
      </c>
      <c r="L1508" t="s">
        <v>54</v>
      </c>
    </row>
    <row r="1509" spans="1:12" x14ac:dyDescent="0.25">
      <c r="A1509" t="s">
        <v>487</v>
      </c>
      <c r="B1509" t="s">
        <v>461</v>
      </c>
      <c r="C1509" t="s">
        <v>462</v>
      </c>
      <c r="D1509" t="s">
        <v>126</v>
      </c>
      <c r="E1509" t="s">
        <v>130</v>
      </c>
      <c r="F1509">
        <v>2</v>
      </c>
      <c r="G1509" t="s">
        <v>498</v>
      </c>
      <c r="H1509" s="4">
        <v>23520679</v>
      </c>
      <c r="I1509" s="4">
        <v>21194721</v>
      </c>
      <c r="J1509" s="3">
        <v>0.09888991725111337</v>
      </c>
      <c r="K1509" s="3">
        <v>0.10974232687469677</v>
      </c>
      <c r="L1509" t="s">
        <v>54</v>
      </c>
    </row>
    <row r="1510" spans="1:12" x14ac:dyDescent="0.25">
      <c r="A1510" t="s">
        <v>487</v>
      </c>
      <c r="B1510" t="s">
        <v>461</v>
      </c>
      <c r="C1510" t="s">
        <v>462</v>
      </c>
      <c r="D1510" t="s">
        <v>126</v>
      </c>
      <c r="E1510" t="s">
        <v>130</v>
      </c>
      <c r="F1510">
        <v>2</v>
      </c>
      <c r="G1510" t="s">
        <v>499</v>
      </c>
      <c r="H1510" s="4">
        <v>23520679</v>
      </c>
      <c r="I1510" s="4">
        <v>24186918</v>
      </c>
      <c r="J1510" s="3">
        <v>0.02832567036011163</v>
      </c>
      <c r="K1510" s="3">
        <v>-0.027545427656388465</v>
      </c>
      <c r="L1510" t="s">
        <v>54</v>
      </c>
    </row>
    <row r="1511" spans="1:12" x14ac:dyDescent="0.25">
      <c r="A1511" t="s">
        <v>487</v>
      </c>
      <c r="B1511" t="s">
        <v>461</v>
      </c>
      <c r="C1511" t="s">
        <v>462</v>
      </c>
      <c r="D1511" t="s">
        <v>126</v>
      </c>
      <c r="E1511" t="s">
        <v>132</v>
      </c>
      <c r="F1511">
        <v>3</v>
      </c>
      <c r="G1511" t="s">
        <v>488</v>
      </c>
      <c r="H1511" s="4">
        <v>16683187</v>
      </c>
      <c r="I1511" s="4">
        <v>12695861.68587605</v>
      </c>
      <c r="J1511" s="3">
        <v>0.23900261467571818</v>
      </c>
      <c r="K1511" s="3">
        <v>0.3140649617000624</v>
      </c>
      <c r="L1511" t="s">
        <v>54</v>
      </c>
    </row>
    <row r="1512" spans="1:12" x14ac:dyDescent="0.25">
      <c r="A1512" t="s">
        <v>487</v>
      </c>
      <c r="B1512" t="s">
        <v>461</v>
      </c>
      <c r="C1512" t="s">
        <v>462</v>
      </c>
      <c r="D1512" t="s">
        <v>126</v>
      </c>
      <c r="E1512" t="s">
        <v>132</v>
      </c>
      <c r="F1512">
        <v>3</v>
      </c>
      <c r="G1512" t="s">
        <v>498</v>
      </c>
      <c r="H1512" s="4">
        <v>16683187</v>
      </c>
      <c r="I1512" s="4">
        <v>13593176</v>
      </c>
      <c r="J1512" s="3">
        <v>0.18521706913673028</v>
      </c>
      <c r="K1512" s="3">
        <v>0.22732075270709362</v>
      </c>
      <c r="L1512" t="s">
        <v>54</v>
      </c>
    </row>
    <row r="1513" spans="1:12" x14ac:dyDescent="0.25">
      <c r="A1513" t="s">
        <v>487</v>
      </c>
      <c r="B1513" t="s">
        <v>461</v>
      </c>
      <c r="C1513" t="s">
        <v>462</v>
      </c>
      <c r="D1513" t="s">
        <v>126</v>
      </c>
      <c r="E1513" t="s">
        <v>132</v>
      </c>
      <c r="F1513">
        <v>3</v>
      </c>
      <c r="G1513" t="s">
        <v>499</v>
      </c>
      <c r="H1513" s="4">
        <v>16683187</v>
      </c>
      <c r="I1513" s="4">
        <v>24186918</v>
      </c>
      <c r="J1513" s="3">
        <v>0.4497780310200923</v>
      </c>
      <c r="K1513" s="3">
        <v>-0.31023923759116395</v>
      </c>
      <c r="L1513" t="s">
        <v>54</v>
      </c>
    </row>
    <row r="1514" spans="1:12" x14ac:dyDescent="0.25">
      <c r="A1514" t="s">
        <v>487</v>
      </c>
      <c r="B1514" t="s">
        <v>461</v>
      </c>
      <c r="C1514" t="s">
        <v>462</v>
      </c>
      <c r="D1514" t="s">
        <v>128</v>
      </c>
      <c r="E1514" t="s">
        <v>130</v>
      </c>
      <c r="F1514">
        <v>1</v>
      </c>
      <c r="G1514" t="s">
        <v>488</v>
      </c>
      <c r="H1514" s="4">
        <v>23520679</v>
      </c>
      <c r="I1514" s="4">
        <v>20436823.32389421</v>
      </c>
      <c r="J1514" s="3">
        <v>0.13111252766579526</v>
      </c>
      <c r="K1514" s="3">
        <v>0.15089701697916158</v>
      </c>
      <c r="L1514" t="s">
        <v>54</v>
      </c>
    </row>
    <row r="1515" spans="1:12" x14ac:dyDescent="0.25">
      <c r="A1515" t="s">
        <v>487</v>
      </c>
      <c r="B1515" t="s">
        <v>461</v>
      </c>
      <c r="C1515" t="s">
        <v>462</v>
      </c>
      <c r="D1515" t="s">
        <v>128</v>
      </c>
      <c r="E1515" t="s">
        <v>130</v>
      </c>
      <c r="F1515">
        <v>1</v>
      </c>
      <c r="G1515" t="s">
        <v>498</v>
      </c>
      <c r="H1515" s="4">
        <v>23520679</v>
      </c>
      <c r="I1515" s="4">
        <v>21194721</v>
      </c>
      <c r="J1515" s="3">
        <v>0.09888991725111337</v>
      </c>
      <c r="K1515" s="3">
        <v>0.10974232687469677</v>
      </c>
      <c r="L1515" t="s">
        <v>54</v>
      </c>
    </row>
    <row r="1516" spans="1:12" x14ac:dyDescent="0.25">
      <c r="A1516" t="s">
        <v>487</v>
      </c>
      <c r="B1516" t="s">
        <v>461</v>
      </c>
      <c r="C1516" t="s">
        <v>462</v>
      </c>
      <c r="D1516" t="s">
        <v>128</v>
      </c>
      <c r="E1516" t="s">
        <v>130</v>
      </c>
      <c r="F1516">
        <v>1</v>
      </c>
      <c r="G1516" t="s">
        <v>499</v>
      </c>
      <c r="H1516" s="4">
        <v>23520679</v>
      </c>
      <c r="I1516" s="4">
        <v>32766522</v>
      </c>
      <c r="J1516" s="3">
        <v>0.3930942214720927</v>
      </c>
      <c r="K1516" s="3">
        <v>-0.2821734635125449</v>
      </c>
      <c r="L1516" t="s">
        <v>54</v>
      </c>
    </row>
    <row r="1517" spans="1:12" x14ac:dyDescent="0.25">
      <c r="A1517" t="s">
        <v>487</v>
      </c>
      <c r="B1517" t="s">
        <v>461</v>
      </c>
      <c r="C1517" t="s">
        <v>462</v>
      </c>
      <c r="D1517" t="s">
        <v>128</v>
      </c>
      <c r="E1517" t="s">
        <v>132</v>
      </c>
      <c r="F1517">
        <v>2</v>
      </c>
      <c r="G1517" t="s">
        <v>488</v>
      </c>
      <c r="H1517" s="4">
        <v>16683187</v>
      </c>
      <c r="I1517" s="4">
        <v>13107100.410644662</v>
      </c>
      <c r="J1517" s="3">
        <v>0.21435272465358918</v>
      </c>
      <c r="K1517" s="3">
        <v>0.27283582770534764</v>
      </c>
      <c r="L1517" t="s">
        <v>54</v>
      </c>
    </row>
    <row r="1518" spans="1:12" x14ac:dyDescent="0.25">
      <c r="A1518" t="s">
        <v>487</v>
      </c>
      <c r="B1518" t="s">
        <v>461</v>
      </c>
      <c r="C1518" t="s">
        <v>462</v>
      </c>
      <c r="D1518" t="s">
        <v>128</v>
      </c>
      <c r="E1518" t="s">
        <v>132</v>
      </c>
      <c r="F1518">
        <v>2</v>
      </c>
      <c r="G1518" t="s">
        <v>498</v>
      </c>
      <c r="H1518" s="4">
        <v>16683187</v>
      </c>
      <c r="I1518" s="4">
        <v>13593176</v>
      </c>
      <c r="J1518" s="3">
        <v>0.18521706913673028</v>
      </c>
      <c r="K1518" s="3">
        <v>0.22732075270709362</v>
      </c>
      <c r="L1518" t="s">
        <v>54</v>
      </c>
    </row>
    <row r="1519" spans="1:12" x14ac:dyDescent="0.25">
      <c r="A1519" t="s">
        <v>487</v>
      </c>
      <c r="B1519" t="s">
        <v>461</v>
      </c>
      <c r="C1519" t="s">
        <v>462</v>
      </c>
      <c r="D1519" t="s">
        <v>128</v>
      </c>
      <c r="E1519" t="s">
        <v>132</v>
      </c>
      <c r="F1519">
        <v>2</v>
      </c>
      <c r="G1519" t="s">
        <v>499</v>
      </c>
      <c r="H1519" s="4">
        <v>16683187</v>
      </c>
      <c r="I1519" s="4">
        <v>32766522</v>
      </c>
      <c r="J1519" s="3">
        <v>0.9640445197910926</v>
      </c>
      <c r="K1519" s="3">
        <v>-0.49084657199809</v>
      </c>
      <c r="L1519" t="s">
        <v>54</v>
      </c>
    </row>
    <row r="1520" spans="1:12" x14ac:dyDescent="0.25">
      <c r="A1520" t="s">
        <v>487</v>
      </c>
      <c r="B1520" t="s">
        <v>461</v>
      </c>
      <c r="C1520" t="s">
        <v>462</v>
      </c>
      <c r="D1520" t="s">
        <v>128</v>
      </c>
      <c r="E1520" t="s">
        <v>134</v>
      </c>
      <c r="F1520">
        <v>3</v>
      </c>
      <c r="G1520" t="s">
        <v>488</v>
      </c>
      <c r="H1520" s="4">
        <v>15603353</v>
      </c>
      <c r="I1520" s="4">
        <v>12429765.318988452</v>
      </c>
      <c r="J1520" s="3">
        <v>0.2033913916458564</v>
      </c>
      <c r="K1520" s="3">
        <v>0.2553216090221258</v>
      </c>
      <c r="L1520" t="s">
        <v>54</v>
      </c>
    </row>
    <row r="1521" spans="1:12" x14ac:dyDescent="0.25">
      <c r="A1521" t="s">
        <v>487</v>
      </c>
      <c r="B1521" t="s">
        <v>461</v>
      </c>
      <c r="C1521" t="s">
        <v>462</v>
      </c>
      <c r="D1521" t="s">
        <v>128</v>
      </c>
      <c r="E1521" t="s">
        <v>134</v>
      </c>
      <c r="F1521">
        <v>3</v>
      </c>
      <c r="G1521" t="s">
        <v>498</v>
      </c>
      <c r="H1521" s="4">
        <v>15603353</v>
      </c>
      <c r="I1521" s="4">
        <v>12890722</v>
      </c>
      <c r="J1521" s="3">
        <v>0.173849236122518</v>
      </c>
      <c r="K1521" s="3">
        <v>0.21043282137338779</v>
      </c>
      <c r="L1521" t="s">
        <v>54</v>
      </c>
    </row>
    <row r="1522" spans="1:12" x14ac:dyDescent="0.25">
      <c r="A1522" t="s">
        <v>487</v>
      </c>
      <c r="B1522" t="s">
        <v>461</v>
      </c>
      <c r="C1522" t="s">
        <v>462</v>
      </c>
      <c r="D1522" t="s">
        <v>128</v>
      </c>
      <c r="E1522" t="s">
        <v>134</v>
      </c>
      <c r="F1522">
        <v>3</v>
      </c>
      <c r="G1522" t="s">
        <v>499</v>
      </c>
      <c r="H1522" s="4">
        <v>15603353</v>
      </c>
      <c r="I1522" s="4">
        <v>32766522</v>
      </c>
      <c r="J1522" s="3">
        <v>1.0999667186918094</v>
      </c>
      <c r="K1522" s="3">
        <v>-0.5238019769080161</v>
      </c>
      <c r="L1522" t="s">
        <v>54</v>
      </c>
    </row>
    <row r="1523" spans="1:12" x14ac:dyDescent="0.25">
      <c r="A1523" t="s">
        <v>487</v>
      </c>
      <c r="B1523" t="s">
        <v>461</v>
      </c>
      <c r="C1523" t="s">
        <v>462</v>
      </c>
      <c r="D1523" t="s">
        <v>130</v>
      </c>
      <c r="E1523" t="s">
        <v>132</v>
      </c>
      <c r="F1523">
        <v>1</v>
      </c>
      <c r="G1523" t="s">
        <v>488</v>
      </c>
      <c r="H1523" s="4">
        <v>16683187</v>
      </c>
      <c r="I1523" s="4">
        <v>13596910.492828462</v>
      </c>
      <c r="J1523" s="3">
        <v>0.18499322144932726</v>
      </c>
      <c r="K1523" s="3">
        <v>0.22698365991298977</v>
      </c>
      <c r="L1523" t="s">
        <v>54</v>
      </c>
    </row>
    <row r="1524" spans="1:12" x14ac:dyDescent="0.25">
      <c r="A1524" t="s">
        <v>487</v>
      </c>
      <c r="B1524" t="s">
        <v>461</v>
      </c>
      <c r="C1524" t="s">
        <v>462</v>
      </c>
      <c r="D1524" t="s">
        <v>130</v>
      </c>
      <c r="E1524" t="s">
        <v>132</v>
      </c>
      <c r="F1524">
        <v>1</v>
      </c>
      <c r="G1524" t="s">
        <v>498</v>
      </c>
      <c r="H1524" s="4">
        <v>16683187</v>
      </c>
      <c r="I1524" s="4">
        <v>13593176</v>
      </c>
      <c r="J1524" s="3">
        <v>0.18521706913673028</v>
      </c>
      <c r="K1524" s="3">
        <v>0.22732075270709362</v>
      </c>
      <c r="L1524" t="s">
        <v>54</v>
      </c>
    </row>
    <row r="1525" spans="1:12" x14ac:dyDescent="0.25">
      <c r="A1525" t="s">
        <v>487</v>
      </c>
      <c r="B1525" t="s">
        <v>461</v>
      </c>
      <c r="C1525" t="s">
        <v>462</v>
      </c>
      <c r="D1525" t="s">
        <v>130</v>
      </c>
      <c r="E1525" t="s">
        <v>132</v>
      </c>
      <c r="F1525">
        <v>1</v>
      </c>
      <c r="G1525" t="s">
        <v>499</v>
      </c>
      <c r="H1525" s="4">
        <v>16683187</v>
      </c>
      <c r="I1525" s="4">
        <v>23520679</v>
      </c>
      <c r="J1525" s="3">
        <v>0.409843275148807</v>
      </c>
      <c r="K1525" s="3">
        <v>-0.290701301607832</v>
      </c>
      <c r="L1525" t="s">
        <v>54</v>
      </c>
    </row>
    <row r="1526" spans="1:12" x14ac:dyDescent="0.25">
      <c r="A1526" t="s">
        <v>487</v>
      </c>
      <c r="B1526" t="s">
        <v>461</v>
      </c>
      <c r="C1526" t="s">
        <v>462</v>
      </c>
      <c r="D1526" t="s">
        <v>130</v>
      </c>
      <c r="E1526" t="s">
        <v>134</v>
      </c>
      <c r="F1526">
        <v>2</v>
      </c>
      <c r="G1526" t="s">
        <v>488</v>
      </c>
      <c r="H1526" s="4">
        <v>15603353</v>
      </c>
      <c r="I1526" s="4">
        <v>12894263.50559536</v>
      </c>
      <c r="J1526" s="3">
        <v>0.1736222653172456</v>
      </c>
      <c r="K1526" s="3">
        <v>0.21010036697552</v>
      </c>
      <c r="L1526" t="s">
        <v>54</v>
      </c>
    </row>
    <row r="1527" spans="1:12" x14ac:dyDescent="0.25">
      <c r="A1527" t="s">
        <v>487</v>
      </c>
      <c r="B1527" t="s">
        <v>461</v>
      </c>
      <c r="C1527" t="s">
        <v>462</v>
      </c>
      <c r="D1527" t="s">
        <v>130</v>
      </c>
      <c r="E1527" t="s">
        <v>134</v>
      </c>
      <c r="F1527">
        <v>2</v>
      </c>
      <c r="G1527" t="s">
        <v>498</v>
      </c>
      <c r="H1527" s="4">
        <v>15603353</v>
      </c>
      <c r="I1527" s="4">
        <v>12890722</v>
      </c>
      <c r="J1527" s="3">
        <v>0.173849236122518</v>
      </c>
      <c r="K1527" s="3">
        <v>0.21043282137338779</v>
      </c>
      <c r="L1527" t="s">
        <v>54</v>
      </c>
    </row>
    <row r="1528" spans="1:12" x14ac:dyDescent="0.25">
      <c r="A1528" t="s">
        <v>487</v>
      </c>
      <c r="B1528" t="s">
        <v>461</v>
      </c>
      <c r="C1528" t="s">
        <v>462</v>
      </c>
      <c r="D1528" t="s">
        <v>130</v>
      </c>
      <c r="E1528" t="s">
        <v>134</v>
      </c>
      <c r="F1528">
        <v>2</v>
      </c>
      <c r="G1528" t="s">
        <v>499</v>
      </c>
      <c r="H1528" s="4">
        <v>15603353</v>
      </c>
      <c r="I1528" s="4">
        <v>23520679</v>
      </c>
      <c r="J1528" s="3">
        <v>0.5074118364174675</v>
      </c>
      <c r="K1528" s="3">
        <v>-0.336611285754123</v>
      </c>
      <c r="L1528" t="s">
        <v>54</v>
      </c>
    </row>
    <row r="1529" spans="1:12" x14ac:dyDescent="0.25">
      <c r="A1529" t="s">
        <v>487</v>
      </c>
      <c r="B1529" t="s">
        <v>461</v>
      </c>
      <c r="C1529" t="s">
        <v>462</v>
      </c>
      <c r="D1529" t="s">
        <v>130</v>
      </c>
      <c r="E1529" t="s">
        <v>136</v>
      </c>
      <c r="F1529">
        <v>3</v>
      </c>
      <c r="G1529" t="s">
        <v>488</v>
      </c>
      <c r="H1529" s="4">
        <v>21494143</v>
      </c>
      <c r="I1529" s="4">
        <v>17177804.01192816</v>
      </c>
      <c r="J1529" s="3">
        <v>0.20081465858265854</v>
      </c>
      <c r="K1529" s="3">
        <v>0.251274201584475</v>
      </c>
      <c r="L1529" t="s">
        <v>54</v>
      </c>
    </row>
    <row r="1530" spans="1:12" x14ac:dyDescent="0.25">
      <c r="A1530" t="s">
        <v>487</v>
      </c>
      <c r="B1530" t="s">
        <v>461</v>
      </c>
      <c r="C1530" t="s">
        <v>462</v>
      </c>
      <c r="D1530" t="s">
        <v>130</v>
      </c>
      <c r="E1530" t="s">
        <v>136</v>
      </c>
      <c r="F1530">
        <v>3</v>
      </c>
      <c r="G1530" t="s">
        <v>498</v>
      </c>
      <c r="H1530" s="4">
        <v>21494143</v>
      </c>
      <c r="I1530" s="4">
        <v>17173086</v>
      </c>
      <c r="J1530" s="3">
        <v>0.20103416079440803</v>
      </c>
      <c r="K1530" s="3">
        <v>0.25161796778983114</v>
      </c>
      <c r="L1530" t="s">
        <v>54</v>
      </c>
    </row>
    <row r="1531" spans="1:12" x14ac:dyDescent="0.25">
      <c r="A1531" t="s">
        <v>487</v>
      </c>
      <c r="B1531" t="s">
        <v>461</v>
      </c>
      <c r="C1531" t="s">
        <v>462</v>
      </c>
      <c r="D1531" t="s">
        <v>130</v>
      </c>
      <c r="E1531" t="s">
        <v>136</v>
      </c>
      <c r="F1531">
        <v>3</v>
      </c>
      <c r="G1531" t="s">
        <v>499</v>
      </c>
      <c r="H1531" s="4">
        <v>21494143</v>
      </c>
      <c r="I1531" s="4">
        <v>23520679</v>
      </c>
      <c r="J1531" s="3">
        <v>0.0942831728624863</v>
      </c>
      <c r="K1531" s="3">
        <v>-0.08615975754781569</v>
      </c>
      <c r="L1531" t="s">
        <v>54</v>
      </c>
    </row>
    <row r="1532" spans="1:12" x14ac:dyDescent="0.25">
      <c r="A1532" t="s">
        <v>487</v>
      </c>
      <c r="B1532" t="s">
        <v>461</v>
      </c>
      <c r="C1532" t="s">
        <v>462</v>
      </c>
      <c r="D1532" t="s">
        <v>132</v>
      </c>
      <c r="E1532" t="s">
        <v>134</v>
      </c>
      <c r="F1532">
        <v>1</v>
      </c>
      <c r="G1532" t="s">
        <v>488</v>
      </c>
      <c r="H1532" s="4">
        <v>15603353</v>
      </c>
      <c r="I1532" s="4">
        <v>13518311.627664283</v>
      </c>
      <c r="J1532" s="3">
        <v>0.13362777682051524</v>
      </c>
      <c r="K1532" s="3">
        <v>0.15423829763391644</v>
      </c>
      <c r="L1532" t="s">
        <v>54</v>
      </c>
    </row>
    <row r="1533" spans="1:12" x14ac:dyDescent="0.25">
      <c r="A1533" t="s">
        <v>487</v>
      </c>
      <c r="B1533" t="s">
        <v>461</v>
      </c>
      <c r="C1533" t="s">
        <v>462</v>
      </c>
      <c r="D1533" t="s">
        <v>132</v>
      </c>
      <c r="E1533" t="s">
        <v>134</v>
      </c>
      <c r="F1533">
        <v>1</v>
      </c>
      <c r="G1533" t="s">
        <v>498</v>
      </c>
      <c r="H1533" s="4">
        <v>15603353</v>
      </c>
      <c r="I1533" s="4">
        <v>12890722</v>
      </c>
      <c r="J1533" s="3">
        <v>0.173849236122518</v>
      </c>
      <c r="K1533" s="3">
        <v>0.21043282137338779</v>
      </c>
      <c r="L1533" t="s">
        <v>54</v>
      </c>
    </row>
    <row r="1534" spans="1:12" x14ac:dyDescent="0.25">
      <c r="A1534" t="s">
        <v>487</v>
      </c>
      <c r="B1534" t="s">
        <v>461</v>
      </c>
      <c r="C1534" t="s">
        <v>462</v>
      </c>
      <c r="D1534" t="s">
        <v>132</v>
      </c>
      <c r="E1534" t="s">
        <v>134</v>
      </c>
      <c r="F1534">
        <v>1</v>
      </c>
      <c r="G1534" t="s">
        <v>499</v>
      </c>
      <c r="H1534" s="4">
        <v>15603353</v>
      </c>
      <c r="I1534" s="4">
        <v>16683187</v>
      </c>
      <c r="J1534" s="3">
        <v>0.06920525351185736</v>
      </c>
      <c r="K1534" s="3">
        <v>-0.06472588241083672</v>
      </c>
      <c r="L1534" t="s">
        <v>54</v>
      </c>
    </row>
    <row r="1535" spans="1:12" x14ac:dyDescent="0.25">
      <c r="A1535" t="s">
        <v>487</v>
      </c>
      <c r="B1535" t="s">
        <v>461</v>
      </c>
      <c r="C1535" t="s">
        <v>462</v>
      </c>
      <c r="D1535" t="s">
        <v>132</v>
      </c>
      <c r="E1535" t="s">
        <v>136</v>
      </c>
      <c r="F1535">
        <v>2</v>
      </c>
      <c r="G1535" t="s">
        <v>488</v>
      </c>
      <c r="H1535" s="4">
        <v>21494143</v>
      </c>
      <c r="I1535" s="4">
        <v>18009164.122589774</v>
      </c>
      <c r="J1535" s="3">
        <v>0.16213620972979595</v>
      </c>
      <c r="K1535" s="3">
        <v>0.19351141750320583</v>
      </c>
      <c r="L1535" t="s">
        <v>54</v>
      </c>
    </row>
    <row r="1536" spans="1:12" x14ac:dyDescent="0.25">
      <c r="A1536" t="s">
        <v>487</v>
      </c>
      <c r="B1536" t="s">
        <v>461</v>
      </c>
      <c r="C1536" t="s">
        <v>462</v>
      </c>
      <c r="D1536" t="s">
        <v>132</v>
      </c>
      <c r="E1536" t="s">
        <v>136</v>
      </c>
      <c r="F1536">
        <v>2</v>
      </c>
      <c r="G1536" t="s">
        <v>498</v>
      </c>
      <c r="H1536" s="4">
        <v>21494143</v>
      </c>
      <c r="I1536" s="4">
        <v>17173086</v>
      </c>
      <c r="J1536" s="3">
        <v>0.20103416079440803</v>
      </c>
      <c r="K1536" s="3">
        <v>0.25161796778983114</v>
      </c>
      <c r="L1536" t="s">
        <v>54</v>
      </c>
    </row>
    <row r="1537" spans="1:12" x14ac:dyDescent="0.25">
      <c r="A1537" t="s">
        <v>487</v>
      </c>
      <c r="B1537" t="s">
        <v>461</v>
      </c>
      <c r="C1537" t="s">
        <v>462</v>
      </c>
      <c r="D1537" t="s">
        <v>132</v>
      </c>
      <c r="E1537" t="s">
        <v>136</v>
      </c>
      <c r="F1537">
        <v>2</v>
      </c>
      <c r="G1537" t="s">
        <v>499</v>
      </c>
      <c r="H1537" s="4">
        <v>21494143</v>
      </c>
      <c r="I1537" s="4">
        <v>16683187</v>
      </c>
      <c r="J1537" s="3">
        <v>0.22382636981618667</v>
      </c>
      <c r="K1537" s="3">
        <v>0.2883715203815674</v>
      </c>
      <c r="L1537" t="s">
        <v>54</v>
      </c>
    </row>
    <row r="1538" spans="1:12" x14ac:dyDescent="0.25">
      <c r="A1538" t="s">
        <v>487</v>
      </c>
      <c r="B1538" t="s">
        <v>461</v>
      </c>
      <c r="C1538" t="s">
        <v>462</v>
      </c>
      <c r="D1538" t="s">
        <v>132</v>
      </c>
      <c r="E1538" t="s">
        <v>138</v>
      </c>
      <c r="F1538">
        <v>3</v>
      </c>
      <c r="G1538" t="s">
        <v>488</v>
      </c>
      <c r="H1538" s="4">
        <v>23178458</v>
      </c>
      <c r="I1538" s="4">
        <v>22093613.282237496</v>
      </c>
      <c r="J1538" s="3">
        <v>0.046804007314140736</v>
      </c>
      <c r="K1538" s="3">
        <v>0.04910218640581899</v>
      </c>
      <c r="L1538" t="s">
        <v>54</v>
      </c>
    </row>
    <row r="1539" spans="1:12" x14ac:dyDescent="0.25">
      <c r="A1539" t="s">
        <v>487</v>
      </c>
      <c r="B1539" t="s">
        <v>461</v>
      </c>
      <c r="C1539" t="s">
        <v>462</v>
      </c>
      <c r="D1539" t="s">
        <v>132</v>
      </c>
      <c r="E1539" t="s">
        <v>138</v>
      </c>
      <c r="F1539">
        <v>3</v>
      </c>
      <c r="G1539" t="s">
        <v>498</v>
      </c>
      <c r="H1539" s="4">
        <v>23178458</v>
      </c>
      <c r="I1539" s="4">
        <v>21067914</v>
      </c>
      <c r="J1539" s="3">
        <v>0.09105627302730837</v>
      </c>
      <c r="K1539" s="3">
        <v>0.10017811920060049</v>
      </c>
      <c r="L1539" t="s">
        <v>54</v>
      </c>
    </row>
    <row r="1540" spans="1:12" x14ac:dyDescent="0.25">
      <c r="A1540" t="s">
        <v>487</v>
      </c>
      <c r="B1540" t="s">
        <v>461</v>
      </c>
      <c r="C1540" t="s">
        <v>462</v>
      </c>
      <c r="D1540" t="s">
        <v>132</v>
      </c>
      <c r="E1540" t="s">
        <v>138</v>
      </c>
      <c r="F1540">
        <v>3</v>
      </c>
      <c r="G1540" t="s">
        <v>499</v>
      </c>
      <c r="H1540" s="4">
        <v>23178458</v>
      </c>
      <c r="I1540" s="4">
        <v>16683187</v>
      </c>
      <c r="J1540" s="3">
        <v>0.280228779671193</v>
      </c>
      <c r="K1540" s="3">
        <v>0.3893303479724827</v>
      </c>
      <c r="L1540" t="s">
        <v>54</v>
      </c>
    </row>
    <row r="1541" spans="1:12" x14ac:dyDescent="0.25">
      <c r="A1541" t="s">
        <v>487</v>
      </c>
      <c r="B1541" t="s">
        <v>461</v>
      </c>
      <c r="C1541" t="s">
        <v>462</v>
      </c>
      <c r="D1541" t="s">
        <v>134</v>
      </c>
      <c r="E1541" t="s">
        <v>136</v>
      </c>
      <c r="F1541">
        <v>1</v>
      </c>
      <c r="G1541" t="s">
        <v>488</v>
      </c>
      <c r="H1541" s="4">
        <v>21494143</v>
      </c>
      <c r="I1541" s="4">
        <v>18485209.33948562</v>
      </c>
      <c r="J1541" s="3">
        <v>0.13998853829689237</v>
      </c>
      <c r="K1541" s="3">
        <v>0.1627752007161261</v>
      </c>
      <c r="L1541" t="s">
        <v>54</v>
      </c>
    </row>
    <row r="1542" spans="1:12" x14ac:dyDescent="0.25">
      <c r="A1542" t="s">
        <v>487</v>
      </c>
      <c r="B1542" t="s">
        <v>461</v>
      </c>
      <c r="C1542" t="s">
        <v>462</v>
      </c>
      <c r="D1542" t="s">
        <v>134</v>
      </c>
      <c r="E1542" t="s">
        <v>136</v>
      </c>
      <c r="F1542">
        <v>1</v>
      </c>
      <c r="G1542" t="s">
        <v>498</v>
      </c>
      <c r="H1542" s="4">
        <v>21494143</v>
      </c>
      <c r="I1542" s="4">
        <v>17173086</v>
      </c>
      <c r="J1542" s="3">
        <v>0.20103416079440803</v>
      </c>
      <c r="K1542" s="3">
        <v>0.25161796778983114</v>
      </c>
      <c r="L1542" t="s">
        <v>54</v>
      </c>
    </row>
    <row r="1543" spans="1:12" x14ac:dyDescent="0.25">
      <c r="A1543" t="s">
        <v>487</v>
      </c>
      <c r="B1543" t="s">
        <v>461</v>
      </c>
      <c r="C1543" t="s">
        <v>462</v>
      </c>
      <c r="D1543" t="s">
        <v>134</v>
      </c>
      <c r="E1543" t="s">
        <v>136</v>
      </c>
      <c r="F1543">
        <v>1</v>
      </c>
      <c r="G1543" t="s">
        <v>499</v>
      </c>
      <c r="H1543" s="4">
        <v>21494143</v>
      </c>
      <c r="I1543" s="4">
        <v>15603353</v>
      </c>
      <c r="J1543" s="3">
        <v>0.27406489293385644</v>
      </c>
      <c r="K1543" s="3">
        <v>0.37753359806703085</v>
      </c>
      <c r="L1543" t="s">
        <v>54</v>
      </c>
    </row>
    <row r="1544" spans="1:12" x14ac:dyDescent="0.25">
      <c r="A1544" t="s">
        <v>487</v>
      </c>
      <c r="B1544" t="s">
        <v>461</v>
      </c>
      <c r="C1544" t="s">
        <v>462</v>
      </c>
      <c r="D1544" t="s">
        <v>134</v>
      </c>
      <c r="E1544" t="s">
        <v>138</v>
      </c>
      <c r="F1544">
        <v>2</v>
      </c>
      <c r="G1544" t="s">
        <v>488</v>
      </c>
      <c r="H1544" s="4">
        <v>23178458</v>
      </c>
      <c r="I1544" s="4">
        <v>22677624.780792445</v>
      </c>
      <c r="J1544" s="3">
        <v>0.021607702255583828</v>
      </c>
      <c r="K1544" s="3">
        <v>0.022084906336035336</v>
      </c>
      <c r="L1544" t="s">
        <v>54</v>
      </c>
    </row>
    <row r="1545" spans="1:12" x14ac:dyDescent="0.25">
      <c r="A1545" t="s">
        <v>487</v>
      </c>
      <c r="B1545" t="s">
        <v>461</v>
      </c>
      <c r="C1545" t="s">
        <v>462</v>
      </c>
      <c r="D1545" t="s">
        <v>134</v>
      </c>
      <c r="E1545" t="s">
        <v>138</v>
      </c>
      <c r="F1545">
        <v>2</v>
      </c>
      <c r="G1545" t="s">
        <v>498</v>
      </c>
      <c r="H1545" s="4">
        <v>23178458</v>
      </c>
      <c r="I1545" s="4">
        <v>21067914</v>
      </c>
      <c r="J1545" s="3">
        <v>0.09105627302730837</v>
      </c>
      <c r="K1545" s="3">
        <v>0.10017811920060049</v>
      </c>
      <c r="L1545" t="s">
        <v>54</v>
      </c>
    </row>
    <row r="1546" spans="1:12" x14ac:dyDescent="0.25">
      <c r="A1546" t="s">
        <v>487</v>
      </c>
      <c r="B1546" t="s">
        <v>461</v>
      </c>
      <c r="C1546" t="s">
        <v>462</v>
      </c>
      <c r="D1546" t="s">
        <v>134</v>
      </c>
      <c r="E1546" t="s">
        <v>138</v>
      </c>
      <c r="F1546">
        <v>2</v>
      </c>
      <c r="G1546" t="s">
        <v>499</v>
      </c>
      <c r="H1546" s="4">
        <v>23178458</v>
      </c>
      <c r="I1546" s="4">
        <v>15603353</v>
      </c>
      <c r="J1546" s="3">
        <v>0.32681660704089976</v>
      </c>
      <c r="K1546" s="3">
        <v>0.4854793069156354</v>
      </c>
      <c r="L1546" t="s">
        <v>54</v>
      </c>
    </row>
    <row r="1547" spans="1:12" x14ac:dyDescent="0.25">
      <c r="A1547" t="s">
        <v>487</v>
      </c>
      <c r="B1547" t="s">
        <v>461</v>
      </c>
      <c r="C1547" t="s">
        <v>462</v>
      </c>
      <c r="D1547" t="s">
        <v>134</v>
      </c>
      <c r="E1547" t="s">
        <v>140</v>
      </c>
      <c r="F1547">
        <v>3</v>
      </c>
      <c r="G1547" t="s">
        <v>488</v>
      </c>
      <c r="H1547" s="4">
        <v>31241635</v>
      </c>
      <c r="I1547" s="4">
        <v>26791026.654499076</v>
      </c>
      <c r="J1547" s="3">
        <v>0.14245760010642605</v>
      </c>
      <c r="K1547" s="3">
        <v>0.16612309796472555</v>
      </c>
      <c r="L1547" t="s">
        <v>54</v>
      </c>
    </row>
    <row r="1548" spans="1:12" x14ac:dyDescent="0.25">
      <c r="A1548" t="s">
        <v>487</v>
      </c>
      <c r="B1548" t="s">
        <v>461</v>
      </c>
      <c r="C1548" t="s">
        <v>462</v>
      </c>
      <c r="D1548" t="s">
        <v>134</v>
      </c>
      <c r="E1548" t="s">
        <v>140</v>
      </c>
      <c r="F1548">
        <v>3</v>
      </c>
      <c r="G1548" t="s">
        <v>498</v>
      </c>
      <c r="H1548" s="4">
        <v>31241635</v>
      </c>
      <c r="I1548" s="4">
        <v>24889337</v>
      </c>
      <c r="J1548" s="3">
        <v>0.2033279628290901</v>
      </c>
      <c r="K1548" s="3">
        <v>0.2552216637992406</v>
      </c>
      <c r="L1548" t="s">
        <v>54</v>
      </c>
    </row>
    <row r="1549" spans="1:12" x14ac:dyDescent="0.25">
      <c r="A1549" t="s">
        <v>487</v>
      </c>
      <c r="B1549" t="s">
        <v>461</v>
      </c>
      <c r="C1549" t="s">
        <v>462</v>
      </c>
      <c r="D1549" t="s">
        <v>134</v>
      </c>
      <c r="E1549" t="s">
        <v>140</v>
      </c>
      <c r="F1549">
        <v>3</v>
      </c>
      <c r="G1549" t="s">
        <v>499</v>
      </c>
      <c r="H1549" s="4">
        <v>31241635</v>
      </c>
      <c r="I1549" s="4">
        <v>15603353</v>
      </c>
      <c r="J1549" s="3">
        <v>0.5005590136367702</v>
      </c>
      <c r="K1549" s="3">
        <v>1.002238557315213</v>
      </c>
      <c r="L1549" t="s">
        <v>54</v>
      </c>
    </row>
    <row r="1550" spans="1:12" x14ac:dyDescent="0.25">
      <c r="A1550" t="s">
        <v>487</v>
      </c>
      <c r="B1550" t="s">
        <v>461</v>
      </c>
      <c r="C1550" t="s">
        <v>462</v>
      </c>
      <c r="D1550" t="s">
        <v>136</v>
      </c>
      <c r="E1550" t="s">
        <v>138</v>
      </c>
      <c r="F1550">
        <v>1</v>
      </c>
      <c r="G1550" t="s">
        <v>488</v>
      </c>
      <c r="H1550" s="4">
        <v>23178458</v>
      </c>
      <c r="I1550" s="4">
        <v>23154125.35706294</v>
      </c>
      <c r="J1550" s="3">
        <v>0.0010497955876555916</v>
      </c>
      <c r="K1550" s="3">
        <v>0.0010508988165963268</v>
      </c>
      <c r="L1550" t="s">
        <v>54</v>
      </c>
    </row>
    <row r="1551" spans="1:12" x14ac:dyDescent="0.25">
      <c r="A1551" t="s">
        <v>487</v>
      </c>
      <c r="B1551" t="s">
        <v>461</v>
      </c>
      <c r="C1551" t="s">
        <v>462</v>
      </c>
      <c r="D1551" t="s">
        <v>136</v>
      </c>
      <c r="E1551" t="s">
        <v>138</v>
      </c>
      <c r="F1551">
        <v>1</v>
      </c>
      <c r="G1551" t="s">
        <v>498</v>
      </c>
      <c r="H1551" s="4">
        <v>23178458</v>
      </c>
      <c r="I1551" s="4">
        <v>21067914</v>
      </c>
      <c r="J1551" s="3">
        <v>0.09105627302730837</v>
      </c>
      <c r="K1551" s="3">
        <v>0.10017811920060049</v>
      </c>
      <c r="L1551" t="s">
        <v>54</v>
      </c>
    </row>
    <row r="1552" spans="1:12" x14ac:dyDescent="0.25">
      <c r="A1552" t="s">
        <v>487</v>
      </c>
      <c r="B1552" t="s">
        <v>461</v>
      </c>
      <c r="C1552" t="s">
        <v>462</v>
      </c>
      <c r="D1552" t="s">
        <v>136</v>
      </c>
      <c r="E1552" t="s">
        <v>138</v>
      </c>
      <c r="F1552">
        <v>1</v>
      </c>
      <c r="G1552" t="s">
        <v>499</v>
      </c>
      <c r="H1552" s="4">
        <v>23178458</v>
      </c>
      <c r="I1552" s="4">
        <v>21494143</v>
      </c>
      <c r="J1552" s="3">
        <v>0.07266725853807876</v>
      </c>
      <c r="K1552" s="3">
        <v>0.0783615797103425</v>
      </c>
      <c r="L1552" t="s">
        <v>54</v>
      </c>
    </row>
    <row r="1553" spans="1:12" x14ac:dyDescent="0.25">
      <c r="A1553" t="s">
        <v>487</v>
      </c>
      <c r="B1553" t="s">
        <v>461</v>
      </c>
      <c r="C1553" t="s">
        <v>462</v>
      </c>
      <c r="D1553" t="s">
        <v>136</v>
      </c>
      <c r="E1553" t="s">
        <v>140</v>
      </c>
      <c r="F1553">
        <v>2</v>
      </c>
      <c r="G1553" t="s">
        <v>488</v>
      </c>
      <c r="H1553" s="4">
        <v>31241635</v>
      </c>
      <c r="I1553" s="4">
        <v>27353957.72700538</v>
      </c>
      <c r="J1553" s="3">
        <v>0.12443898256268018</v>
      </c>
      <c r="K1553" s="3">
        <v>0.1421248549037744</v>
      </c>
      <c r="L1553" t="s">
        <v>54</v>
      </c>
    </row>
    <row r="1554" spans="1:12" x14ac:dyDescent="0.25">
      <c r="A1554" t="s">
        <v>487</v>
      </c>
      <c r="B1554" t="s">
        <v>461</v>
      </c>
      <c r="C1554" t="s">
        <v>462</v>
      </c>
      <c r="D1554" t="s">
        <v>136</v>
      </c>
      <c r="E1554" t="s">
        <v>140</v>
      </c>
      <c r="F1554">
        <v>2</v>
      </c>
      <c r="G1554" t="s">
        <v>498</v>
      </c>
      <c r="H1554" s="4">
        <v>31241635</v>
      </c>
      <c r="I1554" s="4">
        <v>24889337</v>
      </c>
      <c r="J1554" s="3">
        <v>0.2033279628290901</v>
      </c>
      <c r="K1554" s="3">
        <v>0.2552216637992406</v>
      </c>
      <c r="L1554" t="s">
        <v>54</v>
      </c>
    </row>
    <row r="1555" spans="1:12" x14ac:dyDescent="0.25">
      <c r="A1555" t="s">
        <v>487</v>
      </c>
      <c r="B1555" t="s">
        <v>461</v>
      </c>
      <c r="C1555" t="s">
        <v>462</v>
      </c>
      <c r="D1555" t="s">
        <v>136</v>
      </c>
      <c r="E1555" t="s">
        <v>140</v>
      </c>
      <c r="F1555">
        <v>2</v>
      </c>
      <c r="G1555" t="s">
        <v>499</v>
      </c>
      <c r="H1555" s="4">
        <v>31241635</v>
      </c>
      <c r="I1555" s="4">
        <v>21494143</v>
      </c>
      <c r="J1555" s="3">
        <v>0.3120032610329133</v>
      </c>
      <c r="K1555" s="3">
        <v>0.4534952614765799</v>
      </c>
      <c r="L1555" t="s">
        <v>54</v>
      </c>
    </row>
    <row r="1556" spans="1:12" x14ac:dyDescent="0.25">
      <c r="A1556" t="s">
        <v>487</v>
      </c>
      <c r="B1556" t="s">
        <v>461</v>
      </c>
      <c r="C1556" t="s">
        <v>462</v>
      </c>
      <c r="D1556" t="s">
        <v>136</v>
      </c>
      <c r="E1556" t="s">
        <v>142</v>
      </c>
      <c r="F1556">
        <v>3</v>
      </c>
      <c r="G1556" t="s">
        <v>488</v>
      </c>
      <c r="H1556" s="4">
        <v>27591892</v>
      </c>
      <c r="I1556" s="4">
        <v>27145202.67441343</v>
      </c>
      <c r="J1556" s="3">
        <v>0.016189151711182712</v>
      </c>
      <c r="K1556" s="3">
        <v>0.016455553157744874</v>
      </c>
      <c r="L1556" t="s">
        <v>54</v>
      </c>
    </row>
    <row r="1557" spans="1:12" x14ac:dyDescent="0.25">
      <c r="A1557" t="s">
        <v>487</v>
      </c>
      <c r="B1557" t="s">
        <v>461</v>
      </c>
      <c r="C1557" t="s">
        <v>462</v>
      </c>
      <c r="D1557" t="s">
        <v>136</v>
      </c>
      <c r="E1557" t="s">
        <v>142</v>
      </c>
      <c r="F1557">
        <v>3</v>
      </c>
      <c r="G1557" t="s">
        <v>498</v>
      </c>
      <c r="H1557" s="4">
        <v>27591892</v>
      </c>
      <c r="I1557" s="4">
        <v>24699391</v>
      </c>
      <c r="J1557" s="3">
        <v>0.10483155703856771</v>
      </c>
      <c r="K1557" s="3">
        <v>0.11710819104811127</v>
      </c>
      <c r="L1557" t="s">
        <v>54</v>
      </c>
    </row>
    <row r="1558" spans="1:12" x14ac:dyDescent="0.25">
      <c r="A1558" t="s">
        <v>487</v>
      </c>
      <c r="B1558" t="s">
        <v>461</v>
      </c>
      <c r="C1558" t="s">
        <v>462</v>
      </c>
      <c r="D1558" t="s">
        <v>136</v>
      </c>
      <c r="E1558" t="s">
        <v>142</v>
      </c>
      <c r="F1558">
        <v>3</v>
      </c>
      <c r="G1558" t="s">
        <v>499</v>
      </c>
      <c r="H1558" s="4">
        <v>27591892</v>
      </c>
      <c r="I1558" s="4">
        <v>21494143</v>
      </c>
      <c r="J1558" s="3">
        <v>0.22099785690665938</v>
      </c>
      <c r="K1558" s="3">
        <v>0.28369351594990316</v>
      </c>
      <c r="L1558" t="s">
        <v>54</v>
      </c>
    </row>
    <row r="1559" spans="1:12" x14ac:dyDescent="0.25">
      <c r="A1559" t="s">
        <v>487</v>
      </c>
      <c r="B1559" t="s">
        <v>461</v>
      </c>
      <c r="C1559" t="s">
        <v>462</v>
      </c>
      <c r="D1559" t="s">
        <v>138</v>
      </c>
      <c r="E1559" t="s">
        <v>140</v>
      </c>
      <c r="F1559">
        <v>1</v>
      </c>
      <c r="G1559" t="s">
        <v>488</v>
      </c>
      <c r="H1559" s="4">
        <v>31241635</v>
      </c>
      <c r="I1559" s="4">
        <v>27870994.366888978</v>
      </c>
      <c r="J1559" s="3">
        <v>0.10788938008881489</v>
      </c>
      <c r="K1559" s="3">
        <v>0.12093722200006532</v>
      </c>
      <c r="L1559" t="s">
        <v>54</v>
      </c>
    </row>
    <row r="1560" spans="1:12" x14ac:dyDescent="0.25">
      <c r="A1560" t="s">
        <v>487</v>
      </c>
      <c r="B1560" t="s">
        <v>461</v>
      </c>
      <c r="C1560" t="s">
        <v>462</v>
      </c>
      <c r="D1560" t="s">
        <v>138</v>
      </c>
      <c r="E1560" t="s">
        <v>140</v>
      </c>
      <c r="F1560">
        <v>1</v>
      </c>
      <c r="G1560" t="s">
        <v>498</v>
      </c>
      <c r="H1560" s="4">
        <v>31241635</v>
      </c>
      <c r="I1560" s="4">
        <v>24889337</v>
      </c>
      <c r="J1560" s="3">
        <v>0.2033279628290901</v>
      </c>
      <c r="K1560" s="3">
        <v>0.2552216637992406</v>
      </c>
      <c r="L1560" t="s">
        <v>54</v>
      </c>
    </row>
    <row r="1561" spans="1:12" x14ac:dyDescent="0.25">
      <c r="A1561" t="s">
        <v>487</v>
      </c>
      <c r="B1561" t="s">
        <v>461</v>
      </c>
      <c r="C1561" t="s">
        <v>462</v>
      </c>
      <c r="D1561" t="s">
        <v>138</v>
      </c>
      <c r="E1561" t="s">
        <v>140</v>
      </c>
      <c r="F1561">
        <v>1</v>
      </c>
      <c r="G1561" t="s">
        <v>499</v>
      </c>
      <c r="H1561" s="4">
        <v>31241635</v>
      </c>
      <c r="I1561" s="4">
        <v>23178458</v>
      </c>
      <c r="J1561" s="3">
        <v>0.2580907497318882</v>
      </c>
      <c r="K1561" s="3">
        <v>0.3478737455269889</v>
      </c>
      <c r="L1561" t="s">
        <v>54</v>
      </c>
    </row>
    <row r="1562" spans="1:12" x14ac:dyDescent="0.25">
      <c r="A1562" t="s">
        <v>487</v>
      </c>
      <c r="B1562" t="s">
        <v>461</v>
      </c>
      <c r="C1562" t="s">
        <v>462</v>
      </c>
      <c r="D1562" t="s">
        <v>138</v>
      </c>
      <c r="E1562" t="s">
        <v>142</v>
      </c>
      <c r="F1562">
        <v>2</v>
      </c>
      <c r="G1562" t="s">
        <v>488</v>
      </c>
      <c r="H1562" s="4">
        <v>27591892</v>
      </c>
      <c r="I1562" s="4">
        <v>27658293.486346714</v>
      </c>
      <c r="J1562" s="3">
        <v>0.002406557924578503</v>
      </c>
      <c r="K1562" s="3">
        <v>-0.0024007803077038263</v>
      </c>
      <c r="L1562" t="s">
        <v>54</v>
      </c>
    </row>
    <row r="1563" spans="1:12" x14ac:dyDescent="0.25">
      <c r="A1563" t="s">
        <v>487</v>
      </c>
      <c r="B1563" t="s">
        <v>461</v>
      </c>
      <c r="C1563" t="s">
        <v>462</v>
      </c>
      <c r="D1563" t="s">
        <v>138</v>
      </c>
      <c r="E1563" t="s">
        <v>142</v>
      </c>
      <c r="F1563">
        <v>2</v>
      </c>
      <c r="G1563" t="s">
        <v>498</v>
      </c>
      <c r="H1563" s="4">
        <v>27591892</v>
      </c>
      <c r="I1563" s="4">
        <v>24699391</v>
      </c>
      <c r="J1563" s="3">
        <v>0.10483155703856771</v>
      </c>
      <c r="K1563" s="3">
        <v>0.11710819104811127</v>
      </c>
      <c r="L1563" t="s">
        <v>54</v>
      </c>
    </row>
    <row r="1564" spans="1:12" x14ac:dyDescent="0.25">
      <c r="A1564" t="s">
        <v>487</v>
      </c>
      <c r="B1564" t="s">
        <v>461</v>
      </c>
      <c r="C1564" t="s">
        <v>462</v>
      </c>
      <c r="D1564" t="s">
        <v>138</v>
      </c>
      <c r="E1564" t="s">
        <v>142</v>
      </c>
      <c r="F1564">
        <v>2</v>
      </c>
      <c r="G1564" t="s">
        <v>499</v>
      </c>
      <c r="H1564" s="4">
        <v>27591892</v>
      </c>
      <c r="I1564" s="4">
        <v>23178458</v>
      </c>
      <c r="J1564" s="3">
        <v>0.15995401837612297</v>
      </c>
      <c r="K1564" s="3">
        <v>0.19041102734271625</v>
      </c>
      <c r="L1564" t="s">
        <v>54</v>
      </c>
    </row>
    <row r="1565" spans="1:12" x14ac:dyDescent="0.25">
      <c r="A1565" t="s">
        <v>487</v>
      </c>
      <c r="B1565" t="s">
        <v>461</v>
      </c>
      <c r="C1565" t="s">
        <v>462</v>
      </c>
      <c r="D1565" t="s">
        <v>138</v>
      </c>
      <c r="E1565" t="s">
        <v>144</v>
      </c>
      <c r="F1565">
        <v>3</v>
      </c>
      <c r="G1565" t="s">
        <v>488</v>
      </c>
      <c r="H1565" s="4">
        <v>28212048</v>
      </c>
      <c r="I1565" s="4">
        <v>27957330.682946216</v>
      </c>
      <c r="J1565" s="3">
        <v>0.009028671617664328</v>
      </c>
      <c r="K1565" s="3">
        <v>0.009110931223815281</v>
      </c>
      <c r="L1565" t="s">
        <v>54</v>
      </c>
    </row>
    <row r="1566" spans="1:12" x14ac:dyDescent="0.25">
      <c r="A1566" t="s">
        <v>487</v>
      </c>
      <c r="B1566" t="s">
        <v>461</v>
      </c>
      <c r="C1566" t="s">
        <v>462</v>
      </c>
      <c r="D1566" t="s">
        <v>138</v>
      </c>
      <c r="E1566" t="s">
        <v>144</v>
      </c>
      <c r="F1566">
        <v>3</v>
      </c>
      <c r="G1566" t="s">
        <v>498</v>
      </c>
      <c r="H1566" s="4">
        <v>28212048</v>
      </c>
      <c r="I1566" s="4">
        <v>24966437</v>
      </c>
      <c r="J1566" s="3">
        <v>0.1150434381793197</v>
      </c>
      <c r="K1566" s="3">
        <v>0.1299989662121191</v>
      </c>
      <c r="L1566" t="s">
        <v>54</v>
      </c>
    </row>
    <row r="1567" spans="1:12" x14ac:dyDescent="0.25">
      <c r="A1567" t="s">
        <v>487</v>
      </c>
      <c r="B1567" t="s">
        <v>461</v>
      </c>
      <c r="C1567" t="s">
        <v>462</v>
      </c>
      <c r="D1567" t="s">
        <v>138</v>
      </c>
      <c r="E1567" t="s">
        <v>144</v>
      </c>
      <c r="F1567">
        <v>3</v>
      </c>
      <c r="G1567" t="s">
        <v>499</v>
      </c>
      <c r="H1567" s="4">
        <v>28212048</v>
      </c>
      <c r="I1567" s="4">
        <v>23178458</v>
      </c>
      <c r="J1567" s="3">
        <v>0.17841987224748804</v>
      </c>
      <c r="K1567" s="3">
        <v>0.2171667330070016</v>
      </c>
      <c r="L1567" t="s">
        <v>54</v>
      </c>
    </row>
    <row r="1568" spans="1:12" x14ac:dyDescent="0.25">
      <c r="A1568" t="s">
        <v>487</v>
      </c>
      <c r="B1568" t="s">
        <v>461</v>
      </c>
      <c r="C1568" t="s">
        <v>462</v>
      </c>
      <c r="D1568" t="s">
        <v>140</v>
      </c>
      <c r="E1568" t="s">
        <v>142</v>
      </c>
      <c r="F1568">
        <v>1</v>
      </c>
      <c r="G1568" t="s">
        <v>488</v>
      </c>
      <c r="H1568" s="4">
        <v>27591892</v>
      </c>
      <c r="I1568" s="4">
        <v>28482691.100379832</v>
      </c>
      <c r="J1568" s="3">
        <v>0.03228481397288131</v>
      </c>
      <c r="K1568" s="3">
        <v>-0.03127510308771185</v>
      </c>
      <c r="L1568" t="s">
        <v>54</v>
      </c>
    </row>
    <row r="1569" spans="1:12" x14ac:dyDescent="0.25">
      <c r="A1569" t="s">
        <v>487</v>
      </c>
      <c r="B1569" t="s">
        <v>461</v>
      </c>
      <c r="C1569" t="s">
        <v>462</v>
      </c>
      <c r="D1569" t="s">
        <v>140</v>
      </c>
      <c r="E1569" t="s">
        <v>142</v>
      </c>
      <c r="F1569">
        <v>1</v>
      </c>
      <c r="G1569" t="s">
        <v>498</v>
      </c>
      <c r="H1569" s="4">
        <v>27591892</v>
      </c>
      <c r="I1569" s="4">
        <v>24699391</v>
      </c>
      <c r="J1569" s="3">
        <v>0.10483155703856771</v>
      </c>
      <c r="K1569" s="3">
        <v>0.11710819104811127</v>
      </c>
      <c r="L1569" t="s">
        <v>54</v>
      </c>
    </row>
    <row r="1570" spans="1:12" x14ac:dyDescent="0.25">
      <c r="A1570" t="s">
        <v>487</v>
      </c>
      <c r="B1570" t="s">
        <v>461</v>
      </c>
      <c r="C1570" t="s">
        <v>462</v>
      </c>
      <c r="D1570" t="s">
        <v>140</v>
      </c>
      <c r="E1570" t="s">
        <v>142</v>
      </c>
      <c r="F1570">
        <v>1</v>
      </c>
      <c r="G1570" t="s">
        <v>499</v>
      </c>
      <c r="H1570" s="4">
        <v>27591892</v>
      </c>
      <c r="I1570" s="4">
        <v>31241635</v>
      </c>
      <c r="J1570" s="3">
        <v>0.13227592366627125</v>
      </c>
      <c r="K1570" s="3">
        <v>-0.11682304719327269</v>
      </c>
      <c r="L1570" t="s">
        <v>54</v>
      </c>
    </row>
    <row r="1571" spans="1:12" x14ac:dyDescent="0.25">
      <c r="A1571" t="s">
        <v>487</v>
      </c>
      <c r="B1571" t="s">
        <v>461</v>
      </c>
      <c r="C1571" t="s">
        <v>462</v>
      </c>
      <c r="D1571" t="s">
        <v>140</v>
      </c>
      <c r="E1571" t="s">
        <v>144</v>
      </c>
      <c r="F1571">
        <v>2</v>
      </c>
      <c r="G1571" t="s">
        <v>488</v>
      </c>
      <c r="H1571" s="4">
        <v>28212048</v>
      </c>
      <c r="I1571" s="4">
        <v>28790641.55663165</v>
      </c>
      <c r="J1571" s="3">
        <v>0.02050873997632681</v>
      </c>
      <c r="K1571" s="3">
        <v>-0.020096584353410395</v>
      </c>
      <c r="L1571" t="s">
        <v>54</v>
      </c>
    </row>
    <row r="1572" spans="1:12" x14ac:dyDescent="0.25">
      <c r="A1572" t="s">
        <v>487</v>
      </c>
      <c r="B1572" t="s">
        <v>461</v>
      </c>
      <c r="C1572" t="s">
        <v>462</v>
      </c>
      <c r="D1572" t="s">
        <v>140</v>
      </c>
      <c r="E1572" t="s">
        <v>144</v>
      </c>
      <c r="F1572">
        <v>2</v>
      </c>
      <c r="G1572" t="s">
        <v>498</v>
      </c>
      <c r="H1572" s="4">
        <v>28212048</v>
      </c>
      <c r="I1572" s="4">
        <v>24966437</v>
      </c>
      <c r="J1572" s="3">
        <v>0.1150434381793197</v>
      </c>
      <c r="K1572" s="3">
        <v>0.1299989662121191</v>
      </c>
      <c r="L1572" t="s">
        <v>54</v>
      </c>
    </row>
    <row r="1573" spans="1:12" x14ac:dyDescent="0.25">
      <c r="A1573" t="s">
        <v>487</v>
      </c>
      <c r="B1573" t="s">
        <v>461</v>
      </c>
      <c r="C1573" t="s">
        <v>462</v>
      </c>
      <c r="D1573" t="s">
        <v>140</v>
      </c>
      <c r="E1573" t="s">
        <v>144</v>
      </c>
      <c r="F1573">
        <v>2</v>
      </c>
      <c r="G1573" t="s">
        <v>499</v>
      </c>
      <c r="H1573" s="4">
        <v>28212048</v>
      </c>
      <c r="I1573" s="4">
        <v>31241635</v>
      </c>
      <c r="J1573" s="3">
        <v>0.10738628404432035</v>
      </c>
      <c r="K1573" s="3">
        <v>-0.09697274166348849</v>
      </c>
      <c r="L1573" t="s">
        <v>54</v>
      </c>
    </row>
    <row r="1574" spans="1:12" x14ac:dyDescent="0.25">
      <c r="A1574" t="s">
        <v>487</v>
      </c>
      <c r="B1574" t="s">
        <v>461</v>
      </c>
      <c r="C1574" t="s">
        <v>462</v>
      </c>
      <c r="D1574" t="s">
        <v>140</v>
      </c>
      <c r="E1574" t="s">
        <v>146</v>
      </c>
      <c r="F1574">
        <v>3</v>
      </c>
      <c r="G1574" t="s">
        <v>488</v>
      </c>
      <c r="H1574" s="4">
        <v>30420958</v>
      </c>
      <c r="I1574" s="4">
        <v>27353547.115281977</v>
      </c>
      <c r="J1574" s="3">
        <v>0.10083215935270753</v>
      </c>
      <c r="K1574" s="3">
        <v>0.11213941913238416</v>
      </c>
      <c r="L1574" t="s">
        <v>54</v>
      </c>
    </row>
    <row r="1575" spans="1:12" x14ac:dyDescent="0.25">
      <c r="A1575" t="s">
        <v>487</v>
      </c>
      <c r="B1575" t="s">
        <v>461</v>
      </c>
      <c r="C1575" t="s">
        <v>462</v>
      </c>
      <c r="D1575" t="s">
        <v>140</v>
      </c>
      <c r="E1575" t="s">
        <v>146</v>
      </c>
      <c r="F1575">
        <v>3</v>
      </c>
      <c r="G1575" t="s">
        <v>498</v>
      </c>
      <c r="H1575" s="4">
        <v>30420958</v>
      </c>
      <c r="I1575" s="4">
        <v>23720229</v>
      </c>
      <c r="J1575" s="3">
        <v>0.22026686339069268</v>
      </c>
      <c r="K1575" s="3">
        <v>0.28249006364989143</v>
      </c>
      <c r="L1575" t="s">
        <v>54</v>
      </c>
    </row>
    <row r="1576" spans="1:12" x14ac:dyDescent="0.25">
      <c r="A1576" t="s">
        <v>487</v>
      </c>
      <c r="B1576" t="s">
        <v>461</v>
      </c>
      <c r="C1576" t="s">
        <v>462</v>
      </c>
      <c r="D1576" t="s">
        <v>140</v>
      </c>
      <c r="E1576" t="s">
        <v>146</v>
      </c>
      <c r="F1576">
        <v>3</v>
      </c>
      <c r="G1576" t="s">
        <v>499</v>
      </c>
      <c r="H1576" s="4">
        <v>30420958</v>
      </c>
      <c r="I1576" s="4">
        <v>31241635</v>
      </c>
      <c r="J1576" s="3">
        <v>0.026977355545476246</v>
      </c>
      <c r="K1576" s="3">
        <v>-0.026268695604439396</v>
      </c>
      <c r="L1576" t="s">
        <v>54</v>
      </c>
    </row>
    <row r="1577" spans="1:12" x14ac:dyDescent="0.25">
      <c r="A1577" t="s">
        <v>487</v>
      </c>
      <c r="B1577" t="s">
        <v>461</v>
      </c>
      <c r="C1577" t="s">
        <v>462</v>
      </c>
      <c r="D1577" t="s">
        <v>142</v>
      </c>
      <c r="E1577" t="s">
        <v>144</v>
      </c>
      <c r="F1577">
        <v>1</v>
      </c>
      <c r="G1577" t="s">
        <v>488</v>
      </c>
      <c r="H1577" s="4">
        <v>28212048</v>
      </c>
      <c r="I1577" s="4">
        <v>29259414.901007846</v>
      </c>
      <c r="J1577" s="3">
        <v>0.03712480926616338</v>
      </c>
      <c r="K1577" s="3">
        <v>-0.03579589354576496</v>
      </c>
      <c r="L1577" t="s">
        <v>54</v>
      </c>
    </row>
    <row r="1578" spans="1:12" x14ac:dyDescent="0.25">
      <c r="A1578" t="s">
        <v>487</v>
      </c>
      <c r="B1578" t="s">
        <v>461</v>
      </c>
      <c r="C1578" t="s">
        <v>462</v>
      </c>
      <c r="D1578" t="s">
        <v>142</v>
      </c>
      <c r="E1578" t="s">
        <v>144</v>
      </c>
      <c r="F1578">
        <v>1</v>
      </c>
      <c r="G1578" t="s">
        <v>498</v>
      </c>
      <c r="H1578" s="4">
        <v>28212048</v>
      </c>
      <c r="I1578" s="4">
        <v>24966437</v>
      </c>
      <c r="J1578" s="3">
        <v>0.1150434381793197</v>
      </c>
      <c r="K1578" s="3">
        <v>0.1299989662121191</v>
      </c>
      <c r="L1578" t="s">
        <v>54</v>
      </c>
    </row>
    <row r="1579" spans="1:12" x14ac:dyDescent="0.25">
      <c r="A1579" t="s">
        <v>487</v>
      </c>
      <c r="B1579" t="s">
        <v>461</v>
      </c>
      <c r="C1579" t="s">
        <v>462</v>
      </c>
      <c r="D1579" t="s">
        <v>142</v>
      </c>
      <c r="E1579" t="s">
        <v>144</v>
      </c>
      <c r="F1579">
        <v>1</v>
      </c>
      <c r="G1579" t="s">
        <v>499</v>
      </c>
      <c r="H1579" s="4">
        <v>28212048</v>
      </c>
      <c r="I1579" s="4">
        <v>27591892</v>
      </c>
      <c r="J1579" s="3">
        <v>0.021981956077772164</v>
      </c>
      <c r="K1579" s="3">
        <v>0.02247602302879411</v>
      </c>
      <c r="L1579" t="s">
        <v>54</v>
      </c>
    </row>
    <row r="1580" spans="1:12" x14ac:dyDescent="0.25">
      <c r="A1580" t="s">
        <v>487</v>
      </c>
      <c r="B1580" t="s">
        <v>461</v>
      </c>
      <c r="C1580" t="s">
        <v>462</v>
      </c>
      <c r="D1580" t="s">
        <v>142</v>
      </c>
      <c r="E1580" t="s">
        <v>146</v>
      </c>
      <c r="F1580">
        <v>2</v>
      </c>
      <c r="G1580" t="s">
        <v>488</v>
      </c>
      <c r="H1580" s="4">
        <v>30420958</v>
      </c>
      <c r="I1580" s="4">
        <v>27798921.482385267</v>
      </c>
      <c r="J1580" s="3">
        <v>0.0861917799437721</v>
      </c>
      <c r="K1580" s="3">
        <v>0.09432151960557829</v>
      </c>
      <c r="L1580" t="s">
        <v>54</v>
      </c>
    </row>
    <row r="1581" spans="1:12" x14ac:dyDescent="0.25">
      <c r="A1581" t="s">
        <v>487</v>
      </c>
      <c r="B1581" t="s">
        <v>461</v>
      </c>
      <c r="C1581" t="s">
        <v>462</v>
      </c>
      <c r="D1581" t="s">
        <v>142</v>
      </c>
      <c r="E1581" t="s">
        <v>146</v>
      </c>
      <c r="F1581">
        <v>2</v>
      </c>
      <c r="G1581" t="s">
        <v>498</v>
      </c>
      <c r="H1581" s="4">
        <v>30420958</v>
      </c>
      <c r="I1581" s="4">
        <v>23720229</v>
      </c>
      <c r="J1581" s="3">
        <v>0.22026686339069268</v>
      </c>
      <c r="K1581" s="3">
        <v>0.28249006364989143</v>
      </c>
      <c r="L1581" t="s">
        <v>54</v>
      </c>
    </row>
    <row r="1582" spans="1:12" x14ac:dyDescent="0.25">
      <c r="A1582" t="s">
        <v>487</v>
      </c>
      <c r="B1582" t="s">
        <v>461</v>
      </c>
      <c r="C1582" t="s">
        <v>462</v>
      </c>
      <c r="D1582" t="s">
        <v>142</v>
      </c>
      <c r="E1582" t="s">
        <v>146</v>
      </c>
      <c r="F1582">
        <v>2</v>
      </c>
      <c r="G1582" t="s">
        <v>499</v>
      </c>
      <c r="H1582" s="4">
        <v>30420958</v>
      </c>
      <c r="I1582" s="4">
        <v>27591892</v>
      </c>
      <c r="J1582" s="3">
        <v>0.09299726852783531</v>
      </c>
      <c r="K1582" s="3">
        <v>0.1025325120872465</v>
      </c>
      <c r="L1582" t="s">
        <v>54</v>
      </c>
    </row>
    <row r="1583" spans="1:12" x14ac:dyDescent="0.25">
      <c r="A1583" t="s">
        <v>487</v>
      </c>
      <c r="B1583" t="s">
        <v>461</v>
      </c>
      <c r="C1583" t="s">
        <v>462</v>
      </c>
      <c r="D1583" t="s">
        <v>142</v>
      </c>
      <c r="E1583" t="s">
        <v>148</v>
      </c>
      <c r="F1583">
        <v>3</v>
      </c>
      <c r="G1583" t="s">
        <v>488</v>
      </c>
      <c r="H1583" s="4">
        <v>31688509</v>
      </c>
      <c r="I1583" s="4">
        <v>25136146.864484604</v>
      </c>
      <c r="J1583" s="3">
        <v>0.20677407496564118</v>
      </c>
      <c r="K1583" s="3">
        <v>0.2606748827034173</v>
      </c>
      <c r="L1583" t="s">
        <v>54</v>
      </c>
    </row>
    <row r="1584" spans="1:12" x14ac:dyDescent="0.25">
      <c r="A1584" t="s">
        <v>487</v>
      </c>
      <c r="B1584" t="s">
        <v>461</v>
      </c>
      <c r="C1584" t="s">
        <v>462</v>
      </c>
      <c r="D1584" t="s">
        <v>142</v>
      </c>
      <c r="E1584" t="s">
        <v>148</v>
      </c>
      <c r="F1584">
        <v>3</v>
      </c>
      <c r="G1584" t="s">
        <v>498</v>
      </c>
      <c r="H1584" s="4">
        <v>31688509</v>
      </c>
      <c r="I1584" s="4">
        <v>21448140</v>
      </c>
      <c r="J1584" s="3">
        <v>0.323157173472567</v>
      </c>
      <c r="K1584" s="3">
        <v>0.4774478812614987</v>
      </c>
      <c r="L1584" t="s">
        <v>54</v>
      </c>
    </row>
    <row r="1585" spans="1:12" x14ac:dyDescent="0.25">
      <c r="A1585" t="s">
        <v>487</v>
      </c>
      <c r="B1585" t="s">
        <v>461</v>
      </c>
      <c r="C1585" t="s">
        <v>462</v>
      </c>
      <c r="D1585" t="s">
        <v>142</v>
      </c>
      <c r="E1585" t="s">
        <v>148</v>
      </c>
      <c r="F1585">
        <v>3</v>
      </c>
      <c r="G1585" t="s">
        <v>499</v>
      </c>
      <c r="H1585" s="4">
        <v>31688509</v>
      </c>
      <c r="I1585" s="4">
        <v>27591892</v>
      </c>
      <c r="J1585" s="3">
        <v>0.12927768232957884</v>
      </c>
      <c r="K1585" s="3">
        <v>0.1484717684455999</v>
      </c>
      <c r="L1585" t="s">
        <v>54</v>
      </c>
    </row>
    <row r="1586" spans="1:12" x14ac:dyDescent="0.25">
      <c r="A1586" t="s">
        <v>487</v>
      </c>
      <c r="B1586" t="s">
        <v>461</v>
      </c>
      <c r="C1586" t="s">
        <v>462</v>
      </c>
      <c r="D1586" t="s">
        <v>144</v>
      </c>
      <c r="E1586" t="s">
        <v>146</v>
      </c>
      <c r="F1586">
        <v>1</v>
      </c>
      <c r="G1586" t="s">
        <v>488</v>
      </c>
      <c r="H1586" s="4">
        <v>30420958</v>
      </c>
      <c r="I1586" s="4">
        <v>27756620.583310574</v>
      </c>
      <c r="J1586" s="3">
        <v>0.0875822982527186</v>
      </c>
      <c r="K1586" s="3">
        <v>0.09598925808322038</v>
      </c>
      <c r="L1586" t="s">
        <v>54</v>
      </c>
    </row>
    <row r="1587" spans="1:12" x14ac:dyDescent="0.25">
      <c r="A1587" t="s">
        <v>487</v>
      </c>
      <c r="B1587" t="s">
        <v>461</v>
      </c>
      <c r="C1587" t="s">
        <v>462</v>
      </c>
      <c r="D1587" t="s">
        <v>144</v>
      </c>
      <c r="E1587" t="s">
        <v>146</v>
      </c>
      <c r="F1587">
        <v>1</v>
      </c>
      <c r="G1587" t="s">
        <v>498</v>
      </c>
      <c r="H1587" s="4">
        <v>30420958</v>
      </c>
      <c r="I1587" s="4">
        <v>23720229</v>
      </c>
      <c r="J1587" s="3">
        <v>0.22026686339069268</v>
      </c>
      <c r="K1587" s="3">
        <v>0.28249006364989143</v>
      </c>
      <c r="L1587" t="s">
        <v>54</v>
      </c>
    </row>
    <row r="1588" spans="1:12" x14ac:dyDescent="0.25">
      <c r="A1588" t="s">
        <v>487</v>
      </c>
      <c r="B1588" t="s">
        <v>461</v>
      </c>
      <c r="C1588" t="s">
        <v>462</v>
      </c>
      <c r="D1588" t="s">
        <v>144</v>
      </c>
      <c r="E1588" t="s">
        <v>146</v>
      </c>
      <c r="F1588">
        <v>1</v>
      </c>
      <c r="G1588" t="s">
        <v>499</v>
      </c>
      <c r="H1588" s="4">
        <v>30420958</v>
      </c>
      <c r="I1588" s="4">
        <v>28212048</v>
      </c>
      <c r="J1588" s="3">
        <v>0.07261145424808778</v>
      </c>
      <c r="K1588" s="3">
        <v>0.07829669083222884</v>
      </c>
      <c r="L1588" t="s">
        <v>54</v>
      </c>
    </row>
    <row r="1589" spans="1:12" x14ac:dyDescent="0.25">
      <c r="A1589" t="s">
        <v>487</v>
      </c>
      <c r="B1589" t="s">
        <v>461</v>
      </c>
      <c r="C1589" t="s">
        <v>462</v>
      </c>
      <c r="D1589" t="s">
        <v>144</v>
      </c>
      <c r="E1589" t="s">
        <v>148</v>
      </c>
      <c r="F1589">
        <v>2</v>
      </c>
      <c r="G1589" t="s">
        <v>488</v>
      </c>
      <c r="H1589" s="4">
        <v>31688509</v>
      </c>
      <c r="I1589" s="4">
        <v>25097897.840603765</v>
      </c>
      <c r="J1589" s="3">
        <v>0.20798110631826303</v>
      </c>
      <c r="K1589" s="3">
        <v>0.2625961425635355</v>
      </c>
      <c r="L1589" t="s">
        <v>54</v>
      </c>
    </row>
    <row r="1590" spans="1:12" x14ac:dyDescent="0.25">
      <c r="A1590" t="s">
        <v>487</v>
      </c>
      <c r="B1590" t="s">
        <v>461</v>
      </c>
      <c r="C1590" t="s">
        <v>462</v>
      </c>
      <c r="D1590" t="s">
        <v>144</v>
      </c>
      <c r="E1590" t="s">
        <v>148</v>
      </c>
      <c r="F1590">
        <v>2</v>
      </c>
      <c r="G1590" t="s">
        <v>498</v>
      </c>
      <c r="H1590" s="4">
        <v>31688509</v>
      </c>
      <c r="I1590" s="4">
        <v>21448140</v>
      </c>
      <c r="J1590" s="3">
        <v>0.323157173472567</v>
      </c>
      <c r="K1590" s="3">
        <v>0.4774478812614987</v>
      </c>
      <c r="L1590" t="s">
        <v>54</v>
      </c>
    </row>
    <row r="1591" spans="1:12" x14ac:dyDescent="0.25">
      <c r="A1591" t="s">
        <v>487</v>
      </c>
      <c r="B1591" t="s">
        <v>461</v>
      </c>
      <c r="C1591" t="s">
        <v>462</v>
      </c>
      <c r="D1591" t="s">
        <v>144</v>
      </c>
      <c r="E1591" t="s">
        <v>148</v>
      </c>
      <c r="F1591">
        <v>2</v>
      </c>
      <c r="G1591" t="s">
        <v>499</v>
      </c>
      <c r="H1591" s="4">
        <v>31688509</v>
      </c>
      <c r="I1591" s="4">
        <v>28212048</v>
      </c>
      <c r="J1591" s="3">
        <v>0.10970730746593348</v>
      </c>
      <c r="K1591" s="3">
        <v>0.12322611247506739</v>
      </c>
      <c r="L1591" t="s">
        <v>54</v>
      </c>
    </row>
    <row r="1592" spans="1:12" x14ac:dyDescent="0.25">
      <c r="A1592" t="s">
        <v>487</v>
      </c>
      <c r="B1592" t="s">
        <v>461</v>
      </c>
      <c r="C1592" t="s">
        <v>462</v>
      </c>
      <c r="D1592" t="s">
        <v>144</v>
      </c>
      <c r="E1592" t="s">
        <v>150</v>
      </c>
      <c r="F1592">
        <v>3</v>
      </c>
      <c r="G1592" t="s">
        <v>488</v>
      </c>
      <c r="H1592" s="4">
        <v>39413384</v>
      </c>
      <c r="I1592" s="4">
        <v>28302724.480680395</v>
      </c>
      <c r="J1592" s="3">
        <v>0.2819006741293669</v>
      </c>
      <c r="K1592" s="3">
        <v>0.3925650170853271</v>
      </c>
      <c r="L1592" t="s">
        <v>54</v>
      </c>
    </row>
    <row r="1593" spans="1:12" x14ac:dyDescent="0.25">
      <c r="A1593" t="s">
        <v>487</v>
      </c>
      <c r="B1593" t="s">
        <v>461</v>
      </c>
      <c r="C1593" t="s">
        <v>462</v>
      </c>
      <c r="D1593" t="s">
        <v>144</v>
      </c>
      <c r="E1593" t="s">
        <v>150</v>
      </c>
      <c r="F1593">
        <v>3</v>
      </c>
      <c r="G1593" t="s">
        <v>498</v>
      </c>
      <c r="H1593" s="4">
        <v>39413384</v>
      </c>
      <c r="I1593" s="4">
        <v>24186918</v>
      </c>
      <c r="J1593" s="3">
        <v>0.3863272943018544</v>
      </c>
      <c r="K1593" s="3">
        <v>0.6295331219959484</v>
      </c>
      <c r="L1593" t="s">
        <v>54</v>
      </c>
    </row>
    <row r="1594" spans="1:12" x14ac:dyDescent="0.25">
      <c r="A1594" t="s">
        <v>487</v>
      </c>
      <c r="B1594" t="s">
        <v>461</v>
      </c>
      <c r="C1594" t="s">
        <v>462</v>
      </c>
      <c r="D1594" t="s">
        <v>144</v>
      </c>
      <c r="E1594" t="s">
        <v>150</v>
      </c>
      <c r="F1594">
        <v>3</v>
      </c>
      <c r="G1594" t="s">
        <v>499</v>
      </c>
      <c r="H1594" s="4">
        <v>39413384</v>
      </c>
      <c r="I1594" s="4">
        <v>28212048</v>
      </c>
      <c r="J1594" s="3">
        <v>0.28420132612820054</v>
      </c>
      <c r="K1594" s="3">
        <v>0.3970408670791996</v>
      </c>
      <c r="L1594" t="s">
        <v>54</v>
      </c>
    </row>
    <row r="1595" spans="1:12" x14ac:dyDescent="0.25">
      <c r="A1595" t="s">
        <v>487</v>
      </c>
      <c r="B1595" t="s">
        <v>461</v>
      </c>
      <c r="C1595" t="s">
        <v>462</v>
      </c>
      <c r="D1595" t="s">
        <v>146</v>
      </c>
      <c r="E1595" t="s">
        <v>148</v>
      </c>
      <c r="F1595">
        <v>1</v>
      </c>
      <c r="G1595" t="s">
        <v>488</v>
      </c>
      <c r="H1595" s="4">
        <v>31688509</v>
      </c>
      <c r="I1595" s="4">
        <v>25047066.828884006</v>
      </c>
      <c r="J1595" s="3">
        <v>0.20958518973284587</v>
      </c>
      <c r="K1595" s="3">
        <v>0.26515848009225396</v>
      </c>
      <c r="L1595" t="s">
        <v>54</v>
      </c>
    </row>
    <row r="1596" spans="1:12" x14ac:dyDescent="0.25">
      <c r="A1596" t="s">
        <v>487</v>
      </c>
      <c r="B1596" t="s">
        <v>461</v>
      </c>
      <c r="C1596" t="s">
        <v>462</v>
      </c>
      <c r="D1596" t="s">
        <v>146</v>
      </c>
      <c r="E1596" t="s">
        <v>148</v>
      </c>
      <c r="F1596">
        <v>1</v>
      </c>
      <c r="G1596" t="s">
        <v>498</v>
      </c>
      <c r="H1596" s="4">
        <v>31688509</v>
      </c>
      <c r="I1596" s="4">
        <v>21448140</v>
      </c>
      <c r="J1596" s="3">
        <v>0.323157173472567</v>
      </c>
      <c r="K1596" s="3">
        <v>0.4774478812614987</v>
      </c>
      <c r="L1596" t="s">
        <v>54</v>
      </c>
    </row>
    <row r="1597" spans="1:12" x14ac:dyDescent="0.25">
      <c r="A1597" t="s">
        <v>487</v>
      </c>
      <c r="B1597" t="s">
        <v>461</v>
      </c>
      <c r="C1597" t="s">
        <v>462</v>
      </c>
      <c r="D1597" t="s">
        <v>146</v>
      </c>
      <c r="E1597" t="s">
        <v>148</v>
      </c>
      <c r="F1597">
        <v>1</v>
      </c>
      <c r="G1597" t="s">
        <v>499</v>
      </c>
      <c r="H1597" s="4">
        <v>31688509</v>
      </c>
      <c r="I1597" s="4">
        <v>30420958</v>
      </c>
      <c r="J1597" s="3">
        <v>0.0400003357684011</v>
      </c>
      <c r="K1597" s="3">
        <v>0.041667030998826536</v>
      </c>
      <c r="L1597" t="s">
        <v>54</v>
      </c>
    </row>
    <row r="1598" spans="1:12" x14ac:dyDescent="0.25">
      <c r="A1598" t="s">
        <v>487</v>
      </c>
      <c r="B1598" t="s">
        <v>461</v>
      </c>
      <c r="C1598" t="s">
        <v>462</v>
      </c>
      <c r="D1598" t="s">
        <v>146</v>
      </c>
      <c r="E1598" t="s">
        <v>150</v>
      </c>
      <c r="F1598">
        <v>2</v>
      </c>
      <c r="G1598" t="s">
        <v>488</v>
      </c>
      <c r="H1598" s="4">
        <v>39413384</v>
      </c>
      <c r="I1598" s="4">
        <v>28245402.70301935</v>
      </c>
      <c r="J1598" s="3">
        <v>0.2833550475386901</v>
      </c>
      <c r="K1598" s="3">
        <v>0.3953911160129016</v>
      </c>
      <c r="L1598" t="s">
        <v>54</v>
      </c>
    </row>
    <row r="1599" spans="1:12" x14ac:dyDescent="0.25">
      <c r="A1599" t="s">
        <v>487</v>
      </c>
      <c r="B1599" t="s">
        <v>461</v>
      </c>
      <c r="C1599" t="s">
        <v>462</v>
      </c>
      <c r="D1599" t="s">
        <v>146</v>
      </c>
      <c r="E1599" t="s">
        <v>150</v>
      </c>
      <c r="F1599">
        <v>2</v>
      </c>
      <c r="G1599" t="s">
        <v>498</v>
      </c>
      <c r="H1599" s="4">
        <v>39413384</v>
      </c>
      <c r="I1599" s="4">
        <v>24186918</v>
      </c>
      <c r="J1599" s="3">
        <v>0.3863272943018544</v>
      </c>
      <c r="K1599" s="3">
        <v>0.6295331219959484</v>
      </c>
      <c r="L1599" t="s">
        <v>54</v>
      </c>
    </row>
    <row r="1600" spans="1:12" x14ac:dyDescent="0.25">
      <c r="A1600" t="s">
        <v>487</v>
      </c>
      <c r="B1600" t="s">
        <v>461</v>
      </c>
      <c r="C1600" t="s">
        <v>462</v>
      </c>
      <c r="D1600" t="s">
        <v>146</v>
      </c>
      <c r="E1600" t="s">
        <v>150</v>
      </c>
      <c r="F1600">
        <v>2</v>
      </c>
      <c r="G1600" t="s">
        <v>499</v>
      </c>
      <c r="H1600" s="4">
        <v>39413384</v>
      </c>
      <c r="I1600" s="4">
        <v>30420958</v>
      </c>
      <c r="J1600" s="3">
        <v>0.22815665866194082</v>
      </c>
      <c r="K1600" s="3">
        <v>0.29559969807656944</v>
      </c>
      <c r="L1600" t="s">
        <v>54</v>
      </c>
    </row>
    <row r="1601" spans="1:12" x14ac:dyDescent="0.25">
      <c r="A1601" t="s">
        <v>487</v>
      </c>
      <c r="B1601" t="s">
        <v>461</v>
      </c>
      <c r="C1601" t="s">
        <v>462</v>
      </c>
      <c r="D1601" t="s">
        <v>146</v>
      </c>
      <c r="E1601" t="s">
        <v>152</v>
      </c>
      <c r="F1601">
        <v>3</v>
      </c>
      <c r="G1601" t="s">
        <v>488</v>
      </c>
      <c r="H1601" s="4">
        <v>42402818</v>
      </c>
      <c r="I1601" s="4">
        <v>38264635.82781994</v>
      </c>
      <c r="J1601" s="3">
        <v>0.09759214994107365</v>
      </c>
      <c r="K1601" s="3">
        <v>0.10814638850349205</v>
      </c>
      <c r="L1601" t="s">
        <v>54</v>
      </c>
    </row>
    <row r="1602" spans="1:12" x14ac:dyDescent="0.25">
      <c r="A1602" t="s">
        <v>487</v>
      </c>
      <c r="B1602" t="s">
        <v>461</v>
      </c>
      <c r="C1602" t="s">
        <v>462</v>
      </c>
      <c r="D1602" t="s">
        <v>146</v>
      </c>
      <c r="E1602" t="s">
        <v>152</v>
      </c>
      <c r="F1602">
        <v>3</v>
      </c>
      <c r="G1602" t="s">
        <v>498</v>
      </c>
      <c r="H1602" s="4">
        <v>42402818</v>
      </c>
      <c r="I1602" s="4">
        <v>32766522</v>
      </c>
      <c r="J1602" s="3">
        <v>0.22725602812530055</v>
      </c>
      <c r="K1602" s="3">
        <v>0.2940896809249392</v>
      </c>
      <c r="L1602" t="s">
        <v>54</v>
      </c>
    </row>
    <row r="1603" spans="1:12" x14ac:dyDescent="0.25">
      <c r="A1603" t="s">
        <v>487</v>
      </c>
      <c r="B1603" t="s">
        <v>461</v>
      </c>
      <c r="C1603" t="s">
        <v>462</v>
      </c>
      <c r="D1603" t="s">
        <v>146</v>
      </c>
      <c r="E1603" t="s">
        <v>152</v>
      </c>
      <c r="F1603">
        <v>3</v>
      </c>
      <c r="G1603" t="s">
        <v>499</v>
      </c>
      <c r="H1603" s="4">
        <v>42402818</v>
      </c>
      <c r="I1603" s="4">
        <v>30420958</v>
      </c>
      <c r="J1603" s="3">
        <v>0.28257225734383973</v>
      </c>
      <c r="K1603" s="3">
        <v>0.3938685954597485</v>
      </c>
      <c r="L1603" t="s">
        <v>54</v>
      </c>
    </row>
    <row r="1604" spans="1:12" x14ac:dyDescent="0.25">
      <c r="A1604" t="s">
        <v>487</v>
      </c>
      <c r="B1604" t="s">
        <v>461</v>
      </c>
      <c r="C1604" t="s">
        <v>462</v>
      </c>
      <c r="D1604" t="s">
        <v>148</v>
      </c>
      <c r="E1604" t="s">
        <v>150</v>
      </c>
      <c r="F1604">
        <v>1</v>
      </c>
      <c r="G1604" t="s">
        <v>488</v>
      </c>
      <c r="H1604" s="4">
        <v>39413384</v>
      </c>
      <c r="I1604" s="4">
        <v>28794007.60319185</v>
      </c>
      <c r="J1604" s="3">
        <v>0.2694357936077793</v>
      </c>
      <c r="K1604" s="3">
        <v>0.3688050841394854</v>
      </c>
      <c r="L1604" t="s">
        <v>54</v>
      </c>
    </row>
    <row r="1605" spans="1:12" x14ac:dyDescent="0.25">
      <c r="A1605" t="s">
        <v>487</v>
      </c>
      <c r="B1605" t="s">
        <v>461</v>
      </c>
      <c r="C1605" t="s">
        <v>462</v>
      </c>
      <c r="D1605" t="s">
        <v>148</v>
      </c>
      <c r="E1605" t="s">
        <v>150</v>
      </c>
      <c r="F1605">
        <v>1</v>
      </c>
      <c r="G1605" t="s">
        <v>498</v>
      </c>
      <c r="H1605" s="4">
        <v>39413384</v>
      </c>
      <c r="I1605" s="4">
        <v>24186918</v>
      </c>
      <c r="J1605" s="3">
        <v>0.3863272943018544</v>
      </c>
      <c r="K1605" s="3">
        <v>0.6295331219959484</v>
      </c>
      <c r="L1605" t="s">
        <v>54</v>
      </c>
    </row>
    <row r="1606" spans="1:12" x14ac:dyDescent="0.25">
      <c r="A1606" t="s">
        <v>487</v>
      </c>
      <c r="B1606" t="s">
        <v>461</v>
      </c>
      <c r="C1606" t="s">
        <v>462</v>
      </c>
      <c r="D1606" t="s">
        <v>148</v>
      </c>
      <c r="E1606" t="s">
        <v>150</v>
      </c>
      <c r="F1606">
        <v>1</v>
      </c>
      <c r="G1606" t="s">
        <v>499</v>
      </c>
      <c r="H1606" s="4">
        <v>39413384</v>
      </c>
      <c r="I1606" s="4">
        <v>31688509</v>
      </c>
      <c r="J1606" s="3">
        <v>0.19599623823217008</v>
      </c>
      <c r="K1606" s="3">
        <v>0.2437752751320676</v>
      </c>
      <c r="L1606" t="s">
        <v>54</v>
      </c>
    </row>
    <row r="1607" spans="1:12" x14ac:dyDescent="0.25">
      <c r="A1607" t="s">
        <v>487</v>
      </c>
      <c r="B1607" t="s">
        <v>461</v>
      </c>
      <c r="C1607" t="s">
        <v>462</v>
      </c>
      <c r="D1607" t="s">
        <v>148</v>
      </c>
      <c r="E1607" t="s">
        <v>152</v>
      </c>
      <c r="F1607">
        <v>2</v>
      </c>
      <c r="G1607" t="s">
        <v>488</v>
      </c>
      <c r="H1607" s="4">
        <v>42402818</v>
      </c>
      <c r="I1607" s="4">
        <v>39007842.32195904</v>
      </c>
      <c r="J1607" s="3">
        <v>0.08006485979401083</v>
      </c>
      <c r="K1607" s="3">
        <v>0.08703315733333433</v>
      </c>
      <c r="L1607" t="s">
        <v>54</v>
      </c>
    </row>
    <row r="1608" spans="1:12" x14ac:dyDescent="0.25">
      <c r="A1608" t="s">
        <v>487</v>
      </c>
      <c r="B1608" t="s">
        <v>461</v>
      </c>
      <c r="C1608" t="s">
        <v>462</v>
      </c>
      <c r="D1608" t="s">
        <v>148</v>
      </c>
      <c r="E1608" t="s">
        <v>152</v>
      </c>
      <c r="F1608">
        <v>2</v>
      </c>
      <c r="G1608" t="s">
        <v>498</v>
      </c>
      <c r="H1608" s="4">
        <v>42402818</v>
      </c>
      <c r="I1608" s="4">
        <v>32766522</v>
      </c>
      <c r="J1608" s="3">
        <v>0.22725602812530055</v>
      </c>
      <c r="K1608" s="3">
        <v>0.2940896809249392</v>
      </c>
      <c r="L1608" t="s">
        <v>54</v>
      </c>
    </row>
    <row r="1609" spans="1:12" x14ac:dyDescent="0.25">
      <c r="A1609" t="s">
        <v>487</v>
      </c>
      <c r="B1609" t="s">
        <v>461</v>
      </c>
      <c r="C1609" t="s">
        <v>462</v>
      </c>
      <c r="D1609" t="s">
        <v>148</v>
      </c>
      <c r="E1609" t="s">
        <v>152</v>
      </c>
      <c r="F1609">
        <v>2</v>
      </c>
      <c r="G1609" t="s">
        <v>499</v>
      </c>
      <c r="H1609" s="4">
        <v>42402818</v>
      </c>
      <c r="I1609" s="4">
        <v>31688509</v>
      </c>
      <c r="J1609" s="3">
        <v>0.25267917335116735</v>
      </c>
      <c r="K1609" s="3">
        <v>0.3381133836243289</v>
      </c>
      <c r="L1609" t="s">
        <v>54</v>
      </c>
    </row>
    <row r="1610" spans="1:12" x14ac:dyDescent="0.25">
      <c r="A1610" t="s">
        <v>487</v>
      </c>
      <c r="B1610" t="s">
        <v>461</v>
      </c>
      <c r="C1610" t="s">
        <v>462</v>
      </c>
      <c r="D1610" t="s">
        <v>148</v>
      </c>
      <c r="E1610" t="s">
        <v>154</v>
      </c>
      <c r="F1610">
        <v>3</v>
      </c>
      <c r="G1610" t="s">
        <v>488</v>
      </c>
      <c r="H1610" s="4">
        <v>33598199</v>
      </c>
      <c r="I1610" s="4">
        <v>28000864.34982063</v>
      </c>
      <c r="J1610" s="3">
        <v>0.16659627053757767</v>
      </c>
      <c r="K1610" s="3">
        <v>0.1998986381366912</v>
      </c>
      <c r="L1610" t="s">
        <v>54</v>
      </c>
    </row>
    <row r="1611" spans="1:12" x14ac:dyDescent="0.25">
      <c r="A1611" t="s">
        <v>487</v>
      </c>
      <c r="B1611" t="s">
        <v>461</v>
      </c>
      <c r="C1611" t="s">
        <v>462</v>
      </c>
      <c r="D1611" t="s">
        <v>148</v>
      </c>
      <c r="E1611" t="s">
        <v>154</v>
      </c>
      <c r="F1611">
        <v>3</v>
      </c>
      <c r="G1611" t="s">
        <v>498</v>
      </c>
      <c r="H1611" s="4">
        <v>33598199</v>
      </c>
      <c r="I1611" s="4">
        <v>23520679</v>
      </c>
      <c r="J1611" s="3">
        <v>0.2999422677388154</v>
      </c>
      <c r="K1611" s="3">
        <v>0.4284536173466761</v>
      </c>
      <c r="L1611" t="s">
        <v>54</v>
      </c>
    </row>
    <row r="1612" spans="1:12" x14ac:dyDescent="0.25">
      <c r="A1612" t="s">
        <v>487</v>
      </c>
      <c r="B1612" t="s">
        <v>461</v>
      </c>
      <c r="C1612" t="s">
        <v>462</v>
      </c>
      <c r="D1612" t="s">
        <v>148</v>
      </c>
      <c r="E1612" t="s">
        <v>154</v>
      </c>
      <c r="F1612">
        <v>3</v>
      </c>
      <c r="G1612" t="s">
        <v>499</v>
      </c>
      <c r="H1612" s="4">
        <v>33598199</v>
      </c>
      <c r="I1612" s="4">
        <v>31688509</v>
      </c>
      <c r="J1612" s="3">
        <v>0.056839058545965514</v>
      </c>
      <c r="K1612" s="3">
        <v>0.06026443213216501</v>
      </c>
      <c r="L1612" t="s">
        <v>54</v>
      </c>
    </row>
    <row r="1613" spans="1:12" x14ac:dyDescent="0.25">
      <c r="A1613" t="s">
        <v>487</v>
      </c>
      <c r="B1613" t="s">
        <v>461</v>
      </c>
      <c r="C1613" t="s">
        <v>462</v>
      </c>
      <c r="D1613" t="s">
        <v>150</v>
      </c>
      <c r="E1613" t="s">
        <v>152</v>
      </c>
      <c r="F1613">
        <v>1</v>
      </c>
      <c r="G1613" t="s">
        <v>488</v>
      </c>
      <c r="H1613" s="4">
        <v>42402818</v>
      </c>
      <c r="I1613" s="4">
        <v>40791217.03346105</v>
      </c>
      <c r="J1613" s="3">
        <v>0.038006930731324294</v>
      </c>
      <c r="K1613" s="3">
        <v>0.03950852864274567</v>
      </c>
      <c r="L1613" t="s">
        <v>54</v>
      </c>
    </row>
    <row r="1614" spans="1:12" x14ac:dyDescent="0.25">
      <c r="A1614" t="s">
        <v>487</v>
      </c>
      <c r="B1614" t="s">
        <v>461</v>
      </c>
      <c r="C1614" t="s">
        <v>462</v>
      </c>
      <c r="D1614" t="s">
        <v>150</v>
      </c>
      <c r="E1614" t="s">
        <v>152</v>
      </c>
      <c r="F1614">
        <v>1</v>
      </c>
      <c r="G1614" t="s">
        <v>498</v>
      </c>
      <c r="H1614" s="4">
        <v>42402818</v>
      </c>
      <c r="I1614" s="4">
        <v>32766522</v>
      </c>
      <c r="J1614" s="3">
        <v>0.22725602812530055</v>
      </c>
      <c r="K1614" s="3">
        <v>0.2940896809249392</v>
      </c>
      <c r="L1614" t="s">
        <v>54</v>
      </c>
    </row>
    <row r="1615" spans="1:12" x14ac:dyDescent="0.25">
      <c r="A1615" t="s">
        <v>487</v>
      </c>
      <c r="B1615" t="s">
        <v>461</v>
      </c>
      <c r="C1615" t="s">
        <v>462</v>
      </c>
      <c r="D1615" t="s">
        <v>150</v>
      </c>
      <c r="E1615" t="s">
        <v>152</v>
      </c>
      <c r="F1615">
        <v>1</v>
      </c>
      <c r="G1615" t="s">
        <v>499</v>
      </c>
      <c r="H1615" s="4">
        <v>42402818</v>
      </c>
      <c r="I1615" s="4">
        <v>39413384</v>
      </c>
      <c r="J1615" s="3">
        <v>0.07050083322292401</v>
      </c>
      <c r="K1615" s="3">
        <v>0.07584819410583979</v>
      </c>
      <c r="L1615" t="s">
        <v>54</v>
      </c>
    </row>
    <row r="1616" spans="1:12" x14ac:dyDescent="0.25">
      <c r="A1616" t="s">
        <v>487</v>
      </c>
      <c r="B1616" t="s">
        <v>461</v>
      </c>
      <c r="C1616" t="s">
        <v>462</v>
      </c>
      <c r="D1616" t="s">
        <v>150</v>
      </c>
      <c r="E1616" t="s">
        <v>154</v>
      </c>
      <c r="F1616">
        <v>2</v>
      </c>
      <c r="G1616" t="s">
        <v>488</v>
      </c>
      <c r="H1616" s="4">
        <v>33598199</v>
      </c>
      <c r="I1616" s="4">
        <v>29281018.042237423</v>
      </c>
      <c r="J1616" s="3">
        <v>0.1284944159585035</v>
      </c>
      <c r="K1616" s="3">
        <v>0.1474395784851165</v>
      </c>
      <c r="L1616" t="s">
        <v>54</v>
      </c>
    </row>
    <row r="1617" spans="1:12" x14ac:dyDescent="0.25">
      <c r="A1617" t="s">
        <v>487</v>
      </c>
      <c r="B1617" t="s">
        <v>461</v>
      </c>
      <c r="C1617" t="s">
        <v>462</v>
      </c>
      <c r="D1617" t="s">
        <v>150</v>
      </c>
      <c r="E1617" t="s">
        <v>154</v>
      </c>
      <c r="F1617">
        <v>2</v>
      </c>
      <c r="G1617" t="s">
        <v>498</v>
      </c>
      <c r="H1617" s="4">
        <v>33598199</v>
      </c>
      <c r="I1617" s="4">
        <v>23520679</v>
      </c>
      <c r="J1617" s="3">
        <v>0.2999422677388154</v>
      </c>
      <c r="K1617" s="3">
        <v>0.4284536173466761</v>
      </c>
      <c r="L1617" t="s">
        <v>54</v>
      </c>
    </row>
    <row r="1618" spans="1:12" x14ac:dyDescent="0.25">
      <c r="A1618" t="s">
        <v>487</v>
      </c>
      <c r="B1618" t="s">
        <v>461</v>
      </c>
      <c r="C1618" t="s">
        <v>462</v>
      </c>
      <c r="D1618" t="s">
        <v>150</v>
      </c>
      <c r="E1618" t="s">
        <v>154</v>
      </c>
      <c r="F1618">
        <v>2</v>
      </c>
      <c r="G1618" t="s">
        <v>499</v>
      </c>
      <c r="H1618" s="4">
        <v>33598199</v>
      </c>
      <c r="I1618" s="4">
        <v>39413384</v>
      </c>
      <c r="J1618" s="3">
        <v>0.17308025945081162</v>
      </c>
      <c r="K1618" s="3">
        <v>-0.1475434080971073</v>
      </c>
      <c r="L1618" t="s">
        <v>54</v>
      </c>
    </row>
    <row r="1619" spans="1:12" x14ac:dyDescent="0.25">
      <c r="A1619" t="s">
        <v>487</v>
      </c>
      <c r="B1619" t="s">
        <v>461</v>
      </c>
      <c r="C1619" t="s">
        <v>462</v>
      </c>
      <c r="D1619" t="s">
        <v>150</v>
      </c>
      <c r="E1619" t="s">
        <v>156</v>
      </c>
      <c r="F1619">
        <v>3</v>
      </c>
      <c r="G1619" t="s">
        <v>488</v>
      </c>
      <c r="H1619" s="4">
        <v>26964414</v>
      </c>
      <c r="I1619" s="4">
        <v>20768987.984956592</v>
      </c>
      <c r="J1619" s="3">
        <v>0.229763050479918</v>
      </c>
      <c r="K1619" s="3">
        <v>0.2983017766455873</v>
      </c>
      <c r="L1619" t="s">
        <v>54</v>
      </c>
    </row>
    <row r="1620" spans="1:12" x14ac:dyDescent="0.25">
      <c r="A1620" t="s">
        <v>487</v>
      </c>
      <c r="B1620" t="s">
        <v>461</v>
      </c>
      <c r="C1620" t="s">
        <v>462</v>
      </c>
      <c r="D1620" t="s">
        <v>150</v>
      </c>
      <c r="E1620" t="s">
        <v>156</v>
      </c>
      <c r="F1620">
        <v>3</v>
      </c>
      <c r="G1620" t="s">
        <v>498</v>
      </c>
      <c r="H1620" s="4">
        <v>26964414</v>
      </c>
      <c r="I1620" s="4">
        <v>16683187</v>
      </c>
      <c r="J1620" s="3">
        <v>0.38128872372305217</v>
      </c>
      <c r="K1620" s="3">
        <v>0.6162627680190841</v>
      </c>
      <c r="L1620" t="s">
        <v>54</v>
      </c>
    </row>
    <row r="1621" spans="1:12" x14ac:dyDescent="0.25">
      <c r="A1621" t="s">
        <v>487</v>
      </c>
      <c r="B1621" t="s">
        <v>461</v>
      </c>
      <c r="C1621" t="s">
        <v>462</v>
      </c>
      <c r="D1621" t="s">
        <v>150</v>
      </c>
      <c r="E1621" t="s">
        <v>156</v>
      </c>
      <c r="F1621">
        <v>3</v>
      </c>
      <c r="G1621" t="s">
        <v>499</v>
      </c>
      <c r="H1621" s="4">
        <v>26964414</v>
      </c>
      <c r="I1621" s="4">
        <v>39413384</v>
      </c>
      <c r="J1621" s="3">
        <v>0.46168145912609115</v>
      </c>
      <c r="K1621" s="3">
        <v>-0.315856410604073</v>
      </c>
      <c r="L1621" t="s">
        <v>54</v>
      </c>
    </row>
    <row r="1622" spans="1:12" x14ac:dyDescent="0.25">
      <c r="A1622" t="s">
        <v>487</v>
      </c>
      <c r="B1622" t="s">
        <v>461</v>
      </c>
      <c r="C1622" t="s">
        <v>462</v>
      </c>
      <c r="D1622" t="s">
        <v>152</v>
      </c>
      <c r="E1622" t="s">
        <v>154</v>
      </c>
      <c r="F1622">
        <v>1</v>
      </c>
      <c r="G1622" t="s">
        <v>488</v>
      </c>
      <c r="H1622" s="4">
        <v>33598199</v>
      </c>
      <c r="I1622" s="4">
        <v>29567809.42125765</v>
      </c>
      <c r="J1622" s="3">
        <v>0.11995850071434934</v>
      </c>
      <c r="K1622" s="3">
        <v>0.13631004993710222</v>
      </c>
      <c r="L1622" t="s">
        <v>54</v>
      </c>
    </row>
    <row r="1623" spans="1:12" x14ac:dyDescent="0.25">
      <c r="A1623" t="s">
        <v>487</v>
      </c>
      <c r="B1623" t="s">
        <v>461</v>
      </c>
      <c r="C1623" t="s">
        <v>462</v>
      </c>
      <c r="D1623" t="s">
        <v>152</v>
      </c>
      <c r="E1623" t="s">
        <v>154</v>
      </c>
      <c r="F1623">
        <v>1</v>
      </c>
      <c r="G1623" t="s">
        <v>498</v>
      </c>
      <c r="H1623" s="4">
        <v>33598199</v>
      </c>
      <c r="I1623" s="4">
        <v>23520679</v>
      </c>
      <c r="J1623" s="3">
        <v>0.2999422677388154</v>
      </c>
      <c r="K1623" s="3">
        <v>0.4284536173466761</v>
      </c>
      <c r="L1623" t="s">
        <v>54</v>
      </c>
    </row>
    <row r="1624" spans="1:12" x14ac:dyDescent="0.25">
      <c r="A1624" t="s">
        <v>487</v>
      </c>
      <c r="B1624" t="s">
        <v>461</v>
      </c>
      <c r="C1624" t="s">
        <v>462</v>
      </c>
      <c r="D1624" t="s">
        <v>152</v>
      </c>
      <c r="E1624" t="s">
        <v>154</v>
      </c>
      <c r="F1624">
        <v>1</v>
      </c>
      <c r="G1624" t="s">
        <v>499</v>
      </c>
      <c r="H1624" s="4">
        <v>33598199</v>
      </c>
      <c r="I1624" s="4">
        <v>42402818</v>
      </c>
      <c r="J1624" s="3">
        <v>0.26205627867136566</v>
      </c>
      <c r="K1624" s="3">
        <v>-0.20764230811263534</v>
      </c>
      <c r="L1624" t="s">
        <v>54</v>
      </c>
    </row>
    <row r="1625" spans="1:12" x14ac:dyDescent="0.25">
      <c r="A1625" t="s">
        <v>487</v>
      </c>
      <c r="B1625" t="s">
        <v>461</v>
      </c>
      <c r="C1625" t="s">
        <v>462</v>
      </c>
      <c r="D1625" t="s">
        <v>152</v>
      </c>
      <c r="E1625" t="s">
        <v>156</v>
      </c>
      <c r="F1625">
        <v>2</v>
      </c>
      <c r="G1625" t="s">
        <v>488</v>
      </c>
      <c r="H1625" s="4">
        <v>26964414</v>
      </c>
      <c r="I1625" s="4">
        <v>20972408.736805733</v>
      </c>
      <c r="J1625" s="3">
        <v>0.22221900550830687</v>
      </c>
      <c r="K1625" s="3">
        <v>0.28570896831123355</v>
      </c>
      <c r="L1625" t="s">
        <v>54</v>
      </c>
    </row>
    <row r="1626" spans="1:12" x14ac:dyDescent="0.25">
      <c r="A1626" t="s">
        <v>487</v>
      </c>
      <c r="B1626" t="s">
        <v>461</v>
      </c>
      <c r="C1626" t="s">
        <v>462</v>
      </c>
      <c r="D1626" t="s">
        <v>152</v>
      </c>
      <c r="E1626" t="s">
        <v>156</v>
      </c>
      <c r="F1626">
        <v>2</v>
      </c>
      <c r="G1626" t="s">
        <v>498</v>
      </c>
      <c r="H1626" s="4">
        <v>26964414</v>
      </c>
      <c r="I1626" s="4">
        <v>16683187</v>
      </c>
      <c r="J1626" s="3">
        <v>0.38128872372305217</v>
      </c>
      <c r="K1626" s="3">
        <v>0.6162627680190841</v>
      </c>
      <c r="L1626" t="s">
        <v>54</v>
      </c>
    </row>
    <row r="1627" spans="1:12" x14ac:dyDescent="0.25">
      <c r="A1627" t="s">
        <v>487</v>
      </c>
      <c r="B1627" t="s">
        <v>461</v>
      </c>
      <c r="C1627" t="s">
        <v>462</v>
      </c>
      <c r="D1627" t="s">
        <v>152</v>
      </c>
      <c r="E1627" t="s">
        <v>156</v>
      </c>
      <c r="F1627">
        <v>2</v>
      </c>
      <c r="G1627" t="s">
        <v>499</v>
      </c>
      <c r="H1627" s="4">
        <v>26964414</v>
      </c>
      <c r="I1627" s="4">
        <v>42402818</v>
      </c>
      <c r="J1627" s="3">
        <v>0.572547358158794</v>
      </c>
      <c r="K1627" s="3">
        <v>-0.3640891037006078</v>
      </c>
      <c r="L1627" t="s">
        <v>54</v>
      </c>
    </row>
    <row r="1628" spans="1:12" x14ac:dyDescent="0.25">
      <c r="A1628" t="s">
        <v>487</v>
      </c>
      <c r="B1628" t="s">
        <v>461</v>
      </c>
      <c r="C1628" t="s">
        <v>462</v>
      </c>
      <c r="D1628" t="s">
        <v>152</v>
      </c>
      <c r="E1628" t="s">
        <v>158</v>
      </c>
      <c r="F1628">
        <v>3</v>
      </c>
      <c r="G1628" t="s">
        <v>488</v>
      </c>
      <c r="H1628" s="4">
        <v>23203224</v>
      </c>
      <c r="I1628" s="4">
        <v>19614951.07503524</v>
      </c>
      <c r="J1628" s="3">
        <v>0.15464544603649732</v>
      </c>
      <c r="K1628" s="3">
        <v>0.18293560413371118</v>
      </c>
      <c r="L1628" t="s">
        <v>54</v>
      </c>
    </row>
    <row r="1629" spans="1:12" x14ac:dyDescent="0.25">
      <c r="A1629" t="s">
        <v>487</v>
      </c>
      <c r="B1629" t="s">
        <v>461</v>
      </c>
      <c r="C1629" t="s">
        <v>462</v>
      </c>
      <c r="D1629" t="s">
        <v>152</v>
      </c>
      <c r="E1629" t="s">
        <v>158</v>
      </c>
      <c r="F1629">
        <v>3</v>
      </c>
      <c r="G1629" t="s">
        <v>498</v>
      </c>
      <c r="H1629" s="4">
        <v>23203224</v>
      </c>
      <c r="I1629" s="4">
        <v>15603353</v>
      </c>
      <c r="J1629" s="3">
        <v>0.3275351304629046</v>
      </c>
      <c r="K1629" s="3">
        <v>0.48706652986701</v>
      </c>
      <c r="L1629" t="s">
        <v>54</v>
      </c>
    </row>
    <row r="1630" spans="1:12" x14ac:dyDescent="0.25">
      <c r="A1630" t="s">
        <v>487</v>
      </c>
      <c r="B1630" t="s">
        <v>461</v>
      </c>
      <c r="C1630" t="s">
        <v>462</v>
      </c>
      <c r="D1630" t="s">
        <v>152</v>
      </c>
      <c r="E1630" t="s">
        <v>158</v>
      </c>
      <c r="F1630">
        <v>3</v>
      </c>
      <c r="G1630" t="s">
        <v>499</v>
      </c>
      <c r="H1630" s="4">
        <v>23203224</v>
      </c>
      <c r="I1630" s="4">
        <v>42402818</v>
      </c>
      <c r="J1630" s="3">
        <v>0.8274537193624473</v>
      </c>
      <c r="K1630" s="3">
        <v>-0.4527905197244202</v>
      </c>
      <c r="L1630" t="s">
        <v>54</v>
      </c>
    </row>
    <row r="1631" spans="1:12" x14ac:dyDescent="0.25">
      <c r="A1631" t="s">
        <v>487</v>
      </c>
      <c r="B1631" t="s">
        <v>461</v>
      </c>
      <c r="C1631" t="s">
        <v>462</v>
      </c>
      <c r="D1631" t="s">
        <v>154</v>
      </c>
      <c r="E1631" t="s">
        <v>156</v>
      </c>
      <c r="F1631">
        <v>1</v>
      </c>
      <c r="G1631" t="s">
        <v>488</v>
      </c>
      <c r="H1631" s="4">
        <v>26964414</v>
      </c>
      <c r="I1631" s="4">
        <v>21415502.07496868</v>
      </c>
      <c r="J1631" s="3">
        <v>0.2057864830673242</v>
      </c>
      <c r="K1631" s="3">
        <v>0.2591072535029247</v>
      </c>
      <c r="L1631" t="s">
        <v>54</v>
      </c>
    </row>
    <row r="1632" spans="1:12" x14ac:dyDescent="0.25">
      <c r="A1632" t="s">
        <v>487</v>
      </c>
      <c r="B1632" t="s">
        <v>461</v>
      </c>
      <c r="C1632" t="s">
        <v>462</v>
      </c>
      <c r="D1632" t="s">
        <v>154</v>
      </c>
      <c r="E1632" t="s">
        <v>156</v>
      </c>
      <c r="F1632">
        <v>1</v>
      </c>
      <c r="G1632" t="s">
        <v>498</v>
      </c>
      <c r="H1632" s="4">
        <v>26964414</v>
      </c>
      <c r="I1632" s="4">
        <v>16683187</v>
      </c>
      <c r="J1632" s="3">
        <v>0.38128872372305217</v>
      </c>
      <c r="K1632" s="3">
        <v>0.6162627680190841</v>
      </c>
      <c r="L1632" t="s">
        <v>54</v>
      </c>
    </row>
    <row r="1633" spans="1:12" x14ac:dyDescent="0.25">
      <c r="A1633" t="s">
        <v>487</v>
      </c>
      <c r="B1633" t="s">
        <v>461</v>
      </c>
      <c r="C1633" t="s">
        <v>462</v>
      </c>
      <c r="D1633" t="s">
        <v>154</v>
      </c>
      <c r="E1633" t="s">
        <v>156</v>
      </c>
      <c r="F1633">
        <v>1</v>
      </c>
      <c r="G1633" t="s">
        <v>499</v>
      </c>
      <c r="H1633" s="4">
        <v>26964414</v>
      </c>
      <c r="I1633" s="4">
        <v>33598199</v>
      </c>
      <c r="J1633" s="3">
        <v>0.246019995094275</v>
      </c>
      <c r="K1633" s="3">
        <v>-0.1974446606498164</v>
      </c>
      <c r="L1633" t="s">
        <v>54</v>
      </c>
    </row>
    <row r="1634" spans="1:12" x14ac:dyDescent="0.25">
      <c r="A1634" t="s">
        <v>487</v>
      </c>
      <c r="B1634" t="s">
        <v>461</v>
      </c>
      <c r="C1634" t="s">
        <v>462</v>
      </c>
      <c r="D1634" t="s">
        <v>154</v>
      </c>
      <c r="E1634" t="s">
        <v>158</v>
      </c>
      <c r="F1634">
        <v>2</v>
      </c>
      <c r="G1634" t="s">
        <v>488</v>
      </c>
      <c r="H1634" s="4">
        <v>23203224</v>
      </c>
      <c r="I1634" s="4">
        <v>20029364.805895228</v>
      </c>
      <c r="J1634" s="3">
        <v>0.13678526717256068</v>
      </c>
      <c r="K1634" s="3">
        <v>0.15846030190486182</v>
      </c>
      <c r="L1634" t="s">
        <v>54</v>
      </c>
    </row>
    <row r="1635" spans="1:12" x14ac:dyDescent="0.25">
      <c r="A1635" t="s">
        <v>487</v>
      </c>
      <c r="B1635" t="s">
        <v>461</v>
      </c>
      <c r="C1635" t="s">
        <v>462</v>
      </c>
      <c r="D1635" t="s">
        <v>154</v>
      </c>
      <c r="E1635" t="s">
        <v>158</v>
      </c>
      <c r="F1635">
        <v>2</v>
      </c>
      <c r="G1635" t="s">
        <v>498</v>
      </c>
      <c r="H1635" s="4">
        <v>23203224</v>
      </c>
      <c r="I1635" s="4">
        <v>15603353</v>
      </c>
      <c r="J1635" s="3">
        <v>0.3275351304629046</v>
      </c>
      <c r="K1635" s="3">
        <v>0.48706652986701</v>
      </c>
      <c r="L1635" t="s">
        <v>54</v>
      </c>
    </row>
    <row r="1636" spans="1:12" x14ac:dyDescent="0.25">
      <c r="A1636" t="s">
        <v>487</v>
      </c>
      <c r="B1636" t="s">
        <v>461</v>
      </c>
      <c r="C1636" t="s">
        <v>462</v>
      </c>
      <c r="D1636" t="s">
        <v>154</v>
      </c>
      <c r="E1636" t="s">
        <v>158</v>
      </c>
      <c r="F1636">
        <v>2</v>
      </c>
      <c r="G1636" t="s">
        <v>499</v>
      </c>
      <c r="H1636" s="4">
        <v>23203224</v>
      </c>
      <c r="I1636" s="4">
        <v>33598199</v>
      </c>
      <c r="J1636" s="3">
        <v>0.4479970111050085</v>
      </c>
      <c r="K1636" s="3">
        <v>-0.30939083966970965</v>
      </c>
      <c r="L1636" t="s">
        <v>54</v>
      </c>
    </row>
    <row r="1637" spans="1:12" x14ac:dyDescent="0.25">
      <c r="A1637" t="s">
        <v>487</v>
      </c>
      <c r="B1637" t="s">
        <v>461</v>
      </c>
      <c r="C1637" t="s">
        <v>462</v>
      </c>
      <c r="D1637" t="s">
        <v>154</v>
      </c>
      <c r="E1637" t="s">
        <v>160</v>
      </c>
      <c r="F1637">
        <v>3</v>
      </c>
      <c r="G1637" t="s">
        <v>488</v>
      </c>
      <c r="H1637" s="4">
        <v>27489172</v>
      </c>
      <c r="I1637" s="4">
        <v>27591122.96806201</v>
      </c>
      <c r="J1637" s="3">
        <v>0.0037087682401641515</v>
      </c>
      <c r="K1637" s="3">
        <v>-0.0036950641037707156</v>
      </c>
      <c r="L1637" t="s">
        <v>54</v>
      </c>
    </row>
    <row r="1638" spans="1:12" x14ac:dyDescent="0.25">
      <c r="A1638" t="s">
        <v>487</v>
      </c>
      <c r="B1638" t="s">
        <v>461</v>
      </c>
      <c r="C1638" t="s">
        <v>462</v>
      </c>
      <c r="D1638" t="s">
        <v>154</v>
      </c>
      <c r="E1638" t="s">
        <v>160</v>
      </c>
      <c r="F1638">
        <v>3</v>
      </c>
      <c r="G1638" t="s">
        <v>498</v>
      </c>
      <c r="H1638" s="4">
        <v>27489172</v>
      </c>
      <c r="I1638" s="4">
        <v>21494143</v>
      </c>
      <c r="J1638" s="3">
        <v>0.21808692528097973</v>
      </c>
      <c r="K1638" s="3">
        <v>0.27891453964924307</v>
      </c>
      <c r="L1638" t="s">
        <v>54</v>
      </c>
    </row>
    <row r="1639" spans="1:12" x14ac:dyDescent="0.25">
      <c r="A1639" t="s">
        <v>487</v>
      </c>
      <c r="B1639" t="s">
        <v>461</v>
      </c>
      <c r="C1639" t="s">
        <v>462</v>
      </c>
      <c r="D1639" t="s">
        <v>154</v>
      </c>
      <c r="E1639" t="s">
        <v>160</v>
      </c>
      <c r="F1639">
        <v>3</v>
      </c>
      <c r="G1639" t="s">
        <v>499</v>
      </c>
      <c r="H1639" s="4">
        <v>27489172</v>
      </c>
      <c r="I1639" s="4">
        <v>33598199</v>
      </c>
      <c r="J1639" s="3">
        <v>0.22223393996734422</v>
      </c>
      <c r="K1639" s="3">
        <v>-0.18182602585335006</v>
      </c>
      <c r="L1639" t="s">
        <v>54</v>
      </c>
    </row>
    <row r="1640" spans="1:12" x14ac:dyDescent="0.25">
      <c r="A1640" t="s">
        <v>487</v>
      </c>
      <c r="B1640" t="s">
        <v>461</v>
      </c>
      <c r="C1640" t="s">
        <v>462</v>
      </c>
      <c r="D1640" t="s">
        <v>156</v>
      </c>
      <c r="E1640" t="s">
        <v>158</v>
      </c>
      <c r="F1640">
        <v>1</v>
      </c>
      <c r="G1640" t="s">
        <v>488</v>
      </c>
      <c r="H1640" s="4">
        <v>23203224</v>
      </c>
      <c r="I1640" s="4">
        <v>20535098.10268226</v>
      </c>
      <c r="J1640" s="3">
        <v>0.11498944704053804</v>
      </c>
      <c r="K1640" s="3">
        <v>0.12993002925899025</v>
      </c>
      <c r="L1640" t="s">
        <v>54</v>
      </c>
    </row>
    <row r="1641" spans="1:12" x14ac:dyDescent="0.25">
      <c r="A1641" t="s">
        <v>487</v>
      </c>
      <c r="B1641" t="s">
        <v>461</v>
      </c>
      <c r="C1641" t="s">
        <v>462</v>
      </c>
      <c r="D1641" t="s">
        <v>156</v>
      </c>
      <c r="E1641" t="s">
        <v>158</v>
      </c>
      <c r="F1641">
        <v>1</v>
      </c>
      <c r="G1641" t="s">
        <v>498</v>
      </c>
      <c r="H1641" s="4">
        <v>23203224</v>
      </c>
      <c r="I1641" s="4">
        <v>15603353</v>
      </c>
      <c r="J1641" s="3">
        <v>0.3275351304629046</v>
      </c>
      <c r="K1641" s="3">
        <v>0.48706652986701</v>
      </c>
      <c r="L1641" t="s">
        <v>54</v>
      </c>
    </row>
    <row r="1642" spans="1:12" x14ac:dyDescent="0.25">
      <c r="A1642" t="s">
        <v>487</v>
      </c>
      <c r="B1642" t="s">
        <v>461</v>
      </c>
      <c r="C1642" t="s">
        <v>462</v>
      </c>
      <c r="D1642" t="s">
        <v>156</v>
      </c>
      <c r="E1642" t="s">
        <v>158</v>
      </c>
      <c r="F1642">
        <v>1</v>
      </c>
      <c r="G1642" t="s">
        <v>499</v>
      </c>
      <c r="H1642" s="4">
        <v>23203224</v>
      </c>
      <c r="I1642" s="4">
        <v>26964414</v>
      </c>
      <c r="J1642" s="3">
        <v>0.1620977326254317</v>
      </c>
      <c r="K1642" s="3">
        <v>-0.13948717743319028</v>
      </c>
      <c r="L1642" t="s">
        <v>54</v>
      </c>
    </row>
    <row r="1643" spans="1:12" x14ac:dyDescent="0.25">
      <c r="A1643" t="s">
        <v>487</v>
      </c>
      <c r="B1643" t="s">
        <v>461</v>
      </c>
      <c r="C1643" t="s">
        <v>462</v>
      </c>
      <c r="D1643" t="s">
        <v>156</v>
      </c>
      <c r="E1643" t="s">
        <v>160</v>
      </c>
      <c r="F1643">
        <v>2</v>
      </c>
      <c r="G1643" t="s">
        <v>488</v>
      </c>
      <c r="H1643" s="4">
        <v>27489172</v>
      </c>
      <c r="I1643" s="4">
        <v>28287787.57604735</v>
      </c>
      <c r="J1643" s="3">
        <v>0.029052005496831616</v>
      </c>
      <c r="K1643" s="3">
        <v>-0.02823181466208324</v>
      </c>
      <c r="L1643" t="s">
        <v>54</v>
      </c>
    </row>
    <row r="1644" spans="1:12" x14ac:dyDescent="0.25">
      <c r="A1644" t="s">
        <v>487</v>
      </c>
      <c r="B1644" t="s">
        <v>461</v>
      </c>
      <c r="C1644" t="s">
        <v>462</v>
      </c>
      <c r="D1644" t="s">
        <v>156</v>
      </c>
      <c r="E1644" t="s">
        <v>160</v>
      </c>
      <c r="F1644">
        <v>2</v>
      </c>
      <c r="G1644" t="s">
        <v>498</v>
      </c>
      <c r="H1644" s="4">
        <v>27489172</v>
      </c>
      <c r="I1644" s="4">
        <v>21494143</v>
      </c>
      <c r="J1644" s="3">
        <v>0.21808692528097973</v>
      </c>
      <c r="K1644" s="3">
        <v>0.27891453964924307</v>
      </c>
      <c r="L1644" t="s">
        <v>54</v>
      </c>
    </row>
    <row r="1645" spans="1:12" x14ac:dyDescent="0.25">
      <c r="A1645" t="s">
        <v>487</v>
      </c>
      <c r="B1645" t="s">
        <v>461</v>
      </c>
      <c r="C1645" t="s">
        <v>462</v>
      </c>
      <c r="D1645" t="s">
        <v>156</v>
      </c>
      <c r="E1645" t="s">
        <v>160</v>
      </c>
      <c r="F1645">
        <v>2</v>
      </c>
      <c r="G1645" t="s">
        <v>499</v>
      </c>
      <c r="H1645" s="4">
        <v>27489172</v>
      </c>
      <c r="I1645" s="4">
        <v>26964414</v>
      </c>
      <c r="J1645" s="3">
        <v>0.019089625544196093</v>
      </c>
      <c r="K1645" s="3">
        <v>0.01946113125247224</v>
      </c>
      <c r="L1645" t="s">
        <v>54</v>
      </c>
    </row>
    <row r="1646" spans="1:12" x14ac:dyDescent="0.25">
      <c r="A1646" t="s">
        <v>487</v>
      </c>
      <c r="B1646" t="s">
        <v>461</v>
      </c>
      <c r="C1646" t="s">
        <v>462</v>
      </c>
      <c r="D1646" t="s">
        <v>156</v>
      </c>
      <c r="E1646" t="s">
        <v>162</v>
      </c>
      <c r="F1646">
        <v>3</v>
      </c>
      <c r="G1646" t="s">
        <v>488</v>
      </c>
      <c r="H1646" s="4">
        <v>33309657</v>
      </c>
      <c r="I1646" s="4">
        <v>30504463.29701702</v>
      </c>
      <c r="J1646" s="3">
        <v>0.08421562860833363</v>
      </c>
      <c r="K1646" s="3">
        <v>0.09196010681024819</v>
      </c>
      <c r="L1646" t="s">
        <v>54</v>
      </c>
    </row>
    <row r="1647" spans="1:12" x14ac:dyDescent="0.25">
      <c r="A1647" t="s">
        <v>487</v>
      </c>
      <c r="B1647" t="s">
        <v>461</v>
      </c>
      <c r="C1647" t="s">
        <v>462</v>
      </c>
      <c r="D1647" t="s">
        <v>156</v>
      </c>
      <c r="E1647" t="s">
        <v>162</v>
      </c>
      <c r="F1647">
        <v>3</v>
      </c>
      <c r="G1647" t="s">
        <v>498</v>
      </c>
      <c r="H1647" s="4">
        <v>33309657</v>
      </c>
      <c r="I1647" s="4">
        <v>23178458</v>
      </c>
      <c r="J1647" s="3">
        <v>0.30415200612843296</v>
      </c>
      <c r="K1647" s="3">
        <v>0.4370954702853831</v>
      </c>
      <c r="L1647" t="s">
        <v>54</v>
      </c>
    </row>
    <row r="1648" spans="1:12" x14ac:dyDescent="0.25">
      <c r="A1648" t="s">
        <v>487</v>
      </c>
      <c r="B1648" t="s">
        <v>461</v>
      </c>
      <c r="C1648" t="s">
        <v>462</v>
      </c>
      <c r="D1648" t="s">
        <v>156</v>
      </c>
      <c r="E1648" t="s">
        <v>162</v>
      </c>
      <c r="F1648">
        <v>3</v>
      </c>
      <c r="G1648" t="s">
        <v>499</v>
      </c>
      <c r="H1648" s="4">
        <v>33309657</v>
      </c>
      <c r="I1648" s="4">
        <v>26964414</v>
      </c>
      <c r="J1648" s="3">
        <v>0.1904925949852921</v>
      </c>
      <c r="K1648" s="3">
        <v>0.23531915064054423</v>
      </c>
      <c r="L1648" t="s">
        <v>54</v>
      </c>
    </row>
    <row r="1649" spans="1:12" x14ac:dyDescent="0.25">
      <c r="A1649" t="s">
        <v>487</v>
      </c>
      <c r="B1649" t="s">
        <v>461</v>
      </c>
      <c r="C1649" t="s">
        <v>462</v>
      </c>
      <c r="D1649" t="s">
        <v>158</v>
      </c>
      <c r="E1649" t="s">
        <v>160</v>
      </c>
      <c r="F1649">
        <v>1</v>
      </c>
      <c r="G1649" t="s">
        <v>488</v>
      </c>
      <c r="H1649" s="4">
        <v>27489172</v>
      </c>
      <c r="I1649" s="4">
        <v>28783287.9501292</v>
      </c>
      <c r="J1649" s="3">
        <v>0.047077298295095965</v>
      </c>
      <c r="K1649" s="3">
        <v>-0.04496067135802638</v>
      </c>
      <c r="L1649" t="s">
        <v>54</v>
      </c>
    </row>
    <row r="1650" spans="1:12" x14ac:dyDescent="0.25">
      <c r="A1650" t="s">
        <v>487</v>
      </c>
      <c r="B1650" t="s">
        <v>461</v>
      </c>
      <c r="C1650" t="s">
        <v>462</v>
      </c>
      <c r="D1650" t="s">
        <v>158</v>
      </c>
      <c r="E1650" t="s">
        <v>160</v>
      </c>
      <c r="F1650">
        <v>1</v>
      </c>
      <c r="G1650" t="s">
        <v>498</v>
      </c>
      <c r="H1650" s="4">
        <v>27489172</v>
      </c>
      <c r="I1650" s="4">
        <v>21494143</v>
      </c>
      <c r="J1650" s="3">
        <v>0.21808692528097973</v>
      </c>
      <c r="K1650" s="3">
        <v>0.27891453964924307</v>
      </c>
      <c r="L1650" t="s">
        <v>54</v>
      </c>
    </row>
    <row r="1651" spans="1:12" x14ac:dyDescent="0.25">
      <c r="A1651" t="s">
        <v>487</v>
      </c>
      <c r="B1651" t="s">
        <v>461</v>
      </c>
      <c r="C1651" t="s">
        <v>462</v>
      </c>
      <c r="D1651" t="s">
        <v>158</v>
      </c>
      <c r="E1651" t="s">
        <v>160</v>
      </c>
      <c r="F1651">
        <v>1</v>
      </c>
      <c r="G1651" t="s">
        <v>499</v>
      </c>
      <c r="H1651" s="4">
        <v>27489172</v>
      </c>
      <c r="I1651" s="4">
        <v>23203224</v>
      </c>
      <c r="J1651" s="3">
        <v>0.15591404499196992</v>
      </c>
      <c r="K1651" s="3">
        <v>0.18471346912825562</v>
      </c>
      <c r="L1651" t="s">
        <v>54</v>
      </c>
    </row>
    <row r="1652" spans="1:12" x14ac:dyDescent="0.25">
      <c r="A1652" t="s">
        <v>487</v>
      </c>
      <c r="B1652" t="s">
        <v>461</v>
      </c>
      <c r="C1652" t="s">
        <v>462</v>
      </c>
      <c r="D1652" t="s">
        <v>158</v>
      </c>
      <c r="E1652" t="s">
        <v>162</v>
      </c>
      <c r="F1652">
        <v>2</v>
      </c>
      <c r="G1652" t="s">
        <v>488</v>
      </c>
      <c r="H1652" s="4">
        <v>33309657</v>
      </c>
      <c r="I1652" s="4">
        <v>31038791.86315899</v>
      </c>
      <c r="J1652" s="3">
        <v>0.06817437768395544</v>
      </c>
      <c r="K1652" s="3">
        <v>0.07316216258843432</v>
      </c>
      <c r="L1652" t="s">
        <v>54</v>
      </c>
    </row>
    <row r="1653" spans="1:12" x14ac:dyDescent="0.25">
      <c r="A1653" t="s">
        <v>487</v>
      </c>
      <c r="B1653" t="s">
        <v>461</v>
      </c>
      <c r="C1653" t="s">
        <v>462</v>
      </c>
      <c r="D1653" t="s">
        <v>158</v>
      </c>
      <c r="E1653" t="s">
        <v>162</v>
      </c>
      <c r="F1653">
        <v>2</v>
      </c>
      <c r="G1653" t="s">
        <v>498</v>
      </c>
      <c r="H1653" s="4">
        <v>33309657</v>
      </c>
      <c r="I1653" s="4">
        <v>23178458</v>
      </c>
      <c r="J1653" s="3">
        <v>0.30415200612843296</v>
      </c>
      <c r="K1653" s="3">
        <v>0.4370954702853831</v>
      </c>
      <c r="L1653" t="s">
        <v>54</v>
      </c>
    </row>
    <row r="1654" spans="1:12" x14ac:dyDescent="0.25">
      <c r="A1654" t="s">
        <v>487</v>
      </c>
      <c r="B1654" t="s">
        <v>461</v>
      </c>
      <c r="C1654" t="s">
        <v>462</v>
      </c>
      <c r="D1654" t="s">
        <v>158</v>
      </c>
      <c r="E1654" t="s">
        <v>162</v>
      </c>
      <c r="F1654">
        <v>2</v>
      </c>
      <c r="G1654" t="s">
        <v>499</v>
      </c>
      <c r="H1654" s="4">
        <v>33309657</v>
      </c>
      <c r="I1654" s="4">
        <v>23203224</v>
      </c>
      <c r="J1654" s="3">
        <v>0.3034084980220601</v>
      </c>
      <c r="K1654" s="3">
        <v>0.4355615840281506</v>
      </c>
      <c r="L1654" t="s">
        <v>54</v>
      </c>
    </row>
    <row r="1655" spans="1:12" x14ac:dyDescent="0.25">
      <c r="A1655" t="s">
        <v>487</v>
      </c>
      <c r="B1655" t="s">
        <v>461</v>
      </c>
      <c r="C1655" t="s">
        <v>462</v>
      </c>
      <c r="D1655" t="s">
        <v>158</v>
      </c>
      <c r="E1655" t="s">
        <v>164</v>
      </c>
      <c r="F1655">
        <v>3</v>
      </c>
      <c r="G1655" t="s">
        <v>488</v>
      </c>
      <c r="H1655" s="4">
        <v>39458602</v>
      </c>
      <c r="I1655" s="4">
        <v>41836372.645228736</v>
      </c>
      <c r="J1655" s="3">
        <v>0.060259880601667946</v>
      </c>
      <c r="K1655" s="3">
        <v>-0.05683500970297221</v>
      </c>
      <c r="L1655" t="s">
        <v>54</v>
      </c>
    </row>
    <row r="1656" spans="1:12" x14ac:dyDescent="0.25">
      <c r="A1656" t="s">
        <v>487</v>
      </c>
      <c r="B1656" t="s">
        <v>461</v>
      </c>
      <c r="C1656" t="s">
        <v>462</v>
      </c>
      <c r="D1656" t="s">
        <v>158</v>
      </c>
      <c r="E1656" t="s">
        <v>164</v>
      </c>
      <c r="F1656">
        <v>3</v>
      </c>
      <c r="G1656" t="s">
        <v>498</v>
      </c>
      <c r="H1656" s="4">
        <v>39458602</v>
      </c>
      <c r="I1656" s="4">
        <v>31241635</v>
      </c>
      <c r="J1656" s="3">
        <v>0.20824272993756848</v>
      </c>
      <c r="K1656" s="3">
        <v>0.26301334741283544</v>
      </c>
      <c r="L1656" t="s">
        <v>54</v>
      </c>
    </row>
    <row r="1657" spans="1:12" x14ac:dyDescent="0.25">
      <c r="A1657" t="s">
        <v>487</v>
      </c>
      <c r="B1657" t="s">
        <v>461</v>
      </c>
      <c r="C1657" t="s">
        <v>462</v>
      </c>
      <c r="D1657" t="s">
        <v>158</v>
      </c>
      <c r="E1657" t="s">
        <v>164</v>
      </c>
      <c r="F1657">
        <v>3</v>
      </c>
      <c r="G1657" t="s">
        <v>499</v>
      </c>
      <c r="H1657" s="4">
        <v>39458602</v>
      </c>
      <c r="I1657" s="4">
        <v>23203224</v>
      </c>
      <c r="J1657" s="3">
        <v>0.41196031222799023</v>
      </c>
      <c r="K1657" s="3">
        <v>0.7005654903818538</v>
      </c>
      <c r="L1657" t="s">
        <v>54</v>
      </c>
    </row>
    <row r="1658" spans="1:12" x14ac:dyDescent="0.25">
      <c r="A1658" t="s">
        <v>487</v>
      </c>
      <c r="B1658" t="s">
        <v>461</v>
      </c>
      <c r="C1658" t="s">
        <v>462</v>
      </c>
      <c r="D1658" t="s">
        <v>160</v>
      </c>
      <c r="E1658" t="s">
        <v>162</v>
      </c>
      <c r="F1658">
        <v>1</v>
      </c>
      <c r="G1658" t="s">
        <v>488</v>
      </c>
      <c r="H1658" s="4">
        <v>33309657</v>
      </c>
      <c r="I1658" s="4">
        <v>31091516.233524606</v>
      </c>
      <c r="J1658" s="3">
        <v>0.0665915222866268</v>
      </c>
      <c r="K1658" s="3">
        <v>0.07134231569201091</v>
      </c>
      <c r="L1658" t="s">
        <v>54</v>
      </c>
    </row>
    <row r="1659" spans="1:12" x14ac:dyDescent="0.25">
      <c r="A1659" t="s">
        <v>487</v>
      </c>
      <c r="B1659" t="s">
        <v>461</v>
      </c>
      <c r="C1659" t="s">
        <v>462</v>
      </c>
      <c r="D1659" t="s">
        <v>160</v>
      </c>
      <c r="E1659" t="s">
        <v>162</v>
      </c>
      <c r="F1659">
        <v>1</v>
      </c>
      <c r="G1659" t="s">
        <v>498</v>
      </c>
      <c r="H1659" s="4">
        <v>33309657</v>
      </c>
      <c r="I1659" s="4">
        <v>23178458</v>
      </c>
      <c r="J1659" s="3">
        <v>0.30415200612843296</v>
      </c>
      <c r="K1659" s="3">
        <v>0.4370954702853831</v>
      </c>
      <c r="L1659" t="s">
        <v>54</v>
      </c>
    </row>
    <row r="1660" spans="1:12" x14ac:dyDescent="0.25">
      <c r="A1660" t="s">
        <v>487</v>
      </c>
      <c r="B1660" t="s">
        <v>461</v>
      </c>
      <c r="C1660" t="s">
        <v>462</v>
      </c>
      <c r="D1660" t="s">
        <v>160</v>
      </c>
      <c r="E1660" t="s">
        <v>162</v>
      </c>
      <c r="F1660">
        <v>1</v>
      </c>
      <c r="G1660" t="s">
        <v>499</v>
      </c>
      <c r="H1660" s="4">
        <v>33309657</v>
      </c>
      <c r="I1660" s="4">
        <v>27489172</v>
      </c>
      <c r="J1660" s="3">
        <v>0.17473866512645267</v>
      </c>
      <c r="K1660" s="3">
        <v>0.21173737062724188</v>
      </c>
      <c r="L1660" t="s">
        <v>54</v>
      </c>
    </row>
    <row r="1661" spans="1:12" x14ac:dyDescent="0.25">
      <c r="A1661" t="s">
        <v>487</v>
      </c>
      <c r="B1661" t="s">
        <v>461</v>
      </c>
      <c r="C1661" t="s">
        <v>462</v>
      </c>
      <c r="D1661" t="s">
        <v>160</v>
      </c>
      <c r="E1661" t="s">
        <v>164</v>
      </c>
      <c r="F1661">
        <v>2</v>
      </c>
      <c r="G1661" t="s">
        <v>488</v>
      </c>
      <c r="H1661" s="4">
        <v>39458602</v>
      </c>
      <c r="I1661" s="4">
        <v>41907438.43979399</v>
      </c>
      <c r="J1661" s="3">
        <v>0.0620609022031239</v>
      </c>
      <c r="K1661" s="3">
        <v>-0.0584344099988858</v>
      </c>
      <c r="L1661" t="s">
        <v>54</v>
      </c>
    </row>
    <row r="1662" spans="1:12" x14ac:dyDescent="0.25">
      <c r="A1662" t="s">
        <v>487</v>
      </c>
      <c r="B1662" t="s">
        <v>461</v>
      </c>
      <c r="C1662" t="s">
        <v>462</v>
      </c>
      <c r="D1662" t="s">
        <v>160</v>
      </c>
      <c r="E1662" t="s">
        <v>164</v>
      </c>
      <c r="F1662">
        <v>2</v>
      </c>
      <c r="G1662" t="s">
        <v>498</v>
      </c>
      <c r="H1662" s="4">
        <v>39458602</v>
      </c>
      <c r="I1662" s="4">
        <v>31241635</v>
      </c>
      <c r="J1662" s="3">
        <v>0.20824272993756848</v>
      </c>
      <c r="K1662" s="3">
        <v>0.26301334741283544</v>
      </c>
      <c r="L1662" t="s">
        <v>54</v>
      </c>
    </row>
    <row r="1663" spans="1:12" x14ac:dyDescent="0.25">
      <c r="A1663" t="s">
        <v>487</v>
      </c>
      <c r="B1663" t="s">
        <v>461</v>
      </c>
      <c r="C1663" t="s">
        <v>462</v>
      </c>
      <c r="D1663" t="s">
        <v>160</v>
      </c>
      <c r="E1663" t="s">
        <v>164</v>
      </c>
      <c r="F1663">
        <v>2</v>
      </c>
      <c r="G1663" t="s">
        <v>499</v>
      </c>
      <c r="H1663" s="4">
        <v>39458602</v>
      </c>
      <c r="I1663" s="4">
        <v>27489172</v>
      </c>
      <c r="J1663" s="3">
        <v>0.303341461514526</v>
      </c>
      <c r="K1663" s="3">
        <v>0.4354234460026661</v>
      </c>
      <c r="L1663" t="s">
        <v>54</v>
      </c>
    </row>
    <row r="1664" spans="1:12" x14ac:dyDescent="0.25">
      <c r="A1664" t="s">
        <v>487</v>
      </c>
      <c r="B1664" t="s">
        <v>461</v>
      </c>
      <c r="C1664" t="s">
        <v>462</v>
      </c>
      <c r="D1664" t="s">
        <v>160</v>
      </c>
      <c r="E1664" t="s">
        <v>166</v>
      </c>
      <c r="F1664">
        <v>3</v>
      </c>
      <c r="G1664" t="s">
        <v>488</v>
      </c>
      <c r="H1664" s="4">
        <v>34152518</v>
      </c>
      <c r="I1664" s="4">
        <v>37011683.781192765</v>
      </c>
      <c r="J1664" s="3">
        <v>0.08371756897083736</v>
      </c>
      <c r="K1664" s="3">
        <v>-0.07725035688988649</v>
      </c>
      <c r="L1664" t="s">
        <v>54</v>
      </c>
    </row>
    <row r="1665" spans="1:12" x14ac:dyDescent="0.25">
      <c r="A1665" t="s">
        <v>487</v>
      </c>
      <c r="B1665" t="s">
        <v>461</v>
      </c>
      <c r="C1665" t="s">
        <v>462</v>
      </c>
      <c r="D1665" t="s">
        <v>160</v>
      </c>
      <c r="E1665" t="s">
        <v>166</v>
      </c>
      <c r="F1665">
        <v>3</v>
      </c>
      <c r="G1665" t="s">
        <v>498</v>
      </c>
      <c r="H1665" s="4">
        <v>34152518</v>
      </c>
      <c r="I1665" s="4">
        <v>27591892</v>
      </c>
      <c r="J1665" s="3">
        <v>0.19209787108523008</v>
      </c>
      <c r="K1665" s="3">
        <v>0.23777369090890904</v>
      </c>
      <c r="L1665" t="s">
        <v>54</v>
      </c>
    </row>
    <row r="1666" spans="1:12" x14ac:dyDescent="0.25">
      <c r="A1666" t="s">
        <v>487</v>
      </c>
      <c r="B1666" t="s">
        <v>461</v>
      </c>
      <c r="C1666" t="s">
        <v>462</v>
      </c>
      <c r="D1666" t="s">
        <v>160</v>
      </c>
      <c r="E1666" t="s">
        <v>166</v>
      </c>
      <c r="F1666">
        <v>3</v>
      </c>
      <c r="G1666" t="s">
        <v>499</v>
      </c>
      <c r="H1666" s="4">
        <v>34152518</v>
      </c>
      <c r="I1666" s="4">
        <v>27489172</v>
      </c>
      <c r="J1666" s="3">
        <v>0.19510555561379106</v>
      </c>
      <c r="K1666" s="3">
        <v>0.24239893438769272</v>
      </c>
      <c r="L1666" t="s">
        <v>54</v>
      </c>
    </row>
    <row r="1667" spans="1:12" x14ac:dyDescent="0.25">
      <c r="A1667" t="s">
        <v>487</v>
      </c>
      <c r="B1667" t="s">
        <v>461</v>
      </c>
      <c r="C1667" t="s">
        <v>462</v>
      </c>
      <c r="D1667" t="s">
        <v>162</v>
      </c>
      <c r="E1667" t="s">
        <v>164</v>
      </c>
      <c r="F1667">
        <v>1</v>
      </c>
      <c r="G1667" t="s">
        <v>488</v>
      </c>
      <c r="H1667" s="4">
        <v>39458602</v>
      </c>
      <c r="I1667" s="4">
        <v>42784592.51544046</v>
      </c>
      <c r="J1667" s="3">
        <v>0.0842906323807533</v>
      </c>
      <c r="K1667" s="3">
        <v>-0.07773804353144524</v>
      </c>
      <c r="L1667" t="s">
        <v>54</v>
      </c>
    </row>
    <row r="1668" spans="1:12" x14ac:dyDescent="0.25">
      <c r="A1668" t="s">
        <v>487</v>
      </c>
      <c r="B1668" t="s">
        <v>461</v>
      </c>
      <c r="C1668" t="s">
        <v>462</v>
      </c>
      <c r="D1668" t="s">
        <v>162</v>
      </c>
      <c r="E1668" t="s">
        <v>164</v>
      </c>
      <c r="F1668">
        <v>1</v>
      </c>
      <c r="G1668" t="s">
        <v>498</v>
      </c>
      <c r="H1668" s="4">
        <v>39458602</v>
      </c>
      <c r="I1668" s="4">
        <v>31241635</v>
      </c>
      <c r="J1668" s="3">
        <v>0.20824272993756848</v>
      </c>
      <c r="K1668" s="3">
        <v>0.26301334741283544</v>
      </c>
      <c r="L1668" t="s">
        <v>54</v>
      </c>
    </row>
    <row r="1669" spans="1:12" x14ac:dyDescent="0.25">
      <c r="A1669" t="s">
        <v>487</v>
      </c>
      <c r="B1669" t="s">
        <v>461</v>
      </c>
      <c r="C1669" t="s">
        <v>462</v>
      </c>
      <c r="D1669" t="s">
        <v>162</v>
      </c>
      <c r="E1669" t="s">
        <v>164</v>
      </c>
      <c r="F1669">
        <v>1</v>
      </c>
      <c r="G1669" t="s">
        <v>499</v>
      </c>
      <c r="H1669" s="4">
        <v>39458602</v>
      </c>
      <c r="I1669" s="4">
        <v>33309657</v>
      </c>
      <c r="J1669" s="3">
        <v>0.15583281435059457</v>
      </c>
      <c r="K1669" s="3">
        <v>0.1845994691569475</v>
      </c>
      <c r="L1669" t="s">
        <v>54</v>
      </c>
    </row>
    <row r="1670" spans="1:12" x14ac:dyDescent="0.25">
      <c r="A1670" t="s">
        <v>487</v>
      </c>
      <c r="B1670" t="s">
        <v>461</v>
      </c>
      <c r="C1670" t="s">
        <v>462</v>
      </c>
      <c r="D1670" t="s">
        <v>162</v>
      </c>
      <c r="E1670" t="s">
        <v>166</v>
      </c>
      <c r="F1670">
        <v>2</v>
      </c>
      <c r="G1670" t="s">
        <v>488</v>
      </c>
      <c r="H1670" s="4">
        <v>34152518</v>
      </c>
      <c r="I1670" s="4">
        <v>37786366.044864215</v>
      </c>
      <c r="J1670" s="3">
        <v>0.10640058940498076</v>
      </c>
      <c r="K1670" s="3">
        <v>-0.09616823275754283</v>
      </c>
      <c r="L1670" t="s">
        <v>54</v>
      </c>
    </row>
    <row r="1671" spans="1:12" x14ac:dyDescent="0.25">
      <c r="A1671" t="s">
        <v>487</v>
      </c>
      <c r="B1671" t="s">
        <v>461</v>
      </c>
      <c r="C1671" t="s">
        <v>462</v>
      </c>
      <c r="D1671" t="s">
        <v>162</v>
      </c>
      <c r="E1671" t="s">
        <v>166</v>
      </c>
      <c r="F1671">
        <v>2</v>
      </c>
      <c r="G1671" t="s">
        <v>498</v>
      </c>
      <c r="H1671" s="4">
        <v>34152518</v>
      </c>
      <c r="I1671" s="4">
        <v>27591892</v>
      </c>
      <c r="J1671" s="3">
        <v>0.19209787108523008</v>
      </c>
      <c r="K1671" s="3">
        <v>0.23777369090890904</v>
      </c>
      <c r="L1671" t="s">
        <v>54</v>
      </c>
    </row>
    <row r="1672" spans="1:12" x14ac:dyDescent="0.25">
      <c r="A1672" t="s">
        <v>487</v>
      </c>
      <c r="B1672" t="s">
        <v>461</v>
      </c>
      <c r="C1672" t="s">
        <v>462</v>
      </c>
      <c r="D1672" t="s">
        <v>162</v>
      </c>
      <c r="E1672" t="s">
        <v>166</v>
      </c>
      <c r="F1672">
        <v>2</v>
      </c>
      <c r="G1672" t="s">
        <v>499</v>
      </c>
      <c r="H1672" s="4">
        <v>34152518</v>
      </c>
      <c r="I1672" s="4">
        <v>33309657</v>
      </c>
      <c r="J1672" s="3">
        <v>0.0246793223269804</v>
      </c>
      <c r="K1672" s="3">
        <v>0.025303803038260044</v>
      </c>
      <c r="L1672" t="s">
        <v>54</v>
      </c>
    </row>
    <row r="1673" spans="1:12" x14ac:dyDescent="0.25">
      <c r="A1673" t="s">
        <v>487</v>
      </c>
      <c r="B1673" t="s">
        <v>461</v>
      </c>
      <c r="C1673" t="s">
        <v>462</v>
      </c>
      <c r="D1673" t="s">
        <v>162</v>
      </c>
      <c r="E1673" t="s">
        <v>168</v>
      </c>
      <c r="F1673">
        <v>3</v>
      </c>
      <c r="G1673" t="s">
        <v>488</v>
      </c>
      <c r="H1673" s="4">
        <v>40888949</v>
      </c>
      <c r="I1673" s="4">
        <v>38635653.278263025</v>
      </c>
      <c r="J1673" s="3">
        <v>0.055107694789048624</v>
      </c>
      <c r="K1673" s="3">
        <v>0.05832166743779926</v>
      </c>
      <c r="L1673" t="s">
        <v>54</v>
      </c>
    </row>
    <row r="1674" spans="1:12" x14ac:dyDescent="0.25">
      <c r="A1674" t="s">
        <v>487</v>
      </c>
      <c r="B1674" t="s">
        <v>461</v>
      </c>
      <c r="C1674" t="s">
        <v>462</v>
      </c>
      <c r="D1674" t="s">
        <v>162</v>
      </c>
      <c r="E1674" t="s">
        <v>168</v>
      </c>
      <c r="F1674">
        <v>3</v>
      </c>
      <c r="G1674" t="s">
        <v>498</v>
      </c>
      <c r="H1674" s="4">
        <v>40888949</v>
      </c>
      <c r="I1674" s="4">
        <v>28212048</v>
      </c>
      <c r="J1674" s="3">
        <v>0.31003244910990496</v>
      </c>
      <c r="K1674" s="3">
        <v>0.44934352160467045</v>
      </c>
      <c r="L1674" t="s">
        <v>54</v>
      </c>
    </row>
    <row r="1675" spans="1:12" x14ac:dyDescent="0.25">
      <c r="A1675" t="s">
        <v>487</v>
      </c>
      <c r="B1675" t="s">
        <v>461</v>
      </c>
      <c r="C1675" t="s">
        <v>462</v>
      </c>
      <c r="D1675" t="s">
        <v>162</v>
      </c>
      <c r="E1675" t="s">
        <v>168</v>
      </c>
      <c r="F1675">
        <v>3</v>
      </c>
      <c r="G1675" t="s">
        <v>499</v>
      </c>
      <c r="H1675" s="4">
        <v>40888949</v>
      </c>
      <c r="I1675" s="4">
        <v>33309657</v>
      </c>
      <c r="J1675" s="3">
        <v>0.18536284706168407</v>
      </c>
      <c r="K1675" s="3">
        <v>0.22754037965626606</v>
      </c>
      <c r="L1675" t="s">
        <v>54</v>
      </c>
    </row>
    <row r="1676" spans="1:12" x14ac:dyDescent="0.25">
      <c r="A1676" t="s">
        <v>487</v>
      </c>
      <c r="B1676" t="s">
        <v>461</v>
      </c>
      <c r="C1676" t="s">
        <v>462</v>
      </c>
      <c r="D1676" t="s">
        <v>164</v>
      </c>
      <c r="E1676" t="s">
        <v>166</v>
      </c>
      <c r="F1676">
        <v>1</v>
      </c>
      <c r="G1676" t="s">
        <v>488</v>
      </c>
      <c r="H1676" s="4">
        <v>34152518</v>
      </c>
      <c r="I1676" s="4">
        <v>37804281.65259459</v>
      </c>
      <c r="J1676" s="3">
        <v>0.10692516588658525</v>
      </c>
      <c r="K1676" s="3">
        <v>-0.09659656242519715</v>
      </c>
      <c r="L1676" t="s">
        <v>54</v>
      </c>
    </row>
    <row r="1677" spans="1:12" x14ac:dyDescent="0.25">
      <c r="A1677" t="s">
        <v>487</v>
      </c>
      <c r="B1677" t="s">
        <v>461</v>
      </c>
      <c r="C1677" t="s">
        <v>462</v>
      </c>
      <c r="D1677" t="s">
        <v>164</v>
      </c>
      <c r="E1677" t="s">
        <v>166</v>
      </c>
      <c r="F1677">
        <v>1</v>
      </c>
      <c r="G1677" t="s">
        <v>498</v>
      </c>
      <c r="H1677" s="4">
        <v>34152518</v>
      </c>
      <c r="I1677" s="4">
        <v>27591892</v>
      </c>
      <c r="J1677" s="3">
        <v>0.19209787108523008</v>
      </c>
      <c r="K1677" s="3">
        <v>0.23777369090890904</v>
      </c>
      <c r="L1677" t="s">
        <v>54</v>
      </c>
    </row>
    <row r="1678" spans="1:12" x14ac:dyDescent="0.25">
      <c r="A1678" t="s">
        <v>487</v>
      </c>
      <c r="B1678" t="s">
        <v>461</v>
      </c>
      <c r="C1678" t="s">
        <v>462</v>
      </c>
      <c r="D1678" t="s">
        <v>164</v>
      </c>
      <c r="E1678" t="s">
        <v>166</v>
      </c>
      <c r="F1678">
        <v>1</v>
      </c>
      <c r="G1678" t="s">
        <v>499</v>
      </c>
      <c r="H1678" s="4">
        <v>34152518</v>
      </c>
      <c r="I1678" s="4">
        <v>39458602</v>
      </c>
      <c r="J1678" s="3">
        <v>0.1553643570292533</v>
      </c>
      <c r="K1678" s="3">
        <v>-0.13447217415355972</v>
      </c>
      <c r="L1678" t="s">
        <v>54</v>
      </c>
    </row>
    <row r="1679" spans="1:12" x14ac:dyDescent="0.25">
      <c r="A1679" t="s">
        <v>487</v>
      </c>
      <c r="B1679" t="s">
        <v>461</v>
      </c>
      <c r="C1679" t="s">
        <v>462</v>
      </c>
      <c r="D1679" t="s">
        <v>164</v>
      </c>
      <c r="E1679" t="s">
        <v>168</v>
      </c>
      <c r="F1679">
        <v>2</v>
      </c>
      <c r="G1679" t="s">
        <v>488</v>
      </c>
      <c r="H1679" s="4">
        <v>40888949</v>
      </c>
      <c r="I1679" s="4">
        <v>38653971.55760532</v>
      </c>
      <c r="J1679" s="3">
        <v>0.05465969405070013</v>
      </c>
      <c r="K1679" s="3">
        <v>0.05782012435808658</v>
      </c>
      <c r="L1679" t="s">
        <v>54</v>
      </c>
    </row>
    <row r="1680" spans="1:12" x14ac:dyDescent="0.25">
      <c r="A1680" t="s">
        <v>487</v>
      </c>
      <c r="B1680" t="s">
        <v>461</v>
      </c>
      <c r="C1680" t="s">
        <v>462</v>
      </c>
      <c r="D1680" t="s">
        <v>164</v>
      </c>
      <c r="E1680" t="s">
        <v>168</v>
      </c>
      <c r="F1680">
        <v>2</v>
      </c>
      <c r="G1680" t="s">
        <v>498</v>
      </c>
      <c r="H1680" s="4">
        <v>40888949</v>
      </c>
      <c r="I1680" s="4">
        <v>28212048</v>
      </c>
      <c r="J1680" s="3">
        <v>0.31003244910990496</v>
      </c>
      <c r="K1680" s="3">
        <v>0.44934352160467045</v>
      </c>
      <c r="L1680" t="s">
        <v>54</v>
      </c>
    </row>
    <row r="1681" spans="1:12" x14ac:dyDescent="0.25">
      <c r="A1681" t="s">
        <v>487</v>
      </c>
      <c r="B1681" t="s">
        <v>461</v>
      </c>
      <c r="C1681" t="s">
        <v>462</v>
      </c>
      <c r="D1681" t="s">
        <v>164</v>
      </c>
      <c r="E1681" t="s">
        <v>168</v>
      </c>
      <c r="F1681">
        <v>2</v>
      </c>
      <c r="G1681" t="s">
        <v>499</v>
      </c>
      <c r="H1681" s="4">
        <v>40888949</v>
      </c>
      <c r="I1681" s="4">
        <v>39458602</v>
      </c>
      <c r="J1681" s="3">
        <v>0.03498126107374391</v>
      </c>
      <c r="K1681" s="3">
        <v>0.03624930756543275</v>
      </c>
      <c r="L1681" t="s">
        <v>54</v>
      </c>
    </row>
    <row r="1682" spans="1:12" x14ac:dyDescent="0.25">
      <c r="A1682" t="s">
        <v>487</v>
      </c>
      <c r="B1682" t="s">
        <v>461</v>
      </c>
      <c r="C1682" t="s">
        <v>462</v>
      </c>
      <c r="D1682" t="s">
        <v>164</v>
      </c>
      <c r="E1682" t="s">
        <v>170</v>
      </c>
      <c r="F1682">
        <v>3</v>
      </c>
      <c r="G1682" t="s">
        <v>488</v>
      </c>
      <c r="H1682" s="4">
        <v>35623741</v>
      </c>
      <c r="I1682" s="4">
        <v>41680449.618088916</v>
      </c>
      <c r="J1682" s="3">
        <v>0.17001888201716142</v>
      </c>
      <c r="K1682" s="3">
        <v>-0.14531293864594882</v>
      </c>
      <c r="L1682" t="s">
        <v>54</v>
      </c>
    </row>
    <row r="1683" spans="1:12" x14ac:dyDescent="0.25">
      <c r="A1683" t="s">
        <v>487</v>
      </c>
      <c r="B1683" t="s">
        <v>461</v>
      </c>
      <c r="C1683" t="s">
        <v>462</v>
      </c>
      <c r="D1683" t="s">
        <v>164</v>
      </c>
      <c r="E1683" t="s">
        <v>170</v>
      </c>
      <c r="F1683">
        <v>3</v>
      </c>
      <c r="G1683" t="s">
        <v>498</v>
      </c>
      <c r="H1683" s="4">
        <v>35623741</v>
      </c>
      <c r="I1683" s="4">
        <v>30420958</v>
      </c>
      <c r="J1683" s="3">
        <v>0.14604819297333202</v>
      </c>
      <c r="K1683" s="3">
        <v>0.1710262707703025</v>
      </c>
      <c r="L1683" t="s">
        <v>54</v>
      </c>
    </row>
    <row r="1684" spans="1:12" x14ac:dyDescent="0.25">
      <c r="A1684" t="s">
        <v>487</v>
      </c>
      <c r="B1684" t="s">
        <v>461</v>
      </c>
      <c r="C1684" t="s">
        <v>462</v>
      </c>
      <c r="D1684" t="s">
        <v>164</v>
      </c>
      <c r="E1684" t="s">
        <v>170</v>
      </c>
      <c r="F1684">
        <v>3</v>
      </c>
      <c r="G1684" t="s">
        <v>499</v>
      </c>
      <c r="H1684" s="4">
        <v>35623741</v>
      </c>
      <c r="I1684" s="4">
        <v>39458602</v>
      </c>
      <c r="J1684" s="3">
        <v>0.10764902540696104</v>
      </c>
      <c r="K1684" s="3">
        <v>-0.09718694544728168</v>
      </c>
      <c r="L1684" t="s">
        <v>54</v>
      </c>
    </row>
    <row r="1685" spans="1:12" x14ac:dyDescent="0.25">
      <c r="A1685" t="s">
        <v>487</v>
      </c>
      <c r="B1685" t="s">
        <v>461</v>
      </c>
      <c r="C1685" t="s">
        <v>462</v>
      </c>
      <c r="D1685" t="s">
        <v>166</v>
      </c>
      <c r="E1685" t="s">
        <v>168</v>
      </c>
      <c r="F1685">
        <v>1</v>
      </c>
      <c r="G1685" t="s">
        <v>488</v>
      </c>
      <c r="H1685" s="4">
        <v>40888949</v>
      </c>
      <c r="I1685" s="4">
        <v>38937656.63044006</v>
      </c>
      <c r="J1685" s="3">
        <v>0.04772175409937643</v>
      </c>
      <c r="K1685" s="3">
        <v>0.05011324610722705</v>
      </c>
      <c r="L1685" t="s">
        <v>54</v>
      </c>
    </row>
    <row r="1686" spans="1:12" x14ac:dyDescent="0.25">
      <c r="A1686" t="s">
        <v>487</v>
      </c>
      <c r="B1686" t="s">
        <v>461</v>
      </c>
      <c r="C1686" t="s">
        <v>462</v>
      </c>
      <c r="D1686" t="s">
        <v>166</v>
      </c>
      <c r="E1686" t="s">
        <v>168</v>
      </c>
      <c r="F1686">
        <v>1</v>
      </c>
      <c r="G1686" t="s">
        <v>498</v>
      </c>
      <c r="H1686" s="4">
        <v>40888949</v>
      </c>
      <c r="I1686" s="4">
        <v>28212048</v>
      </c>
      <c r="J1686" s="3">
        <v>0.31003244910990496</v>
      </c>
      <c r="K1686" s="3">
        <v>0.44934352160467045</v>
      </c>
      <c r="L1686" t="s">
        <v>54</v>
      </c>
    </row>
    <row r="1687" spans="1:12" x14ac:dyDescent="0.25">
      <c r="A1687" t="s">
        <v>487</v>
      </c>
      <c r="B1687" t="s">
        <v>461</v>
      </c>
      <c r="C1687" t="s">
        <v>462</v>
      </c>
      <c r="D1687" t="s">
        <v>166</v>
      </c>
      <c r="E1687" t="s">
        <v>168</v>
      </c>
      <c r="F1687">
        <v>1</v>
      </c>
      <c r="G1687" t="s">
        <v>499</v>
      </c>
      <c r="H1687" s="4">
        <v>40888949</v>
      </c>
      <c r="I1687" s="4">
        <v>34152518</v>
      </c>
      <c r="J1687" s="3">
        <v>0.164749428996084</v>
      </c>
      <c r="K1687" s="3">
        <v>0.19724551495734516</v>
      </c>
      <c r="L1687" t="s">
        <v>54</v>
      </c>
    </row>
    <row r="1688" spans="1:12" x14ac:dyDescent="0.25">
      <c r="A1688" t="s">
        <v>487</v>
      </c>
      <c r="B1688" t="s">
        <v>461</v>
      </c>
      <c r="C1688" t="s">
        <v>462</v>
      </c>
      <c r="D1688" t="s">
        <v>166</v>
      </c>
      <c r="E1688" t="s">
        <v>170</v>
      </c>
      <c r="F1688">
        <v>2</v>
      </c>
      <c r="G1688" t="s">
        <v>488</v>
      </c>
      <c r="H1688" s="4">
        <v>35623741</v>
      </c>
      <c r="I1688" s="4">
        <v>41986346.293365106</v>
      </c>
      <c r="J1688" s="3">
        <v>0.17860575882148666</v>
      </c>
      <c r="K1688" s="3">
        <v>-0.15153986605332592</v>
      </c>
      <c r="L1688" t="s">
        <v>54</v>
      </c>
    </row>
    <row r="1689" spans="1:12" x14ac:dyDescent="0.25">
      <c r="A1689" t="s">
        <v>487</v>
      </c>
      <c r="B1689" t="s">
        <v>461</v>
      </c>
      <c r="C1689" t="s">
        <v>462</v>
      </c>
      <c r="D1689" t="s">
        <v>166</v>
      </c>
      <c r="E1689" t="s">
        <v>170</v>
      </c>
      <c r="F1689">
        <v>2</v>
      </c>
      <c r="G1689" t="s">
        <v>498</v>
      </c>
      <c r="H1689" s="4">
        <v>35623741</v>
      </c>
      <c r="I1689" s="4">
        <v>30420958</v>
      </c>
      <c r="J1689" s="3">
        <v>0.14604819297333202</v>
      </c>
      <c r="K1689" s="3">
        <v>0.1710262707703025</v>
      </c>
      <c r="L1689" t="s">
        <v>54</v>
      </c>
    </row>
    <row r="1690" spans="1:12" x14ac:dyDescent="0.25">
      <c r="A1690" t="s">
        <v>487</v>
      </c>
      <c r="B1690" t="s">
        <v>461</v>
      </c>
      <c r="C1690" t="s">
        <v>462</v>
      </c>
      <c r="D1690" t="s">
        <v>166</v>
      </c>
      <c r="E1690" t="s">
        <v>170</v>
      </c>
      <c r="F1690">
        <v>2</v>
      </c>
      <c r="G1690" t="s">
        <v>499</v>
      </c>
      <c r="H1690" s="4">
        <v>35623741</v>
      </c>
      <c r="I1690" s="4">
        <v>34152518</v>
      </c>
      <c r="J1690" s="3">
        <v>0.041298947238584516</v>
      </c>
      <c r="K1690" s="3">
        <v>0.04307802429091758</v>
      </c>
      <c r="L1690" t="s">
        <v>54</v>
      </c>
    </row>
    <row r="1691" spans="1:12" x14ac:dyDescent="0.25">
      <c r="A1691" t="s">
        <v>487</v>
      </c>
      <c r="B1691" t="s">
        <v>461</v>
      </c>
      <c r="C1691" t="s">
        <v>462</v>
      </c>
      <c r="D1691" t="s">
        <v>166</v>
      </c>
      <c r="E1691" t="s">
        <v>172</v>
      </c>
      <c r="F1691">
        <v>3</v>
      </c>
      <c r="G1691" t="s">
        <v>488</v>
      </c>
      <c r="H1691" s="4">
        <v>27346274</v>
      </c>
      <c r="I1691" s="4">
        <v>43735792.685898215</v>
      </c>
      <c r="J1691" s="3">
        <v>0.5993327897576911</v>
      </c>
      <c r="K1691" s="3">
        <v>-0.3747392622697955</v>
      </c>
      <c r="L1691" t="s">
        <v>54</v>
      </c>
    </row>
    <row r="1692" spans="1:12" x14ac:dyDescent="0.25">
      <c r="A1692" t="s">
        <v>487</v>
      </c>
      <c r="B1692" t="s">
        <v>461</v>
      </c>
      <c r="C1692" t="s">
        <v>462</v>
      </c>
      <c r="D1692" t="s">
        <v>166</v>
      </c>
      <c r="E1692" t="s">
        <v>172</v>
      </c>
      <c r="F1692">
        <v>3</v>
      </c>
      <c r="G1692" t="s">
        <v>498</v>
      </c>
      <c r="H1692" s="4">
        <v>27346274</v>
      </c>
      <c r="I1692" s="4">
        <v>31688509</v>
      </c>
      <c r="J1692" s="3">
        <v>0.15878708009727394</v>
      </c>
      <c r="K1692" s="3">
        <v>-0.1370286939028908</v>
      </c>
      <c r="L1692" t="s">
        <v>54</v>
      </c>
    </row>
    <row r="1693" spans="1:12" x14ac:dyDescent="0.25">
      <c r="A1693" t="s">
        <v>487</v>
      </c>
      <c r="B1693" t="s">
        <v>461</v>
      </c>
      <c r="C1693" t="s">
        <v>462</v>
      </c>
      <c r="D1693" t="s">
        <v>166</v>
      </c>
      <c r="E1693" t="s">
        <v>172</v>
      </c>
      <c r="F1693">
        <v>3</v>
      </c>
      <c r="G1693" t="s">
        <v>499</v>
      </c>
      <c r="H1693" s="4">
        <v>27346274</v>
      </c>
      <c r="I1693" s="4">
        <v>34152518</v>
      </c>
      <c r="J1693" s="3">
        <v>0.2488910920734576</v>
      </c>
      <c r="K1693" s="3">
        <v>-0.19928966877347082</v>
      </c>
      <c r="L1693" t="s">
        <v>54</v>
      </c>
    </row>
    <row r="1694" spans="1:12" x14ac:dyDescent="0.25">
      <c r="A1694" t="s">
        <v>487</v>
      </c>
      <c r="B1694" t="s">
        <v>461</v>
      </c>
      <c r="C1694" t="s">
        <v>462</v>
      </c>
      <c r="D1694" t="s">
        <v>168</v>
      </c>
      <c r="E1694" t="s">
        <v>170</v>
      </c>
      <c r="F1694">
        <v>1</v>
      </c>
      <c r="G1694" t="s">
        <v>488</v>
      </c>
      <c r="H1694" s="4">
        <v>35623741</v>
      </c>
      <c r="I1694" s="4">
        <v>42795910.235625565</v>
      </c>
      <c r="J1694" s="3">
        <v>0.20133116383328648</v>
      </c>
      <c r="K1694" s="3">
        <v>-0.1675900616703106</v>
      </c>
      <c r="L1694" t="s">
        <v>54</v>
      </c>
    </row>
    <row r="1695" spans="1:12" x14ac:dyDescent="0.25">
      <c r="A1695" t="s">
        <v>487</v>
      </c>
      <c r="B1695" t="s">
        <v>461</v>
      </c>
      <c r="C1695" t="s">
        <v>462</v>
      </c>
      <c r="D1695" t="s">
        <v>168</v>
      </c>
      <c r="E1695" t="s">
        <v>170</v>
      </c>
      <c r="F1695">
        <v>1</v>
      </c>
      <c r="G1695" t="s">
        <v>498</v>
      </c>
      <c r="H1695" s="4">
        <v>35623741</v>
      </c>
      <c r="I1695" s="4">
        <v>30420958</v>
      </c>
      <c r="J1695" s="3">
        <v>0.14604819297333202</v>
      </c>
      <c r="K1695" s="3">
        <v>0.1710262707703025</v>
      </c>
      <c r="L1695" t="s">
        <v>54</v>
      </c>
    </row>
    <row r="1696" spans="1:12" x14ac:dyDescent="0.25">
      <c r="A1696" t="s">
        <v>487</v>
      </c>
      <c r="B1696" t="s">
        <v>461</v>
      </c>
      <c r="C1696" t="s">
        <v>462</v>
      </c>
      <c r="D1696" t="s">
        <v>168</v>
      </c>
      <c r="E1696" t="s">
        <v>170</v>
      </c>
      <c r="F1696">
        <v>1</v>
      </c>
      <c r="G1696" t="s">
        <v>499</v>
      </c>
      <c r="H1696" s="4">
        <v>35623741</v>
      </c>
      <c r="I1696" s="4">
        <v>40888949</v>
      </c>
      <c r="J1696" s="3">
        <v>0.14780053560348982</v>
      </c>
      <c r="K1696" s="3">
        <v>-0.12876848460937454</v>
      </c>
      <c r="L1696" t="s">
        <v>54</v>
      </c>
    </row>
    <row r="1697" spans="1:12" x14ac:dyDescent="0.25">
      <c r="A1697" t="s">
        <v>487</v>
      </c>
      <c r="B1697" t="s">
        <v>461</v>
      </c>
      <c r="C1697" t="s">
        <v>462</v>
      </c>
      <c r="D1697" t="s">
        <v>168</v>
      </c>
      <c r="E1697" t="s">
        <v>172</v>
      </c>
      <c r="F1697">
        <v>2</v>
      </c>
      <c r="G1697" t="s">
        <v>488</v>
      </c>
      <c r="H1697" s="4">
        <v>27346274</v>
      </c>
      <c r="I1697" s="4">
        <v>44579088.754036374</v>
      </c>
      <c r="J1697" s="3">
        <v>0.6301704851650494</v>
      </c>
      <c r="K1697" s="3">
        <v>-0.38656722772234875</v>
      </c>
      <c r="L1697" t="s">
        <v>54</v>
      </c>
    </row>
    <row r="1698" spans="1:12" x14ac:dyDescent="0.25">
      <c r="A1698" t="s">
        <v>487</v>
      </c>
      <c r="B1698" t="s">
        <v>461</v>
      </c>
      <c r="C1698" t="s">
        <v>462</v>
      </c>
      <c r="D1698" t="s">
        <v>168</v>
      </c>
      <c r="E1698" t="s">
        <v>172</v>
      </c>
      <c r="F1698">
        <v>2</v>
      </c>
      <c r="G1698" t="s">
        <v>498</v>
      </c>
      <c r="H1698" s="4">
        <v>27346274</v>
      </c>
      <c r="I1698" s="4">
        <v>31688509</v>
      </c>
      <c r="J1698" s="3">
        <v>0.15878708009727394</v>
      </c>
      <c r="K1698" s="3">
        <v>-0.1370286939028908</v>
      </c>
      <c r="L1698" t="s">
        <v>54</v>
      </c>
    </row>
    <row r="1699" spans="1:12" x14ac:dyDescent="0.25">
      <c r="A1699" t="s">
        <v>487</v>
      </c>
      <c r="B1699" t="s">
        <v>461</v>
      </c>
      <c r="C1699" t="s">
        <v>462</v>
      </c>
      <c r="D1699" t="s">
        <v>168</v>
      </c>
      <c r="E1699" t="s">
        <v>172</v>
      </c>
      <c r="F1699">
        <v>2</v>
      </c>
      <c r="G1699" t="s">
        <v>499</v>
      </c>
      <c r="H1699" s="4">
        <v>27346274</v>
      </c>
      <c r="I1699" s="4">
        <v>40888949</v>
      </c>
      <c r="J1699" s="3">
        <v>0.49522925865512796</v>
      </c>
      <c r="K1699" s="3">
        <v>-0.3312062386343068</v>
      </c>
      <c r="L1699" t="s">
        <v>54</v>
      </c>
    </row>
    <row r="1700" spans="1:12" x14ac:dyDescent="0.25">
      <c r="A1700" t="s">
        <v>487</v>
      </c>
      <c r="B1700" t="s">
        <v>461</v>
      </c>
      <c r="C1700" t="s">
        <v>462</v>
      </c>
      <c r="D1700" t="s">
        <v>168</v>
      </c>
      <c r="E1700" t="s">
        <v>174</v>
      </c>
      <c r="F1700">
        <v>3</v>
      </c>
      <c r="G1700" t="s">
        <v>488</v>
      </c>
      <c r="H1700" s="4">
        <v>34657008</v>
      </c>
      <c r="I1700" s="4">
        <v>55446368.38018845</v>
      </c>
      <c r="J1700" s="3">
        <v>0.5998602181754539</v>
      </c>
      <c r="K1700" s="3">
        <v>-0.37494539295411633</v>
      </c>
      <c r="L1700" t="s">
        <v>54</v>
      </c>
    </row>
    <row r="1701" spans="1:12" x14ac:dyDescent="0.25">
      <c r="A1701" t="s">
        <v>487</v>
      </c>
      <c r="B1701" t="s">
        <v>461</v>
      </c>
      <c r="C1701" t="s">
        <v>462</v>
      </c>
      <c r="D1701" t="s">
        <v>168</v>
      </c>
      <c r="E1701" t="s">
        <v>174</v>
      </c>
      <c r="F1701">
        <v>3</v>
      </c>
      <c r="G1701" t="s">
        <v>498</v>
      </c>
      <c r="H1701" s="4">
        <v>34657008</v>
      </c>
      <c r="I1701" s="4">
        <v>39413384</v>
      </c>
      <c r="J1701" s="3">
        <v>0.13724139140920646</v>
      </c>
      <c r="K1701" s="3">
        <v>-0.12067920886975855</v>
      </c>
      <c r="L1701" t="s">
        <v>54</v>
      </c>
    </row>
    <row r="1702" spans="1:12" x14ac:dyDescent="0.25">
      <c r="A1702" t="s">
        <v>487</v>
      </c>
      <c r="B1702" t="s">
        <v>461</v>
      </c>
      <c r="C1702" t="s">
        <v>462</v>
      </c>
      <c r="D1702" t="s">
        <v>168</v>
      </c>
      <c r="E1702" t="s">
        <v>174</v>
      </c>
      <c r="F1702">
        <v>3</v>
      </c>
      <c r="G1702" t="s">
        <v>499</v>
      </c>
      <c r="H1702" s="4">
        <v>34657008</v>
      </c>
      <c r="I1702" s="4">
        <v>40888949</v>
      </c>
      <c r="J1702" s="3">
        <v>0.17981762880396368</v>
      </c>
      <c r="K1702" s="3">
        <v>-0.1524113764821884</v>
      </c>
      <c r="L1702" t="s">
        <v>54</v>
      </c>
    </row>
    <row r="1703" spans="1:12" x14ac:dyDescent="0.25">
      <c r="A1703" t="s">
        <v>487</v>
      </c>
      <c r="B1703" t="s">
        <v>461</v>
      </c>
      <c r="C1703" t="s">
        <v>462</v>
      </c>
      <c r="D1703" t="s">
        <v>170</v>
      </c>
      <c r="E1703" t="s">
        <v>172</v>
      </c>
      <c r="F1703">
        <v>1</v>
      </c>
      <c r="G1703" t="s">
        <v>488</v>
      </c>
      <c r="H1703" s="4">
        <v>27346274</v>
      </c>
      <c r="I1703" s="4">
        <v>44284745.30371646</v>
      </c>
      <c r="J1703" s="3">
        <v>0.6194069182410905</v>
      </c>
      <c r="K1703" s="3">
        <v>-0.38248997905594706</v>
      </c>
      <c r="L1703" t="s">
        <v>54</v>
      </c>
    </row>
    <row r="1704" spans="1:12" x14ac:dyDescent="0.25">
      <c r="A1704" t="s">
        <v>487</v>
      </c>
      <c r="B1704" t="s">
        <v>461</v>
      </c>
      <c r="C1704" t="s">
        <v>462</v>
      </c>
      <c r="D1704" t="s">
        <v>170</v>
      </c>
      <c r="E1704" t="s">
        <v>172</v>
      </c>
      <c r="F1704">
        <v>1</v>
      </c>
      <c r="G1704" t="s">
        <v>498</v>
      </c>
      <c r="H1704" s="4">
        <v>27346274</v>
      </c>
      <c r="I1704" s="4">
        <v>31688509</v>
      </c>
      <c r="J1704" s="3">
        <v>0.15878708009727394</v>
      </c>
      <c r="K1704" s="3">
        <v>-0.1370286939028908</v>
      </c>
      <c r="L1704" t="s">
        <v>54</v>
      </c>
    </row>
    <row r="1705" spans="1:12" x14ac:dyDescent="0.25">
      <c r="A1705" t="s">
        <v>487</v>
      </c>
      <c r="B1705" t="s">
        <v>461</v>
      </c>
      <c r="C1705" t="s">
        <v>462</v>
      </c>
      <c r="D1705" t="s">
        <v>170</v>
      </c>
      <c r="E1705" t="s">
        <v>172</v>
      </c>
      <c r="F1705">
        <v>1</v>
      </c>
      <c r="G1705" t="s">
        <v>499</v>
      </c>
      <c r="H1705" s="4">
        <v>27346274</v>
      </c>
      <c r="I1705" s="4">
        <v>35623741</v>
      </c>
      <c r="J1705" s="3">
        <v>0.3026908528745086</v>
      </c>
      <c r="K1705" s="3">
        <v>-0.23235816249618477</v>
      </c>
      <c r="L1705" t="s">
        <v>54</v>
      </c>
    </row>
    <row r="1706" spans="1:12" x14ac:dyDescent="0.25">
      <c r="A1706" t="s">
        <v>487</v>
      </c>
      <c r="B1706" t="s">
        <v>461</v>
      </c>
      <c r="C1706" t="s">
        <v>462</v>
      </c>
      <c r="D1706" t="s">
        <v>170</v>
      </c>
      <c r="E1706" t="s">
        <v>174</v>
      </c>
      <c r="F1706">
        <v>2</v>
      </c>
      <c r="G1706" t="s">
        <v>488</v>
      </c>
      <c r="H1706" s="4">
        <v>34657008</v>
      </c>
      <c r="I1706" s="4">
        <v>55080271.274283476</v>
      </c>
      <c r="J1706" s="3">
        <v>0.5892967815999429</v>
      </c>
      <c r="K1706" s="3">
        <v>-0.3707908984794512</v>
      </c>
      <c r="L1706" t="s">
        <v>54</v>
      </c>
    </row>
    <row r="1707" spans="1:12" x14ac:dyDescent="0.25">
      <c r="A1707" t="s">
        <v>487</v>
      </c>
      <c r="B1707" t="s">
        <v>461</v>
      </c>
      <c r="C1707" t="s">
        <v>462</v>
      </c>
      <c r="D1707" t="s">
        <v>170</v>
      </c>
      <c r="E1707" t="s">
        <v>174</v>
      </c>
      <c r="F1707">
        <v>2</v>
      </c>
      <c r="G1707" t="s">
        <v>498</v>
      </c>
      <c r="H1707" s="4">
        <v>34657008</v>
      </c>
      <c r="I1707" s="4">
        <v>39413384</v>
      </c>
      <c r="J1707" s="3">
        <v>0.13724139140920646</v>
      </c>
      <c r="K1707" s="3">
        <v>-0.12067920886975855</v>
      </c>
      <c r="L1707" t="s">
        <v>54</v>
      </c>
    </row>
    <row r="1708" spans="1:12" x14ac:dyDescent="0.25">
      <c r="A1708" t="s">
        <v>487</v>
      </c>
      <c r="B1708" t="s">
        <v>461</v>
      </c>
      <c r="C1708" t="s">
        <v>462</v>
      </c>
      <c r="D1708" t="s">
        <v>170</v>
      </c>
      <c r="E1708" t="s">
        <v>174</v>
      </c>
      <c r="F1708">
        <v>2</v>
      </c>
      <c r="G1708" t="s">
        <v>499</v>
      </c>
      <c r="H1708" s="4">
        <v>34657008</v>
      </c>
      <c r="I1708" s="4">
        <v>35623741</v>
      </c>
      <c r="J1708" s="3">
        <v>0.02789430062745174</v>
      </c>
      <c r="K1708" s="3">
        <v>-0.027137323954831132</v>
      </c>
      <c r="L1708" t="s">
        <v>54</v>
      </c>
    </row>
    <row r="1709" spans="1:12" x14ac:dyDescent="0.25">
      <c r="A1709" t="s">
        <v>487</v>
      </c>
      <c r="B1709" t="s">
        <v>461</v>
      </c>
      <c r="C1709" t="s">
        <v>462</v>
      </c>
      <c r="D1709" t="s">
        <v>170</v>
      </c>
      <c r="E1709" t="s">
        <v>176</v>
      </c>
      <c r="F1709">
        <v>3</v>
      </c>
      <c r="G1709" t="s">
        <v>488</v>
      </c>
      <c r="H1709" s="4">
        <v>34922910</v>
      </c>
      <c r="I1709" s="4">
        <v>59258010.38129764</v>
      </c>
      <c r="J1709" s="3">
        <v>0.6968233856026786</v>
      </c>
      <c r="K1709" s="3">
        <v>-0.4106634735913782</v>
      </c>
      <c r="L1709" t="s">
        <v>54</v>
      </c>
    </row>
    <row r="1710" spans="1:12" x14ac:dyDescent="0.25">
      <c r="A1710" t="s">
        <v>487</v>
      </c>
      <c r="B1710" t="s">
        <v>461</v>
      </c>
      <c r="C1710" t="s">
        <v>462</v>
      </c>
      <c r="D1710" t="s">
        <v>170</v>
      </c>
      <c r="E1710" t="s">
        <v>176</v>
      </c>
      <c r="F1710">
        <v>3</v>
      </c>
      <c r="G1710" t="s">
        <v>498</v>
      </c>
      <c r="H1710" s="4">
        <v>34922910</v>
      </c>
      <c r="I1710" s="4">
        <v>42402818</v>
      </c>
      <c r="J1710" s="3">
        <v>0.2141834114052924</v>
      </c>
      <c r="K1710" s="3">
        <v>-0.17640120050511737</v>
      </c>
      <c r="L1710" t="s">
        <v>54</v>
      </c>
    </row>
    <row r="1711" spans="1:12" x14ac:dyDescent="0.25">
      <c r="A1711" t="s">
        <v>487</v>
      </c>
      <c r="B1711" t="s">
        <v>461</v>
      </c>
      <c r="C1711" t="s">
        <v>462</v>
      </c>
      <c r="D1711" t="s">
        <v>170</v>
      </c>
      <c r="E1711" t="s">
        <v>176</v>
      </c>
      <c r="F1711">
        <v>3</v>
      </c>
      <c r="G1711" t="s">
        <v>499</v>
      </c>
      <c r="H1711" s="4">
        <v>34922910</v>
      </c>
      <c r="I1711" s="4">
        <v>35623741</v>
      </c>
      <c r="J1711" s="3">
        <v>0.020067943937088863</v>
      </c>
      <c r="K1711" s="3">
        <v>-0.019673144378632216</v>
      </c>
      <c r="L1711" t="s">
        <v>54</v>
      </c>
    </row>
    <row r="1712" spans="1:12" x14ac:dyDescent="0.25">
      <c r="A1712" t="s">
        <v>487</v>
      </c>
      <c r="B1712" t="s">
        <v>461</v>
      </c>
      <c r="C1712" t="s">
        <v>462</v>
      </c>
      <c r="D1712" t="s">
        <v>172</v>
      </c>
      <c r="E1712" t="s">
        <v>174</v>
      </c>
      <c r="F1712">
        <v>1</v>
      </c>
      <c r="G1712" t="s">
        <v>488</v>
      </c>
      <c r="H1712" s="4">
        <v>34657008</v>
      </c>
      <c r="I1712" s="4">
        <v>53062054.5062869</v>
      </c>
      <c r="J1712" s="3">
        <v>0.5310627653225835</v>
      </c>
      <c r="K1712" s="3">
        <v>-0.34685891222146764</v>
      </c>
      <c r="L1712" t="s">
        <v>54</v>
      </c>
    </row>
    <row r="1713" spans="1:12" x14ac:dyDescent="0.25">
      <c r="A1713" t="s">
        <v>487</v>
      </c>
      <c r="B1713" t="s">
        <v>461</v>
      </c>
      <c r="C1713" t="s">
        <v>462</v>
      </c>
      <c r="D1713" t="s">
        <v>172</v>
      </c>
      <c r="E1713" t="s">
        <v>174</v>
      </c>
      <c r="F1713">
        <v>1</v>
      </c>
      <c r="G1713" t="s">
        <v>498</v>
      </c>
      <c r="H1713" s="4">
        <v>34657008</v>
      </c>
      <c r="I1713" s="4">
        <v>39413384</v>
      </c>
      <c r="J1713" s="3">
        <v>0.13724139140920646</v>
      </c>
      <c r="K1713" s="3">
        <v>-0.12067920886975855</v>
      </c>
      <c r="L1713" t="s">
        <v>54</v>
      </c>
    </row>
    <row r="1714" spans="1:12" x14ac:dyDescent="0.25">
      <c r="A1714" t="s">
        <v>487</v>
      </c>
      <c r="B1714" t="s">
        <v>461</v>
      </c>
      <c r="C1714" t="s">
        <v>462</v>
      </c>
      <c r="D1714" t="s">
        <v>172</v>
      </c>
      <c r="E1714" t="s">
        <v>174</v>
      </c>
      <c r="F1714">
        <v>1</v>
      </c>
      <c r="G1714" t="s">
        <v>499</v>
      </c>
      <c r="H1714" s="4">
        <v>34657008</v>
      </c>
      <c r="I1714" s="4">
        <v>27346274</v>
      </c>
      <c r="J1714" s="3">
        <v>0.2109453303066439</v>
      </c>
      <c r="K1714" s="3">
        <v>0.2673393091870578</v>
      </c>
      <c r="L1714" t="s">
        <v>54</v>
      </c>
    </row>
    <row r="1715" spans="1:12" x14ac:dyDescent="0.25">
      <c r="A1715" t="s">
        <v>487</v>
      </c>
      <c r="B1715" t="s">
        <v>461</v>
      </c>
      <c r="C1715" t="s">
        <v>462</v>
      </c>
      <c r="D1715" t="s">
        <v>172</v>
      </c>
      <c r="E1715" t="s">
        <v>176</v>
      </c>
      <c r="F1715">
        <v>2</v>
      </c>
      <c r="G1715" t="s">
        <v>488</v>
      </c>
      <c r="H1715" s="4">
        <v>34922910</v>
      </c>
      <c r="I1715" s="4">
        <v>57086715.516134396</v>
      </c>
      <c r="J1715" s="3">
        <v>0.6346494469142003</v>
      </c>
      <c r="K1715" s="3">
        <v>-0.3882480418735993</v>
      </c>
      <c r="L1715" t="s">
        <v>54</v>
      </c>
    </row>
    <row r="1716" spans="1:12" x14ac:dyDescent="0.25">
      <c r="A1716" t="s">
        <v>487</v>
      </c>
      <c r="B1716" t="s">
        <v>461</v>
      </c>
      <c r="C1716" t="s">
        <v>462</v>
      </c>
      <c r="D1716" t="s">
        <v>172</v>
      </c>
      <c r="E1716" t="s">
        <v>176</v>
      </c>
      <c r="F1716">
        <v>2</v>
      </c>
      <c r="G1716" t="s">
        <v>498</v>
      </c>
      <c r="H1716" s="4">
        <v>34922910</v>
      </c>
      <c r="I1716" s="4">
        <v>42402818</v>
      </c>
      <c r="J1716" s="3">
        <v>0.2141834114052924</v>
      </c>
      <c r="K1716" s="3">
        <v>-0.17640120050511737</v>
      </c>
      <c r="L1716" t="s">
        <v>54</v>
      </c>
    </row>
    <row r="1717" spans="1:12" x14ac:dyDescent="0.25">
      <c r="A1717" t="s">
        <v>487</v>
      </c>
      <c r="B1717" t="s">
        <v>461</v>
      </c>
      <c r="C1717" t="s">
        <v>462</v>
      </c>
      <c r="D1717" t="s">
        <v>172</v>
      </c>
      <c r="E1717" t="s">
        <v>176</v>
      </c>
      <c r="F1717">
        <v>2</v>
      </c>
      <c r="G1717" t="s">
        <v>499</v>
      </c>
      <c r="H1717" s="4">
        <v>34922910</v>
      </c>
      <c r="I1717" s="4">
        <v>27346274</v>
      </c>
      <c r="J1717" s="3">
        <v>0.21695316913739435</v>
      </c>
      <c r="K1717" s="3">
        <v>0.27706282764518486</v>
      </c>
      <c r="L1717" t="s">
        <v>54</v>
      </c>
    </row>
    <row r="1718" spans="1:12" x14ac:dyDescent="0.25">
      <c r="A1718" t="s">
        <v>487</v>
      </c>
      <c r="B1718" t="s">
        <v>461</v>
      </c>
      <c r="C1718" t="s">
        <v>462</v>
      </c>
      <c r="D1718" t="s">
        <v>172</v>
      </c>
      <c r="E1718" t="s">
        <v>178</v>
      </c>
      <c r="F1718">
        <v>3</v>
      </c>
      <c r="G1718" t="s">
        <v>488</v>
      </c>
      <c r="H1718" s="4">
        <v>28270015</v>
      </c>
      <c r="I1718" s="4">
        <v>45233098.14379486</v>
      </c>
      <c r="J1718" s="3">
        <v>0.6000379958692932</v>
      </c>
      <c r="K1718" s="3">
        <v>-0.3750148417839886</v>
      </c>
      <c r="L1718" t="s">
        <v>54</v>
      </c>
    </row>
    <row r="1719" spans="1:12" x14ac:dyDescent="0.25">
      <c r="A1719" t="s">
        <v>487</v>
      </c>
      <c r="B1719" t="s">
        <v>461</v>
      </c>
      <c r="C1719" t="s">
        <v>462</v>
      </c>
      <c r="D1719" t="s">
        <v>172</v>
      </c>
      <c r="E1719" t="s">
        <v>178</v>
      </c>
      <c r="F1719">
        <v>3</v>
      </c>
      <c r="G1719" t="s">
        <v>498</v>
      </c>
      <c r="H1719" s="4">
        <v>28270015</v>
      </c>
      <c r="I1719" s="4">
        <v>33598199</v>
      </c>
      <c r="J1719" s="3">
        <v>0.1884747496596659</v>
      </c>
      <c r="K1719" s="3">
        <v>-0.1585854051284118</v>
      </c>
      <c r="L1719" t="s">
        <v>54</v>
      </c>
    </row>
    <row r="1720" spans="1:12" x14ac:dyDescent="0.25">
      <c r="A1720" t="s">
        <v>487</v>
      </c>
      <c r="B1720" t="s">
        <v>461</v>
      </c>
      <c r="C1720" t="s">
        <v>462</v>
      </c>
      <c r="D1720" t="s">
        <v>172</v>
      </c>
      <c r="E1720" t="s">
        <v>178</v>
      </c>
      <c r="F1720">
        <v>3</v>
      </c>
      <c r="G1720" t="s">
        <v>499</v>
      </c>
      <c r="H1720" s="4">
        <v>28270015</v>
      </c>
      <c r="I1720" s="4">
        <v>27346274</v>
      </c>
      <c r="J1720" s="3">
        <v>0.03267564590963252</v>
      </c>
      <c r="K1720" s="3">
        <v>0.03377940994813407</v>
      </c>
      <c r="L1720" t="s">
        <v>54</v>
      </c>
    </row>
    <row r="1721" spans="1:12" x14ac:dyDescent="0.25">
      <c r="A1721" t="s">
        <v>487</v>
      </c>
      <c r="B1721" t="s">
        <v>461</v>
      </c>
      <c r="C1721" t="s">
        <v>462</v>
      </c>
      <c r="D1721" t="s">
        <v>174</v>
      </c>
      <c r="E1721" t="s">
        <v>176</v>
      </c>
      <c r="F1721">
        <v>1</v>
      </c>
      <c r="G1721" t="s">
        <v>488</v>
      </c>
      <c r="H1721" s="4">
        <v>34922910</v>
      </c>
      <c r="I1721" s="4">
        <v>54435789.105546534</v>
      </c>
      <c r="J1721" s="3">
        <v>0.5587414996501303</v>
      </c>
      <c r="K1721" s="3">
        <v>-0.35845680619624454</v>
      </c>
      <c r="L1721" t="s">
        <v>54</v>
      </c>
    </row>
    <row r="1722" spans="1:12" x14ac:dyDescent="0.25">
      <c r="A1722" t="s">
        <v>487</v>
      </c>
      <c r="B1722" t="s">
        <v>461</v>
      </c>
      <c r="C1722" t="s">
        <v>462</v>
      </c>
      <c r="D1722" t="s">
        <v>174</v>
      </c>
      <c r="E1722" t="s">
        <v>176</v>
      </c>
      <c r="F1722">
        <v>1</v>
      </c>
      <c r="G1722" t="s">
        <v>498</v>
      </c>
      <c r="H1722" s="4">
        <v>34922910</v>
      </c>
      <c r="I1722" s="4">
        <v>42402818</v>
      </c>
      <c r="J1722" s="3">
        <v>0.2141834114052924</v>
      </c>
      <c r="K1722" s="3">
        <v>-0.17640120050511737</v>
      </c>
      <c r="L1722" t="s">
        <v>54</v>
      </c>
    </row>
    <row r="1723" spans="1:12" x14ac:dyDescent="0.25">
      <c r="A1723" t="s">
        <v>487</v>
      </c>
      <c r="B1723" t="s">
        <v>461</v>
      </c>
      <c r="C1723" t="s">
        <v>462</v>
      </c>
      <c r="D1723" t="s">
        <v>174</v>
      </c>
      <c r="E1723" t="s">
        <v>176</v>
      </c>
      <c r="F1723">
        <v>1</v>
      </c>
      <c r="G1723" t="s">
        <v>499</v>
      </c>
      <c r="H1723" s="4">
        <v>34922910</v>
      </c>
      <c r="I1723" s="4">
        <v>34657008</v>
      </c>
      <c r="J1723" s="3">
        <v>0.007613970313470441</v>
      </c>
      <c r="K1723" s="3">
        <v>0.007672387645234696</v>
      </c>
      <c r="L1723" t="s">
        <v>54</v>
      </c>
    </row>
    <row r="1724" spans="1:12" x14ac:dyDescent="0.25">
      <c r="A1724" t="s">
        <v>487</v>
      </c>
      <c r="B1724" t="s">
        <v>461</v>
      </c>
      <c r="C1724" t="s">
        <v>462</v>
      </c>
      <c r="D1724" t="s">
        <v>174</v>
      </c>
      <c r="E1724" t="s">
        <v>178</v>
      </c>
      <c r="F1724">
        <v>2</v>
      </c>
      <c r="G1724" t="s">
        <v>488</v>
      </c>
      <c r="H1724" s="4">
        <v>28270015</v>
      </c>
      <c r="I1724" s="4">
        <v>43132616.21173821</v>
      </c>
      <c r="J1724" s="3">
        <v>0.5257372948595255</v>
      </c>
      <c r="K1724" s="3">
        <v>-0.3445791727257542</v>
      </c>
      <c r="L1724" t="s">
        <v>54</v>
      </c>
    </row>
    <row r="1725" spans="1:12" x14ac:dyDescent="0.25">
      <c r="A1725" t="s">
        <v>487</v>
      </c>
      <c r="B1725" t="s">
        <v>461</v>
      </c>
      <c r="C1725" t="s">
        <v>462</v>
      </c>
      <c r="D1725" t="s">
        <v>174</v>
      </c>
      <c r="E1725" t="s">
        <v>178</v>
      </c>
      <c r="F1725">
        <v>2</v>
      </c>
      <c r="G1725" t="s">
        <v>498</v>
      </c>
      <c r="H1725" s="4">
        <v>28270015</v>
      </c>
      <c r="I1725" s="4">
        <v>33598199</v>
      </c>
      <c r="J1725" s="3">
        <v>0.1884747496596659</v>
      </c>
      <c r="K1725" s="3">
        <v>-0.1585854051284118</v>
      </c>
      <c r="L1725" t="s">
        <v>54</v>
      </c>
    </row>
    <row r="1726" spans="1:12" x14ac:dyDescent="0.25">
      <c r="A1726" t="s">
        <v>487</v>
      </c>
      <c r="B1726" t="s">
        <v>461</v>
      </c>
      <c r="C1726" t="s">
        <v>462</v>
      </c>
      <c r="D1726" t="s">
        <v>174</v>
      </c>
      <c r="E1726" t="s">
        <v>178</v>
      </c>
      <c r="F1726">
        <v>2</v>
      </c>
      <c r="G1726" t="s">
        <v>499</v>
      </c>
      <c r="H1726" s="4">
        <v>28270015</v>
      </c>
      <c r="I1726" s="4">
        <v>34657008</v>
      </c>
      <c r="J1726" s="3">
        <v>0.2259281786727032</v>
      </c>
      <c r="K1726" s="3">
        <v>-0.1842915291475825</v>
      </c>
      <c r="L1726" t="s">
        <v>54</v>
      </c>
    </row>
    <row r="1727" spans="1:12" x14ac:dyDescent="0.25">
      <c r="A1727" t="s">
        <v>487</v>
      </c>
      <c r="B1727" t="s">
        <v>461</v>
      </c>
      <c r="C1727" t="s">
        <v>462</v>
      </c>
      <c r="D1727" t="s">
        <v>174</v>
      </c>
      <c r="E1727" t="s">
        <v>180</v>
      </c>
      <c r="F1727">
        <v>3</v>
      </c>
      <c r="G1727" t="s">
        <v>488</v>
      </c>
      <c r="H1727" s="4">
        <v>20295407</v>
      </c>
      <c r="I1727" s="4">
        <v>34616311.44087279</v>
      </c>
      <c r="J1727" s="3">
        <v>0.705622924481031</v>
      </c>
      <c r="K1727" s="3">
        <v>-0.41370394027491775</v>
      </c>
      <c r="L1727" t="s">
        <v>54</v>
      </c>
    </row>
    <row r="1728" spans="1:12" x14ac:dyDescent="0.25">
      <c r="A1728" t="s">
        <v>487</v>
      </c>
      <c r="B1728" t="s">
        <v>461</v>
      </c>
      <c r="C1728" t="s">
        <v>462</v>
      </c>
      <c r="D1728" t="s">
        <v>174</v>
      </c>
      <c r="E1728" t="s">
        <v>180</v>
      </c>
      <c r="F1728">
        <v>3</v>
      </c>
      <c r="G1728" t="s">
        <v>498</v>
      </c>
      <c r="H1728" s="4">
        <v>20295407</v>
      </c>
      <c r="I1728" s="4">
        <v>26964414</v>
      </c>
      <c r="J1728" s="3">
        <v>0.3285968593780849</v>
      </c>
      <c r="K1728" s="3">
        <v>-0.24732623523730202</v>
      </c>
      <c r="L1728" t="s">
        <v>54</v>
      </c>
    </row>
    <row r="1729" spans="1:12" x14ac:dyDescent="0.25">
      <c r="A1729" t="s">
        <v>487</v>
      </c>
      <c r="B1729" t="s">
        <v>461</v>
      </c>
      <c r="C1729" t="s">
        <v>462</v>
      </c>
      <c r="D1729" t="s">
        <v>174</v>
      </c>
      <c r="E1729" t="s">
        <v>180</v>
      </c>
      <c r="F1729">
        <v>3</v>
      </c>
      <c r="G1729" t="s">
        <v>499</v>
      </c>
      <c r="H1729" s="4">
        <v>20295407</v>
      </c>
      <c r="I1729" s="4">
        <v>34657008</v>
      </c>
      <c r="J1729" s="3">
        <v>0.7076281347794602</v>
      </c>
      <c r="K1729" s="3">
        <v>-0.41439240802322</v>
      </c>
      <c r="L1729" t="s">
        <v>54</v>
      </c>
    </row>
    <row r="1730" spans="1:12" x14ac:dyDescent="0.25">
      <c r="A1730" t="s">
        <v>487</v>
      </c>
      <c r="B1730" t="s">
        <v>461</v>
      </c>
      <c r="C1730" t="s">
        <v>462</v>
      </c>
      <c r="D1730" t="s">
        <v>176</v>
      </c>
      <c r="E1730" t="s">
        <v>178</v>
      </c>
      <c r="F1730">
        <v>1</v>
      </c>
      <c r="G1730" t="s">
        <v>488</v>
      </c>
      <c r="H1730" s="4">
        <v>28270015</v>
      </c>
      <c r="I1730" s="4">
        <v>41815312.35657383</v>
      </c>
      <c r="J1730" s="3">
        <v>0.4791400838157966</v>
      </c>
      <c r="K1730" s="3">
        <v>-0.32393151200374465</v>
      </c>
      <c r="L1730" t="s">
        <v>54</v>
      </c>
    </row>
    <row r="1731" spans="1:12" x14ac:dyDescent="0.25">
      <c r="A1731" t="s">
        <v>487</v>
      </c>
      <c r="B1731" t="s">
        <v>461</v>
      </c>
      <c r="C1731" t="s">
        <v>462</v>
      </c>
      <c r="D1731" t="s">
        <v>176</v>
      </c>
      <c r="E1731" t="s">
        <v>178</v>
      </c>
      <c r="F1731">
        <v>1</v>
      </c>
      <c r="G1731" t="s">
        <v>498</v>
      </c>
      <c r="H1731" s="4">
        <v>28270015</v>
      </c>
      <c r="I1731" s="4">
        <v>33598199</v>
      </c>
      <c r="J1731" s="3">
        <v>0.1884747496596659</v>
      </c>
      <c r="K1731" s="3">
        <v>-0.1585854051284118</v>
      </c>
      <c r="L1731" t="s">
        <v>54</v>
      </c>
    </row>
    <row r="1732" spans="1:12" x14ac:dyDescent="0.25">
      <c r="A1732" t="s">
        <v>487</v>
      </c>
      <c r="B1732" t="s">
        <v>461</v>
      </c>
      <c r="C1732" t="s">
        <v>462</v>
      </c>
      <c r="D1732" t="s">
        <v>176</v>
      </c>
      <c r="E1732" t="s">
        <v>178</v>
      </c>
      <c r="F1732">
        <v>1</v>
      </c>
      <c r="G1732" t="s">
        <v>499</v>
      </c>
      <c r="H1732" s="4">
        <v>28270015</v>
      </c>
      <c r="I1732" s="4">
        <v>34922910</v>
      </c>
      <c r="J1732" s="3">
        <v>0.23533397488469673</v>
      </c>
      <c r="K1732" s="3">
        <v>-0.19050230922909916</v>
      </c>
      <c r="L1732" t="s">
        <v>54</v>
      </c>
    </row>
    <row r="1733" spans="1:12" x14ac:dyDescent="0.25">
      <c r="A1733" t="s">
        <v>487</v>
      </c>
      <c r="B1733" t="s">
        <v>461</v>
      </c>
      <c r="C1733" t="s">
        <v>462</v>
      </c>
      <c r="D1733" t="s">
        <v>176</v>
      </c>
      <c r="E1733" t="s">
        <v>180</v>
      </c>
      <c r="F1733">
        <v>2</v>
      </c>
      <c r="G1733" t="s">
        <v>488</v>
      </c>
      <c r="H1733" s="4">
        <v>20295407</v>
      </c>
      <c r="I1733" s="4">
        <v>33559102.198364034</v>
      </c>
      <c r="J1733" s="3">
        <v>0.6535318655281973</v>
      </c>
      <c r="K1733" s="3">
        <v>-0.3952339106083304</v>
      </c>
      <c r="L1733" t="s">
        <v>54</v>
      </c>
    </row>
    <row r="1734" spans="1:12" x14ac:dyDescent="0.25">
      <c r="A1734" t="s">
        <v>487</v>
      </c>
      <c r="B1734" t="s">
        <v>461</v>
      </c>
      <c r="C1734" t="s">
        <v>462</v>
      </c>
      <c r="D1734" t="s">
        <v>176</v>
      </c>
      <c r="E1734" t="s">
        <v>180</v>
      </c>
      <c r="F1734">
        <v>2</v>
      </c>
      <c r="G1734" t="s">
        <v>498</v>
      </c>
      <c r="H1734" s="4">
        <v>20295407</v>
      </c>
      <c r="I1734" s="4">
        <v>26964414</v>
      </c>
      <c r="J1734" s="3">
        <v>0.3285968593780849</v>
      </c>
      <c r="K1734" s="3">
        <v>-0.24732623523730202</v>
      </c>
      <c r="L1734" t="s">
        <v>54</v>
      </c>
    </row>
    <row r="1735" spans="1:12" x14ac:dyDescent="0.25">
      <c r="A1735" t="s">
        <v>487</v>
      </c>
      <c r="B1735" t="s">
        <v>461</v>
      </c>
      <c r="C1735" t="s">
        <v>462</v>
      </c>
      <c r="D1735" t="s">
        <v>176</v>
      </c>
      <c r="E1735" t="s">
        <v>180</v>
      </c>
      <c r="F1735">
        <v>2</v>
      </c>
      <c r="G1735" t="s">
        <v>499</v>
      </c>
      <c r="H1735" s="4">
        <v>20295407</v>
      </c>
      <c r="I1735" s="4">
        <v>34922910</v>
      </c>
      <c r="J1735" s="3">
        <v>0.7207297197833973</v>
      </c>
      <c r="K1735" s="3">
        <v>-0.4188512068438741</v>
      </c>
      <c r="L1735" t="s">
        <v>54</v>
      </c>
    </row>
    <row r="1736" spans="1:12" x14ac:dyDescent="0.25">
      <c r="A1736" t="s">
        <v>487</v>
      </c>
      <c r="B1736" t="s">
        <v>461</v>
      </c>
      <c r="C1736" t="s">
        <v>462</v>
      </c>
      <c r="D1736" t="s">
        <v>176</v>
      </c>
      <c r="E1736" t="s">
        <v>182</v>
      </c>
      <c r="F1736">
        <v>3</v>
      </c>
      <c r="G1736" t="s">
        <v>488</v>
      </c>
      <c r="H1736" s="4">
        <v>19079376</v>
      </c>
      <c r="I1736" s="4">
        <v>28878037.755522266</v>
      </c>
      <c r="J1736" s="3">
        <v>0.5135734918962898</v>
      </c>
      <c r="K1736" s="3">
        <v>-0.3393118964133391</v>
      </c>
      <c r="L1736" t="s">
        <v>54</v>
      </c>
    </row>
    <row r="1737" spans="1:12" x14ac:dyDescent="0.25">
      <c r="A1737" t="s">
        <v>487</v>
      </c>
      <c r="B1737" t="s">
        <v>461</v>
      </c>
      <c r="C1737" t="s">
        <v>462</v>
      </c>
      <c r="D1737" t="s">
        <v>176</v>
      </c>
      <c r="E1737" t="s">
        <v>182</v>
      </c>
      <c r="F1737">
        <v>3</v>
      </c>
      <c r="G1737" t="s">
        <v>498</v>
      </c>
      <c r="H1737" s="4">
        <v>19079376</v>
      </c>
      <c r="I1737" s="4">
        <v>23203224</v>
      </c>
      <c r="J1737" s="3">
        <v>0.21614165997881693</v>
      </c>
      <c r="K1737" s="3">
        <v>-0.17772737098947974</v>
      </c>
      <c r="L1737" t="s">
        <v>54</v>
      </c>
    </row>
    <row r="1738" spans="1:12" x14ac:dyDescent="0.25">
      <c r="A1738" t="s">
        <v>487</v>
      </c>
      <c r="B1738" t="s">
        <v>461</v>
      </c>
      <c r="C1738" t="s">
        <v>462</v>
      </c>
      <c r="D1738" t="s">
        <v>176</v>
      </c>
      <c r="E1738" t="s">
        <v>182</v>
      </c>
      <c r="F1738">
        <v>3</v>
      </c>
      <c r="G1738" t="s">
        <v>499</v>
      </c>
      <c r="H1738" s="4">
        <v>19079376</v>
      </c>
      <c r="I1738" s="4">
        <v>34922910</v>
      </c>
      <c r="J1738" s="3">
        <v>0.8304010571414914</v>
      </c>
      <c r="K1738" s="3">
        <v>-0.45367164420147116</v>
      </c>
      <c r="L1738" t="s">
        <v>54</v>
      </c>
    </row>
    <row r="1739" spans="1:12" x14ac:dyDescent="0.25">
      <c r="A1739" t="s">
        <v>487</v>
      </c>
      <c r="B1739" t="s">
        <v>461</v>
      </c>
      <c r="C1739" t="s">
        <v>462</v>
      </c>
      <c r="D1739" t="s">
        <v>178</v>
      </c>
      <c r="E1739" t="s">
        <v>180</v>
      </c>
      <c r="F1739">
        <v>1</v>
      </c>
      <c r="G1739" t="s">
        <v>488</v>
      </c>
      <c r="H1739" s="4">
        <v>20295407</v>
      </c>
      <c r="I1739" s="4">
        <v>32240005.26201624</v>
      </c>
      <c r="J1739" s="3">
        <v>0.5885370153954657</v>
      </c>
      <c r="K1739" s="3">
        <v>-0.37048996006489</v>
      </c>
      <c r="L1739" t="s">
        <v>54</v>
      </c>
    </row>
    <row r="1740" spans="1:12" x14ac:dyDescent="0.25">
      <c r="A1740" t="s">
        <v>487</v>
      </c>
      <c r="B1740" t="s">
        <v>461</v>
      </c>
      <c r="C1740" t="s">
        <v>462</v>
      </c>
      <c r="D1740" t="s">
        <v>178</v>
      </c>
      <c r="E1740" t="s">
        <v>180</v>
      </c>
      <c r="F1740">
        <v>1</v>
      </c>
      <c r="G1740" t="s">
        <v>498</v>
      </c>
      <c r="H1740" s="4">
        <v>20295407</v>
      </c>
      <c r="I1740" s="4">
        <v>26964414</v>
      </c>
      <c r="J1740" s="3">
        <v>0.3285968593780849</v>
      </c>
      <c r="K1740" s="3">
        <v>-0.24732623523730202</v>
      </c>
      <c r="L1740" t="s">
        <v>54</v>
      </c>
    </row>
    <row r="1741" spans="1:12" x14ac:dyDescent="0.25">
      <c r="A1741" t="s">
        <v>487</v>
      </c>
      <c r="B1741" t="s">
        <v>461</v>
      </c>
      <c r="C1741" t="s">
        <v>462</v>
      </c>
      <c r="D1741" t="s">
        <v>178</v>
      </c>
      <c r="E1741" t="s">
        <v>180</v>
      </c>
      <c r="F1741">
        <v>1</v>
      </c>
      <c r="G1741" t="s">
        <v>499</v>
      </c>
      <c r="H1741" s="4">
        <v>20295407</v>
      </c>
      <c r="I1741" s="4">
        <v>28270015</v>
      </c>
      <c r="J1741" s="3">
        <v>0.39292673460551936</v>
      </c>
      <c r="K1741" s="3">
        <v>-0.2820871513509986</v>
      </c>
      <c r="L1741" t="s">
        <v>54</v>
      </c>
    </row>
    <row r="1742" spans="1:12" x14ac:dyDescent="0.25">
      <c r="A1742" t="s">
        <v>487</v>
      </c>
      <c r="B1742" t="s">
        <v>461</v>
      </c>
      <c r="C1742" t="s">
        <v>462</v>
      </c>
      <c r="D1742" t="s">
        <v>178</v>
      </c>
      <c r="E1742" t="s">
        <v>182</v>
      </c>
      <c r="F1742">
        <v>2</v>
      </c>
      <c r="G1742" t="s">
        <v>488</v>
      </c>
      <c r="H1742" s="4">
        <v>19079376</v>
      </c>
      <c r="I1742" s="4">
        <v>27742937.927586395</v>
      </c>
      <c r="J1742" s="3">
        <v>0.45407994095752374</v>
      </c>
      <c r="K1742" s="3">
        <v>-0.3122799016527993</v>
      </c>
      <c r="L1742" t="s">
        <v>54</v>
      </c>
    </row>
    <row r="1743" spans="1:12" x14ac:dyDescent="0.25">
      <c r="A1743" t="s">
        <v>487</v>
      </c>
      <c r="B1743" t="s">
        <v>461</v>
      </c>
      <c r="C1743" t="s">
        <v>462</v>
      </c>
      <c r="D1743" t="s">
        <v>178</v>
      </c>
      <c r="E1743" t="s">
        <v>182</v>
      </c>
      <c r="F1743">
        <v>2</v>
      </c>
      <c r="G1743" t="s">
        <v>498</v>
      </c>
      <c r="H1743" s="4">
        <v>19079376</v>
      </c>
      <c r="I1743" s="4">
        <v>23203224</v>
      </c>
      <c r="J1743" s="3">
        <v>0.21614165997881693</v>
      </c>
      <c r="K1743" s="3">
        <v>-0.17772737098947974</v>
      </c>
      <c r="L1743" t="s">
        <v>54</v>
      </c>
    </row>
    <row r="1744" spans="1:12" x14ac:dyDescent="0.25">
      <c r="A1744" t="s">
        <v>487</v>
      </c>
      <c r="B1744" t="s">
        <v>461</v>
      </c>
      <c r="C1744" t="s">
        <v>462</v>
      </c>
      <c r="D1744" t="s">
        <v>178</v>
      </c>
      <c r="E1744" t="s">
        <v>182</v>
      </c>
      <c r="F1744">
        <v>2</v>
      </c>
      <c r="G1744" t="s">
        <v>499</v>
      </c>
      <c r="H1744" s="4">
        <v>19079376</v>
      </c>
      <c r="I1744" s="4">
        <v>28270015</v>
      </c>
      <c r="J1744" s="3">
        <v>0.481705428940653</v>
      </c>
      <c r="K1744" s="3">
        <v>-0.32510202063918253</v>
      </c>
      <c r="L1744" t="s">
        <v>54</v>
      </c>
    </row>
    <row r="1745" spans="1:12" x14ac:dyDescent="0.25">
      <c r="A1745" t="s">
        <v>487</v>
      </c>
      <c r="B1745" t="s">
        <v>461</v>
      </c>
      <c r="C1745" t="s">
        <v>462</v>
      </c>
      <c r="D1745" t="s">
        <v>178</v>
      </c>
      <c r="E1745" t="s">
        <v>184</v>
      </c>
      <c r="F1745">
        <v>3</v>
      </c>
      <c r="G1745" t="s">
        <v>488</v>
      </c>
      <c r="H1745" s="4">
        <v>18599668</v>
      </c>
      <c r="I1745" s="4">
        <v>32867432.236000735</v>
      </c>
      <c r="J1745" s="3">
        <v>0.767097790992868</v>
      </c>
      <c r="K1745" s="3">
        <v>-0.434100362132117</v>
      </c>
      <c r="L1745" t="s">
        <v>54</v>
      </c>
    </row>
    <row r="1746" spans="1:12" x14ac:dyDescent="0.25">
      <c r="A1746" t="s">
        <v>487</v>
      </c>
      <c r="B1746" t="s">
        <v>461</v>
      </c>
      <c r="C1746" t="s">
        <v>462</v>
      </c>
      <c r="D1746" t="s">
        <v>178</v>
      </c>
      <c r="E1746" t="s">
        <v>184</v>
      </c>
      <c r="F1746">
        <v>3</v>
      </c>
      <c r="G1746" t="s">
        <v>498</v>
      </c>
      <c r="H1746" s="4">
        <v>18599668</v>
      </c>
      <c r="I1746" s="4">
        <v>27489172</v>
      </c>
      <c r="J1746" s="3">
        <v>0.4779388535322243</v>
      </c>
      <c r="K1746" s="3">
        <v>-0.3233820211099847</v>
      </c>
      <c r="L1746" t="s">
        <v>54</v>
      </c>
    </row>
    <row r="1747" spans="1:12" x14ac:dyDescent="0.25">
      <c r="A1747" t="s">
        <v>487</v>
      </c>
      <c r="B1747" t="s">
        <v>461</v>
      </c>
      <c r="C1747" t="s">
        <v>462</v>
      </c>
      <c r="D1747" t="s">
        <v>178</v>
      </c>
      <c r="E1747" t="s">
        <v>184</v>
      </c>
      <c r="F1747">
        <v>3</v>
      </c>
      <c r="G1747" t="s">
        <v>499</v>
      </c>
      <c r="H1747" s="4">
        <v>18599668</v>
      </c>
      <c r="I1747" s="4">
        <v>28270015</v>
      </c>
      <c r="J1747" s="3">
        <v>0.5199204093320375</v>
      </c>
      <c r="K1747" s="3">
        <v>-0.3420708124845353</v>
      </c>
      <c r="L1747" t="s">
        <v>54</v>
      </c>
    </row>
    <row r="1748" spans="1:12" x14ac:dyDescent="0.25">
      <c r="A1748" t="s">
        <v>487</v>
      </c>
      <c r="B1748" t="s">
        <v>461</v>
      </c>
      <c r="C1748" t="s">
        <v>462</v>
      </c>
      <c r="D1748" t="s">
        <v>180</v>
      </c>
      <c r="E1748" t="s">
        <v>182</v>
      </c>
      <c r="F1748">
        <v>1</v>
      </c>
      <c r="G1748" t="s">
        <v>488</v>
      </c>
      <c r="H1748" s="4">
        <v>19079376</v>
      </c>
      <c r="I1748" s="4">
        <v>26073100.50371184</v>
      </c>
      <c r="J1748" s="3">
        <v>0.36655939396088416</v>
      </c>
      <c r="K1748" s="3">
        <v>-0.26823524508395896</v>
      </c>
      <c r="L1748" t="s">
        <v>54</v>
      </c>
    </row>
    <row r="1749" spans="1:12" x14ac:dyDescent="0.25">
      <c r="A1749" t="s">
        <v>487</v>
      </c>
      <c r="B1749" t="s">
        <v>461</v>
      </c>
      <c r="C1749" t="s">
        <v>462</v>
      </c>
      <c r="D1749" t="s">
        <v>180</v>
      </c>
      <c r="E1749" t="s">
        <v>182</v>
      </c>
      <c r="F1749">
        <v>1</v>
      </c>
      <c r="G1749" t="s">
        <v>498</v>
      </c>
      <c r="H1749" s="4">
        <v>19079376</v>
      </c>
      <c r="I1749" s="4">
        <v>23203224</v>
      </c>
      <c r="J1749" s="3">
        <v>0.21614165997881693</v>
      </c>
      <c r="K1749" s="3">
        <v>-0.17772737098947974</v>
      </c>
      <c r="L1749" t="s">
        <v>54</v>
      </c>
    </row>
    <row r="1750" spans="1:12" x14ac:dyDescent="0.25">
      <c r="A1750" t="s">
        <v>487</v>
      </c>
      <c r="B1750" t="s">
        <v>461</v>
      </c>
      <c r="C1750" t="s">
        <v>462</v>
      </c>
      <c r="D1750" t="s">
        <v>180</v>
      </c>
      <c r="E1750" t="s">
        <v>182</v>
      </c>
      <c r="F1750">
        <v>1</v>
      </c>
      <c r="G1750" t="s">
        <v>499</v>
      </c>
      <c r="H1750" s="4">
        <v>19079376</v>
      </c>
      <c r="I1750" s="4">
        <v>20295407</v>
      </c>
      <c r="J1750" s="3">
        <v>0.06373536534947474</v>
      </c>
      <c r="K1750" s="3">
        <v>-0.059916561417073334</v>
      </c>
      <c r="L1750" t="s">
        <v>54</v>
      </c>
    </row>
    <row r="1751" spans="1:12" x14ac:dyDescent="0.25">
      <c r="A1751" t="s">
        <v>487</v>
      </c>
      <c r="B1751" t="s">
        <v>461</v>
      </c>
      <c r="C1751" t="s">
        <v>462</v>
      </c>
      <c r="D1751" t="s">
        <v>180</v>
      </c>
      <c r="E1751" t="s">
        <v>184</v>
      </c>
      <c r="F1751">
        <v>2</v>
      </c>
      <c r="G1751" t="s">
        <v>488</v>
      </c>
      <c r="H1751" s="4">
        <v>18599668</v>
      </c>
      <c r="I1751" s="4">
        <v>30889153.34868212</v>
      </c>
      <c r="J1751" s="3">
        <v>0.6607368125432196</v>
      </c>
      <c r="K1751" s="3">
        <v>-0.3978576301511498</v>
      </c>
      <c r="L1751" t="s">
        <v>54</v>
      </c>
    </row>
    <row r="1752" spans="1:12" x14ac:dyDescent="0.25">
      <c r="A1752" t="s">
        <v>487</v>
      </c>
      <c r="B1752" t="s">
        <v>461</v>
      </c>
      <c r="C1752" t="s">
        <v>462</v>
      </c>
      <c r="D1752" t="s">
        <v>180</v>
      </c>
      <c r="E1752" t="s">
        <v>184</v>
      </c>
      <c r="F1752">
        <v>2</v>
      </c>
      <c r="G1752" t="s">
        <v>498</v>
      </c>
      <c r="H1752" s="4">
        <v>18599668</v>
      </c>
      <c r="I1752" s="4">
        <v>27489172</v>
      </c>
      <c r="J1752" s="3">
        <v>0.4779388535322243</v>
      </c>
      <c r="K1752" s="3">
        <v>-0.3233820211099847</v>
      </c>
      <c r="L1752" t="s">
        <v>54</v>
      </c>
    </row>
    <row r="1753" spans="1:12" x14ac:dyDescent="0.25">
      <c r="A1753" t="s">
        <v>487</v>
      </c>
      <c r="B1753" t="s">
        <v>461</v>
      </c>
      <c r="C1753" t="s">
        <v>462</v>
      </c>
      <c r="D1753" t="s">
        <v>180</v>
      </c>
      <c r="E1753" t="s">
        <v>184</v>
      </c>
      <c r="F1753">
        <v>2</v>
      </c>
      <c r="G1753" t="s">
        <v>499</v>
      </c>
      <c r="H1753" s="4">
        <v>18599668</v>
      </c>
      <c r="I1753" s="4">
        <v>20295407</v>
      </c>
      <c r="J1753" s="3">
        <v>0.09117039078331936</v>
      </c>
      <c r="K1753" s="3">
        <v>-0.0835528452324213</v>
      </c>
      <c r="L1753" t="s">
        <v>54</v>
      </c>
    </row>
    <row r="1754" spans="1:12" x14ac:dyDescent="0.25">
      <c r="A1754" t="s">
        <v>487</v>
      </c>
      <c r="B1754" t="s">
        <v>461</v>
      </c>
      <c r="C1754" t="s">
        <v>462</v>
      </c>
      <c r="D1754" t="s">
        <v>180</v>
      </c>
      <c r="E1754" t="s">
        <v>186</v>
      </c>
      <c r="F1754">
        <v>3</v>
      </c>
      <c r="G1754" t="s">
        <v>488</v>
      </c>
      <c r="H1754" s="4">
        <v>26967839</v>
      </c>
      <c r="I1754" s="4">
        <v>37429541.45963374</v>
      </c>
      <c r="J1754" s="3">
        <v>0.38793254660240806</v>
      </c>
      <c r="K1754" s="3">
        <v>-0.2795038905543704</v>
      </c>
      <c r="L1754" t="s">
        <v>54</v>
      </c>
    </row>
    <row r="1755" spans="1:12" x14ac:dyDescent="0.25">
      <c r="A1755" t="s">
        <v>487</v>
      </c>
      <c r="B1755" t="s">
        <v>461</v>
      </c>
      <c r="C1755" t="s">
        <v>462</v>
      </c>
      <c r="D1755" t="s">
        <v>180</v>
      </c>
      <c r="E1755" t="s">
        <v>186</v>
      </c>
      <c r="F1755">
        <v>3</v>
      </c>
      <c r="G1755" t="s">
        <v>498</v>
      </c>
      <c r="H1755" s="4">
        <v>26967839</v>
      </c>
      <c r="I1755" s="4">
        <v>33309657</v>
      </c>
      <c r="J1755" s="3">
        <v>0.23516226124013867</v>
      </c>
      <c r="K1755" s="3">
        <v>-0.19038977195111917</v>
      </c>
      <c r="L1755" t="s">
        <v>54</v>
      </c>
    </row>
    <row r="1756" spans="1:12" x14ac:dyDescent="0.25">
      <c r="A1756" t="s">
        <v>487</v>
      </c>
      <c r="B1756" t="s">
        <v>461</v>
      </c>
      <c r="C1756" t="s">
        <v>462</v>
      </c>
      <c r="D1756" t="s">
        <v>180</v>
      </c>
      <c r="E1756" t="s">
        <v>186</v>
      </c>
      <c r="F1756">
        <v>3</v>
      </c>
      <c r="G1756" t="s">
        <v>499</v>
      </c>
      <c r="H1756" s="4">
        <v>26967839</v>
      </c>
      <c r="I1756" s="4">
        <v>20295407</v>
      </c>
      <c r="J1756" s="3">
        <v>0.24742182716234698</v>
      </c>
      <c r="K1756" s="3">
        <v>0.32876561677230715</v>
      </c>
      <c r="L1756" t="s">
        <v>54</v>
      </c>
    </row>
    <row r="1757" spans="1:12" x14ac:dyDescent="0.25">
      <c r="A1757" t="s">
        <v>487</v>
      </c>
      <c r="B1757" t="s">
        <v>461</v>
      </c>
      <c r="C1757" t="s">
        <v>462</v>
      </c>
      <c r="D1757" t="s">
        <v>182</v>
      </c>
      <c r="E1757" t="s">
        <v>184</v>
      </c>
      <c r="F1757">
        <v>1</v>
      </c>
      <c r="G1757" t="s">
        <v>488</v>
      </c>
      <c r="H1757" s="4">
        <v>18599668</v>
      </c>
      <c r="I1757" s="4">
        <v>29366267.191582534</v>
      </c>
      <c r="J1757" s="3">
        <v>0.5788597512376314</v>
      </c>
      <c r="K1757" s="3">
        <v>-0.36663152049057984</v>
      </c>
      <c r="L1757" t="s">
        <v>54</v>
      </c>
    </row>
    <row r="1758" spans="1:12" x14ac:dyDescent="0.25">
      <c r="A1758" t="s">
        <v>487</v>
      </c>
      <c r="B1758" t="s">
        <v>461</v>
      </c>
      <c r="C1758" t="s">
        <v>462</v>
      </c>
      <c r="D1758" t="s">
        <v>182</v>
      </c>
      <c r="E1758" t="s">
        <v>184</v>
      </c>
      <c r="F1758">
        <v>1</v>
      </c>
      <c r="G1758" t="s">
        <v>498</v>
      </c>
      <c r="H1758" s="4">
        <v>18599668</v>
      </c>
      <c r="I1758" s="4">
        <v>27489172</v>
      </c>
      <c r="J1758" s="3">
        <v>0.4779388535322243</v>
      </c>
      <c r="K1758" s="3">
        <v>-0.3233820211099847</v>
      </c>
      <c r="L1758" t="s">
        <v>54</v>
      </c>
    </row>
    <row r="1759" spans="1:12" x14ac:dyDescent="0.25">
      <c r="A1759" t="s">
        <v>487</v>
      </c>
      <c r="B1759" t="s">
        <v>461</v>
      </c>
      <c r="C1759" t="s">
        <v>462</v>
      </c>
      <c r="D1759" t="s">
        <v>182</v>
      </c>
      <c r="E1759" t="s">
        <v>184</v>
      </c>
      <c r="F1759">
        <v>1</v>
      </c>
      <c r="G1759" t="s">
        <v>499</v>
      </c>
      <c r="H1759" s="4">
        <v>18599668</v>
      </c>
      <c r="I1759" s="4">
        <v>19079376</v>
      </c>
      <c r="J1759" s="3">
        <v>0.025791213047458697</v>
      </c>
      <c r="K1759" s="3">
        <v>-0.025142750999823056</v>
      </c>
      <c r="L1759" t="s">
        <v>54</v>
      </c>
    </row>
    <row r="1760" spans="1:12" x14ac:dyDescent="0.25">
      <c r="A1760" t="s">
        <v>487</v>
      </c>
      <c r="B1760" t="s">
        <v>461</v>
      </c>
      <c r="C1760" t="s">
        <v>462</v>
      </c>
      <c r="D1760" t="s">
        <v>182</v>
      </c>
      <c r="E1760" t="s">
        <v>186</v>
      </c>
      <c r="F1760">
        <v>2</v>
      </c>
      <c r="G1760" t="s">
        <v>488</v>
      </c>
      <c r="H1760" s="4">
        <v>26967839</v>
      </c>
      <c r="I1760" s="4">
        <v>35584203.39186526</v>
      </c>
      <c r="J1760" s="3">
        <v>0.3195051851156951</v>
      </c>
      <c r="K1760" s="3">
        <v>-0.2421401512625967</v>
      </c>
      <c r="L1760" t="s">
        <v>54</v>
      </c>
    </row>
    <row r="1761" spans="1:12" x14ac:dyDescent="0.25">
      <c r="A1761" t="s">
        <v>487</v>
      </c>
      <c r="B1761" t="s">
        <v>461</v>
      </c>
      <c r="C1761" t="s">
        <v>462</v>
      </c>
      <c r="D1761" t="s">
        <v>182</v>
      </c>
      <c r="E1761" t="s">
        <v>186</v>
      </c>
      <c r="F1761">
        <v>2</v>
      </c>
      <c r="G1761" t="s">
        <v>498</v>
      </c>
      <c r="H1761" s="4">
        <v>26967839</v>
      </c>
      <c r="I1761" s="4">
        <v>33309657</v>
      </c>
      <c r="J1761" s="3">
        <v>0.23516226124013867</v>
      </c>
      <c r="K1761" s="3">
        <v>-0.19038977195111917</v>
      </c>
      <c r="L1761" t="s">
        <v>54</v>
      </c>
    </row>
    <row r="1762" spans="1:12" x14ac:dyDescent="0.25">
      <c r="A1762" t="s">
        <v>487</v>
      </c>
      <c r="B1762" t="s">
        <v>461</v>
      </c>
      <c r="C1762" t="s">
        <v>462</v>
      </c>
      <c r="D1762" t="s">
        <v>182</v>
      </c>
      <c r="E1762" t="s">
        <v>186</v>
      </c>
      <c r="F1762">
        <v>2</v>
      </c>
      <c r="G1762" t="s">
        <v>499</v>
      </c>
      <c r="H1762" s="4">
        <v>26967839</v>
      </c>
      <c r="I1762" s="4">
        <v>19079376</v>
      </c>
      <c r="J1762" s="3">
        <v>0.29251372347632304</v>
      </c>
      <c r="K1762" s="3">
        <v>0.4134549788211103</v>
      </c>
      <c r="L1762" t="s">
        <v>54</v>
      </c>
    </row>
    <row r="1763" spans="1:12" x14ac:dyDescent="0.25">
      <c r="A1763" t="s">
        <v>487</v>
      </c>
      <c r="B1763" t="s">
        <v>461</v>
      </c>
      <c r="C1763" t="s">
        <v>462</v>
      </c>
      <c r="D1763" t="s">
        <v>182</v>
      </c>
      <c r="E1763" t="s">
        <v>188</v>
      </c>
      <c r="F1763">
        <v>3</v>
      </c>
      <c r="G1763" t="s">
        <v>488</v>
      </c>
      <c r="H1763" s="4">
        <v>28313979</v>
      </c>
      <c r="I1763" s="4">
        <v>42153028.44837644</v>
      </c>
      <c r="J1763" s="3">
        <v>0.48877091589198535</v>
      </c>
      <c r="K1763" s="3">
        <v>-0.32830498680123804</v>
      </c>
      <c r="L1763" t="s">
        <v>54</v>
      </c>
    </row>
    <row r="1764" spans="1:12" x14ac:dyDescent="0.25">
      <c r="A1764" t="s">
        <v>487</v>
      </c>
      <c r="B1764" t="s">
        <v>461</v>
      </c>
      <c r="C1764" t="s">
        <v>462</v>
      </c>
      <c r="D1764" t="s">
        <v>182</v>
      </c>
      <c r="E1764" t="s">
        <v>188</v>
      </c>
      <c r="F1764">
        <v>3</v>
      </c>
      <c r="G1764" t="s">
        <v>498</v>
      </c>
      <c r="H1764" s="4">
        <v>28313979</v>
      </c>
      <c r="I1764" s="4">
        <v>39458602</v>
      </c>
      <c r="J1764" s="3">
        <v>0.39360850694987093</v>
      </c>
      <c r="K1764" s="3">
        <v>-0.28243836413667167</v>
      </c>
      <c r="L1764" t="s">
        <v>54</v>
      </c>
    </row>
    <row r="1765" spans="1:12" x14ac:dyDescent="0.25">
      <c r="A1765" t="s">
        <v>487</v>
      </c>
      <c r="B1765" t="s">
        <v>461</v>
      </c>
      <c r="C1765" t="s">
        <v>462</v>
      </c>
      <c r="D1765" t="s">
        <v>182</v>
      </c>
      <c r="E1765" t="s">
        <v>188</v>
      </c>
      <c r="F1765">
        <v>3</v>
      </c>
      <c r="G1765" t="s">
        <v>499</v>
      </c>
      <c r="H1765" s="4">
        <v>28313979</v>
      </c>
      <c r="I1765" s="4">
        <v>19079376</v>
      </c>
      <c r="J1765" s="3">
        <v>0.3261499558221753</v>
      </c>
      <c r="K1765" s="3">
        <v>0.48400969717248615</v>
      </c>
      <c r="L1765" t="s">
        <v>54</v>
      </c>
    </row>
    <row r="1766" spans="1:12" x14ac:dyDescent="0.25">
      <c r="A1766" t="s">
        <v>487</v>
      </c>
      <c r="B1766" t="s">
        <v>461</v>
      </c>
      <c r="C1766" t="s">
        <v>462</v>
      </c>
      <c r="D1766" t="s">
        <v>184</v>
      </c>
      <c r="E1766" t="s">
        <v>186</v>
      </c>
      <c r="F1766">
        <v>1</v>
      </c>
      <c r="G1766" t="s">
        <v>488</v>
      </c>
      <c r="H1766" s="4">
        <v>26967839</v>
      </c>
      <c r="I1766" s="4">
        <v>33912345.73760113</v>
      </c>
      <c r="J1766" s="3">
        <v>0.25751068662198445</v>
      </c>
      <c r="K1766" s="3">
        <v>-0.20477812980955906</v>
      </c>
      <c r="L1766" t="s">
        <v>54</v>
      </c>
    </row>
    <row r="1767" spans="1:12" x14ac:dyDescent="0.25">
      <c r="A1767" t="s">
        <v>487</v>
      </c>
      <c r="B1767" t="s">
        <v>461</v>
      </c>
      <c r="C1767" t="s">
        <v>462</v>
      </c>
      <c r="D1767" t="s">
        <v>184</v>
      </c>
      <c r="E1767" t="s">
        <v>186</v>
      </c>
      <c r="F1767">
        <v>1</v>
      </c>
      <c r="G1767" t="s">
        <v>498</v>
      </c>
      <c r="H1767" s="4">
        <v>26967839</v>
      </c>
      <c r="I1767" s="4">
        <v>33309657</v>
      </c>
      <c r="J1767" s="3">
        <v>0.23516226124013867</v>
      </c>
      <c r="K1767" s="3">
        <v>-0.19038977195111917</v>
      </c>
      <c r="L1767" t="s">
        <v>54</v>
      </c>
    </row>
    <row r="1768" spans="1:12" x14ac:dyDescent="0.25">
      <c r="A1768" t="s">
        <v>487</v>
      </c>
      <c r="B1768" t="s">
        <v>461</v>
      </c>
      <c r="C1768" t="s">
        <v>462</v>
      </c>
      <c r="D1768" t="s">
        <v>184</v>
      </c>
      <c r="E1768" t="s">
        <v>186</v>
      </c>
      <c r="F1768">
        <v>1</v>
      </c>
      <c r="G1768" t="s">
        <v>499</v>
      </c>
      <c r="H1768" s="4">
        <v>26967839</v>
      </c>
      <c r="I1768" s="4">
        <v>18599668</v>
      </c>
      <c r="J1768" s="3">
        <v>0.3103018747627498</v>
      </c>
      <c r="K1768" s="3">
        <v>0.4499096973128768</v>
      </c>
      <c r="L1768" t="s">
        <v>54</v>
      </c>
    </row>
    <row r="1769" spans="1:12" x14ac:dyDescent="0.25">
      <c r="A1769" t="s">
        <v>487</v>
      </c>
      <c r="B1769" t="s">
        <v>461</v>
      </c>
      <c r="C1769" t="s">
        <v>462</v>
      </c>
      <c r="D1769" t="s">
        <v>184</v>
      </c>
      <c r="E1769" t="s">
        <v>188</v>
      </c>
      <c r="F1769">
        <v>2</v>
      </c>
      <c r="G1769" t="s">
        <v>488</v>
      </c>
      <c r="H1769" s="4">
        <v>28313979</v>
      </c>
      <c r="I1769" s="4">
        <v>40172546.75862917</v>
      </c>
      <c r="J1769" s="3">
        <v>0.4188237816602595</v>
      </c>
      <c r="K1769" s="3">
        <v>-0.2951908384071249</v>
      </c>
      <c r="L1769" t="s">
        <v>54</v>
      </c>
    </row>
    <row r="1770" spans="1:12" x14ac:dyDescent="0.25">
      <c r="A1770" t="s">
        <v>487</v>
      </c>
      <c r="B1770" t="s">
        <v>461</v>
      </c>
      <c r="C1770" t="s">
        <v>462</v>
      </c>
      <c r="D1770" t="s">
        <v>184</v>
      </c>
      <c r="E1770" t="s">
        <v>188</v>
      </c>
      <c r="F1770">
        <v>2</v>
      </c>
      <c r="G1770" t="s">
        <v>498</v>
      </c>
      <c r="H1770" s="4">
        <v>28313979</v>
      </c>
      <c r="I1770" s="4">
        <v>39458602</v>
      </c>
      <c r="J1770" s="3">
        <v>0.39360850694987093</v>
      </c>
      <c r="K1770" s="3">
        <v>-0.28243836413667167</v>
      </c>
      <c r="L1770" t="s">
        <v>54</v>
      </c>
    </row>
    <row r="1771" spans="1:12" x14ac:dyDescent="0.25">
      <c r="A1771" t="s">
        <v>487</v>
      </c>
      <c r="B1771" t="s">
        <v>461</v>
      </c>
      <c r="C1771" t="s">
        <v>462</v>
      </c>
      <c r="D1771" t="s">
        <v>184</v>
      </c>
      <c r="E1771" t="s">
        <v>188</v>
      </c>
      <c r="F1771">
        <v>2</v>
      </c>
      <c r="G1771" t="s">
        <v>499</v>
      </c>
      <c r="H1771" s="4">
        <v>28313979</v>
      </c>
      <c r="I1771" s="4">
        <v>18599668</v>
      </c>
      <c r="J1771" s="3">
        <v>0.34309239969415817</v>
      </c>
      <c r="K1771" s="3">
        <v>0.5222841074367564</v>
      </c>
      <c r="L1771" t="s">
        <v>54</v>
      </c>
    </row>
    <row r="1772" spans="1:12" x14ac:dyDescent="0.25">
      <c r="A1772" t="s">
        <v>487</v>
      </c>
      <c r="B1772" t="s">
        <v>461</v>
      </c>
      <c r="C1772" t="s">
        <v>462</v>
      </c>
      <c r="D1772" t="s">
        <v>184</v>
      </c>
      <c r="E1772" t="s">
        <v>190</v>
      </c>
      <c r="F1772">
        <v>3</v>
      </c>
      <c r="G1772" t="s">
        <v>488</v>
      </c>
      <c r="H1772" s="4">
        <v>30645578</v>
      </c>
      <c r="I1772" s="4">
        <v>34770457.05471077</v>
      </c>
      <c r="J1772" s="3">
        <v>0.13459948625249515</v>
      </c>
      <c r="K1772" s="3">
        <v>-0.11863171796161137</v>
      </c>
      <c r="L1772" t="s">
        <v>54</v>
      </c>
    </row>
    <row r="1773" spans="1:12" x14ac:dyDescent="0.25">
      <c r="A1773" t="s">
        <v>487</v>
      </c>
      <c r="B1773" t="s">
        <v>461</v>
      </c>
      <c r="C1773" t="s">
        <v>462</v>
      </c>
      <c r="D1773" t="s">
        <v>184</v>
      </c>
      <c r="E1773" t="s">
        <v>190</v>
      </c>
      <c r="F1773">
        <v>3</v>
      </c>
      <c r="G1773" t="s">
        <v>498</v>
      </c>
      <c r="H1773" s="4">
        <v>30645578</v>
      </c>
      <c r="I1773" s="4">
        <v>34152518</v>
      </c>
      <c r="J1773" s="3">
        <v>0.11443543339270677</v>
      </c>
      <c r="K1773" s="3">
        <v>-0.1026846688141706</v>
      </c>
      <c r="L1773" t="s">
        <v>54</v>
      </c>
    </row>
    <row r="1774" spans="1:12" x14ac:dyDescent="0.25">
      <c r="A1774" t="s">
        <v>487</v>
      </c>
      <c r="B1774" t="s">
        <v>461</v>
      </c>
      <c r="C1774" t="s">
        <v>462</v>
      </c>
      <c r="D1774" t="s">
        <v>184</v>
      </c>
      <c r="E1774" t="s">
        <v>190</v>
      </c>
      <c r="F1774">
        <v>3</v>
      </c>
      <c r="G1774" t="s">
        <v>499</v>
      </c>
      <c r="H1774" s="4">
        <v>30645578</v>
      </c>
      <c r="I1774" s="4">
        <v>18599668</v>
      </c>
      <c r="J1774" s="3">
        <v>0.3930717182100465</v>
      </c>
      <c r="K1774" s="3">
        <v>0.6476411299384484</v>
      </c>
      <c r="L1774" t="s">
        <v>54</v>
      </c>
    </row>
    <row r="1775" spans="1:12" x14ac:dyDescent="0.25">
      <c r="A1775" t="s">
        <v>487</v>
      </c>
      <c r="B1775" t="s">
        <v>461</v>
      </c>
      <c r="C1775" t="s">
        <v>462</v>
      </c>
      <c r="D1775" t="s">
        <v>186</v>
      </c>
      <c r="E1775" t="s">
        <v>188</v>
      </c>
      <c r="F1775">
        <v>1</v>
      </c>
      <c r="G1775" t="s">
        <v>488</v>
      </c>
      <c r="H1775" s="4">
        <v>28313979</v>
      </c>
      <c r="I1775" s="4">
        <v>38109239.22243886</v>
      </c>
      <c r="J1775" s="3">
        <v>0.3459513840297352</v>
      </c>
      <c r="K1775" s="3">
        <v>-0.25703111429921627</v>
      </c>
      <c r="L1775" t="s">
        <v>54</v>
      </c>
    </row>
    <row r="1776" spans="1:12" x14ac:dyDescent="0.25">
      <c r="A1776" t="s">
        <v>487</v>
      </c>
      <c r="B1776" t="s">
        <v>461</v>
      </c>
      <c r="C1776" t="s">
        <v>462</v>
      </c>
      <c r="D1776" t="s">
        <v>186</v>
      </c>
      <c r="E1776" t="s">
        <v>188</v>
      </c>
      <c r="F1776">
        <v>1</v>
      </c>
      <c r="G1776" t="s">
        <v>498</v>
      </c>
      <c r="H1776" s="4">
        <v>28313979</v>
      </c>
      <c r="I1776" s="4">
        <v>39458602</v>
      </c>
      <c r="J1776" s="3">
        <v>0.39360850694987093</v>
      </c>
      <c r="K1776" s="3">
        <v>-0.28243836413667167</v>
      </c>
      <c r="L1776" t="s">
        <v>54</v>
      </c>
    </row>
    <row r="1777" spans="1:12" x14ac:dyDescent="0.25">
      <c r="A1777" t="s">
        <v>487</v>
      </c>
      <c r="B1777" t="s">
        <v>461</v>
      </c>
      <c r="C1777" t="s">
        <v>462</v>
      </c>
      <c r="D1777" t="s">
        <v>186</v>
      </c>
      <c r="E1777" t="s">
        <v>188</v>
      </c>
      <c r="F1777">
        <v>1</v>
      </c>
      <c r="G1777" t="s">
        <v>499</v>
      </c>
      <c r="H1777" s="4">
        <v>28313979</v>
      </c>
      <c r="I1777" s="4">
        <v>26967839</v>
      </c>
      <c r="J1777" s="3">
        <v>0.047543300078028594</v>
      </c>
      <c r="K1777" s="3">
        <v>0.04991649497759164</v>
      </c>
      <c r="L1777" t="s">
        <v>54</v>
      </c>
    </row>
    <row r="1778" spans="1:12" x14ac:dyDescent="0.25">
      <c r="A1778" t="s">
        <v>487</v>
      </c>
      <c r="B1778" t="s">
        <v>461</v>
      </c>
      <c r="C1778" t="s">
        <v>462</v>
      </c>
      <c r="D1778" t="s">
        <v>186</v>
      </c>
      <c r="E1778" t="s">
        <v>190</v>
      </c>
      <c r="F1778">
        <v>2</v>
      </c>
      <c r="G1778" t="s">
        <v>488</v>
      </c>
      <c r="H1778" s="4">
        <v>30645578</v>
      </c>
      <c r="I1778" s="4">
        <v>32984606.968859393</v>
      </c>
      <c r="J1778" s="3">
        <v>0.07632517059588151</v>
      </c>
      <c r="K1778" s="3">
        <v>-0.07091274336140063</v>
      </c>
      <c r="L1778" t="s">
        <v>54</v>
      </c>
    </row>
    <row r="1779" spans="1:12" x14ac:dyDescent="0.25">
      <c r="A1779" t="s">
        <v>487</v>
      </c>
      <c r="B1779" t="s">
        <v>461</v>
      </c>
      <c r="C1779" t="s">
        <v>462</v>
      </c>
      <c r="D1779" t="s">
        <v>186</v>
      </c>
      <c r="E1779" t="s">
        <v>190</v>
      </c>
      <c r="F1779">
        <v>2</v>
      </c>
      <c r="G1779" t="s">
        <v>498</v>
      </c>
      <c r="H1779" s="4">
        <v>30645578</v>
      </c>
      <c r="I1779" s="4">
        <v>34152518</v>
      </c>
      <c r="J1779" s="3">
        <v>0.11443543339270677</v>
      </c>
      <c r="K1779" s="3">
        <v>-0.1026846688141706</v>
      </c>
      <c r="L1779" t="s">
        <v>54</v>
      </c>
    </row>
    <row r="1780" spans="1:12" x14ac:dyDescent="0.25">
      <c r="A1780" t="s">
        <v>487</v>
      </c>
      <c r="B1780" t="s">
        <v>461</v>
      </c>
      <c r="C1780" t="s">
        <v>462</v>
      </c>
      <c r="D1780" t="s">
        <v>186</v>
      </c>
      <c r="E1780" t="s">
        <v>190</v>
      </c>
      <c r="F1780">
        <v>2</v>
      </c>
      <c r="G1780" t="s">
        <v>499</v>
      </c>
      <c r="H1780" s="4">
        <v>30645578</v>
      </c>
      <c r="I1780" s="4">
        <v>26967839</v>
      </c>
      <c r="J1780" s="3">
        <v>0.12000879865930413</v>
      </c>
      <c r="K1780" s="3">
        <v>0.13637499838233239</v>
      </c>
      <c r="L1780" t="s">
        <v>54</v>
      </c>
    </row>
    <row r="1781" spans="1:12" x14ac:dyDescent="0.25">
      <c r="A1781" t="s">
        <v>487</v>
      </c>
      <c r="B1781" t="s">
        <v>461</v>
      </c>
      <c r="C1781" t="s">
        <v>462</v>
      </c>
      <c r="D1781" t="s">
        <v>186</v>
      </c>
      <c r="E1781" t="s">
        <v>192</v>
      </c>
      <c r="F1781">
        <v>3</v>
      </c>
      <c r="G1781" t="s">
        <v>488</v>
      </c>
      <c r="H1781" s="4">
        <v>31174602</v>
      </c>
      <c r="I1781" s="4">
        <v>39490672.7560977</v>
      </c>
      <c r="J1781" s="3">
        <v>0.26675788053678107</v>
      </c>
      <c r="K1781" s="3">
        <v>-0.21058316244596326</v>
      </c>
      <c r="L1781" t="s">
        <v>54</v>
      </c>
    </row>
    <row r="1782" spans="1:12" x14ac:dyDescent="0.25">
      <c r="A1782" t="s">
        <v>487</v>
      </c>
      <c r="B1782" t="s">
        <v>461</v>
      </c>
      <c r="C1782" t="s">
        <v>462</v>
      </c>
      <c r="D1782" t="s">
        <v>186</v>
      </c>
      <c r="E1782" t="s">
        <v>192</v>
      </c>
      <c r="F1782">
        <v>3</v>
      </c>
      <c r="G1782" t="s">
        <v>498</v>
      </c>
      <c r="H1782" s="4">
        <v>31174602</v>
      </c>
      <c r="I1782" s="4">
        <v>40888949</v>
      </c>
      <c r="J1782" s="3">
        <v>0.3116109389303511</v>
      </c>
      <c r="K1782" s="3">
        <v>-0.23757878932031243</v>
      </c>
      <c r="L1782" t="s">
        <v>54</v>
      </c>
    </row>
    <row r="1783" spans="1:12" x14ac:dyDescent="0.25">
      <c r="A1783" t="s">
        <v>487</v>
      </c>
      <c r="B1783" t="s">
        <v>461</v>
      </c>
      <c r="C1783" t="s">
        <v>462</v>
      </c>
      <c r="D1783" t="s">
        <v>186</v>
      </c>
      <c r="E1783" t="s">
        <v>192</v>
      </c>
      <c r="F1783">
        <v>3</v>
      </c>
      <c r="G1783" t="s">
        <v>499</v>
      </c>
      <c r="H1783" s="4">
        <v>31174602</v>
      </c>
      <c r="I1783" s="4">
        <v>26967839</v>
      </c>
      <c r="J1783" s="3">
        <v>0.1349419954102381</v>
      </c>
      <c r="K1783" s="3">
        <v>0.15599184643604555</v>
      </c>
      <c r="L1783" t="s">
        <v>54</v>
      </c>
    </row>
    <row r="1784" spans="1:12" x14ac:dyDescent="0.25">
      <c r="A1784" t="s">
        <v>487</v>
      </c>
      <c r="B1784" t="s">
        <v>461</v>
      </c>
      <c r="C1784" t="s">
        <v>462</v>
      </c>
      <c r="D1784" t="s">
        <v>188</v>
      </c>
      <c r="E1784" t="s">
        <v>190</v>
      </c>
      <c r="F1784">
        <v>1</v>
      </c>
      <c r="G1784" t="s">
        <v>488</v>
      </c>
      <c r="H1784" s="4">
        <v>30645578</v>
      </c>
      <c r="I1784" s="4">
        <v>31432227.85245728</v>
      </c>
      <c r="J1784" s="3">
        <v>0.025669277716259136</v>
      </c>
      <c r="K1784" s="3">
        <v>-0.02502685638923883</v>
      </c>
      <c r="L1784" t="s">
        <v>54</v>
      </c>
    </row>
    <row r="1785" spans="1:12" x14ac:dyDescent="0.25">
      <c r="A1785" t="s">
        <v>487</v>
      </c>
      <c r="B1785" t="s">
        <v>461</v>
      </c>
      <c r="C1785" t="s">
        <v>462</v>
      </c>
      <c r="D1785" t="s">
        <v>188</v>
      </c>
      <c r="E1785" t="s">
        <v>190</v>
      </c>
      <c r="F1785">
        <v>1</v>
      </c>
      <c r="G1785" t="s">
        <v>498</v>
      </c>
      <c r="H1785" s="4">
        <v>30645578</v>
      </c>
      <c r="I1785" s="4">
        <v>34152518</v>
      </c>
      <c r="J1785" s="3">
        <v>0.11443543339270677</v>
      </c>
      <c r="K1785" s="3">
        <v>-0.1026846688141706</v>
      </c>
      <c r="L1785" t="s">
        <v>54</v>
      </c>
    </row>
    <row r="1786" spans="1:12" x14ac:dyDescent="0.25">
      <c r="A1786" t="s">
        <v>487</v>
      </c>
      <c r="B1786" t="s">
        <v>461</v>
      </c>
      <c r="C1786" t="s">
        <v>462</v>
      </c>
      <c r="D1786" t="s">
        <v>188</v>
      </c>
      <c r="E1786" t="s">
        <v>190</v>
      </c>
      <c r="F1786">
        <v>1</v>
      </c>
      <c r="G1786" t="s">
        <v>499</v>
      </c>
      <c r="H1786" s="4">
        <v>30645578</v>
      </c>
      <c r="I1786" s="4">
        <v>28313979</v>
      </c>
      <c r="J1786" s="3">
        <v>0.07608272227725645</v>
      </c>
      <c r="K1786" s="3">
        <v>0.08234798083307189</v>
      </c>
      <c r="L1786" t="s">
        <v>54</v>
      </c>
    </row>
    <row r="1787" spans="1:12" x14ac:dyDescent="0.25">
      <c r="A1787" t="s">
        <v>487</v>
      </c>
      <c r="B1787" t="s">
        <v>461</v>
      </c>
      <c r="C1787" t="s">
        <v>462</v>
      </c>
      <c r="D1787" t="s">
        <v>188</v>
      </c>
      <c r="E1787" t="s">
        <v>192</v>
      </c>
      <c r="F1787">
        <v>2</v>
      </c>
      <c r="G1787" t="s">
        <v>488</v>
      </c>
      <c r="H1787" s="4">
        <v>31174602</v>
      </c>
      <c r="I1787" s="4">
        <v>37632093.821471825</v>
      </c>
      <c r="J1787" s="3">
        <v>0.20713951124289656</v>
      </c>
      <c r="K1787" s="3">
        <v>-0.1715953370042716</v>
      </c>
      <c r="L1787" t="s">
        <v>54</v>
      </c>
    </row>
    <row r="1788" spans="1:12" x14ac:dyDescent="0.25">
      <c r="A1788" t="s">
        <v>487</v>
      </c>
      <c r="B1788" t="s">
        <v>461</v>
      </c>
      <c r="C1788" t="s">
        <v>462</v>
      </c>
      <c r="D1788" t="s">
        <v>188</v>
      </c>
      <c r="E1788" t="s">
        <v>192</v>
      </c>
      <c r="F1788">
        <v>2</v>
      </c>
      <c r="G1788" t="s">
        <v>498</v>
      </c>
      <c r="H1788" s="4">
        <v>31174602</v>
      </c>
      <c r="I1788" s="4">
        <v>40888949</v>
      </c>
      <c r="J1788" s="3">
        <v>0.3116109389303511</v>
      </c>
      <c r="K1788" s="3">
        <v>-0.23757878932031243</v>
      </c>
      <c r="L1788" t="s">
        <v>54</v>
      </c>
    </row>
    <row r="1789" spans="1:12" x14ac:dyDescent="0.25">
      <c r="A1789" t="s">
        <v>487</v>
      </c>
      <c r="B1789" t="s">
        <v>461</v>
      </c>
      <c r="C1789" t="s">
        <v>462</v>
      </c>
      <c r="D1789" t="s">
        <v>188</v>
      </c>
      <c r="E1789" t="s">
        <v>192</v>
      </c>
      <c r="F1789">
        <v>2</v>
      </c>
      <c r="G1789" t="s">
        <v>499</v>
      </c>
      <c r="H1789" s="4">
        <v>31174602</v>
      </c>
      <c r="I1789" s="4">
        <v>28313979</v>
      </c>
      <c r="J1789" s="3">
        <v>0.09176133186880782</v>
      </c>
      <c r="K1789" s="3">
        <v>0.10103217919318228</v>
      </c>
      <c r="L1789" t="s">
        <v>54</v>
      </c>
    </row>
    <row r="1790" spans="1:12" x14ac:dyDescent="0.25">
      <c r="A1790" t="s">
        <v>487</v>
      </c>
      <c r="B1790" t="s">
        <v>461</v>
      </c>
      <c r="C1790" t="s">
        <v>462</v>
      </c>
      <c r="D1790" t="s">
        <v>188</v>
      </c>
      <c r="E1790" t="s">
        <v>194</v>
      </c>
      <c r="F1790">
        <v>3</v>
      </c>
      <c r="G1790" t="s">
        <v>488</v>
      </c>
      <c r="H1790" s="4">
        <v>26695692</v>
      </c>
      <c r="I1790" s="4">
        <v>32786266.12740309</v>
      </c>
      <c r="J1790" s="3">
        <v>0.22814820186729348</v>
      </c>
      <c r="K1790" s="3">
        <v>-0.18576601872674145</v>
      </c>
      <c r="L1790" t="s">
        <v>54</v>
      </c>
    </row>
    <row r="1791" spans="1:12" x14ac:dyDescent="0.25">
      <c r="A1791" t="s">
        <v>487</v>
      </c>
      <c r="B1791" t="s">
        <v>461</v>
      </c>
      <c r="C1791" t="s">
        <v>462</v>
      </c>
      <c r="D1791" t="s">
        <v>188</v>
      </c>
      <c r="E1791" t="s">
        <v>194</v>
      </c>
      <c r="F1791">
        <v>3</v>
      </c>
      <c r="G1791" t="s">
        <v>498</v>
      </c>
      <c r="H1791" s="4">
        <v>26695692</v>
      </c>
      <c r="I1791" s="4">
        <v>35623741</v>
      </c>
      <c r="J1791" s="3">
        <v>0.3344378186562836</v>
      </c>
      <c r="K1791" s="3">
        <v>-0.25062075877993834</v>
      </c>
      <c r="L1791" t="s">
        <v>54</v>
      </c>
    </row>
    <row r="1792" spans="1:12" x14ac:dyDescent="0.25">
      <c r="A1792" t="s">
        <v>487</v>
      </c>
      <c r="B1792" t="s">
        <v>461</v>
      </c>
      <c r="C1792" t="s">
        <v>462</v>
      </c>
      <c r="D1792" t="s">
        <v>188</v>
      </c>
      <c r="E1792" t="s">
        <v>194</v>
      </c>
      <c r="F1792">
        <v>3</v>
      </c>
      <c r="G1792" t="s">
        <v>499</v>
      </c>
      <c r="H1792" s="4">
        <v>26695692</v>
      </c>
      <c r="I1792" s="4">
        <v>28313979</v>
      </c>
      <c r="J1792" s="3">
        <v>0.06061978089947996</v>
      </c>
      <c r="K1792" s="3">
        <v>-0.057155054045918446</v>
      </c>
      <c r="L1792" t="s">
        <v>54</v>
      </c>
    </row>
    <row r="1793" spans="1:12" x14ac:dyDescent="0.25">
      <c r="A1793" t="s">
        <v>487</v>
      </c>
      <c r="B1793" t="s">
        <v>461</v>
      </c>
      <c r="C1793" t="s">
        <v>462</v>
      </c>
      <c r="D1793" t="s">
        <v>190</v>
      </c>
      <c r="E1793" t="s">
        <v>192</v>
      </c>
      <c r="F1793">
        <v>1</v>
      </c>
      <c r="G1793" t="s">
        <v>488</v>
      </c>
      <c r="H1793" s="4">
        <v>31174602</v>
      </c>
      <c r="I1793" s="4">
        <v>36472011.77919344</v>
      </c>
      <c r="J1793" s="3">
        <v>0.16992710217097362</v>
      </c>
      <c r="K1793" s="3">
        <v>-0.1452458891290309</v>
      </c>
      <c r="L1793" t="s">
        <v>54</v>
      </c>
    </row>
    <row r="1794" spans="1:12" x14ac:dyDescent="0.25">
      <c r="A1794" t="s">
        <v>487</v>
      </c>
      <c r="B1794" t="s">
        <v>461</v>
      </c>
      <c r="C1794" t="s">
        <v>462</v>
      </c>
      <c r="D1794" t="s">
        <v>190</v>
      </c>
      <c r="E1794" t="s">
        <v>192</v>
      </c>
      <c r="F1794">
        <v>1</v>
      </c>
      <c r="G1794" t="s">
        <v>498</v>
      </c>
      <c r="H1794" s="4">
        <v>31174602</v>
      </c>
      <c r="I1794" s="4">
        <v>40888949</v>
      </c>
      <c r="J1794" s="3">
        <v>0.3116109389303511</v>
      </c>
      <c r="K1794" s="3">
        <v>-0.23757878932031243</v>
      </c>
      <c r="L1794" t="s">
        <v>54</v>
      </c>
    </row>
    <row r="1795" spans="1:12" x14ac:dyDescent="0.25">
      <c r="A1795" t="s">
        <v>487</v>
      </c>
      <c r="B1795" t="s">
        <v>461</v>
      </c>
      <c r="C1795" t="s">
        <v>462</v>
      </c>
      <c r="D1795" t="s">
        <v>190</v>
      </c>
      <c r="E1795" t="s">
        <v>192</v>
      </c>
      <c r="F1795">
        <v>1</v>
      </c>
      <c r="G1795" t="s">
        <v>499</v>
      </c>
      <c r="H1795" s="4">
        <v>31174602</v>
      </c>
      <c r="I1795" s="4">
        <v>30645578</v>
      </c>
      <c r="J1795" s="3">
        <v>0.016969711433685666</v>
      </c>
      <c r="K1795" s="3">
        <v>0.01726265368530494</v>
      </c>
      <c r="L1795" t="s">
        <v>54</v>
      </c>
    </row>
    <row r="1796" spans="1:12" x14ac:dyDescent="0.25">
      <c r="A1796" t="s">
        <v>487</v>
      </c>
      <c r="B1796" t="s">
        <v>461</v>
      </c>
      <c r="C1796" t="s">
        <v>462</v>
      </c>
      <c r="D1796" t="s">
        <v>190</v>
      </c>
      <c r="E1796" t="s">
        <v>194</v>
      </c>
      <c r="F1796">
        <v>2</v>
      </c>
      <c r="G1796" t="s">
        <v>488</v>
      </c>
      <c r="H1796" s="4">
        <v>26695692</v>
      </c>
      <c r="I1796" s="4">
        <v>31775566.091731444</v>
      </c>
      <c r="J1796" s="3">
        <v>0.19028815929294673</v>
      </c>
      <c r="K1796" s="3">
        <v>-0.15986730423831272</v>
      </c>
      <c r="L1796" t="s">
        <v>54</v>
      </c>
    </row>
    <row r="1797" spans="1:12" x14ac:dyDescent="0.25">
      <c r="A1797" t="s">
        <v>487</v>
      </c>
      <c r="B1797" t="s">
        <v>461</v>
      </c>
      <c r="C1797" t="s">
        <v>462</v>
      </c>
      <c r="D1797" t="s">
        <v>190</v>
      </c>
      <c r="E1797" t="s">
        <v>194</v>
      </c>
      <c r="F1797">
        <v>2</v>
      </c>
      <c r="G1797" t="s">
        <v>498</v>
      </c>
      <c r="H1797" s="4">
        <v>26695692</v>
      </c>
      <c r="I1797" s="4">
        <v>35623741</v>
      </c>
      <c r="J1797" s="3">
        <v>0.3344378186562836</v>
      </c>
      <c r="K1797" s="3">
        <v>-0.25062075877993834</v>
      </c>
      <c r="L1797" t="s">
        <v>54</v>
      </c>
    </row>
    <row r="1798" spans="1:12" x14ac:dyDescent="0.25">
      <c r="A1798" t="s">
        <v>487</v>
      </c>
      <c r="B1798" t="s">
        <v>461</v>
      </c>
      <c r="C1798" t="s">
        <v>462</v>
      </c>
      <c r="D1798" t="s">
        <v>190</v>
      </c>
      <c r="E1798" t="s">
        <v>194</v>
      </c>
      <c r="F1798">
        <v>2</v>
      </c>
      <c r="G1798" t="s">
        <v>499</v>
      </c>
      <c r="H1798" s="4">
        <v>26695692</v>
      </c>
      <c r="I1798" s="4">
        <v>30645578</v>
      </c>
      <c r="J1798" s="3">
        <v>0.14795967828816725</v>
      </c>
      <c r="K1798" s="3">
        <v>-0.1288892642194577</v>
      </c>
      <c r="L1798" t="s">
        <v>54</v>
      </c>
    </row>
    <row r="1799" spans="1:12" x14ac:dyDescent="0.25">
      <c r="A1799" t="s">
        <v>487</v>
      </c>
      <c r="B1799" t="s">
        <v>461</v>
      </c>
      <c r="C1799" t="s">
        <v>462</v>
      </c>
      <c r="D1799" t="s">
        <v>190</v>
      </c>
      <c r="E1799" t="s">
        <v>196</v>
      </c>
      <c r="F1799">
        <v>3</v>
      </c>
      <c r="G1799" t="s">
        <v>488</v>
      </c>
      <c r="H1799" s="4">
        <v>27402948</v>
      </c>
      <c r="I1799" s="4">
        <v>24392253.942380648</v>
      </c>
      <c r="J1799" s="3">
        <v>0.1098675243853089</v>
      </c>
      <c r="K1799" s="3">
        <v>0.12342828443534615</v>
      </c>
      <c r="L1799" t="s">
        <v>54</v>
      </c>
    </row>
    <row r="1800" spans="1:12" x14ac:dyDescent="0.25">
      <c r="A1800" t="s">
        <v>487</v>
      </c>
      <c r="B1800" t="s">
        <v>461</v>
      </c>
      <c r="C1800" t="s">
        <v>462</v>
      </c>
      <c r="D1800" t="s">
        <v>190</v>
      </c>
      <c r="E1800" t="s">
        <v>196</v>
      </c>
      <c r="F1800">
        <v>3</v>
      </c>
      <c r="G1800" t="s">
        <v>498</v>
      </c>
      <c r="H1800" s="4">
        <v>27402948</v>
      </c>
      <c r="I1800" s="4">
        <v>27346274</v>
      </c>
      <c r="J1800" s="3">
        <v>0.0020681716434304805</v>
      </c>
      <c r="K1800" s="3">
        <v>0.002072457841971451</v>
      </c>
      <c r="L1800" t="s">
        <v>54</v>
      </c>
    </row>
    <row r="1801" spans="1:12" x14ac:dyDescent="0.25">
      <c r="A1801" t="s">
        <v>487</v>
      </c>
      <c r="B1801" t="s">
        <v>461</v>
      </c>
      <c r="C1801" t="s">
        <v>462</v>
      </c>
      <c r="D1801" t="s">
        <v>190</v>
      </c>
      <c r="E1801" t="s">
        <v>196</v>
      </c>
      <c r="F1801">
        <v>3</v>
      </c>
      <c r="G1801" t="s">
        <v>499</v>
      </c>
      <c r="H1801" s="4">
        <v>27402948</v>
      </c>
      <c r="I1801" s="4">
        <v>30645578</v>
      </c>
      <c r="J1801" s="3">
        <v>0.11833142915864381</v>
      </c>
      <c r="K1801" s="3">
        <v>-0.10581069803937129</v>
      </c>
      <c r="L1801" t="s">
        <v>54</v>
      </c>
    </row>
    <row r="1802" spans="1:12" x14ac:dyDescent="0.25">
      <c r="A1802" t="s">
        <v>487</v>
      </c>
      <c r="B1802" t="s">
        <v>461</v>
      </c>
      <c r="C1802" t="s">
        <v>462</v>
      </c>
      <c r="D1802" t="s">
        <v>192</v>
      </c>
      <c r="E1802" t="s">
        <v>194</v>
      </c>
      <c r="F1802">
        <v>1</v>
      </c>
      <c r="G1802" t="s">
        <v>488</v>
      </c>
      <c r="H1802" s="4">
        <v>26695692</v>
      </c>
      <c r="I1802" s="4">
        <v>29736337.55077202</v>
      </c>
      <c r="J1802" s="3">
        <v>0.11390023344485764</v>
      </c>
      <c r="K1802" s="3">
        <v>-0.10225353225091693</v>
      </c>
      <c r="L1802" t="s">
        <v>54</v>
      </c>
    </row>
    <row r="1803" spans="1:12" x14ac:dyDescent="0.25">
      <c r="A1803" t="s">
        <v>487</v>
      </c>
      <c r="B1803" t="s">
        <v>461</v>
      </c>
      <c r="C1803" t="s">
        <v>462</v>
      </c>
      <c r="D1803" t="s">
        <v>192</v>
      </c>
      <c r="E1803" t="s">
        <v>194</v>
      </c>
      <c r="F1803">
        <v>1</v>
      </c>
      <c r="G1803" t="s">
        <v>498</v>
      </c>
      <c r="H1803" s="4">
        <v>26695692</v>
      </c>
      <c r="I1803" s="4">
        <v>35623741</v>
      </c>
      <c r="J1803" s="3">
        <v>0.3344378186562836</v>
      </c>
      <c r="K1803" s="3">
        <v>-0.25062075877993834</v>
      </c>
      <c r="L1803" t="s">
        <v>54</v>
      </c>
    </row>
    <row r="1804" spans="1:12" x14ac:dyDescent="0.25">
      <c r="A1804" t="s">
        <v>487</v>
      </c>
      <c r="B1804" t="s">
        <v>461</v>
      </c>
      <c r="C1804" t="s">
        <v>462</v>
      </c>
      <c r="D1804" t="s">
        <v>192</v>
      </c>
      <c r="E1804" t="s">
        <v>194</v>
      </c>
      <c r="F1804">
        <v>1</v>
      </c>
      <c r="G1804" t="s">
        <v>499</v>
      </c>
      <c r="H1804" s="4">
        <v>26695692</v>
      </c>
      <c r="I1804" s="4">
        <v>31174602</v>
      </c>
      <c r="J1804" s="3">
        <v>0.16777650865914995</v>
      </c>
      <c r="K1804" s="3">
        <v>-0.1436717620324391</v>
      </c>
      <c r="L1804" t="s">
        <v>54</v>
      </c>
    </row>
    <row r="1805" spans="1:12" x14ac:dyDescent="0.25">
      <c r="A1805" t="s">
        <v>487</v>
      </c>
      <c r="B1805" t="s">
        <v>461</v>
      </c>
      <c r="C1805" t="s">
        <v>462</v>
      </c>
      <c r="D1805" t="s">
        <v>192</v>
      </c>
      <c r="E1805" t="s">
        <v>196</v>
      </c>
      <c r="F1805">
        <v>2</v>
      </c>
      <c r="G1805" t="s">
        <v>488</v>
      </c>
      <c r="H1805" s="4">
        <v>27402948</v>
      </c>
      <c r="I1805" s="4">
        <v>22826856.79810833</v>
      </c>
      <c r="J1805" s="3">
        <v>0.16699266085866632</v>
      </c>
      <c r="K1805" s="3">
        <v>0.20046961534673008</v>
      </c>
      <c r="L1805" t="s">
        <v>54</v>
      </c>
    </row>
    <row r="1806" spans="1:12" x14ac:dyDescent="0.25">
      <c r="A1806" t="s">
        <v>487</v>
      </c>
      <c r="B1806" t="s">
        <v>461</v>
      </c>
      <c r="C1806" t="s">
        <v>462</v>
      </c>
      <c r="D1806" t="s">
        <v>192</v>
      </c>
      <c r="E1806" t="s">
        <v>196</v>
      </c>
      <c r="F1806">
        <v>2</v>
      </c>
      <c r="G1806" t="s">
        <v>498</v>
      </c>
      <c r="H1806" s="4">
        <v>27402948</v>
      </c>
      <c r="I1806" s="4">
        <v>27346274</v>
      </c>
      <c r="J1806" s="3">
        <v>0.0020681716434304805</v>
      </c>
      <c r="K1806" s="3">
        <v>0.002072457841971451</v>
      </c>
      <c r="L1806" t="s">
        <v>54</v>
      </c>
    </row>
    <row r="1807" spans="1:12" x14ac:dyDescent="0.25">
      <c r="A1807" t="s">
        <v>487</v>
      </c>
      <c r="B1807" t="s">
        <v>461</v>
      </c>
      <c r="C1807" t="s">
        <v>462</v>
      </c>
      <c r="D1807" t="s">
        <v>192</v>
      </c>
      <c r="E1807" t="s">
        <v>196</v>
      </c>
      <c r="F1807">
        <v>2</v>
      </c>
      <c r="G1807" t="s">
        <v>499</v>
      </c>
      <c r="H1807" s="4">
        <v>27402948</v>
      </c>
      <c r="I1807" s="4">
        <v>31174602</v>
      </c>
      <c r="J1807" s="3">
        <v>0.1376367973256016</v>
      </c>
      <c r="K1807" s="3">
        <v>-0.12098483246073198</v>
      </c>
      <c r="L1807" t="s">
        <v>54</v>
      </c>
    </row>
    <row r="1808" spans="1:12" x14ac:dyDescent="0.25">
      <c r="A1808" t="s">
        <v>487</v>
      </c>
      <c r="B1808" t="s">
        <v>461</v>
      </c>
      <c r="C1808" t="s">
        <v>462</v>
      </c>
      <c r="D1808" t="s">
        <v>192</v>
      </c>
      <c r="E1808" t="s">
        <v>198</v>
      </c>
      <c r="F1808">
        <v>3</v>
      </c>
      <c r="G1808" t="s">
        <v>488</v>
      </c>
      <c r="H1808" s="4">
        <v>37254921</v>
      </c>
      <c r="I1808" s="4">
        <v>28929372.92542651</v>
      </c>
      <c r="J1808" s="3">
        <v>0.22347512358363317</v>
      </c>
      <c r="K1808" s="3">
        <v>0.2877887500719391</v>
      </c>
      <c r="L1808" t="s">
        <v>54</v>
      </c>
    </row>
    <row r="1809" spans="1:12" x14ac:dyDescent="0.25">
      <c r="A1809" t="s">
        <v>487</v>
      </c>
      <c r="B1809" t="s">
        <v>461</v>
      </c>
      <c r="C1809" t="s">
        <v>462</v>
      </c>
      <c r="D1809" t="s">
        <v>192</v>
      </c>
      <c r="E1809" t="s">
        <v>198</v>
      </c>
      <c r="F1809">
        <v>3</v>
      </c>
      <c r="G1809" t="s">
        <v>498</v>
      </c>
      <c r="H1809" s="4">
        <v>37254921</v>
      </c>
      <c r="I1809" s="4">
        <v>34657008</v>
      </c>
      <c r="J1809" s="3">
        <v>0.06973341857307924</v>
      </c>
      <c r="K1809" s="3">
        <v>0.07496068327652519</v>
      </c>
      <c r="L1809" t="s">
        <v>54</v>
      </c>
    </row>
    <row r="1810" spans="1:12" x14ac:dyDescent="0.25">
      <c r="A1810" t="s">
        <v>487</v>
      </c>
      <c r="B1810" t="s">
        <v>461</v>
      </c>
      <c r="C1810" t="s">
        <v>462</v>
      </c>
      <c r="D1810" t="s">
        <v>192</v>
      </c>
      <c r="E1810" t="s">
        <v>198</v>
      </c>
      <c r="F1810">
        <v>3</v>
      </c>
      <c r="G1810" t="s">
        <v>499</v>
      </c>
      <c r="H1810" s="4">
        <v>37254921</v>
      </c>
      <c r="I1810" s="4">
        <v>31174602</v>
      </c>
      <c r="J1810" s="3">
        <v>0.16320847922345613</v>
      </c>
      <c r="K1810" s="3">
        <v>0.19504078993534543</v>
      </c>
      <c r="L1810" t="s">
        <v>54</v>
      </c>
    </row>
    <row r="1811" spans="1:12" x14ac:dyDescent="0.25">
      <c r="A1811" t="s">
        <v>487</v>
      </c>
      <c r="B1811" t="s">
        <v>461</v>
      </c>
      <c r="C1811" t="s">
        <v>462</v>
      </c>
      <c r="D1811" t="s">
        <v>194</v>
      </c>
      <c r="E1811" t="s">
        <v>196</v>
      </c>
      <c r="F1811">
        <v>1</v>
      </c>
      <c r="G1811" t="s">
        <v>488</v>
      </c>
      <c r="H1811" s="4">
        <v>27402948</v>
      </c>
      <c r="I1811" s="4">
        <v>21865983.864661086</v>
      </c>
      <c r="J1811" s="3">
        <v>0.20205724345201523</v>
      </c>
      <c r="K1811" s="3">
        <v>0.2532227303198339</v>
      </c>
      <c r="L1811" t="s">
        <v>54</v>
      </c>
    </row>
    <row r="1812" spans="1:12" x14ac:dyDescent="0.25">
      <c r="A1812" t="s">
        <v>487</v>
      </c>
      <c r="B1812" t="s">
        <v>461</v>
      </c>
      <c r="C1812" t="s">
        <v>462</v>
      </c>
      <c r="D1812" t="s">
        <v>194</v>
      </c>
      <c r="E1812" t="s">
        <v>196</v>
      </c>
      <c r="F1812">
        <v>1</v>
      </c>
      <c r="G1812" t="s">
        <v>498</v>
      </c>
      <c r="H1812" s="4">
        <v>27402948</v>
      </c>
      <c r="I1812" s="4">
        <v>27346274</v>
      </c>
      <c r="J1812" s="3">
        <v>0.0020681716434304805</v>
      </c>
      <c r="K1812" s="3">
        <v>0.002072457841971451</v>
      </c>
      <c r="L1812" t="s">
        <v>54</v>
      </c>
    </row>
    <row r="1813" spans="1:12" x14ac:dyDescent="0.25">
      <c r="A1813" t="s">
        <v>487</v>
      </c>
      <c r="B1813" t="s">
        <v>461</v>
      </c>
      <c r="C1813" t="s">
        <v>462</v>
      </c>
      <c r="D1813" t="s">
        <v>194</v>
      </c>
      <c r="E1813" t="s">
        <v>196</v>
      </c>
      <c r="F1813">
        <v>1</v>
      </c>
      <c r="G1813" t="s">
        <v>499</v>
      </c>
      <c r="H1813" s="4">
        <v>27402948</v>
      </c>
      <c r="I1813" s="4">
        <v>26695692</v>
      </c>
      <c r="J1813" s="3">
        <v>0.025809485899108375</v>
      </c>
      <c r="K1813" s="3">
        <v>0.026493263407444168</v>
      </c>
      <c r="L1813" t="s">
        <v>54</v>
      </c>
    </row>
    <row r="1814" spans="1:12" x14ac:dyDescent="0.25">
      <c r="A1814" t="s">
        <v>487</v>
      </c>
      <c r="B1814" t="s">
        <v>461</v>
      </c>
      <c r="C1814" t="s">
        <v>462</v>
      </c>
      <c r="D1814" t="s">
        <v>194</v>
      </c>
      <c r="E1814" t="s">
        <v>198</v>
      </c>
      <c r="F1814">
        <v>2</v>
      </c>
      <c r="G1814" t="s">
        <v>488</v>
      </c>
      <c r="H1814" s="4">
        <v>37254921</v>
      </c>
      <c r="I1814" s="4">
        <v>27711620.88573493</v>
      </c>
      <c r="J1814" s="3">
        <v>0.2561621353126764</v>
      </c>
      <c r="K1814" s="3">
        <v>0.344378993694218</v>
      </c>
      <c r="L1814" t="s">
        <v>54</v>
      </c>
    </row>
    <row r="1815" spans="1:12" x14ac:dyDescent="0.25">
      <c r="A1815" t="s">
        <v>487</v>
      </c>
      <c r="B1815" t="s">
        <v>461</v>
      </c>
      <c r="C1815" t="s">
        <v>462</v>
      </c>
      <c r="D1815" t="s">
        <v>194</v>
      </c>
      <c r="E1815" t="s">
        <v>198</v>
      </c>
      <c r="F1815">
        <v>2</v>
      </c>
      <c r="G1815" t="s">
        <v>498</v>
      </c>
      <c r="H1815" s="4">
        <v>37254921</v>
      </c>
      <c r="I1815" s="4">
        <v>34657008</v>
      </c>
      <c r="J1815" s="3">
        <v>0.06973341857307924</v>
      </c>
      <c r="K1815" s="3">
        <v>0.07496068327652519</v>
      </c>
      <c r="L1815" t="s">
        <v>54</v>
      </c>
    </row>
    <row r="1816" spans="1:12" x14ac:dyDescent="0.25">
      <c r="A1816" t="s">
        <v>487</v>
      </c>
      <c r="B1816" t="s">
        <v>461</v>
      </c>
      <c r="C1816" t="s">
        <v>462</v>
      </c>
      <c r="D1816" t="s">
        <v>194</v>
      </c>
      <c r="E1816" t="s">
        <v>198</v>
      </c>
      <c r="F1816">
        <v>2</v>
      </c>
      <c r="G1816" t="s">
        <v>499</v>
      </c>
      <c r="H1816" s="4">
        <v>37254921</v>
      </c>
      <c r="I1816" s="4">
        <v>26695692</v>
      </c>
      <c r="J1816" s="3">
        <v>0.2834317914672266</v>
      </c>
      <c r="K1816" s="3">
        <v>0.3955405613759703</v>
      </c>
      <c r="L1816" t="s">
        <v>54</v>
      </c>
    </row>
    <row r="1817" spans="1:12" x14ac:dyDescent="0.25">
      <c r="A1817" t="s">
        <v>487</v>
      </c>
      <c r="B1817" t="s">
        <v>461</v>
      </c>
      <c r="C1817" t="s">
        <v>462</v>
      </c>
      <c r="D1817" t="s">
        <v>194</v>
      </c>
      <c r="E1817" t="s">
        <v>200</v>
      </c>
      <c r="F1817">
        <v>3</v>
      </c>
      <c r="G1817" t="s">
        <v>488</v>
      </c>
      <c r="H1817" s="4">
        <v>30447569</v>
      </c>
      <c r="I1817" s="4">
        <v>27924235.183448073</v>
      </c>
      <c r="J1817" s="3">
        <v>0.08287472200332077</v>
      </c>
      <c r="K1817" s="3">
        <v>0.09036357844628164</v>
      </c>
      <c r="L1817" t="s">
        <v>54</v>
      </c>
    </row>
    <row r="1818" spans="1:12" x14ac:dyDescent="0.25">
      <c r="A1818" t="s">
        <v>487</v>
      </c>
      <c r="B1818" t="s">
        <v>461</v>
      </c>
      <c r="C1818" t="s">
        <v>462</v>
      </c>
      <c r="D1818" t="s">
        <v>194</v>
      </c>
      <c r="E1818" t="s">
        <v>200</v>
      </c>
      <c r="F1818">
        <v>3</v>
      </c>
      <c r="G1818" t="s">
        <v>498</v>
      </c>
      <c r="H1818" s="4">
        <v>30447569</v>
      </c>
      <c r="I1818" s="4">
        <v>34922910</v>
      </c>
      <c r="J1818" s="3">
        <v>0.14698516653332816</v>
      </c>
      <c r="K1818" s="3">
        <v>-0.12814914335603764</v>
      </c>
      <c r="L1818" t="s">
        <v>54</v>
      </c>
    </row>
    <row r="1819" spans="1:12" x14ac:dyDescent="0.25">
      <c r="A1819" t="s">
        <v>487</v>
      </c>
      <c r="B1819" t="s">
        <v>461</v>
      </c>
      <c r="C1819" t="s">
        <v>462</v>
      </c>
      <c r="D1819" t="s">
        <v>194</v>
      </c>
      <c r="E1819" t="s">
        <v>200</v>
      </c>
      <c r="F1819">
        <v>3</v>
      </c>
      <c r="G1819" t="s">
        <v>499</v>
      </c>
      <c r="H1819" s="4">
        <v>30447569</v>
      </c>
      <c r="I1819" s="4">
        <v>26695692</v>
      </c>
      <c r="J1819" s="3">
        <v>0.12322418909700147</v>
      </c>
      <c r="K1819" s="3">
        <v>0.14054241410936266</v>
      </c>
      <c r="L1819" t="s">
        <v>54</v>
      </c>
    </row>
    <row r="1820" spans="1:12" x14ac:dyDescent="0.25">
      <c r="A1820" t="s">
        <v>487</v>
      </c>
      <c r="B1820" t="s">
        <v>461</v>
      </c>
      <c r="C1820" t="s">
        <v>462</v>
      </c>
      <c r="D1820" t="s">
        <v>196</v>
      </c>
      <c r="E1820" t="s">
        <v>198</v>
      </c>
      <c r="F1820">
        <v>1</v>
      </c>
      <c r="G1820" t="s">
        <v>488</v>
      </c>
      <c r="H1820" s="4">
        <v>37254921</v>
      </c>
      <c r="I1820" s="4">
        <v>28113356.69647084</v>
      </c>
      <c r="J1820" s="3">
        <v>0.24537870590382296</v>
      </c>
      <c r="K1820" s="3">
        <v>0.32516801185383626</v>
      </c>
      <c r="L1820" t="s">
        <v>54</v>
      </c>
    </row>
    <row r="1821" spans="1:12" x14ac:dyDescent="0.25">
      <c r="A1821" t="s">
        <v>487</v>
      </c>
      <c r="B1821" t="s">
        <v>461</v>
      </c>
      <c r="C1821" t="s">
        <v>462</v>
      </c>
      <c r="D1821" t="s">
        <v>196</v>
      </c>
      <c r="E1821" t="s">
        <v>198</v>
      </c>
      <c r="F1821">
        <v>1</v>
      </c>
      <c r="G1821" t="s">
        <v>498</v>
      </c>
      <c r="H1821" s="4">
        <v>37254921</v>
      </c>
      <c r="I1821" s="4">
        <v>34657008</v>
      </c>
      <c r="J1821" s="3">
        <v>0.06973341857307924</v>
      </c>
      <c r="K1821" s="3">
        <v>0.07496068327652519</v>
      </c>
      <c r="L1821" t="s">
        <v>54</v>
      </c>
    </row>
    <row r="1822" spans="1:12" x14ac:dyDescent="0.25">
      <c r="A1822" t="s">
        <v>487</v>
      </c>
      <c r="B1822" t="s">
        <v>461</v>
      </c>
      <c r="C1822" t="s">
        <v>462</v>
      </c>
      <c r="D1822" t="s">
        <v>196</v>
      </c>
      <c r="E1822" t="s">
        <v>198</v>
      </c>
      <c r="F1822">
        <v>1</v>
      </c>
      <c r="G1822" t="s">
        <v>499</v>
      </c>
      <c r="H1822" s="4">
        <v>37254921</v>
      </c>
      <c r="I1822" s="4">
        <v>27402948</v>
      </c>
      <c r="J1822" s="3">
        <v>0.2644475611691674</v>
      </c>
      <c r="K1822" s="3">
        <v>0.35952237693550343</v>
      </c>
      <c r="L1822" t="s">
        <v>54</v>
      </c>
    </row>
    <row r="1823" spans="1:12" x14ac:dyDescent="0.25">
      <c r="A1823" t="s">
        <v>487</v>
      </c>
      <c r="B1823" t="s">
        <v>461</v>
      </c>
      <c r="C1823" t="s">
        <v>462</v>
      </c>
      <c r="D1823" t="s">
        <v>196</v>
      </c>
      <c r="E1823" t="s">
        <v>200</v>
      </c>
      <c r="F1823">
        <v>2</v>
      </c>
      <c r="G1823" t="s">
        <v>488</v>
      </c>
      <c r="H1823" s="4">
        <v>30447569</v>
      </c>
      <c r="I1823" s="4">
        <v>28329053.26705492</v>
      </c>
      <c r="J1823" s="3">
        <v>0.06957914219506592</v>
      </c>
      <c r="K1823" s="3">
        <v>0.0747824402380857</v>
      </c>
      <c r="L1823" t="s">
        <v>54</v>
      </c>
    </row>
    <row r="1824" spans="1:12" x14ac:dyDescent="0.25">
      <c r="A1824" t="s">
        <v>487</v>
      </c>
      <c r="B1824" t="s">
        <v>461</v>
      </c>
      <c r="C1824" t="s">
        <v>462</v>
      </c>
      <c r="D1824" t="s">
        <v>196</v>
      </c>
      <c r="E1824" t="s">
        <v>200</v>
      </c>
      <c r="F1824">
        <v>2</v>
      </c>
      <c r="G1824" t="s">
        <v>498</v>
      </c>
      <c r="H1824" s="4">
        <v>30447569</v>
      </c>
      <c r="I1824" s="4">
        <v>34922910</v>
      </c>
      <c r="J1824" s="3">
        <v>0.14698516653332816</v>
      </c>
      <c r="K1824" s="3">
        <v>-0.12814914335603764</v>
      </c>
      <c r="L1824" t="s">
        <v>54</v>
      </c>
    </row>
    <row r="1825" spans="1:12" x14ac:dyDescent="0.25">
      <c r="A1825" t="s">
        <v>487</v>
      </c>
      <c r="B1825" t="s">
        <v>461</v>
      </c>
      <c r="C1825" t="s">
        <v>462</v>
      </c>
      <c r="D1825" t="s">
        <v>196</v>
      </c>
      <c r="E1825" t="s">
        <v>200</v>
      </c>
      <c r="F1825">
        <v>2</v>
      </c>
      <c r="G1825" t="s">
        <v>499</v>
      </c>
      <c r="H1825" s="4">
        <v>30447569</v>
      </c>
      <c r="I1825" s="4">
        <v>27402948</v>
      </c>
      <c r="J1825" s="3">
        <v>0.09999553658947287</v>
      </c>
      <c r="K1825" s="3">
        <v>0.11110560075507205</v>
      </c>
      <c r="L1825" t="s">
        <v>54</v>
      </c>
    </row>
    <row r="1826" spans="1:12" x14ac:dyDescent="0.25">
      <c r="A1826" t="s">
        <v>487</v>
      </c>
      <c r="B1826" t="s">
        <v>461</v>
      </c>
      <c r="C1826" t="s">
        <v>462</v>
      </c>
      <c r="D1826" t="s">
        <v>196</v>
      </c>
      <c r="E1826" t="s">
        <v>202</v>
      </c>
      <c r="F1826">
        <v>3</v>
      </c>
      <c r="G1826" t="s">
        <v>488</v>
      </c>
      <c r="H1826" s="4">
        <v>32752870</v>
      </c>
      <c r="I1826" s="4">
        <v>22932303.2014068</v>
      </c>
      <c r="J1826" s="3">
        <v>0.29983835916037893</v>
      </c>
      <c r="K1826" s="3">
        <v>0.4282416254635405</v>
      </c>
      <c r="L1826" t="s">
        <v>54</v>
      </c>
    </row>
    <row r="1827" spans="1:12" x14ac:dyDescent="0.25">
      <c r="A1827" t="s">
        <v>487</v>
      </c>
      <c r="B1827" t="s">
        <v>461</v>
      </c>
      <c r="C1827" t="s">
        <v>462</v>
      </c>
      <c r="D1827" t="s">
        <v>196</v>
      </c>
      <c r="E1827" t="s">
        <v>202</v>
      </c>
      <c r="F1827">
        <v>3</v>
      </c>
      <c r="G1827" t="s">
        <v>498</v>
      </c>
      <c r="H1827" s="4">
        <v>32752870</v>
      </c>
      <c r="I1827" s="4">
        <v>28270015</v>
      </c>
      <c r="J1827" s="3">
        <v>0.13686907437424567</v>
      </c>
      <c r="K1827" s="3">
        <v>0.15857278462710403</v>
      </c>
      <c r="L1827" t="s">
        <v>54</v>
      </c>
    </row>
    <row r="1828" spans="1:12" x14ac:dyDescent="0.25">
      <c r="A1828" t="s">
        <v>487</v>
      </c>
      <c r="B1828" t="s">
        <v>461</v>
      </c>
      <c r="C1828" t="s">
        <v>462</v>
      </c>
      <c r="D1828" t="s">
        <v>196</v>
      </c>
      <c r="E1828" t="s">
        <v>202</v>
      </c>
      <c r="F1828">
        <v>3</v>
      </c>
      <c r="G1828" t="s">
        <v>499</v>
      </c>
      <c r="H1828" s="4">
        <v>32752870</v>
      </c>
      <c r="I1828" s="4">
        <v>27402948</v>
      </c>
      <c r="J1828" s="3">
        <v>0.16334208269382194</v>
      </c>
      <c r="K1828" s="3">
        <v>0.19523162252470064</v>
      </c>
      <c r="L1828" t="s">
        <v>54</v>
      </c>
    </row>
    <row r="1829" spans="1:12" x14ac:dyDescent="0.25">
      <c r="A1829" t="s">
        <v>487</v>
      </c>
      <c r="B1829" t="s">
        <v>461</v>
      </c>
      <c r="C1829" t="s">
        <v>462</v>
      </c>
      <c r="D1829" t="s">
        <v>198</v>
      </c>
      <c r="E1829" t="s">
        <v>200</v>
      </c>
      <c r="F1829">
        <v>1</v>
      </c>
      <c r="G1829" t="s">
        <v>488</v>
      </c>
      <c r="H1829" s="4">
        <v>30447569</v>
      </c>
      <c r="I1829" s="4">
        <v>28898412.795874454</v>
      </c>
      <c r="J1829" s="3">
        <v>0.050879471005568486</v>
      </c>
      <c r="K1829" s="3">
        <v>0.05360696502842896</v>
      </c>
      <c r="L1829" t="s">
        <v>54</v>
      </c>
    </row>
    <row r="1830" spans="1:12" x14ac:dyDescent="0.25">
      <c r="A1830" t="s">
        <v>487</v>
      </c>
      <c r="B1830" t="s">
        <v>461</v>
      </c>
      <c r="C1830" t="s">
        <v>462</v>
      </c>
      <c r="D1830" t="s">
        <v>198</v>
      </c>
      <c r="E1830" t="s">
        <v>200</v>
      </c>
      <c r="F1830">
        <v>1</v>
      </c>
      <c r="G1830" t="s">
        <v>498</v>
      </c>
      <c r="H1830" s="4">
        <v>30447569</v>
      </c>
      <c r="I1830" s="4">
        <v>34922910</v>
      </c>
      <c r="J1830" s="3">
        <v>0.14698516653332816</v>
      </c>
      <c r="K1830" s="3">
        <v>-0.12814914335603764</v>
      </c>
      <c r="L1830" t="s">
        <v>54</v>
      </c>
    </row>
    <row r="1831" spans="1:12" x14ac:dyDescent="0.25">
      <c r="A1831" t="s">
        <v>487</v>
      </c>
      <c r="B1831" t="s">
        <v>461</v>
      </c>
      <c r="C1831" t="s">
        <v>462</v>
      </c>
      <c r="D1831" t="s">
        <v>198</v>
      </c>
      <c r="E1831" t="s">
        <v>200</v>
      </c>
      <c r="F1831">
        <v>1</v>
      </c>
      <c r="G1831" t="s">
        <v>499</v>
      </c>
      <c r="H1831" s="4">
        <v>30447569</v>
      </c>
      <c r="I1831" s="4">
        <v>37254921</v>
      </c>
      <c r="J1831" s="3">
        <v>0.22357620734844216</v>
      </c>
      <c r="K1831" s="3">
        <v>-0.18272356556600938</v>
      </c>
      <c r="L1831" t="s">
        <v>54</v>
      </c>
    </row>
    <row r="1832" spans="1:12" x14ac:dyDescent="0.25">
      <c r="A1832" t="s">
        <v>487</v>
      </c>
      <c r="B1832" t="s">
        <v>461</v>
      </c>
      <c r="C1832" t="s">
        <v>462</v>
      </c>
      <c r="D1832" t="s">
        <v>198</v>
      </c>
      <c r="E1832" t="s">
        <v>202</v>
      </c>
      <c r="F1832">
        <v>2</v>
      </c>
      <c r="G1832" t="s">
        <v>488</v>
      </c>
      <c r="H1832" s="4">
        <v>32752870</v>
      </c>
      <c r="I1832" s="4">
        <v>23393198.42520462</v>
      </c>
      <c r="J1832" s="3">
        <v>0.2857664557272502</v>
      </c>
      <c r="K1832" s="3">
        <v>0.4001022606943288</v>
      </c>
      <c r="L1832" t="s">
        <v>54</v>
      </c>
    </row>
    <row r="1833" spans="1:12" x14ac:dyDescent="0.25">
      <c r="A1833" t="s">
        <v>487</v>
      </c>
      <c r="B1833" t="s">
        <v>461</v>
      </c>
      <c r="C1833" t="s">
        <v>462</v>
      </c>
      <c r="D1833" t="s">
        <v>198</v>
      </c>
      <c r="E1833" t="s">
        <v>202</v>
      </c>
      <c r="F1833">
        <v>2</v>
      </c>
      <c r="G1833" t="s">
        <v>498</v>
      </c>
      <c r="H1833" s="4">
        <v>32752870</v>
      </c>
      <c r="I1833" s="4">
        <v>28270015</v>
      </c>
      <c r="J1833" s="3">
        <v>0.13686907437424567</v>
      </c>
      <c r="K1833" s="3">
        <v>0.15857278462710403</v>
      </c>
      <c r="L1833" t="s">
        <v>54</v>
      </c>
    </row>
    <row r="1834" spans="1:12" x14ac:dyDescent="0.25">
      <c r="A1834" t="s">
        <v>487</v>
      </c>
      <c r="B1834" t="s">
        <v>461</v>
      </c>
      <c r="C1834" t="s">
        <v>462</v>
      </c>
      <c r="D1834" t="s">
        <v>198</v>
      </c>
      <c r="E1834" t="s">
        <v>202</v>
      </c>
      <c r="F1834">
        <v>2</v>
      </c>
      <c r="G1834" t="s">
        <v>499</v>
      </c>
      <c r="H1834" s="4">
        <v>32752870</v>
      </c>
      <c r="I1834" s="4">
        <v>37254921</v>
      </c>
      <c r="J1834" s="3">
        <v>0.13745516041800307</v>
      </c>
      <c r="K1834" s="3">
        <v>-0.12084446508422338</v>
      </c>
      <c r="L1834" t="s">
        <v>54</v>
      </c>
    </row>
    <row r="1835" spans="1:12" x14ac:dyDescent="0.25">
      <c r="A1835" t="s">
        <v>487</v>
      </c>
      <c r="B1835" t="s">
        <v>461</v>
      </c>
      <c r="C1835" t="s">
        <v>462</v>
      </c>
      <c r="D1835" t="s">
        <v>198</v>
      </c>
      <c r="E1835" t="s">
        <v>204</v>
      </c>
      <c r="F1835">
        <v>3</v>
      </c>
      <c r="G1835" t="s">
        <v>488</v>
      </c>
      <c r="H1835" s="4">
        <v>20793310</v>
      </c>
      <c r="I1835" s="4">
        <v>16794277.720449984</v>
      </c>
      <c r="J1835" s="3">
        <v>0.19232302502824303</v>
      </c>
      <c r="K1835" s="3">
        <v>0.23811874175931314</v>
      </c>
      <c r="L1835" t="s">
        <v>54</v>
      </c>
    </row>
    <row r="1836" spans="1:12" x14ac:dyDescent="0.25">
      <c r="A1836" t="s">
        <v>487</v>
      </c>
      <c r="B1836" t="s">
        <v>461</v>
      </c>
      <c r="C1836" t="s">
        <v>462</v>
      </c>
      <c r="D1836" t="s">
        <v>198</v>
      </c>
      <c r="E1836" t="s">
        <v>204</v>
      </c>
      <c r="F1836">
        <v>3</v>
      </c>
      <c r="G1836" t="s">
        <v>498</v>
      </c>
      <c r="H1836" s="4">
        <v>20793310</v>
      </c>
      <c r="I1836" s="4">
        <v>20295407</v>
      </c>
      <c r="J1836" s="3">
        <v>0.023945345882882524</v>
      </c>
      <c r="K1836" s="3">
        <v>0.02453279207458121</v>
      </c>
      <c r="L1836" t="s">
        <v>54</v>
      </c>
    </row>
    <row r="1837" spans="1:12" x14ac:dyDescent="0.25">
      <c r="A1837" t="s">
        <v>487</v>
      </c>
      <c r="B1837" t="s">
        <v>461</v>
      </c>
      <c r="C1837" t="s">
        <v>462</v>
      </c>
      <c r="D1837" t="s">
        <v>198</v>
      </c>
      <c r="E1837" t="s">
        <v>204</v>
      </c>
      <c r="F1837">
        <v>3</v>
      </c>
      <c r="G1837" t="s">
        <v>499</v>
      </c>
      <c r="H1837" s="4">
        <v>20793310</v>
      </c>
      <c r="I1837" s="4">
        <v>37254921</v>
      </c>
      <c r="J1837" s="3">
        <v>0.7916782368944627</v>
      </c>
      <c r="K1837" s="3">
        <v>-0.4418640694473624</v>
      </c>
      <c r="L1837" t="s">
        <v>54</v>
      </c>
    </row>
    <row r="1838" spans="1:12" x14ac:dyDescent="0.25">
      <c r="A1838" t="s">
        <v>487</v>
      </c>
      <c r="B1838" t="s">
        <v>461</v>
      </c>
      <c r="C1838" t="s">
        <v>462</v>
      </c>
      <c r="D1838" t="s">
        <v>200</v>
      </c>
      <c r="E1838" t="s">
        <v>202</v>
      </c>
      <c r="F1838">
        <v>1</v>
      </c>
      <c r="G1838" t="s">
        <v>488</v>
      </c>
      <c r="H1838" s="4">
        <v>32752870</v>
      </c>
      <c r="I1838" s="4">
        <v>23506872.2901534</v>
      </c>
      <c r="J1838" s="3">
        <v>0.2822958021647141</v>
      </c>
      <c r="K1838" s="3">
        <v>0.39333168597336454</v>
      </c>
      <c r="L1838" t="s">
        <v>54</v>
      </c>
    </row>
    <row r="1839" spans="1:12" x14ac:dyDescent="0.25">
      <c r="A1839" t="s">
        <v>487</v>
      </c>
      <c r="B1839" t="s">
        <v>461</v>
      </c>
      <c r="C1839" t="s">
        <v>462</v>
      </c>
      <c r="D1839" t="s">
        <v>200</v>
      </c>
      <c r="E1839" t="s">
        <v>202</v>
      </c>
      <c r="F1839">
        <v>1</v>
      </c>
      <c r="G1839" t="s">
        <v>498</v>
      </c>
      <c r="H1839" s="4">
        <v>32752870</v>
      </c>
      <c r="I1839" s="4">
        <v>28270015</v>
      </c>
      <c r="J1839" s="3">
        <v>0.13686907437424567</v>
      </c>
      <c r="K1839" s="3">
        <v>0.15857278462710403</v>
      </c>
      <c r="L1839" t="s">
        <v>54</v>
      </c>
    </row>
    <row r="1840" spans="1:12" x14ac:dyDescent="0.25">
      <c r="A1840" t="s">
        <v>487</v>
      </c>
      <c r="B1840" t="s">
        <v>461</v>
      </c>
      <c r="C1840" t="s">
        <v>462</v>
      </c>
      <c r="D1840" t="s">
        <v>200</v>
      </c>
      <c r="E1840" t="s">
        <v>202</v>
      </c>
      <c r="F1840">
        <v>1</v>
      </c>
      <c r="G1840" t="s">
        <v>499</v>
      </c>
      <c r="H1840" s="4">
        <v>32752870</v>
      </c>
      <c r="I1840" s="4">
        <v>30447569</v>
      </c>
      <c r="J1840" s="3">
        <v>0.07038470216503165</v>
      </c>
      <c r="K1840" s="3">
        <v>0.07571379508163689</v>
      </c>
      <c r="L1840" t="s">
        <v>54</v>
      </c>
    </row>
    <row r="1841" spans="1:12" x14ac:dyDescent="0.25">
      <c r="A1841" t="s">
        <v>487</v>
      </c>
      <c r="B1841" t="s">
        <v>461</v>
      </c>
      <c r="C1841" t="s">
        <v>462</v>
      </c>
      <c r="D1841" t="s">
        <v>200</v>
      </c>
      <c r="E1841" t="s">
        <v>204</v>
      </c>
      <c r="F1841">
        <v>2</v>
      </c>
      <c r="G1841" t="s">
        <v>488</v>
      </c>
      <c r="H1841" s="4">
        <v>20793310</v>
      </c>
      <c r="I1841" s="4">
        <v>16875885.648652304</v>
      </c>
      <c r="J1841" s="3">
        <v>0.18839830461565263</v>
      </c>
      <c r="K1841" s="3">
        <v>0.23213148233559752</v>
      </c>
      <c r="L1841" t="s">
        <v>54</v>
      </c>
    </row>
    <row r="1842" spans="1:12" x14ac:dyDescent="0.25">
      <c r="A1842" t="s">
        <v>487</v>
      </c>
      <c r="B1842" t="s">
        <v>461</v>
      </c>
      <c r="C1842" t="s">
        <v>462</v>
      </c>
      <c r="D1842" t="s">
        <v>200</v>
      </c>
      <c r="E1842" t="s">
        <v>204</v>
      </c>
      <c r="F1842">
        <v>2</v>
      </c>
      <c r="G1842" t="s">
        <v>498</v>
      </c>
      <c r="H1842" s="4">
        <v>20793310</v>
      </c>
      <c r="I1842" s="4">
        <v>20295407</v>
      </c>
      <c r="J1842" s="3">
        <v>0.023945345882882524</v>
      </c>
      <c r="K1842" s="3">
        <v>0.02453279207458121</v>
      </c>
      <c r="L1842" t="s">
        <v>54</v>
      </c>
    </row>
    <row r="1843" spans="1:12" x14ac:dyDescent="0.25">
      <c r="A1843" t="s">
        <v>487</v>
      </c>
      <c r="B1843" t="s">
        <v>461</v>
      </c>
      <c r="C1843" t="s">
        <v>462</v>
      </c>
      <c r="D1843" t="s">
        <v>200</v>
      </c>
      <c r="E1843" t="s">
        <v>204</v>
      </c>
      <c r="F1843">
        <v>2</v>
      </c>
      <c r="G1843" t="s">
        <v>499</v>
      </c>
      <c r="H1843" s="4">
        <v>20793310</v>
      </c>
      <c r="I1843" s="4">
        <v>30447569</v>
      </c>
      <c r="J1843" s="3">
        <v>0.46429640110208525</v>
      </c>
      <c r="K1843" s="3">
        <v>-0.3170781549095102</v>
      </c>
      <c r="L1843" t="s">
        <v>54</v>
      </c>
    </row>
    <row r="1844" spans="1:12" x14ac:dyDescent="0.25">
      <c r="A1844" t="s">
        <v>487</v>
      </c>
      <c r="B1844" t="s">
        <v>461</v>
      </c>
      <c r="C1844" t="s">
        <v>462</v>
      </c>
      <c r="D1844" t="s">
        <v>200</v>
      </c>
      <c r="E1844" t="s">
        <v>206</v>
      </c>
      <c r="F1844">
        <v>3</v>
      </c>
      <c r="G1844" t="s">
        <v>488</v>
      </c>
      <c r="H1844" s="4">
        <v>18297842</v>
      </c>
      <c r="I1844" s="4">
        <v>15864740.60971732</v>
      </c>
      <c r="J1844" s="3">
        <v>0.13297204065280918</v>
      </c>
      <c r="K1844" s="3">
        <v>0.1533653433194098</v>
      </c>
      <c r="L1844" t="s">
        <v>54</v>
      </c>
    </row>
    <row r="1845" spans="1:12" x14ac:dyDescent="0.25">
      <c r="A1845" t="s">
        <v>487</v>
      </c>
      <c r="B1845" t="s">
        <v>461</v>
      </c>
      <c r="C1845" t="s">
        <v>462</v>
      </c>
      <c r="D1845" t="s">
        <v>200</v>
      </c>
      <c r="E1845" t="s">
        <v>206</v>
      </c>
      <c r="F1845">
        <v>3</v>
      </c>
      <c r="G1845" t="s">
        <v>498</v>
      </c>
      <c r="H1845" s="4">
        <v>18297842</v>
      </c>
      <c r="I1845" s="4">
        <v>19079376</v>
      </c>
      <c r="J1845" s="3">
        <v>0.04271181268261033</v>
      </c>
      <c r="K1845" s="3">
        <v>-0.04096224111312655</v>
      </c>
      <c r="L1845" t="s">
        <v>54</v>
      </c>
    </row>
    <row r="1846" spans="1:12" x14ac:dyDescent="0.25">
      <c r="A1846" t="s">
        <v>487</v>
      </c>
      <c r="B1846" t="s">
        <v>461</v>
      </c>
      <c r="C1846" t="s">
        <v>462</v>
      </c>
      <c r="D1846" t="s">
        <v>200</v>
      </c>
      <c r="E1846" t="s">
        <v>206</v>
      </c>
      <c r="F1846">
        <v>3</v>
      </c>
      <c r="G1846" t="s">
        <v>499</v>
      </c>
      <c r="H1846" s="4">
        <v>18297842</v>
      </c>
      <c r="I1846" s="4">
        <v>30447569</v>
      </c>
      <c r="J1846" s="3">
        <v>0.6639978091405533</v>
      </c>
      <c r="K1846" s="3">
        <v>-0.39903767029807863</v>
      </c>
      <c r="L1846" t="s">
        <v>54</v>
      </c>
    </row>
    <row r="1847" spans="1:12" x14ac:dyDescent="0.25">
      <c r="A1847" t="s">
        <v>487</v>
      </c>
      <c r="B1847" t="s">
        <v>461</v>
      </c>
      <c r="C1847" t="s">
        <v>462</v>
      </c>
      <c r="D1847" t="s">
        <v>202</v>
      </c>
      <c r="E1847" t="s">
        <v>204</v>
      </c>
      <c r="F1847">
        <v>1</v>
      </c>
      <c r="G1847" t="s">
        <v>488</v>
      </c>
      <c r="H1847" s="4">
        <v>20793310</v>
      </c>
      <c r="I1847" s="4">
        <v>17412290.19402492</v>
      </c>
      <c r="J1847" s="3">
        <v>0.16260132734880015</v>
      </c>
      <c r="K1847" s="3">
        <v>0.19417433136597315</v>
      </c>
      <c r="L1847" t="s">
        <v>54</v>
      </c>
    </row>
    <row r="1848" spans="1:12" x14ac:dyDescent="0.25">
      <c r="A1848" t="s">
        <v>487</v>
      </c>
      <c r="B1848" t="s">
        <v>461</v>
      </c>
      <c r="C1848" t="s">
        <v>462</v>
      </c>
      <c r="D1848" t="s">
        <v>202</v>
      </c>
      <c r="E1848" t="s">
        <v>204</v>
      </c>
      <c r="F1848">
        <v>1</v>
      </c>
      <c r="G1848" t="s">
        <v>498</v>
      </c>
      <c r="H1848" s="4">
        <v>20793310</v>
      </c>
      <c r="I1848" s="4">
        <v>20295407</v>
      </c>
      <c r="J1848" s="3">
        <v>0.023945345882882524</v>
      </c>
      <c r="K1848" s="3">
        <v>0.02453279207458121</v>
      </c>
      <c r="L1848" t="s">
        <v>54</v>
      </c>
    </row>
    <row r="1849" spans="1:12" x14ac:dyDescent="0.25">
      <c r="A1849" t="s">
        <v>487</v>
      </c>
      <c r="B1849" t="s">
        <v>461</v>
      </c>
      <c r="C1849" t="s">
        <v>462</v>
      </c>
      <c r="D1849" t="s">
        <v>202</v>
      </c>
      <c r="E1849" t="s">
        <v>204</v>
      </c>
      <c r="F1849">
        <v>1</v>
      </c>
      <c r="G1849" t="s">
        <v>499</v>
      </c>
      <c r="H1849" s="4">
        <v>20793310</v>
      </c>
      <c r="I1849" s="4">
        <v>32752870</v>
      </c>
      <c r="J1849" s="3">
        <v>0.5751638387539069</v>
      </c>
      <c r="K1849" s="3">
        <v>-0.3651454055781982</v>
      </c>
      <c r="L1849" t="s">
        <v>54</v>
      </c>
    </row>
    <row r="1850" spans="1:12" x14ac:dyDescent="0.25">
      <c r="A1850" t="s">
        <v>487</v>
      </c>
      <c r="B1850" t="s">
        <v>461</v>
      </c>
      <c r="C1850" t="s">
        <v>462</v>
      </c>
      <c r="D1850" t="s">
        <v>202</v>
      </c>
      <c r="E1850" t="s">
        <v>206</v>
      </c>
      <c r="F1850">
        <v>2</v>
      </c>
      <c r="G1850" t="s">
        <v>488</v>
      </c>
      <c r="H1850" s="4">
        <v>18297842</v>
      </c>
      <c r="I1850" s="4">
        <v>16369005.639202723</v>
      </c>
      <c r="J1850" s="3">
        <v>0.1054133247405501</v>
      </c>
      <c r="K1850" s="3">
        <v>0.11783466896595336</v>
      </c>
      <c r="L1850" t="s">
        <v>54</v>
      </c>
    </row>
    <row r="1851" spans="1:12" x14ac:dyDescent="0.25">
      <c r="A1851" t="s">
        <v>487</v>
      </c>
      <c r="B1851" t="s">
        <v>461</v>
      </c>
      <c r="C1851" t="s">
        <v>462</v>
      </c>
      <c r="D1851" t="s">
        <v>202</v>
      </c>
      <c r="E1851" t="s">
        <v>206</v>
      </c>
      <c r="F1851">
        <v>2</v>
      </c>
      <c r="G1851" t="s">
        <v>498</v>
      </c>
      <c r="H1851" s="4">
        <v>18297842</v>
      </c>
      <c r="I1851" s="4">
        <v>19079376</v>
      </c>
      <c r="J1851" s="3">
        <v>0.04271181268261033</v>
      </c>
      <c r="K1851" s="3">
        <v>-0.04096224111312655</v>
      </c>
      <c r="L1851" t="s">
        <v>54</v>
      </c>
    </row>
    <row r="1852" spans="1:12" x14ac:dyDescent="0.25">
      <c r="A1852" t="s">
        <v>487</v>
      </c>
      <c r="B1852" t="s">
        <v>461</v>
      </c>
      <c r="C1852" t="s">
        <v>462</v>
      </c>
      <c r="D1852" t="s">
        <v>202</v>
      </c>
      <c r="E1852" t="s">
        <v>206</v>
      </c>
      <c r="F1852">
        <v>2</v>
      </c>
      <c r="G1852" t="s">
        <v>499</v>
      </c>
      <c r="H1852" s="4">
        <v>18297842</v>
      </c>
      <c r="I1852" s="4">
        <v>32752870</v>
      </c>
      <c r="J1852" s="3">
        <v>0.7899853982781139</v>
      </c>
      <c r="K1852" s="3">
        <v>-0.44133622488655194</v>
      </c>
      <c r="L1852" t="s">
        <v>54</v>
      </c>
    </row>
    <row r="1853" spans="1:12" x14ac:dyDescent="0.25">
      <c r="A1853" t="s">
        <v>487</v>
      </c>
      <c r="B1853" t="s">
        <v>461</v>
      </c>
      <c r="C1853" t="s">
        <v>462</v>
      </c>
      <c r="D1853" t="s">
        <v>202</v>
      </c>
      <c r="E1853" t="s">
        <v>208</v>
      </c>
      <c r="F1853">
        <v>3</v>
      </c>
      <c r="G1853" t="s">
        <v>488</v>
      </c>
      <c r="H1853" s="4">
        <v>21572026</v>
      </c>
      <c r="I1853" s="4">
        <v>15957443.80630155</v>
      </c>
      <c r="J1853" s="3">
        <v>0.26027143642875505</v>
      </c>
      <c r="K1853" s="3">
        <v>0.3518472170010881</v>
      </c>
      <c r="L1853" t="s">
        <v>54</v>
      </c>
    </row>
    <row r="1854" spans="1:12" x14ac:dyDescent="0.25">
      <c r="A1854" t="s">
        <v>487</v>
      </c>
      <c r="B1854" t="s">
        <v>461</v>
      </c>
      <c r="C1854" t="s">
        <v>462</v>
      </c>
      <c r="D1854" t="s">
        <v>202</v>
      </c>
      <c r="E1854" t="s">
        <v>208</v>
      </c>
      <c r="F1854">
        <v>3</v>
      </c>
      <c r="G1854" t="s">
        <v>498</v>
      </c>
      <c r="H1854" s="4">
        <v>21572026</v>
      </c>
      <c r="I1854" s="4">
        <v>18599668</v>
      </c>
      <c r="J1854" s="3">
        <v>0.1377876143854082</v>
      </c>
      <c r="K1854" s="3">
        <v>0.15980704601824075</v>
      </c>
      <c r="L1854" t="s">
        <v>54</v>
      </c>
    </row>
    <row r="1855" spans="1:12" x14ac:dyDescent="0.25">
      <c r="A1855" t="s">
        <v>487</v>
      </c>
      <c r="B1855" t="s">
        <v>461</v>
      </c>
      <c r="C1855" t="s">
        <v>462</v>
      </c>
      <c r="D1855" t="s">
        <v>202</v>
      </c>
      <c r="E1855" t="s">
        <v>208</v>
      </c>
      <c r="F1855">
        <v>3</v>
      </c>
      <c r="G1855" t="s">
        <v>499</v>
      </c>
      <c r="H1855" s="4">
        <v>21572026</v>
      </c>
      <c r="I1855" s="4">
        <v>32752870</v>
      </c>
      <c r="J1855" s="3">
        <v>0.5183029169351084</v>
      </c>
      <c r="K1855" s="3">
        <v>-0.3413699013246778</v>
      </c>
      <c r="L1855" t="s">
        <v>54</v>
      </c>
    </row>
    <row r="1856" spans="1:12" x14ac:dyDescent="0.25">
      <c r="A1856" t="s">
        <v>487</v>
      </c>
      <c r="B1856" t="s">
        <v>461</v>
      </c>
      <c r="C1856" t="s">
        <v>462</v>
      </c>
      <c r="D1856" t="s">
        <v>204</v>
      </c>
      <c r="E1856" t="s">
        <v>206</v>
      </c>
      <c r="F1856">
        <v>1</v>
      </c>
      <c r="G1856" t="s">
        <v>488</v>
      </c>
      <c r="H1856" s="4">
        <v>18297842</v>
      </c>
      <c r="I1856" s="4">
        <v>16801247.355959196</v>
      </c>
      <c r="J1856" s="3">
        <v>0.08179077314367478</v>
      </c>
      <c r="K1856" s="3">
        <v>0.0890764008369879</v>
      </c>
      <c r="L1856" t="s">
        <v>54</v>
      </c>
    </row>
    <row r="1857" spans="1:12" x14ac:dyDescent="0.25">
      <c r="A1857" t="s">
        <v>487</v>
      </c>
      <c r="B1857" t="s">
        <v>461</v>
      </c>
      <c r="C1857" t="s">
        <v>462</v>
      </c>
      <c r="D1857" t="s">
        <v>204</v>
      </c>
      <c r="E1857" t="s">
        <v>206</v>
      </c>
      <c r="F1857">
        <v>1</v>
      </c>
      <c r="G1857" t="s">
        <v>498</v>
      </c>
      <c r="H1857" s="4">
        <v>18297842</v>
      </c>
      <c r="I1857" s="4">
        <v>19079376</v>
      </c>
      <c r="J1857" s="3">
        <v>0.04271181268261033</v>
      </c>
      <c r="K1857" s="3">
        <v>-0.04096224111312655</v>
      </c>
      <c r="L1857" t="s">
        <v>54</v>
      </c>
    </row>
    <row r="1858" spans="1:12" x14ac:dyDescent="0.25">
      <c r="A1858" t="s">
        <v>487</v>
      </c>
      <c r="B1858" t="s">
        <v>461</v>
      </c>
      <c r="C1858" t="s">
        <v>462</v>
      </c>
      <c r="D1858" t="s">
        <v>204</v>
      </c>
      <c r="E1858" t="s">
        <v>206</v>
      </c>
      <c r="F1858">
        <v>1</v>
      </c>
      <c r="G1858" t="s">
        <v>499</v>
      </c>
      <c r="H1858" s="4">
        <v>18297842</v>
      </c>
      <c r="I1858" s="4">
        <v>20793310</v>
      </c>
      <c r="J1858" s="3">
        <v>0.13638045404479937</v>
      </c>
      <c r="K1858" s="3">
        <v>-0.12001302341955176</v>
      </c>
      <c r="L1858" t="s">
        <v>54</v>
      </c>
    </row>
    <row r="1859" spans="1:12" x14ac:dyDescent="0.25">
      <c r="A1859" t="s">
        <v>487</v>
      </c>
      <c r="B1859" t="s">
        <v>461</v>
      </c>
      <c r="C1859" t="s">
        <v>462</v>
      </c>
      <c r="D1859" t="s">
        <v>204</v>
      </c>
      <c r="E1859" t="s">
        <v>208</v>
      </c>
      <c r="F1859">
        <v>2</v>
      </c>
      <c r="G1859" t="s">
        <v>488</v>
      </c>
      <c r="H1859" s="4">
        <v>21572026</v>
      </c>
      <c r="I1859" s="4">
        <v>16378817.77720188</v>
      </c>
      <c r="J1859" s="3">
        <v>0.24073808472130157</v>
      </c>
      <c r="K1859" s="3">
        <v>0.31706856339941014</v>
      </c>
      <c r="L1859" t="s">
        <v>54</v>
      </c>
    </row>
    <row r="1860" spans="1:12" x14ac:dyDescent="0.25">
      <c r="A1860" t="s">
        <v>487</v>
      </c>
      <c r="B1860" t="s">
        <v>461</v>
      </c>
      <c r="C1860" t="s">
        <v>462</v>
      </c>
      <c r="D1860" t="s">
        <v>204</v>
      </c>
      <c r="E1860" t="s">
        <v>208</v>
      </c>
      <c r="F1860">
        <v>2</v>
      </c>
      <c r="G1860" t="s">
        <v>498</v>
      </c>
      <c r="H1860" s="4">
        <v>21572026</v>
      </c>
      <c r="I1860" s="4">
        <v>18599668</v>
      </c>
      <c r="J1860" s="3">
        <v>0.1377876143854082</v>
      </c>
      <c r="K1860" s="3">
        <v>0.15980704601824075</v>
      </c>
      <c r="L1860" t="s">
        <v>54</v>
      </c>
    </row>
    <row r="1861" spans="1:12" x14ac:dyDescent="0.25">
      <c r="A1861" t="s">
        <v>487</v>
      </c>
      <c r="B1861" t="s">
        <v>461</v>
      </c>
      <c r="C1861" t="s">
        <v>462</v>
      </c>
      <c r="D1861" t="s">
        <v>204</v>
      </c>
      <c r="E1861" t="s">
        <v>208</v>
      </c>
      <c r="F1861">
        <v>2</v>
      </c>
      <c r="G1861" t="s">
        <v>499</v>
      </c>
      <c r="H1861" s="4">
        <v>21572026</v>
      </c>
      <c r="I1861" s="4">
        <v>20793310</v>
      </c>
      <c r="J1861" s="3">
        <v>0.036098417459723066</v>
      </c>
      <c r="K1861" s="3">
        <v>0.037450314548285</v>
      </c>
      <c r="L1861" t="s">
        <v>54</v>
      </c>
    </row>
    <row r="1862" spans="1:12" x14ac:dyDescent="0.25">
      <c r="A1862" t="s">
        <v>487</v>
      </c>
      <c r="B1862" t="s">
        <v>461</v>
      </c>
      <c r="C1862" t="s">
        <v>462</v>
      </c>
      <c r="D1862" t="s">
        <v>204</v>
      </c>
      <c r="E1862" t="s">
        <v>210</v>
      </c>
      <c r="F1862">
        <v>3</v>
      </c>
      <c r="G1862" t="s">
        <v>488</v>
      </c>
      <c r="H1862" s="4">
        <v>25383301</v>
      </c>
      <c r="I1862" s="4">
        <v>23747806.725685544</v>
      </c>
      <c r="J1862" s="3">
        <v>0.06443189852708502</v>
      </c>
      <c r="K1862" s="3">
        <v>0.06886927678022202</v>
      </c>
      <c r="L1862" t="s">
        <v>54</v>
      </c>
    </row>
    <row r="1863" spans="1:12" x14ac:dyDescent="0.25">
      <c r="A1863" t="s">
        <v>487</v>
      </c>
      <c r="B1863" t="s">
        <v>461</v>
      </c>
      <c r="C1863" t="s">
        <v>462</v>
      </c>
      <c r="D1863" t="s">
        <v>204</v>
      </c>
      <c r="E1863" t="s">
        <v>210</v>
      </c>
      <c r="F1863">
        <v>3</v>
      </c>
      <c r="G1863" t="s">
        <v>498</v>
      </c>
      <c r="H1863" s="4">
        <v>25383301</v>
      </c>
      <c r="I1863" s="4">
        <v>26967839</v>
      </c>
      <c r="J1863" s="3">
        <v>0.06242442620051663</v>
      </c>
      <c r="K1863" s="3">
        <v>-0.05875658038450912</v>
      </c>
      <c r="L1863" t="s">
        <v>54</v>
      </c>
    </row>
    <row r="1864" spans="1:12" x14ac:dyDescent="0.25">
      <c r="A1864" t="s">
        <v>487</v>
      </c>
      <c r="B1864" t="s">
        <v>461</v>
      </c>
      <c r="C1864" t="s">
        <v>462</v>
      </c>
      <c r="D1864" t="s">
        <v>204</v>
      </c>
      <c r="E1864" t="s">
        <v>210</v>
      </c>
      <c r="F1864">
        <v>3</v>
      </c>
      <c r="G1864" t="s">
        <v>499</v>
      </c>
      <c r="H1864" s="4">
        <v>25383301</v>
      </c>
      <c r="I1864" s="4">
        <v>20793310</v>
      </c>
      <c r="J1864" s="3">
        <v>0.18082719028545577</v>
      </c>
      <c r="K1864" s="3">
        <v>0.22074364302749297</v>
      </c>
      <c r="L1864" t="s">
        <v>54</v>
      </c>
    </row>
    <row r="1865" spans="1:12" x14ac:dyDescent="0.25">
      <c r="A1865" t="s">
        <v>487</v>
      </c>
      <c r="B1865" t="s">
        <v>461</v>
      </c>
      <c r="C1865" t="s">
        <v>462</v>
      </c>
      <c r="D1865" t="s">
        <v>206</v>
      </c>
      <c r="E1865" t="s">
        <v>208</v>
      </c>
      <c r="F1865">
        <v>1</v>
      </c>
      <c r="G1865" t="s">
        <v>488</v>
      </c>
      <c r="H1865" s="4">
        <v>21572026</v>
      </c>
      <c r="I1865" s="4">
        <v>16590799.944674969</v>
      </c>
      <c r="J1865" s="3">
        <v>0.23091136897966985</v>
      </c>
      <c r="K1865" s="3">
        <v>0.30024025797043136</v>
      </c>
      <c r="L1865" t="s">
        <v>54</v>
      </c>
    </row>
    <row r="1866" spans="1:12" x14ac:dyDescent="0.25">
      <c r="A1866" t="s">
        <v>487</v>
      </c>
      <c r="B1866" t="s">
        <v>461</v>
      </c>
      <c r="C1866" t="s">
        <v>462</v>
      </c>
      <c r="D1866" t="s">
        <v>206</v>
      </c>
      <c r="E1866" t="s">
        <v>208</v>
      </c>
      <c r="F1866">
        <v>1</v>
      </c>
      <c r="G1866" t="s">
        <v>498</v>
      </c>
      <c r="H1866" s="4">
        <v>21572026</v>
      </c>
      <c r="I1866" s="4">
        <v>18599668</v>
      </c>
      <c r="J1866" s="3">
        <v>0.1377876143854082</v>
      </c>
      <c r="K1866" s="3">
        <v>0.15980704601824075</v>
      </c>
      <c r="L1866" t="s">
        <v>54</v>
      </c>
    </row>
    <row r="1867" spans="1:12" x14ac:dyDescent="0.25">
      <c r="A1867" t="s">
        <v>487</v>
      </c>
      <c r="B1867" t="s">
        <v>461</v>
      </c>
      <c r="C1867" t="s">
        <v>462</v>
      </c>
      <c r="D1867" t="s">
        <v>206</v>
      </c>
      <c r="E1867" t="s">
        <v>208</v>
      </c>
      <c r="F1867">
        <v>1</v>
      </c>
      <c r="G1867" t="s">
        <v>499</v>
      </c>
      <c r="H1867" s="4">
        <v>21572026</v>
      </c>
      <c r="I1867" s="4">
        <v>18297842</v>
      </c>
      <c r="J1867" s="3">
        <v>0.15177916065927233</v>
      </c>
      <c r="K1867" s="3">
        <v>0.17893825949530004</v>
      </c>
      <c r="L1867" t="s">
        <v>54</v>
      </c>
    </row>
    <row r="1868" spans="1:12" x14ac:dyDescent="0.25">
      <c r="A1868" t="s">
        <v>487</v>
      </c>
      <c r="B1868" t="s">
        <v>461</v>
      </c>
      <c r="C1868" t="s">
        <v>462</v>
      </c>
      <c r="D1868" t="s">
        <v>206</v>
      </c>
      <c r="E1868" t="s">
        <v>210</v>
      </c>
      <c r="F1868">
        <v>2</v>
      </c>
      <c r="G1868" t="s">
        <v>488</v>
      </c>
      <c r="H1868" s="4">
        <v>25383301</v>
      </c>
      <c r="I1868" s="4">
        <v>24055161.725962177</v>
      </c>
      <c r="J1868" s="3">
        <v>0.052323347307658016</v>
      </c>
      <c r="K1868" s="3">
        <v>0.05521223632449718</v>
      </c>
      <c r="L1868" t="s">
        <v>54</v>
      </c>
    </row>
    <row r="1869" spans="1:12" x14ac:dyDescent="0.25">
      <c r="A1869" t="s">
        <v>487</v>
      </c>
      <c r="B1869" t="s">
        <v>461</v>
      </c>
      <c r="C1869" t="s">
        <v>462</v>
      </c>
      <c r="D1869" t="s">
        <v>206</v>
      </c>
      <c r="E1869" t="s">
        <v>210</v>
      </c>
      <c r="F1869">
        <v>2</v>
      </c>
      <c r="G1869" t="s">
        <v>498</v>
      </c>
      <c r="H1869" s="4">
        <v>25383301</v>
      </c>
      <c r="I1869" s="4">
        <v>26967839</v>
      </c>
      <c r="J1869" s="3">
        <v>0.06242442620051663</v>
      </c>
      <c r="K1869" s="3">
        <v>-0.05875658038450912</v>
      </c>
      <c r="L1869" t="s">
        <v>54</v>
      </c>
    </row>
    <row r="1870" spans="1:12" x14ac:dyDescent="0.25">
      <c r="A1870" t="s">
        <v>487</v>
      </c>
      <c r="B1870" t="s">
        <v>461</v>
      </c>
      <c r="C1870" t="s">
        <v>462</v>
      </c>
      <c r="D1870" t="s">
        <v>206</v>
      </c>
      <c r="E1870" t="s">
        <v>210</v>
      </c>
      <c r="F1870">
        <v>2</v>
      </c>
      <c r="G1870" t="s">
        <v>499</v>
      </c>
      <c r="H1870" s="4">
        <v>25383301</v>
      </c>
      <c r="I1870" s="4">
        <v>18297842</v>
      </c>
      <c r="J1870" s="3">
        <v>0.2791385958823874</v>
      </c>
      <c r="K1870" s="3">
        <v>0.38722921533588495</v>
      </c>
      <c r="L1870" t="s">
        <v>54</v>
      </c>
    </row>
    <row r="1871" spans="1:12" x14ac:dyDescent="0.25">
      <c r="A1871" t="s">
        <v>487</v>
      </c>
      <c r="B1871" t="s">
        <v>461</v>
      </c>
      <c r="C1871" t="s">
        <v>462</v>
      </c>
      <c r="D1871" t="s">
        <v>206</v>
      </c>
      <c r="E1871" t="s">
        <v>212</v>
      </c>
      <c r="F1871">
        <v>3</v>
      </c>
      <c r="G1871" t="s">
        <v>488</v>
      </c>
      <c r="H1871" s="4">
        <v>26153482</v>
      </c>
      <c r="I1871" s="4">
        <v>25255911.08544132</v>
      </c>
      <c r="J1871" s="3">
        <v>0.034319365756295045</v>
      </c>
      <c r="K1871" s="3">
        <v>0.03553904317774069</v>
      </c>
      <c r="L1871" t="s">
        <v>54</v>
      </c>
    </row>
    <row r="1872" spans="1:12" x14ac:dyDescent="0.25">
      <c r="A1872" t="s">
        <v>487</v>
      </c>
      <c r="B1872" t="s">
        <v>461</v>
      </c>
      <c r="C1872" t="s">
        <v>462</v>
      </c>
      <c r="D1872" t="s">
        <v>206</v>
      </c>
      <c r="E1872" t="s">
        <v>212</v>
      </c>
      <c r="F1872">
        <v>3</v>
      </c>
      <c r="G1872" t="s">
        <v>498</v>
      </c>
      <c r="H1872" s="4">
        <v>26153482</v>
      </c>
      <c r="I1872" s="4">
        <v>28313979</v>
      </c>
      <c r="J1872" s="3">
        <v>0.08260838843562016</v>
      </c>
      <c r="K1872" s="3">
        <v>-0.07630495876259567</v>
      </c>
      <c r="L1872" t="s">
        <v>54</v>
      </c>
    </row>
    <row r="1873" spans="1:12" x14ac:dyDescent="0.25">
      <c r="A1873" t="s">
        <v>487</v>
      </c>
      <c r="B1873" t="s">
        <v>461</v>
      </c>
      <c r="C1873" t="s">
        <v>462</v>
      </c>
      <c r="D1873" t="s">
        <v>206</v>
      </c>
      <c r="E1873" t="s">
        <v>212</v>
      </c>
      <c r="F1873">
        <v>3</v>
      </c>
      <c r="G1873" t="s">
        <v>499</v>
      </c>
      <c r="H1873" s="4">
        <v>26153482</v>
      </c>
      <c r="I1873" s="4">
        <v>18297842</v>
      </c>
      <c r="J1873" s="3">
        <v>0.300366888049553</v>
      </c>
      <c r="K1873" s="3">
        <v>0.42932057233853044</v>
      </c>
      <c r="L1873" t="s">
        <v>54</v>
      </c>
    </row>
    <row r="1874" spans="1:12" x14ac:dyDescent="0.25">
      <c r="A1874" t="s">
        <v>487</v>
      </c>
      <c r="B1874" t="s">
        <v>461</v>
      </c>
      <c r="C1874" t="s">
        <v>462</v>
      </c>
      <c r="D1874" t="s">
        <v>208</v>
      </c>
      <c r="E1874" t="s">
        <v>210</v>
      </c>
      <c r="F1874">
        <v>1</v>
      </c>
      <c r="G1874" t="s">
        <v>488</v>
      </c>
      <c r="H1874" s="4">
        <v>25383301</v>
      </c>
      <c r="I1874" s="4">
        <v>25141042.140035022</v>
      </c>
      <c r="J1874" s="3">
        <v>0.009544025025152478</v>
      </c>
      <c r="K1874" s="3">
        <v>0.009635991165982767</v>
      </c>
      <c r="L1874" t="s">
        <v>54</v>
      </c>
    </row>
    <row r="1875" spans="1:12" x14ac:dyDescent="0.25">
      <c r="A1875" t="s">
        <v>487</v>
      </c>
      <c r="B1875" t="s">
        <v>461</v>
      </c>
      <c r="C1875" t="s">
        <v>462</v>
      </c>
      <c r="D1875" t="s">
        <v>208</v>
      </c>
      <c r="E1875" t="s">
        <v>210</v>
      </c>
      <c r="F1875">
        <v>1</v>
      </c>
      <c r="G1875" t="s">
        <v>498</v>
      </c>
      <c r="H1875" s="4">
        <v>25383301</v>
      </c>
      <c r="I1875" s="4">
        <v>26967839</v>
      </c>
      <c r="J1875" s="3">
        <v>0.06242442620051663</v>
      </c>
      <c r="K1875" s="3">
        <v>-0.05875658038450912</v>
      </c>
      <c r="L1875" t="s">
        <v>54</v>
      </c>
    </row>
    <row r="1876" spans="1:12" x14ac:dyDescent="0.25">
      <c r="A1876" t="s">
        <v>487</v>
      </c>
      <c r="B1876" t="s">
        <v>461</v>
      </c>
      <c r="C1876" t="s">
        <v>462</v>
      </c>
      <c r="D1876" t="s">
        <v>208</v>
      </c>
      <c r="E1876" t="s">
        <v>210</v>
      </c>
      <c r="F1876">
        <v>1</v>
      </c>
      <c r="G1876" t="s">
        <v>499</v>
      </c>
      <c r="H1876" s="4">
        <v>25383301</v>
      </c>
      <c r="I1876" s="4">
        <v>21572026</v>
      </c>
      <c r="J1876" s="3">
        <v>0.1501489108922437</v>
      </c>
      <c r="K1876" s="3">
        <v>0.1766767293901834</v>
      </c>
      <c r="L1876" t="s">
        <v>54</v>
      </c>
    </row>
    <row r="1877" spans="1:12" x14ac:dyDescent="0.25">
      <c r="A1877" t="s">
        <v>487</v>
      </c>
      <c r="B1877" t="s">
        <v>461</v>
      </c>
      <c r="C1877" t="s">
        <v>462</v>
      </c>
      <c r="D1877" t="s">
        <v>208</v>
      </c>
      <c r="E1877" t="s">
        <v>212</v>
      </c>
      <c r="F1877">
        <v>2</v>
      </c>
      <c r="G1877" t="s">
        <v>488</v>
      </c>
      <c r="H1877" s="4">
        <v>26153482</v>
      </c>
      <c r="I1877" s="4">
        <v>26395994.843749497</v>
      </c>
      <c r="J1877" s="3">
        <v>0.009272679016488018</v>
      </c>
      <c r="K1877" s="3">
        <v>-0.009187486404094503</v>
      </c>
      <c r="L1877" t="s">
        <v>54</v>
      </c>
    </row>
    <row r="1878" spans="1:12" x14ac:dyDescent="0.25">
      <c r="A1878" t="s">
        <v>487</v>
      </c>
      <c r="B1878" t="s">
        <v>461</v>
      </c>
      <c r="C1878" t="s">
        <v>462</v>
      </c>
      <c r="D1878" t="s">
        <v>208</v>
      </c>
      <c r="E1878" t="s">
        <v>212</v>
      </c>
      <c r="F1878">
        <v>2</v>
      </c>
      <c r="G1878" t="s">
        <v>498</v>
      </c>
      <c r="H1878" s="4">
        <v>26153482</v>
      </c>
      <c r="I1878" s="4">
        <v>28313979</v>
      </c>
      <c r="J1878" s="3">
        <v>0.08260838843562016</v>
      </c>
      <c r="K1878" s="3">
        <v>-0.07630495876259567</v>
      </c>
      <c r="L1878" t="s">
        <v>54</v>
      </c>
    </row>
    <row r="1879" spans="1:12" x14ac:dyDescent="0.25">
      <c r="A1879" t="s">
        <v>487</v>
      </c>
      <c r="B1879" t="s">
        <v>461</v>
      </c>
      <c r="C1879" t="s">
        <v>462</v>
      </c>
      <c r="D1879" t="s">
        <v>208</v>
      </c>
      <c r="E1879" t="s">
        <v>212</v>
      </c>
      <c r="F1879">
        <v>2</v>
      </c>
      <c r="G1879" t="s">
        <v>499</v>
      </c>
      <c r="H1879" s="4">
        <v>26153482</v>
      </c>
      <c r="I1879" s="4">
        <v>21572026</v>
      </c>
      <c r="J1879" s="3">
        <v>0.17517575671185964</v>
      </c>
      <c r="K1879" s="3">
        <v>0.2123794955559575</v>
      </c>
      <c r="L1879" t="s">
        <v>54</v>
      </c>
    </row>
    <row r="1880" spans="1:12" x14ac:dyDescent="0.25">
      <c r="A1880" t="s">
        <v>487</v>
      </c>
      <c r="B1880" t="s">
        <v>461</v>
      </c>
      <c r="C1880" t="s">
        <v>462</v>
      </c>
      <c r="D1880" t="s">
        <v>208</v>
      </c>
      <c r="E1880" t="s">
        <v>214</v>
      </c>
      <c r="F1880">
        <v>3</v>
      </c>
      <c r="G1880" t="s">
        <v>488</v>
      </c>
      <c r="H1880" s="4">
        <v>27900569</v>
      </c>
      <c r="I1880" s="4">
        <v>28569651.721212447</v>
      </c>
      <c r="J1880" s="3">
        <v>0.0239809704673925</v>
      </c>
      <c r="K1880" s="3">
        <v>-0.023419351686239317</v>
      </c>
      <c r="L1880" t="s">
        <v>54</v>
      </c>
    </row>
    <row r="1881" spans="1:12" x14ac:dyDescent="0.25">
      <c r="A1881" t="s">
        <v>487</v>
      </c>
      <c r="B1881" t="s">
        <v>461</v>
      </c>
      <c r="C1881" t="s">
        <v>462</v>
      </c>
      <c r="D1881" t="s">
        <v>208</v>
      </c>
      <c r="E1881" t="s">
        <v>214</v>
      </c>
      <c r="F1881">
        <v>3</v>
      </c>
      <c r="G1881" t="s">
        <v>498</v>
      </c>
      <c r="H1881" s="4">
        <v>27900569</v>
      </c>
      <c r="I1881" s="4">
        <v>30645578</v>
      </c>
      <c r="J1881" s="3">
        <v>0.09838541285663385</v>
      </c>
      <c r="K1881" s="3">
        <v>-0.08957275989377651</v>
      </c>
      <c r="L1881" t="s">
        <v>54</v>
      </c>
    </row>
    <row r="1882" spans="1:12" x14ac:dyDescent="0.25">
      <c r="A1882" t="s">
        <v>487</v>
      </c>
      <c r="B1882" t="s">
        <v>461</v>
      </c>
      <c r="C1882" t="s">
        <v>462</v>
      </c>
      <c r="D1882" t="s">
        <v>208</v>
      </c>
      <c r="E1882" t="s">
        <v>214</v>
      </c>
      <c r="F1882">
        <v>3</v>
      </c>
      <c r="G1882" t="s">
        <v>499</v>
      </c>
      <c r="H1882" s="4">
        <v>27900569</v>
      </c>
      <c r="I1882" s="4">
        <v>21572026</v>
      </c>
      <c r="J1882" s="3">
        <v>0.22682487228127857</v>
      </c>
      <c r="K1882" s="3">
        <v>0.2933680406281728</v>
      </c>
      <c r="L1882" t="s">
        <v>54</v>
      </c>
    </row>
    <row r="1883" spans="1:12" x14ac:dyDescent="0.25">
      <c r="A1883" t="s">
        <v>487</v>
      </c>
      <c r="B1883" t="s">
        <v>461</v>
      </c>
      <c r="C1883" t="s">
        <v>462</v>
      </c>
      <c r="D1883" t="s">
        <v>210</v>
      </c>
      <c r="E1883" t="s">
        <v>212</v>
      </c>
      <c r="F1883">
        <v>1</v>
      </c>
      <c r="G1883" t="s">
        <v>488</v>
      </c>
      <c r="H1883" s="4">
        <v>26153482</v>
      </c>
      <c r="I1883" s="4">
        <v>26706583.12889283</v>
      </c>
      <c r="J1883" s="3">
        <v>0.02114827879870189</v>
      </c>
      <c r="K1883" s="3">
        <v>-0.02071029177425743</v>
      </c>
      <c r="L1883" t="s">
        <v>54</v>
      </c>
    </row>
    <row r="1884" spans="1:12" x14ac:dyDescent="0.25">
      <c r="A1884" t="s">
        <v>487</v>
      </c>
      <c r="B1884" t="s">
        <v>461</v>
      </c>
      <c r="C1884" t="s">
        <v>462</v>
      </c>
      <c r="D1884" t="s">
        <v>210</v>
      </c>
      <c r="E1884" t="s">
        <v>212</v>
      </c>
      <c r="F1884">
        <v>1</v>
      </c>
      <c r="G1884" t="s">
        <v>498</v>
      </c>
      <c r="H1884" s="4">
        <v>26153482</v>
      </c>
      <c r="I1884" s="4">
        <v>28313979</v>
      </c>
      <c r="J1884" s="3">
        <v>0.08260838843562016</v>
      </c>
      <c r="K1884" s="3">
        <v>-0.07630495876259567</v>
      </c>
      <c r="L1884" t="s">
        <v>54</v>
      </c>
    </row>
    <row r="1885" spans="1:12" x14ac:dyDescent="0.25">
      <c r="A1885" t="s">
        <v>487</v>
      </c>
      <c r="B1885" t="s">
        <v>461</v>
      </c>
      <c r="C1885" t="s">
        <v>462</v>
      </c>
      <c r="D1885" t="s">
        <v>210</v>
      </c>
      <c r="E1885" t="s">
        <v>212</v>
      </c>
      <c r="F1885">
        <v>1</v>
      </c>
      <c r="G1885" t="s">
        <v>499</v>
      </c>
      <c r="H1885" s="4">
        <v>26153482</v>
      </c>
      <c r="I1885" s="4">
        <v>25383301</v>
      </c>
      <c r="J1885" s="3">
        <v>0.029448507085978074</v>
      </c>
      <c r="K1885" s="3">
        <v>0.030342034710142702</v>
      </c>
      <c r="L1885" t="s">
        <v>54</v>
      </c>
    </row>
    <row r="1886" spans="1:12" x14ac:dyDescent="0.25">
      <c r="A1886" t="s">
        <v>487</v>
      </c>
      <c r="B1886" t="s">
        <v>461</v>
      </c>
      <c r="C1886" t="s">
        <v>462</v>
      </c>
      <c r="D1886" t="s">
        <v>210</v>
      </c>
      <c r="E1886" t="s">
        <v>214</v>
      </c>
      <c r="F1886">
        <v>2</v>
      </c>
      <c r="G1886" t="s">
        <v>488</v>
      </c>
      <c r="H1886" s="4">
        <v>27900569</v>
      </c>
      <c r="I1886" s="4">
        <v>28905816.32450774</v>
      </c>
      <c r="J1886" s="3">
        <v>0.03602963525610318</v>
      </c>
      <c r="K1886" s="3">
        <v>-0.03477664540667002</v>
      </c>
      <c r="L1886" t="s">
        <v>54</v>
      </c>
    </row>
    <row r="1887" spans="1:12" x14ac:dyDescent="0.25">
      <c r="A1887" t="s">
        <v>487</v>
      </c>
      <c r="B1887" t="s">
        <v>461</v>
      </c>
      <c r="C1887" t="s">
        <v>462</v>
      </c>
      <c r="D1887" t="s">
        <v>210</v>
      </c>
      <c r="E1887" t="s">
        <v>214</v>
      </c>
      <c r="F1887">
        <v>2</v>
      </c>
      <c r="G1887" t="s">
        <v>498</v>
      </c>
      <c r="H1887" s="4">
        <v>27900569</v>
      </c>
      <c r="I1887" s="4">
        <v>30645578</v>
      </c>
      <c r="J1887" s="3">
        <v>0.09838541285663385</v>
      </c>
      <c r="K1887" s="3">
        <v>-0.08957275989377651</v>
      </c>
      <c r="L1887" t="s">
        <v>54</v>
      </c>
    </row>
    <row r="1888" spans="1:12" x14ac:dyDescent="0.25">
      <c r="A1888" t="s">
        <v>487</v>
      </c>
      <c r="B1888" t="s">
        <v>461</v>
      </c>
      <c r="C1888" t="s">
        <v>462</v>
      </c>
      <c r="D1888" t="s">
        <v>210</v>
      </c>
      <c r="E1888" t="s">
        <v>214</v>
      </c>
      <c r="F1888">
        <v>2</v>
      </c>
      <c r="G1888" t="s">
        <v>499</v>
      </c>
      <c r="H1888" s="4">
        <v>27900569</v>
      </c>
      <c r="I1888" s="4">
        <v>25383301</v>
      </c>
      <c r="J1888" s="3">
        <v>0.09022281947009754</v>
      </c>
      <c r="K1888" s="3">
        <v>0.09917023794501748</v>
      </c>
      <c r="L1888" t="s">
        <v>54</v>
      </c>
    </row>
    <row r="1889" spans="1:12" x14ac:dyDescent="0.25">
      <c r="A1889" t="s">
        <v>487</v>
      </c>
      <c r="B1889" t="s">
        <v>461</v>
      </c>
      <c r="C1889" t="s">
        <v>462</v>
      </c>
      <c r="D1889" t="s">
        <v>210</v>
      </c>
      <c r="E1889" t="s">
        <v>216</v>
      </c>
      <c r="F1889">
        <v>3</v>
      </c>
      <c r="G1889" t="s">
        <v>488</v>
      </c>
      <c r="H1889" s="4">
        <v>34200510</v>
      </c>
      <c r="I1889" s="4">
        <v>29404807.42120875</v>
      </c>
      <c r="J1889" s="3">
        <v>0.1402231305553996</v>
      </c>
      <c r="K1889" s="3">
        <v>0.16309246682337603</v>
      </c>
      <c r="L1889" t="s">
        <v>54</v>
      </c>
    </row>
    <row r="1890" spans="1:12" x14ac:dyDescent="0.25">
      <c r="A1890" t="s">
        <v>487</v>
      </c>
      <c r="B1890" t="s">
        <v>461</v>
      </c>
      <c r="C1890" t="s">
        <v>462</v>
      </c>
      <c r="D1890" t="s">
        <v>210</v>
      </c>
      <c r="E1890" t="s">
        <v>216</v>
      </c>
      <c r="F1890">
        <v>3</v>
      </c>
      <c r="G1890" t="s">
        <v>498</v>
      </c>
      <c r="H1890" s="4">
        <v>34200510</v>
      </c>
      <c r="I1890" s="4">
        <v>31174602</v>
      </c>
      <c r="J1890" s="3">
        <v>0.08847552273343293</v>
      </c>
      <c r="K1890" s="3">
        <v>0.09706324398303465</v>
      </c>
      <c r="L1890" t="s">
        <v>54</v>
      </c>
    </row>
    <row r="1891" spans="1:12" x14ac:dyDescent="0.25">
      <c r="A1891" t="s">
        <v>487</v>
      </c>
      <c r="B1891" t="s">
        <v>461</v>
      </c>
      <c r="C1891" t="s">
        <v>462</v>
      </c>
      <c r="D1891" t="s">
        <v>210</v>
      </c>
      <c r="E1891" t="s">
        <v>216</v>
      </c>
      <c r="F1891">
        <v>3</v>
      </c>
      <c r="G1891" t="s">
        <v>499</v>
      </c>
      <c r="H1891" s="4">
        <v>34200510</v>
      </c>
      <c r="I1891" s="4">
        <v>25383301</v>
      </c>
      <c r="J1891" s="3">
        <v>0.2578092841305583</v>
      </c>
      <c r="K1891" s="3">
        <v>0.3473625829831983</v>
      </c>
      <c r="L1891" t="s">
        <v>54</v>
      </c>
    </row>
    <row r="1892" spans="1:12" x14ac:dyDescent="0.25">
      <c r="A1892" t="s">
        <v>487</v>
      </c>
      <c r="B1892" t="s">
        <v>461</v>
      </c>
      <c r="C1892" t="s">
        <v>462</v>
      </c>
      <c r="D1892" t="s">
        <v>212</v>
      </c>
      <c r="E1892" t="s">
        <v>214</v>
      </c>
      <c r="F1892">
        <v>1</v>
      </c>
      <c r="G1892" t="s">
        <v>488</v>
      </c>
      <c r="H1892" s="4">
        <v>27900569</v>
      </c>
      <c r="I1892" s="4">
        <v>29432239.437240813</v>
      </c>
      <c r="J1892" s="3">
        <v>0.054897462386548926</v>
      </c>
      <c r="K1892" s="3">
        <v>-0.05204056730059011</v>
      </c>
      <c r="L1892" t="s">
        <v>54</v>
      </c>
    </row>
    <row r="1893" spans="1:12" x14ac:dyDescent="0.25">
      <c r="A1893" t="s">
        <v>487</v>
      </c>
      <c r="B1893" t="s">
        <v>461</v>
      </c>
      <c r="C1893" t="s">
        <v>462</v>
      </c>
      <c r="D1893" t="s">
        <v>212</v>
      </c>
      <c r="E1893" t="s">
        <v>214</v>
      </c>
      <c r="F1893">
        <v>1</v>
      </c>
      <c r="G1893" t="s">
        <v>498</v>
      </c>
      <c r="H1893" s="4">
        <v>27900569</v>
      </c>
      <c r="I1893" s="4">
        <v>30645578</v>
      </c>
      <c r="J1893" s="3">
        <v>0.09838541285663385</v>
      </c>
      <c r="K1893" s="3">
        <v>-0.08957275989377651</v>
      </c>
      <c r="L1893" t="s">
        <v>54</v>
      </c>
    </row>
    <row r="1894" spans="1:12" x14ac:dyDescent="0.25">
      <c r="A1894" t="s">
        <v>487</v>
      </c>
      <c r="B1894" t="s">
        <v>461</v>
      </c>
      <c r="C1894" t="s">
        <v>462</v>
      </c>
      <c r="D1894" t="s">
        <v>212</v>
      </c>
      <c r="E1894" t="s">
        <v>214</v>
      </c>
      <c r="F1894">
        <v>1</v>
      </c>
      <c r="G1894" t="s">
        <v>499</v>
      </c>
      <c r="H1894" s="4">
        <v>27900569</v>
      </c>
      <c r="I1894" s="4">
        <v>26153482</v>
      </c>
      <c r="J1894" s="3">
        <v>0.06261832867996348</v>
      </c>
      <c r="K1894" s="3">
        <v>0.06680131540419743</v>
      </c>
      <c r="L1894" t="s">
        <v>54</v>
      </c>
    </row>
    <row r="1895" spans="1:12" x14ac:dyDescent="0.25">
      <c r="A1895" t="s">
        <v>487</v>
      </c>
      <c r="B1895" t="s">
        <v>461</v>
      </c>
      <c r="C1895" t="s">
        <v>462</v>
      </c>
      <c r="D1895" t="s">
        <v>212</v>
      </c>
      <c r="E1895" t="s">
        <v>216</v>
      </c>
      <c r="F1895">
        <v>2</v>
      </c>
      <c r="G1895" t="s">
        <v>488</v>
      </c>
      <c r="H1895" s="4">
        <v>34200510</v>
      </c>
      <c r="I1895" s="4">
        <v>29940317.993828874</v>
      </c>
      <c r="J1895" s="3">
        <v>0.12456516017366775</v>
      </c>
      <c r="K1895" s="3">
        <v>0.1422894709083989</v>
      </c>
      <c r="L1895" t="s">
        <v>54</v>
      </c>
    </row>
    <row r="1896" spans="1:12" x14ac:dyDescent="0.25">
      <c r="A1896" t="s">
        <v>487</v>
      </c>
      <c r="B1896" t="s">
        <v>461</v>
      </c>
      <c r="C1896" t="s">
        <v>462</v>
      </c>
      <c r="D1896" t="s">
        <v>212</v>
      </c>
      <c r="E1896" t="s">
        <v>216</v>
      </c>
      <c r="F1896">
        <v>2</v>
      </c>
      <c r="G1896" t="s">
        <v>498</v>
      </c>
      <c r="H1896" s="4">
        <v>34200510</v>
      </c>
      <c r="I1896" s="4">
        <v>31174602</v>
      </c>
      <c r="J1896" s="3">
        <v>0.08847552273343293</v>
      </c>
      <c r="K1896" s="3">
        <v>0.09706324398303465</v>
      </c>
      <c r="L1896" t="s">
        <v>54</v>
      </c>
    </row>
    <row r="1897" spans="1:12" x14ac:dyDescent="0.25">
      <c r="A1897" t="s">
        <v>487</v>
      </c>
      <c r="B1897" t="s">
        <v>461</v>
      </c>
      <c r="C1897" t="s">
        <v>462</v>
      </c>
      <c r="D1897" t="s">
        <v>212</v>
      </c>
      <c r="E1897" t="s">
        <v>216</v>
      </c>
      <c r="F1897">
        <v>2</v>
      </c>
      <c r="G1897" t="s">
        <v>499</v>
      </c>
      <c r="H1897" s="4">
        <v>34200510</v>
      </c>
      <c r="I1897" s="4">
        <v>26153482</v>
      </c>
      <c r="J1897" s="3">
        <v>0.23528970766810203</v>
      </c>
      <c r="K1897" s="3">
        <v>0.30768476641083586</v>
      </c>
      <c r="L1897" t="s">
        <v>54</v>
      </c>
    </row>
    <row r="1898" spans="1:12" x14ac:dyDescent="0.25">
      <c r="A1898" t="s">
        <v>487</v>
      </c>
      <c r="B1898" t="s">
        <v>461</v>
      </c>
      <c r="C1898" t="s">
        <v>462</v>
      </c>
      <c r="D1898" t="s">
        <v>212</v>
      </c>
      <c r="E1898" t="s">
        <v>218</v>
      </c>
      <c r="F1898">
        <v>3</v>
      </c>
      <c r="G1898" t="s">
        <v>488</v>
      </c>
      <c r="H1898" s="4">
        <v>28212026</v>
      </c>
      <c r="I1898" s="4">
        <v>25638739.751843937</v>
      </c>
      <c r="J1898" s="3">
        <v>0.0912123875171554</v>
      </c>
      <c r="K1898" s="3">
        <v>0.10036711137375591</v>
      </c>
      <c r="L1898" t="s">
        <v>54</v>
      </c>
    </row>
    <row r="1899" spans="1:12" x14ac:dyDescent="0.25">
      <c r="A1899" t="s">
        <v>487</v>
      </c>
      <c r="B1899" t="s">
        <v>461</v>
      </c>
      <c r="C1899" t="s">
        <v>462</v>
      </c>
      <c r="D1899" t="s">
        <v>212</v>
      </c>
      <c r="E1899" t="s">
        <v>218</v>
      </c>
      <c r="F1899">
        <v>3</v>
      </c>
      <c r="G1899" t="s">
        <v>498</v>
      </c>
      <c r="H1899" s="4">
        <v>28212026</v>
      </c>
      <c r="I1899" s="4">
        <v>26695692</v>
      </c>
      <c r="J1899" s="3">
        <v>0.05374778826589767</v>
      </c>
      <c r="K1899" s="3">
        <v>0.05680070027778265</v>
      </c>
      <c r="L1899" t="s">
        <v>54</v>
      </c>
    </row>
    <row r="1900" spans="1:12" x14ac:dyDescent="0.25">
      <c r="A1900" t="s">
        <v>487</v>
      </c>
      <c r="B1900" t="s">
        <v>461</v>
      </c>
      <c r="C1900" t="s">
        <v>462</v>
      </c>
      <c r="D1900" t="s">
        <v>212</v>
      </c>
      <c r="E1900" t="s">
        <v>218</v>
      </c>
      <c r="F1900">
        <v>3</v>
      </c>
      <c r="G1900" t="s">
        <v>499</v>
      </c>
      <c r="H1900" s="4">
        <v>28212026</v>
      </c>
      <c r="I1900" s="4">
        <v>26153482</v>
      </c>
      <c r="J1900" s="3">
        <v>0.07296689716647788</v>
      </c>
      <c r="K1900" s="3">
        <v>0.07871013121694465</v>
      </c>
      <c r="L1900" t="s">
        <v>54</v>
      </c>
    </row>
    <row r="1901" spans="1:12" x14ac:dyDescent="0.25">
      <c r="A1901" t="s">
        <v>487</v>
      </c>
      <c r="B1901" t="s">
        <v>461</v>
      </c>
      <c r="C1901" t="s">
        <v>462</v>
      </c>
      <c r="D1901" t="s">
        <v>214</v>
      </c>
      <c r="E1901" t="s">
        <v>216</v>
      </c>
      <c r="F1901">
        <v>1</v>
      </c>
      <c r="G1901" t="s">
        <v>488</v>
      </c>
      <c r="H1901" s="4">
        <v>34200510</v>
      </c>
      <c r="I1901" s="4">
        <v>29974381.20566667</v>
      </c>
      <c r="J1901" s="3">
        <v>0.12356917467994867</v>
      </c>
      <c r="K1901" s="3">
        <v>0.14099136076691984</v>
      </c>
      <c r="L1901" t="s">
        <v>54</v>
      </c>
    </row>
    <row r="1902" spans="1:12" x14ac:dyDescent="0.25">
      <c r="A1902" t="s">
        <v>487</v>
      </c>
      <c r="B1902" t="s">
        <v>461</v>
      </c>
      <c r="C1902" t="s">
        <v>462</v>
      </c>
      <c r="D1902" t="s">
        <v>214</v>
      </c>
      <c r="E1902" t="s">
        <v>216</v>
      </c>
      <c r="F1902">
        <v>1</v>
      </c>
      <c r="G1902" t="s">
        <v>498</v>
      </c>
      <c r="H1902" s="4">
        <v>34200510</v>
      </c>
      <c r="I1902" s="4">
        <v>31174602</v>
      </c>
      <c r="J1902" s="3">
        <v>0.08847552273343293</v>
      </c>
      <c r="K1902" s="3">
        <v>0.09706324398303465</v>
      </c>
      <c r="L1902" t="s">
        <v>54</v>
      </c>
    </row>
    <row r="1903" spans="1:12" x14ac:dyDescent="0.25">
      <c r="A1903" t="s">
        <v>487</v>
      </c>
      <c r="B1903" t="s">
        <v>461</v>
      </c>
      <c r="C1903" t="s">
        <v>462</v>
      </c>
      <c r="D1903" t="s">
        <v>214</v>
      </c>
      <c r="E1903" t="s">
        <v>216</v>
      </c>
      <c r="F1903">
        <v>1</v>
      </c>
      <c r="G1903" t="s">
        <v>499</v>
      </c>
      <c r="H1903" s="4">
        <v>34200510</v>
      </c>
      <c r="I1903" s="4">
        <v>27900569</v>
      </c>
      <c r="J1903" s="3">
        <v>0.1842060542372029</v>
      </c>
      <c r="K1903" s="3">
        <v>0.22579973189794086</v>
      </c>
      <c r="L1903" t="s">
        <v>54</v>
      </c>
    </row>
    <row r="1904" spans="1:12" x14ac:dyDescent="0.25">
      <c r="A1904" t="s">
        <v>487</v>
      </c>
      <c r="B1904" t="s">
        <v>461</v>
      </c>
      <c r="C1904" t="s">
        <v>462</v>
      </c>
      <c r="D1904" t="s">
        <v>214</v>
      </c>
      <c r="E1904" t="s">
        <v>218</v>
      </c>
      <c r="F1904">
        <v>2</v>
      </c>
      <c r="G1904" t="s">
        <v>488</v>
      </c>
      <c r="H1904" s="4">
        <v>28212026</v>
      </c>
      <c r="I1904" s="4">
        <v>25667909.042016514</v>
      </c>
      <c r="J1904" s="3">
        <v>0.09017845644915705</v>
      </c>
      <c r="K1904" s="3">
        <v>0.09911664225624886</v>
      </c>
      <c r="L1904" t="s">
        <v>54</v>
      </c>
    </row>
    <row r="1905" spans="1:12" x14ac:dyDescent="0.25">
      <c r="A1905" t="s">
        <v>487</v>
      </c>
      <c r="B1905" t="s">
        <v>461</v>
      </c>
      <c r="C1905" t="s">
        <v>462</v>
      </c>
      <c r="D1905" t="s">
        <v>214</v>
      </c>
      <c r="E1905" t="s">
        <v>218</v>
      </c>
      <c r="F1905">
        <v>2</v>
      </c>
      <c r="G1905" t="s">
        <v>498</v>
      </c>
      <c r="H1905" s="4">
        <v>28212026</v>
      </c>
      <c r="I1905" s="4">
        <v>26695692</v>
      </c>
      <c r="J1905" s="3">
        <v>0.05374778826589767</v>
      </c>
      <c r="K1905" s="3">
        <v>0.05680070027778265</v>
      </c>
      <c r="L1905" t="s">
        <v>54</v>
      </c>
    </row>
    <row r="1906" spans="1:12" x14ac:dyDescent="0.25">
      <c r="A1906" t="s">
        <v>487</v>
      </c>
      <c r="B1906" t="s">
        <v>461</v>
      </c>
      <c r="C1906" t="s">
        <v>462</v>
      </c>
      <c r="D1906" t="s">
        <v>214</v>
      </c>
      <c r="E1906" t="s">
        <v>218</v>
      </c>
      <c r="F1906">
        <v>2</v>
      </c>
      <c r="G1906" t="s">
        <v>499</v>
      </c>
      <c r="H1906" s="4">
        <v>28212026</v>
      </c>
      <c r="I1906" s="4">
        <v>27900569</v>
      </c>
      <c r="J1906" s="3">
        <v>0.011039866473963976</v>
      </c>
      <c r="K1906" s="3">
        <v>0.011163105669995475</v>
      </c>
      <c r="L1906" t="s">
        <v>54</v>
      </c>
    </row>
    <row r="1907" spans="1:12" x14ac:dyDescent="0.25">
      <c r="A1907" t="s">
        <v>487</v>
      </c>
      <c r="B1907" t="s">
        <v>461</v>
      </c>
      <c r="C1907" t="s">
        <v>462</v>
      </c>
      <c r="D1907" t="s">
        <v>214</v>
      </c>
      <c r="E1907" t="s">
        <v>220</v>
      </c>
      <c r="F1907">
        <v>3</v>
      </c>
      <c r="G1907" t="s">
        <v>488</v>
      </c>
      <c r="H1907" s="4">
        <v>28954173</v>
      </c>
      <c r="I1907" s="4">
        <v>26347935.717384975</v>
      </c>
      <c r="J1907" s="3">
        <v>0.09001249259010176</v>
      </c>
      <c r="K1907" s="3">
        <v>0.09891618495544488</v>
      </c>
      <c r="L1907" t="s">
        <v>54</v>
      </c>
    </row>
    <row r="1908" spans="1:12" x14ac:dyDescent="0.25">
      <c r="A1908" t="s">
        <v>487</v>
      </c>
      <c r="B1908" t="s">
        <v>461</v>
      </c>
      <c r="C1908" t="s">
        <v>462</v>
      </c>
      <c r="D1908" t="s">
        <v>214</v>
      </c>
      <c r="E1908" t="s">
        <v>220</v>
      </c>
      <c r="F1908">
        <v>3</v>
      </c>
      <c r="G1908" t="s">
        <v>498</v>
      </c>
      <c r="H1908" s="4">
        <v>28954173</v>
      </c>
      <c r="I1908" s="4">
        <v>27402948</v>
      </c>
      <c r="J1908" s="3">
        <v>0.05357517895606965</v>
      </c>
      <c r="K1908" s="3">
        <v>0.05660796057416888</v>
      </c>
      <c r="L1908" t="s">
        <v>54</v>
      </c>
    </row>
    <row r="1909" spans="1:12" x14ac:dyDescent="0.25">
      <c r="A1909" t="s">
        <v>487</v>
      </c>
      <c r="B1909" t="s">
        <v>461</v>
      </c>
      <c r="C1909" t="s">
        <v>462</v>
      </c>
      <c r="D1909" t="s">
        <v>214</v>
      </c>
      <c r="E1909" t="s">
        <v>220</v>
      </c>
      <c r="F1909">
        <v>3</v>
      </c>
      <c r="G1909" t="s">
        <v>499</v>
      </c>
      <c r="H1909" s="4">
        <v>28954173</v>
      </c>
      <c r="I1909" s="4">
        <v>27900569</v>
      </c>
      <c r="J1909" s="3">
        <v>0.036388675304247164</v>
      </c>
      <c r="K1909" s="3">
        <v>0.037762814084544294</v>
      </c>
      <c r="L1909" t="s">
        <v>54</v>
      </c>
    </row>
    <row r="1910" spans="1:12" x14ac:dyDescent="0.25">
      <c r="A1910" t="s">
        <v>487</v>
      </c>
      <c r="B1910" t="s">
        <v>461</v>
      </c>
      <c r="C1910" t="s">
        <v>462</v>
      </c>
      <c r="D1910" t="s">
        <v>216</v>
      </c>
      <c r="E1910" t="s">
        <v>218</v>
      </c>
      <c r="F1910">
        <v>1</v>
      </c>
      <c r="G1910" t="s">
        <v>488</v>
      </c>
      <c r="H1910" s="4">
        <v>28212026</v>
      </c>
      <c r="I1910" s="4">
        <v>26412367.429626502</v>
      </c>
      <c r="J1910" s="3">
        <v>0.06379047610311638</v>
      </c>
      <c r="K1910" s="3">
        <v>0.06813696557752857</v>
      </c>
      <c r="L1910" t="s">
        <v>54</v>
      </c>
    </row>
    <row r="1911" spans="1:12" x14ac:dyDescent="0.25">
      <c r="A1911" t="s">
        <v>487</v>
      </c>
      <c r="B1911" t="s">
        <v>461</v>
      </c>
      <c r="C1911" t="s">
        <v>462</v>
      </c>
      <c r="D1911" t="s">
        <v>216</v>
      </c>
      <c r="E1911" t="s">
        <v>218</v>
      </c>
      <c r="F1911">
        <v>1</v>
      </c>
      <c r="G1911" t="s">
        <v>498</v>
      </c>
      <c r="H1911" s="4">
        <v>28212026</v>
      </c>
      <c r="I1911" s="4">
        <v>26695692</v>
      </c>
      <c r="J1911" s="3">
        <v>0.05374778826589767</v>
      </c>
      <c r="K1911" s="3">
        <v>0.05680070027778265</v>
      </c>
      <c r="L1911" t="s">
        <v>54</v>
      </c>
    </row>
    <row r="1912" spans="1:12" x14ac:dyDescent="0.25">
      <c r="A1912" t="s">
        <v>487</v>
      </c>
      <c r="B1912" t="s">
        <v>461</v>
      </c>
      <c r="C1912" t="s">
        <v>462</v>
      </c>
      <c r="D1912" t="s">
        <v>216</v>
      </c>
      <c r="E1912" t="s">
        <v>218</v>
      </c>
      <c r="F1912">
        <v>1</v>
      </c>
      <c r="G1912" t="s">
        <v>499</v>
      </c>
      <c r="H1912" s="4">
        <v>28212026</v>
      </c>
      <c r="I1912" s="4">
        <v>34200510</v>
      </c>
      <c r="J1912" s="3">
        <v>0.21226706653396676</v>
      </c>
      <c r="K1912" s="3">
        <v>-0.17509926021571023</v>
      </c>
      <c r="L1912" t="s">
        <v>54</v>
      </c>
    </row>
    <row r="1913" spans="1:12" x14ac:dyDescent="0.25">
      <c r="A1913" t="s">
        <v>487</v>
      </c>
      <c r="B1913" t="s">
        <v>461</v>
      </c>
      <c r="C1913" t="s">
        <v>462</v>
      </c>
      <c r="D1913" t="s">
        <v>216</v>
      </c>
      <c r="E1913" t="s">
        <v>220</v>
      </c>
      <c r="F1913">
        <v>2</v>
      </c>
      <c r="G1913" t="s">
        <v>488</v>
      </c>
      <c r="H1913" s="4">
        <v>28954173</v>
      </c>
      <c r="I1913" s="4">
        <v>27112117.2371538</v>
      </c>
      <c r="J1913" s="3">
        <v>0.06361969871652703</v>
      </c>
      <c r="K1913" s="3">
        <v>0.06794215836164548</v>
      </c>
      <c r="L1913" t="s">
        <v>54</v>
      </c>
    </row>
    <row r="1914" spans="1:12" x14ac:dyDescent="0.25">
      <c r="A1914" t="s">
        <v>487</v>
      </c>
      <c r="B1914" t="s">
        <v>461</v>
      </c>
      <c r="C1914" t="s">
        <v>462</v>
      </c>
      <c r="D1914" t="s">
        <v>216</v>
      </c>
      <c r="E1914" t="s">
        <v>220</v>
      </c>
      <c r="F1914">
        <v>2</v>
      </c>
      <c r="G1914" t="s">
        <v>498</v>
      </c>
      <c r="H1914" s="4">
        <v>28954173</v>
      </c>
      <c r="I1914" s="4">
        <v>27402948</v>
      </c>
      <c r="J1914" s="3">
        <v>0.05357517895606965</v>
      </c>
      <c r="K1914" s="3">
        <v>0.05660796057416888</v>
      </c>
      <c r="L1914" t="s">
        <v>54</v>
      </c>
    </row>
    <row r="1915" spans="1:12" x14ac:dyDescent="0.25">
      <c r="A1915" t="s">
        <v>487</v>
      </c>
      <c r="B1915" t="s">
        <v>461</v>
      </c>
      <c r="C1915" t="s">
        <v>462</v>
      </c>
      <c r="D1915" t="s">
        <v>216</v>
      </c>
      <c r="E1915" t="s">
        <v>220</v>
      </c>
      <c r="F1915">
        <v>2</v>
      </c>
      <c r="G1915" t="s">
        <v>499</v>
      </c>
      <c r="H1915" s="4">
        <v>28954173</v>
      </c>
      <c r="I1915" s="4">
        <v>34200510</v>
      </c>
      <c r="J1915" s="3">
        <v>0.18119450346587346</v>
      </c>
      <c r="K1915" s="3">
        <v>-0.15339937913206558</v>
      </c>
      <c r="L1915" t="s">
        <v>54</v>
      </c>
    </row>
    <row r="1916" spans="1:12" x14ac:dyDescent="0.25">
      <c r="A1916" t="s">
        <v>487</v>
      </c>
      <c r="B1916" t="s">
        <v>461</v>
      </c>
      <c r="C1916" t="s">
        <v>462</v>
      </c>
      <c r="D1916" t="s">
        <v>216</v>
      </c>
      <c r="E1916" t="s">
        <v>222</v>
      </c>
      <c r="F1916">
        <v>3</v>
      </c>
      <c r="G1916" t="s">
        <v>488</v>
      </c>
      <c r="H1916" s="4">
        <v>35352870</v>
      </c>
      <c r="I1916" s="4">
        <v>36859530.070009366</v>
      </c>
      <c r="J1916" s="3">
        <v>0.04261775833219101</v>
      </c>
      <c r="K1916" s="3">
        <v>-0.040875726498620084</v>
      </c>
      <c r="L1916" t="s">
        <v>54</v>
      </c>
    </row>
    <row r="1917" spans="1:12" x14ac:dyDescent="0.25">
      <c r="A1917" t="s">
        <v>487</v>
      </c>
      <c r="B1917" t="s">
        <v>461</v>
      </c>
      <c r="C1917" t="s">
        <v>462</v>
      </c>
      <c r="D1917" t="s">
        <v>216</v>
      </c>
      <c r="E1917" t="s">
        <v>222</v>
      </c>
      <c r="F1917">
        <v>3</v>
      </c>
      <c r="G1917" t="s">
        <v>498</v>
      </c>
      <c r="H1917" s="4">
        <v>35352870</v>
      </c>
      <c r="I1917" s="4">
        <v>37254921</v>
      </c>
      <c r="J1917" s="3">
        <v>0.05380188369430827</v>
      </c>
      <c r="K1917" s="3">
        <v>-0.0510550270660888</v>
      </c>
      <c r="L1917" t="s">
        <v>54</v>
      </c>
    </row>
    <row r="1918" spans="1:12" x14ac:dyDescent="0.25">
      <c r="A1918" t="s">
        <v>487</v>
      </c>
      <c r="B1918" t="s">
        <v>461</v>
      </c>
      <c r="C1918" t="s">
        <v>462</v>
      </c>
      <c r="D1918" t="s">
        <v>216</v>
      </c>
      <c r="E1918" t="s">
        <v>222</v>
      </c>
      <c r="F1918">
        <v>3</v>
      </c>
      <c r="G1918" t="s">
        <v>499</v>
      </c>
      <c r="H1918" s="4">
        <v>35352870</v>
      </c>
      <c r="I1918" s="4">
        <v>34200510</v>
      </c>
      <c r="J1918" s="3">
        <v>0.032595939169860894</v>
      </c>
      <c r="K1918" s="3">
        <v>0.033694234384224094</v>
      </c>
      <c r="L1918" t="s">
        <v>54</v>
      </c>
    </row>
    <row r="1919" spans="1:12" x14ac:dyDescent="0.25">
      <c r="A1919" t="s">
        <v>487</v>
      </c>
      <c r="B1919" t="s">
        <v>461</v>
      </c>
      <c r="C1919" t="s">
        <v>462</v>
      </c>
      <c r="D1919" t="s">
        <v>218</v>
      </c>
      <c r="E1919" t="s">
        <v>220</v>
      </c>
      <c r="F1919">
        <v>1</v>
      </c>
      <c r="G1919" t="s">
        <v>488</v>
      </c>
      <c r="H1919" s="4">
        <v>28954173</v>
      </c>
      <c r="I1919" s="4">
        <v>27814138.42520737</v>
      </c>
      <c r="J1919" s="3">
        <v>0.03937375710204643</v>
      </c>
      <c r="K1919" s="3">
        <v>0.04098759261798458</v>
      </c>
      <c r="L1919" t="s">
        <v>54</v>
      </c>
    </row>
    <row r="1920" spans="1:12" x14ac:dyDescent="0.25">
      <c r="A1920" t="s">
        <v>487</v>
      </c>
      <c r="B1920" t="s">
        <v>461</v>
      </c>
      <c r="C1920" t="s">
        <v>462</v>
      </c>
      <c r="D1920" t="s">
        <v>218</v>
      </c>
      <c r="E1920" t="s">
        <v>220</v>
      </c>
      <c r="F1920">
        <v>1</v>
      </c>
      <c r="G1920" t="s">
        <v>498</v>
      </c>
      <c r="H1920" s="4">
        <v>28954173</v>
      </c>
      <c r="I1920" s="4">
        <v>27402948</v>
      </c>
      <c r="J1920" s="3">
        <v>0.05357517895606965</v>
      </c>
      <c r="K1920" s="3">
        <v>0.05660796057416888</v>
      </c>
      <c r="L1920" t="s">
        <v>54</v>
      </c>
    </row>
    <row r="1921" spans="1:12" x14ac:dyDescent="0.25">
      <c r="A1921" t="s">
        <v>487</v>
      </c>
      <c r="B1921" t="s">
        <v>461</v>
      </c>
      <c r="C1921" t="s">
        <v>462</v>
      </c>
      <c r="D1921" t="s">
        <v>218</v>
      </c>
      <c r="E1921" t="s">
        <v>220</v>
      </c>
      <c r="F1921">
        <v>1</v>
      </c>
      <c r="G1921" t="s">
        <v>499</v>
      </c>
      <c r="H1921" s="4">
        <v>28954173</v>
      </c>
      <c r="I1921" s="4">
        <v>28212026</v>
      </c>
      <c r="J1921" s="3">
        <v>0.02563178026186415</v>
      </c>
      <c r="K1921" s="3">
        <v>0.026306051185405827</v>
      </c>
      <c r="L1921" t="s">
        <v>54</v>
      </c>
    </row>
    <row r="1922" spans="1:12" x14ac:dyDescent="0.25">
      <c r="A1922" t="s">
        <v>487</v>
      </c>
      <c r="B1922" t="s">
        <v>461</v>
      </c>
      <c r="C1922" t="s">
        <v>462</v>
      </c>
      <c r="D1922" t="s">
        <v>218</v>
      </c>
      <c r="E1922" t="s">
        <v>222</v>
      </c>
      <c r="F1922">
        <v>2</v>
      </c>
      <c r="G1922" t="s">
        <v>488</v>
      </c>
      <c r="H1922" s="4">
        <v>35352870</v>
      </c>
      <c r="I1922" s="4">
        <v>37813943.58425104</v>
      </c>
      <c r="J1922" s="3">
        <v>0.0696145343857808</v>
      </c>
      <c r="K1922" s="3">
        <v>-0.06508375881948585</v>
      </c>
      <c r="L1922" t="s">
        <v>54</v>
      </c>
    </row>
    <row r="1923" spans="1:12" x14ac:dyDescent="0.25">
      <c r="A1923" t="s">
        <v>487</v>
      </c>
      <c r="B1923" t="s">
        <v>461</v>
      </c>
      <c r="C1923" t="s">
        <v>462</v>
      </c>
      <c r="D1923" t="s">
        <v>218</v>
      </c>
      <c r="E1923" t="s">
        <v>222</v>
      </c>
      <c r="F1923">
        <v>2</v>
      </c>
      <c r="G1923" t="s">
        <v>498</v>
      </c>
      <c r="H1923" s="4">
        <v>35352870</v>
      </c>
      <c r="I1923" s="4">
        <v>37254921</v>
      </c>
      <c r="J1923" s="3">
        <v>0.05380188369430827</v>
      </c>
      <c r="K1923" s="3">
        <v>-0.0510550270660888</v>
      </c>
      <c r="L1923" t="s">
        <v>54</v>
      </c>
    </row>
    <row r="1924" spans="1:12" x14ac:dyDescent="0.25">
      <c r="A1924" t="s">
        <v>487</v>
      </c>
      <c r="B1924" t="s">
        <v>461</v>
      </c>
      <c r="C1924" t="s">
        <v>462</v>
      </c>
      <c r="D1924" t="s">
        <v>218</v>
      </c>
      <c r="E1924" t="s">
        <v>222</v>
      </c>
      <c r="F1924">
        <v>2</v>
      </c>
      <c r="G1924" t="s">
        <v>499</v>
      </c>
      <c r="H1924" s="4">
        <v>35352870</v>
      </c>
      <c r="I1924" s="4">
        <v>28212026</v>
      </c>
      <c r="J1924" s="3">
        <v>0.2019876745508922</v>
      </c>
      <c r="K1924" s="3">
        <v>0.253113477210038</v>
      </c>
      <c r="L1924" t="s">
        <v>54</v>
      </c>
    </row>
    <row r="1925" spans="1:12" x14ac:dyDescent="0.25">
      <c r="A1925" t="s">
        <v>487</v>
      </c>
      <c r="B1925" t="s">
        <v>461</v>
      </c>
      <c r="C1925" t="s">
        <v>462</v>
      </c>
      <c r="D1925" t="s">
        <v>218</v>
      </c>
      <c r="E1925" t="s">
        <v>224</v>
      </c>
      <c r="F1925">
        <v>3</v>
      </c>
      <c r="G1925" t="s">
        <v>488</v>
      </c>
      <c r="H1925" s="4">
        <v>32958798</v>
      </c>
      <c r="I1925" s="4">
        <v>30904444.984424766</v>
      </c>
      <c r="J1925" s="3">
        <v>0.06233094470178293</v>
      </c>
      <c r="K1925" s="3">
        <v>0.06647435398404947</v>
      </c>
      <c r="L1925" t="s">
        <v>54</v>
      </c>
    </row>
    <row r="1926" spans="1:12" x14ac:dyDescent="0.25">
      <c r="A1926" t="s">
        <v>487</v>
      </c>
      <c r="B1926" t="s">
        <v>461</v>
      </c>
      <c r="C1926" t="s">
        <v>462</v>
      </c>
      <c r="D1926" t="s">
        <v>218</v>
      </c>
      <c r="E1926" t="s">
        <v>224</v>
      </c>
      <c r="F1926">
        <v>3</v>
      </c>
      <c r="G1926" t="s">
        <v>498</v>
      </c>
      <c r="H1926" s="4">
        <v>32958798</v>
      </c>
      <c r="I1926" s="4">
        <v>30447569</v>
      </c>
      <c r="J1926" s="3">
        <v>0.07619297888230026</v>
      </c>
      <c r="K1926" s="3">
        <v>0.08247715934234355</v>
      </c>
      <c r="L1926" t="s">
        <v>54</v>
      </c>
    </row>
    <row r="1927" spans="1:12" x14ac:dyDescent="0.25">
      <c r="A1927" t="s">
        <v>487</v>
      </c>
      <c r="B1927" t="s">
        <v>461</v>
      </c>
      <c r="C1927" t="s">
        <v>462</v>
      </c>
      <c r="D1927" t="s">
        <v>218</v>
      </c>
      <c r="E1927" t="s">
        <v>224</v>
      </c>
      <c r="F1927">
        <v>3</v>
      </c>
      <c r="G1927" t="s">
        <v>499</v>
      </c>
      <c r="H1927" s="4">
        <v>32958798</v>
      </c>
      <c r="I1927" s="4">
        <v>28212026</v>
      </c>
      <c r="J1927" s="3">
        <v>0.14402139301317968</v>
      </c>
      <c r="K1927" s="3">
        <v>0.16825349586732977</v>
      </c>
      <c r="L1927" t="s">
        <v>54</v>
      </c>
    </row>
    <row r="1928" spans="1:12" x14ac:dyDescent="0.25">
      <c r="A1928" t="s">
        <v>487</v>
      </c>
      <c r="B1928" t="s">
        <v>461</v>
      </c>
      <c r="C1928" t="s">
        <v>462</v>
      </c>
      <c r="D1928" t="s">
        <v>220</v>
      </c>
      <c r="E1928" t="s">
        <v>222</v>
      </c>
      <c r="F1928">
        <v>1</v>
      </c>
      <c r="G1928" t="s">
        <v>488</v>
      </c>
      <c r="H1928" s="4">
        <v>35352870</v>
      </c>
      <c r="I1928" s="4">
        <v>37983253.23808298</v>
      </c>
      <c r="J1928" s="3">
        <v>0.07440366901139801</v>
      </c>
      <c r="K1928" s="3">
        <v>-0.06925113079691902</v>
      </c>
      <c r="L1928" t="s">
        <v>54</v>
      </c>
    </row>
    <row r="1929" spans="1:12" x14ac:dyDescent="0.25">
      <c r="A1929" t="s">
        <v>487</v>
      </c>
      <c r="B1929" t="s">
        <v>461</v>
      </c>
      <c r="C1929" t="s">
        <v>462</v>
      </c>
      <c r="D1929" t="s">
        <v>220</v>
      </c>
      <c r="E1929" t="s">
        <v>222</v>
      </c>
      <c r="F1929">
        <v>1</v>
      </c>
      <c r="G1929" t="s">
        <v>498</v>
      </c>
      <c r="H1929" s="4">
        <v>35352870</v>
      </c>
      <c r="I1929" s="4">
        <v>37254921</v>
      </c>
      <c r="J1929" s="3">
        <v>0.05380188369430827</v>
      </c>
      <c r="K1929" s="3">
        <v>-0.0510550270660888</v>
      </c>
      <c r="L1929" t="s">
        <v>54</v>
      </c>
    </row>
    <row r="1930" spans="1:12" x14ac:dyDescent="0.25">
      <c r="A1930" t="s">
        <v>487</v>
      </c>
      <c r="B1930" t="s">
        <v>461</v>
      </c>
      <c r="C1930" t="s">
        <v>462</v>
      </c>
      <c r="D1930" t="s">
        <v>220</v>
      </c>
      <c r="E1930" t="s">
        <v>222</v>
      </c>
      <c r="F1930">
        <v>1</v>
      </c>
      <c r="G1930" t="s">
        <v>499</v>
      </c>
      <c r="H1930" s="4">
        <v>35352870</v>
      </c>
      <c r="I1930" s="4">
        <v>28954173</v>
      </c>
      <c r="J1930" s="3">
        <v>0.18099512147104324</v>
      </c>
      <c r="K1930" s="3">
        <v>0.2209939479190098</v>
      </c>
      <c r="L1930" t="s">
        <v>54</v>
      </c>
    </row>
    <row r="1931" spans="1:12" x14ac:dyDescent="0.25">
      <c r="A1931" t="s">
        <v>487</v>
      </c>
      <c r="B1931" t="s">
        <v>461</v>
      </c>
      <c r="C1931" t="s">
        <v>462</v>
      </c>
      <c r="D1931" t="s">
        <v>220</v>
      </c>
      <c r="E1931" t="s">
        <v>224</v>
      </c>
      <c r="F1931">
        <v>2</v>
      </c>
      <c r="G1931" t="s">
        <v>488</v>
      </c>
      <c r="H1931" s="4">
        <v>32958798</v>
      </c>
      <c r="I1931" s="4">
        <v>31042817.77462379</v>
      </c>
      <c r="J1931" s="3">
        <v>0.05813258800810063</v>
      </c>
      <c r="K1931" s="3">
        <v>0.06172056413456272</v>
      </c>
      <c r="L1931" t="s">
        <v>54</v>
      </c>
    </row>
    <row r="1932" spans="1:12" x14ac:dyDescent="0.25">
      <c r="A1932" t="s">
        <v>487</v>
      </c>
      <c r="B1932" t="s">
        <v>461</v>
      </c>
      <c r="C1932" t="s">
        <v>462</v>
      </c>
      <c r="D1932" t="s">
        <v>220</v>
      </c>
      <c r="E1932" t="s">
        <v>224</v>
      </c>
      <c r="F1932">
        <v>2</v>
      </c>
      <c r="G1932" t="s">
        <v>498</v>
      </c>
      <c r="H1932" s="4">
        <v>32958798</v>
      </c>
      <c r="I1932" s="4">
        <v>30447569</v>
      </c>
      <c r="J1932" s="3">
        <v>0.07619297888230026</v>
      </c>
      <c r="K1932" s="3">
        <v>0.08247715934234355</v>
      </c>
      <c r="L1932" t="s">
        <v>54</v>
      </c>
    </row>
    <row r="1933" spans="1:12" x14ac:dyDescent="0.25">
      <c r="A1933" t="s">
        <v>487</v>
      </c>
      <c r="B1933" t="s">
        <v>461</v>
      </c>
      <c r="C1933" t="s">
        <v>462</v>
      </c>
      <c r="D1933" t="s">
        <v>220</v>
      </c>
      <c r="E1933" t="s">
        <v>224</v>
      </c>
      <c r="F1933">
        <v>2</v>
      </c>
      <c r="G1933" t="s">
        <v>499</v>
      </c>
      <c r="H1933" s="4">
        <v>32958798</v>
      </c>
      <c r="I1933" s="4">
        <v>28954173</v>
      </c>
      <c r="J1933" s="3">
        <v>0.12150397596417199</v>
      </c>
      <c r="K1933" s="3">
        <v>0.13830907897110375</v>
      </c>
      <c r="L1933" t="s">
        <v>54</v>
      </c>
    </row>
    <row r="1934" spans="1:12" x14ac:dyDescent="0.25">
      <c r="A1934" t="s">
        <v>487</v>
      </c>
      <c r="B1934" t="s">
        <v>461</v>
      </c>
      <c r="C1934" t="s">
        <v>462</v>
      </c>
      <c r="D1934" t="s">
        <v>220</v>
      </c>
      <c r="E1934" t="s">
        <v>226</v>
      </c>
      <c r="F1934">
        <v>3</v>
      </c>
      <c r="G1934" t="s">
        <v>488</v>
      </c>
      <c r="H1934" s="4">
        <v>30074020</v>
      </c>
      <c r="I1934" s="4">
        <v>33393187.31836825</v>
      </c>
      <c r="J1934" s="3">
        <v>0.11036659942263284</v>
      </c>
      <c r="K1934" s="3">
        <v>-0.09939654117840103</v>
      </c>
      <c r="L1934" t="s">
        <v>54</v>
      </c>
    </row>
    <row r="1935" spans="1:12" x14ac:dyDescent="0.25">
      <c r="A1935" t="s">
        <v>487</v>
      </c>
      <c r="B1935" t="s">
        <v>461</v>
      </c>
      <c r="C1935" t="s">
        <v>462</v>
      </c>
      <c r="D1935" t="s">
        <v>220</v>
      </c>
      <c r="E1935" t="s">
        <v>226</v>
      </c>
      <c r="F1935">
        <v>3</v>
      </c>
      <c r="G1935" t="s">
        <v>498</v>
      </c>
      <c r="H1935" s="4">
        <v>30074020</v>
      </c>
      <c r="I1935" s="4">
        <v>32752870</v>
      </c>
      <c r="J1935" s="3">
        <v>0.08907522173623612</v>
      </c>
      <c r="K1935" s="3">
        <v>-0.08178977903310458</v>
      </c>
      <c r="L1935" t="s">
        <v>54</v>
      </c>
    </row>
    <row r="1936" spans="1:12" x14ac:dyDescent="0.25">
      <c r="A1936" t="s">
        <v>487</v>
      </c>
      <c r="B1936" t="s">
        <v>461</v>
      </c>
      <c r="C1936" t="s">
        <v>462</v>
      </c>
      <c r="D1936" t="s">
        <v>220</v>
      </c>
      <c r="E1936" t="s">
        <v>226</v>
      </c>
      <c r="F1936">
        <v>3</v>
      </c>
      <c r="G1936" t="s">
        <v>499</v>
      </c>
      <c r="H1936" s="4">
        <v>30074020</v>
      </c>
      <c r="I1936" s="4">
        <v>28954173</v>
      </c>
      <c r="J1936" s="3">
        <v>0.03723635882399493</v>
      </c>
      <c r="K1936" s="3">
        <v>0.03867653204945622</v>
      </c>
      <c r="L1936" t="s">
        <v>54</v>
      </c>
    </row>
    <row r="1937" spans="1:12" x14ac:dyDescent="0.25">
      <c r="A1937" t="s">
        <v>487</v>
      </c>
      <c r="B1937" t="s">
        <v>461</v>
      </c>
      <c r="C1937" t="s">
        <v>462</v>
      </c>
      <c r="D1937" t="s">
        <v>222</v>
      </c>
      <c r="E1937" t="s">
        <v>224</v>
      </c>
      <c r="F1937">
        <v>1</v>
      </c>
      <c r="G1937" t="s">
        <v>488</v>
      </c>
      <c r="H1937" s="4">
        <v>32958798</v>
      </c>
      <c r="I1937" s="4">
        <v>30723078.43831206</v>
      </c>
      <c r="J1937" s="3">
        <v>0.06783377117357067</v>
      </c>
      <c r="K1937" s="3">
        <v>0.0727700372271279</v>
      </c>
      <c r="L1937" t="s">
        <v>54</v>
      </c>
    </row>
    <row r="1938" spans="1:12" x14ac:dyDescent="0.25">
      <c r="A1938" t="s">
        <v>487</v>
      </c>
      <c r="B1938" t="s">
        <v>461</v>
      </c>
      <c r="C1938" t="s">
        <v>462</v>
      </c>
      <c r="D1938" t="s">
        <v>222</v>
      </c>
      <c r="E1938" t="s">
        <v>224</v>
      </c>
      <c r="F1938">
        <v>1</v>
      </c>
      <c r="G1938" t="s">
        <v>498</v>
      </c>
      <c r="H1938" s="4">
        <v>32958798</v>
      </c>
      <c r="I1938" s="4">
        <v>30447569</v>
      </c>
      <c r="J1938" s="3">
        <v>0.07619297888230026</v>
      </c>
      <c r="K1938" s="3">
        <v>0.08247715934234355</v>
      </c>
      <c r="L1938" t="s">
        <v>54</v>
      </c>
    </row>
    <row r="1939" spans="1:12" x14ac:dyDescent="0.25">
      <c r="A1939" t="s">
        <v>487</v>
      </c>
      <c r="B1939" t="s">
        <v>461</v>
      </c>
      <c r="C1939" t="s">
        <v>462</v>
      </c>
      <c r="D1939" t="s">
        <v>222</v>
      </c>
      <c r="E1939" t="s">
        <v>224</v>
      </c>
      <c r="F1939">
        <v>1</v>
      </c>
      <c r="G1939" t="s">
        <v>499</v>
      </c>
      <c r="H1939" s="4">
        <v>32958798</v>
      </c>
      <c r="I1939" s="4">
        <v>35352870</v>
      </c>
      <c r="J1939" s="3">
        <v>0.07263832861865897</v>
      </c>
      <c r="K1939" s="3">
        <v>-0.06771931104886252</v>
      </c>
      <c r="L1939" t="s">
        <v>54</v>
      </c>
    </row>
    <row r="1940" spans="1:12" x14ac:dyDescent="0.25">
      <c r="A1940" t="s">
        <v>487</v>
      </c>
      <c r="B1940" t="s">
        <v>461</v>
      </c>
      <c r="C1940" t="s">
        <v>462</v>
      </c>
      <c r="D1940" t="s">
        <v>222</v>
      </c>
      <c r="E1940" t="s">
        <v>226</v>
      </c>
      <c r="F1940">
        <v>2</v>
      </c>
      <c r="G1940" t="s">
        <v>488</v>
      </c>
      <c r="H1940" s="4">
        <v>30074020</v>
      </c>
      <c r="I1940" s="4">
        <v>33049239.303467475</v>
      </c>
      <c r="J1940" s="3">
        <v>0.09892988378233022</v>
      </c>
      <c r="K1940" s="3">
        <v>-0.09002383613577815</v>
      </c>
      <c r="L1940" t="s">
        <v>54</v>
      </c>
    </row>
    <row r="1941" spans="1:12" x14ac:dyDescent="0.25">
      <c r="A1941" t="s">
        <v>487</v>
      </c>
      <c r="B1941" t="s">
        <v>461</v>
      </c>
      <c r="C1941" t="s">
        <v>462</v>
      </c>
      <c r="D1941" t="s">
        <v>222</v>
      </c>
      <c r="E1941" t="s">
        <v>226</v>
      </c>
      <c r="F1941">
        <v>2</v>
      </c>
      <c r="G1941" t="s">
        <v>498</v>
      </c>
      <c r="H1941" s="4">
        <v>30074020</v>
      </c>
      <c r="I1941" s="4">
        <v>32752870</v>
      </c>
      <c r="J1941" s="3">
        <v>0.08907522173623612</v>
      </c>
      <c r="K1941" s="3">
        <v>-0.08178977903310458</v>
      </c>
      <c r="L1941" t="s">
        <v>54</v>
      </c>
    </row>
    <row r="1942" spans="1:12" x14ac:dyDescent="0.25">
      <c r="A1942" t="s">
        <v>487</v>
      </c>
      <c r="B1942" t="s">
        <v>461</v>
      </c>
      <c r="C1942" t="s">
        <v>462</v>
      </c>
      <c r="D1942" t="s">
        <v>222</v>
      </c>
      <c r="E1942" t="s">
        <v>226</v>
      </c>
      <c r="F1942">
        <v>2</v>
      </c>
      <c r="G1942" t="s">
        <v>499</v>
      </c>
      <c r="H1942" s="4">
        <v>30074020</v>
      </c>
      <c r="I1942" s="4">
        <v>35352870</v>
      </c>
      <c r="J1942" s="3">
        <v>0.17552857915237138</v>
      </c>
      <c r="K1942" s="3">
        <v>-0.14931885303795703</v>
      </c>
      <c r="L1942" t="s">
        <v>54</v>
      </c>
    </row>
    <row r="1943" spans="1:12" x14ac:dyDescent="0.25">
      <c r="A1943" t="s">
        <v>487</v>
      </c>
      <c r="B1943" t="s">
        <v>461</v>
      </c>
      <c r="C1943" t="s">
        <v>462</v>
      </c>
      <c r="D1943" t="s">
        <v>222</v>
      </c>
      <c r="E1943" t="s">
        <v>228</v>
      </c>
      <c r="F1943">
        <v>3</v>
      </c>
      <c r="G1943" t="s">
        <v>488</v>
      </c>
      <c r="H1943" s="4">
        <v>22076773</v>
      </c>
      <c r="I1943" s="4">
        <v>20981461.41395192</v>
      </c>
      <c r="J1943" s="3">
        <v>0.049613754059439824</v>
      </c>
      <c r="K1943" s="3">
        <v>0.052203779538432846</v>
      </c>
      <c r="L1943" t="s">
        <v>54</v>
      </c>
    </row>
    <row r="1944" spans="1:12" x14ac:dyDescent="0.25">
      <c r="A1944" t="s">
        <v>487</v>
      </c>
      <c r="B1944" t="s">
        <v>461</v>
      </c>
      <c r="C1944" t="s">
        <v>462</v>
      </c>
      <c r="D1944" t="s">
        <v>222</v>
      </c>
      <c r="E1944" t="s">
        <v>228</v>
      </c>
      <c r="F1944">
        <v>3</v>
      </c>
      <c r="G1944" t="s">
        <v>498</v>
      </c>
      <c r="H1944" s="4">
        <v>22076773</v>
      </c>
      <c r="I1944" s="4">
        <v>20793310</v>
      </c>
      <c r="J1944" s="3">
        <v>0.05813634990947273</v>
      </c>
      <c r="K1944" s="3">
        <v>0.0617248047569146</v>
      </c>
      <c r="L1944" t="s">
        <v>54</v>
      </c>
    </row>
    <row r="1945" spans="1:12" x14ac:dyDescent="0.25">
      <c r="A1945" t="s">
        <v>487</v>
      </c>
      <c r="B1945" t="s">
        <v>461</v>
      </c>
      <c r="C1945" t="s">
        <v>462</v>
      </c>
      <c r="D1945" t="s">
        <v>222</v>
      </c>
      <c r="E1945" t="s">
        <v>228</v>
      </c>
      <c r="F1945">
        <v>3</v>
      </c>
      <c r="G1945" t="s">
        <v>499</v>
      </c>
      <c r="H1945" s="4">
        <v>22076773</v>
      </c>
      <c r="I1945" s="4">
        <v>35352870</v>
      </c>
      <c r="J1945" s="3">
        <v>0.6013603980980372</v>
      </c>
      <c r="K1945" s="3">
        <v>-0.37553095406398407</v>
      </c>
      <c r="L1945" t="s">
        <v>54</v>
      </c>
    </row>
    <row r="1946" spans="1:12" x14ac:dyDescent="0.25">
      <c r="A1946" t="s">
        <v>487</v>
      </c>
      <c r="B1946" t="s">
        <v>461</v>
      </c>
      <c r="C1946" t="s">
        <v>462</v>
      </c>
      <c r="D1946" t="s">
        <v>224</v>
      </c>
      <c r="E1946" t="s">
        <v>226</v>
      </c>
      <c r="F1946">
        <v>1</v>
      </c>
      <c r="G1946" t="s">
        <v>488</v>
      </c>
      <c r="H1946" s="4">
        <v>30074020</v>
      </c>
      <c r="I1946" s="4">
        <v>33624123.96270587</v>
      </c>
      <c r="J1946" s="3">
        <v>0.11804554105855729</v>
      </c>
      <c r="K1946" s="3">
        <v>-0.10558205075152184</v>
      </c>
      <c r="L1946" t="s">
        <v>54</v>
      </c>
    </row>
    <row r="1947" spans="1:12" x14ac:dyDescent="0.25">
      <c r="A1947" t="s">
        <v>487</v>
      </c>
      <c r="B1947" t="s">
        <v>461</v>
      </c>
      <c r="C1947" t="s">
        <v>462</v>
      </c>
      <c r="D1947" t="s">
        <v>224</v>
      </c>
      <c r="E1947" t="s">
        <v>226</v>
      </c>
      <c r="F1947">
        <v>1</v>
      </c>
      <c r="G1947" t="s">
        <v>498</v>
      </c>
      <c r="H1947" s="4">
        <v>30074020</v>
      </c>
      <c r="I1947" s="4">
        <v>32752870</v>
      </c>
      <c r="J1947" s="3">
        <v>0.08907522173623612</v>
      </c>
      <c r="K1947" s="3">
        <v>-0.08178977903310458</v>
      </c>
      <c r="L1947" t="s">
        <v>54</v>
      </c>
    </row>
    <row r="1948" spans="1:12" x14ac:dyDescent="0.25">
      <c r="A1948" t="s">
        <v>487</v>
      </c>
      <c r="B1948" t="s">
        <v>461</v>
      </c>
      <c r="C1948" t="s">
        <v>462</v>
      </c>
      <c r="D1948" t="s">
        <v>224</v>
      </c>
      <c r="E1948" t="s">
        <v>226</v>
      </c>
      <c r="F1948">
        <v>1</v>
      </c>
      <c r="G1948" t="s">
        <v>499</v>
      </c>
      <c r="H1948" s="4">
        <v>30074020</v>
      </c>
      <c r="I1948" s="4">
        <v>32958798</v>
      </c>
      <c r="J1948" s="3">
        <v>0.09592259365392455</v>
      </c>
      <c r="K1948" s="3">
        <v>-0.08752679633523043</v>
      </c>
      <c r="L1948" t="s">
        <v>54</v>
      </c>
    </row>
    <row r="1949" spans="1:12" x14ac:dyDescent="0.25">
      <c r="A1949" t="s">
        <v>487</v>
      </c>
      <c r="B1949" t="s">
        <v>461</v>
      </c>
      <c r="C1949" t="s">
        <v>462</v>
      </c>
      <c r="D1949" t="s">
        <v>224</v>
      </c>
      <c r="E1949" t="s">
        <v>228</v>
      </c>
      <c r="F1949">
        <v>2</v>
      </c>
      <c r="G1949" t="s">
        <v>488</v>
      </c>
      <c r="H1949" s="4">
        <v>22076773</v>
      </c>
      <c r="I1949" s="4">
        <v>21346429.581132025</v>
      </c>
      <c r="J1949" s="3">
        <v>0.033081982537392376</v>
      </c>
      <c r="K1949" s="3">
        <v>0.03421384433833007</v>
      </c>
      <c r="L1949" t="s">
        <v>54</v>
      </c>
    </row>
    <row r="1950" spans="1:12" x14ac:dyDescent="0.25">
      <c r="A1950" t="s">
        <v>487</v>
      </c>
      <c r="B1950" t="s">
        <v>461</v>
      </c>
      <c r="C1950" t="s">
        <v>462</v>
      </c>
      <c r="D1950" t="s">
        <v>224</v>
      </c>
      <c r="E1950" t="s">
        <v>228</v>
      </c>
      <c r="F1950">
        <v>2</v>
      </c>
      <c r="G1950" t="s">
        <v>498</v>
      </c>
      <c r="H1950" s="4">
        <v>22076773</v>
      </c>
      <c r="I1950" s="4">
        <v>20793310</v>
      </c>
      <c r="J1950" s="3">
        <v>0.05813634990947273</v>
      </c>
      <c r="K1950" s="3">
        <v>0.0617248047569146</v>
      </c>
      <c r="L1950" t="s">
        <v>54</v>
      </c>
    </row>
    <row r="1951" spans="1:12" x14ac:dyDescent="0.25">
      <c r="A1951" t="s">
        <v>487</v>
      </c>
      <c r="B1951" t="s">
        <v>461</v>
      </c>
      <c r="C1951" t="s">
        <v>462</v>
      </c>
      <c r="D1951" t="s">
        <v>224</v>
      </c>
      <c r="E1951" t="s">
        <v>228</v>
      </c>
      <c r="F1951">
        <v>2</v>
      </c>
      <c r="G1951" t="s">
        <v>499</v>
      </c>
      <c r="H1951" s="4">
        <v>22076773</v>
      </c>
      <c r="I1951" s="4">
        <v>32958798</v>
      </c>
      <c r="J1951" s="3">
        <v>0.49291737519790596</v>
      </c>
      <c r="K1951" s="3">
        <v>-0.33017056629310326</v>
      </c>
      <c r="L1951" t="s">
        <v>54</v>
      </c>
    </row>
    <row r="1952" spans="1:12" x14ac:dyDescent="0.25">
      <c r="A1952" t="s">
        <v>487</v>
      </c>
      <c r="B1952" t="s">
        <v>461</v>
      </c>
      <c r="C1952" t="s">
        <v>462</v>
      </c>
      <c r="D1952" t="s">
        <v>224</v>
      </c>
      <c r="E1952" t="s">
        <v>230</v>
      </c>
      <c r="F1952">
        <v>3</v>
      </c>
      <c r="G1952" t="s">
        <v>488</v>
      </c>
      <c r="H1952" s="4">
        <v>16408492</v>
      </c>
      <c r="I1952" s="4">
        <v>18784580.027887814</v>
      </c>
      <c r="J1952" s="3">
        <v>0.14480843382120756</v>
      </c>
      <c r="K1952" s="3">
        <v>-0.1264914107400988</v>
      </c>
      <c r="L1952" t="s">
        <v>54</v>
      </c>
    </row>
    <row r="1953" spans="1:12" x14ac:dyDescent="0.25">
      <c r="A1953" t="s">
        <v>487</v>
      </c>
      <c r="B1953" t="s">
        <v>461</v>
      </c>
      <c r="C1953" t="s">
        <v>462</v>
      </c>
      <c r="D1953" t="s">
        <v>224</v>
      </c>
      <c r="E1953" t="s">
        <v>230</v>
      </c>
      <c r="F1953">
        <v>3</v>
      </c>
      <c r="G1953" t="s">
        <v>498</v>
      </c>
      <c r="H1953" s="4">
        <v>16408492</v>
      </c>
      <c r="I1953" s="4">
        <v>18297842</v>
      </c>
      <c r="J1953" s="3">
        <v>0.1151446458333892</v>
      </c>
      <c r="K1953" s="3">
        <v>-0.10325534563037543</v>
      </c>
      <c r="L1953" t="s">
        <v>54</v>
      </c>
    </row>
    <row r="1954" spans="1:12" x14ac:dyDescent="0.25">
      <c r="A1954" t="s">
        <v>487</v>
      </c>
      <c r="B1954" t="s">
        <v>461</v>
      </c>
      <c r="C1954" t="s">
        <v>462</v>
      </c>
      <c r="D1954" t="s">
        <v>224</v>
      </c>
      <c r="E1954" t="s">
        <v>230</v>
      </c>
      <c r="F1954">
        <v>3</v>
      </c>
      <c r="G1954" t="s">
        <v>499</v>
      </c>
      <c r="H1954" s="4">
        <v>16408492</v>
      </c>
      <c r="I1954" s="4">
        <v>32958798</v>
      </c>
      <c r="J1954" s="3">
        <v>1.008642719879438</v>
      </c>
      <c r="K1954" s="3">
        <v>-0.5021513830692491</v>
      </c>
      <c r="L1954" t="s">
        <v>54</v>
      </c>
    </row>
    <row r="1955" spans="1:12" x14ac:dyDescent="0.25">
      <c r="A1955" t="s">
        <v>487</v>
      </c>
      <c r="B1955" t="s">
        <v>461</v>
      </c>
      <c r="C1955" t="s">
        <v>462</v>
      </c>
      <c r="D1955" t="s">
        <v>226</v>
      </c>
      <c r="E1955" t="s">
        <v>228</v>
      </c>
      <c r="F1955">
        <v>1</v>
      </c>
      <c r="G1955" t="s">
        <v>488</v>
      </c>
      <c r="H1955" s="4">
        <v>22076773</v>
      </c>
      <c r="I1955" s="4">
        <v>20929935.13958357</v>
      </c>
      <c r="J1955" s="3">
        <v>0.05194771266690249</v>
      </c>
      <c r="K1955" s="3">
        <v>0.05479414306676389</v>
      </c>
      <c r="L1955" t="s">
        <v>54</v>
      </c>
    </row>
    <row r="1956" spans="1:12" x14ac:dyDescent="0.25">
      <c r="A1956" t="s">
        <v>487</v>
      </c>
      <c r="B1956" t="s">
        <v>461</v>
      </c>
      <c r="C1956" t="s">
        <v>462</v>
      </c>
      <c r="D1956" t="s">
        <v>226</v>
      </c>
      <c r="E1956" t="s">
        <v>228</v>
      </c>
      <c r="F1956">
        <v>1</v>
      </c>
      <c r="G1956" t="s">
        <v>498</v>
      </c>
      <c r="H1956" s="4">
        <v>22076773</v>
      </c>
      <c r="I1956" s="4">
        <v>20793310</v>
      </c>
      <c r="J1956" s="3">
        <v>0.05813634990947273</v>
      </c>
      <c r="K1956" s="3">
        <v>0.0617248047569146</v>
      </c>
      <c r="L1956" t="s">
        <v>54</v>
      </c>
    </row>
    <row r="1957" spans="1:12" x14ac:dyDescent="0.25">
      <c r="A1957" t="s">
        <v>487</v>
      </c>
      <c r="B1957" t="s">
        <v>461</v>
      </c>
      <c r="C1957" t="s">
        <v>462</v>
      </c>
      <c r="D1957" t="s">
        <v>226</v>
      </c>
      <c r="E1957" t="s">
        <v>228</v>
      </c>
      <c r="F1957">
        <v>1</v>
      </c>
      <c r="G1957" t="s">
        <v>499</v>
      </c>
      <c r="H1957" s="4">
        <v>22076773</v>
      </c>
      <c r="I1957" s="4">
        <v>30074020</v>
      </c>
      <c r="J1957" s="3">
        <v>0.36224710015363204</v>
      </c>
      <c r="K1957" s="3">
        <v>-0.26591878970619826</v>
      </c>
      <c r="L1957" t="s">
        <v>54</v>
      </c>
    </row>
    <row r="1958" spans="1:12" x14ac:dyDescent="0.25">
      <c r="A1958" t="s">
        <v>487</v>
      </c>
      <c r="B1958" t="s">
        <v>461</v>
      </c>
      <c r="C1958" t="s">
        <v>462</v>
      </c>
      <c r="D1958" t="s">
        <v>226</v>
      </c>
      <c r="E1958" t="s">
        <v>230</v>
      </c>
      <c r="F1958">
        <v>2</v>
      </c>
      <c r="G1958" t="s">
        <v>488</v>
      </c>
      <c r="H1958" s="4">
        <v>16408492</v>
      </c>
      <c r="I1958" s="4">
        <v>18418070.343507025</v>
      </c>
      <c r="J1958" s="3">
        <v>0.12247184832750173</v>
      </c>
      <c r="K1958" s="3">
        <v>-0.10910906007129394</v>
      </c>
      <c r="L1958" t="s">
        <v>54</v>
      </c>
    </row>
    <row r="1959" spans="1:12" x14ac:dyDescent="0.25">
      <c r="A1959" t="s">
        <v>487</v>
      </c>
      <c r="B1959" t="s">
        <v>461</v>
      </c>
      <c r="C1959" t="s">
        <v>462</v>
      </c>
      <c r="D1959" t="s">
        <v>226</v>
      </c>
      <c r="E1959" t="s">
        <v>230</v>
      </c>
      <c r="F1959">
        <v>2</v>
      </c>
      <c r="G1959" t="s">
        <v>498</v>
      </c>
      <c r="H1959" s="4">
        <v>16408492</v>
      </c>
      <c r="I1959" s="4">
        <v>18297842</v>
      </c>
      <c r="J1959" s="3">
        <v>0.1151446458333892</v>
      </c>
      <c r="K1959" s="3">
        <v>-0.10325534563037543</v>
      </c>
      <c r="L1959" t="s">
        <v>54</v>
      </c>
    </row>
    <row r="1960" spans="1:12" x14ac:dyDescent="0.25">
      <c r="A1960" t="s">
        <v>487</v>
      </c>
      <c r="B1960" t="s">
        <v>461</v>
      </c>
      <c r="C1960" t="s">
        <v>462</v>
      </c>
      <c r="D1960" t="s">
        <v>226</v>
      </c>
      <c r="E1960" t="s">
        <v>230</v>
      </c>
      <c r="F1960">
        <v>2</v>
      </c>
      <c r="G1960" t="s">
        <v>499</v>
      </c>
      <c r="H1960" s="4">
        <v>16408492</v>
      </c>
      <c r="I1960" s="4">
        <v>30074020</v>
      </c>
      <c r="J1960" s="3">
        <v>0.8328326576263072</v>
      </c>
      <c r="K1960" s="3">
        <v>-0.4543964524862323</v>
      </c>
      <c r="L1960" t="s">
        <v>54</v>
      </c>
    </row>
    <row r="1961" spans="1:12" x14ac:dyDescent="0.25">
      <c r="A1961" t="s">
        <v>487</v>
      </c>
      <c r="B1961" t="s">
        <v>461</v>
      </c>
      <c r="C1961" t="s">
        <v>462</v>
      </c>
      <c r="D1961" t="s">
        <v>226</v>
      </c>
      <c r="E1961" t="s">
        <v>232</v>
      </c>
      <c r="F1961">
        <v>3</v>
      </c>
      <c r="G1961" t="s">
        <v>488</v>
      </c>
      <c r="H1961" s="4">
        <v>23212368</v>
      </c>
      <c r="I1961" s="4">
        <v>21713767.794036176</v>
      </c>
      <c r="J1961" s="3">
        <v>0.06456041908192323</v>
      </c>
      <c r="K1961" s="3">
        <v>0.06901612931383673</v>
      </c>
      <c r="L1961" t="s">
        <v>54</v>
      </c>
    </row>
    <row r="1962" spans="1:12" x14ac:dyDescent="0.25">
      <c r="A1962" t="s">
        <v>487</v>
      </c>
      <c r="B1962" t="s">
        <v>461</v>
      </c>
      <c r="C1962" t="s">
        <v>462</v>
      </c>
      <c r="D1962" t="s">
        <v>226</v>
      </c>
      <c r="E1962" t="s">
        <v>232</v>
      </c>
      <c r="F1962">
        <v>3</v>
      </c>
      <c r="G1962" t="s">
        <v>498</v>
      </c>
      <c r="H1962" s="4">
        <v>23212368</v>
      </c>
      <c r="I1962" s="4">
        <v>21572026</v>
      </c>
      <c r="J1962" s="3">
        <v>0.07066672387754666</v>
      </c>
      <c r="K1962" s="3">
        <v>0.07604023840876142</v>
      </c>
      <c r="L1962" t="s">
        <v>54</v>
      </c>
    </row>
    <row r="1963" spans="1:12" x14ac:dyDescent="0.25">
      <c r="A1963" t="s">
        <v>487</v>
      </c>
      <c r="B1963" t="s">
        <v>461</v>
      </c>
      <c r="C1963" t="s">
        <v>462</v>
      </c>
      <c r="D1963" t="s">
        <v>226</v>
      </c>
      <c r="E1963" t="s">
        <v>232</v>
      </c>
      <c r="F1963">
        <v>3</v>
      </c>
      <c r="G1963" t="s">
        <v>499</v>
      </c>
      <c r="H1963" s="4">
        <v>23212368</v>
      </c>
      <c r="I1963" s="4">
        <v>30074020</v>
      </c>
      <c r="J1963" s="3">
        <v>0.29560327494377137</v>
      </c>
      <c r="K1963" s="3">
        <v>-0.22815878954659205</v>
      </c>
      <c r="L1963" t="s">
        <v>54</v>
      </c>
    </row>
    <row r="1964" spans="1:12" x14ac:dyDescent="0.25">
      <c r="A1964" t="s">
        <v>487</v>
      </c>
      <c r="B1964" t="s">
        <v>461</v>
      </c>
      <c r="C1964" t="s">
        <v>462</v>
      </c>
      <c r="D1964" t="s">
        <v>228</v>
      </c>
      <c r="E1964" t="s">
        <v>230</v>
      </c>
      <c r="F1964">
        <v>1</v>
      </c>
      <c r="G1964" t="s">
        <v>488</v>
      </c>
      <c r="H1964" s="4">
        <v>16408492</v>
      </c>
      <c r="I1964" s="4">
        <v>18474781.47448397</v>
      </c>
      <c r="J1964" s="3">
        <v>0.1259280544783744</v>
      </c>
      <c r="K1964" s="3">
        <v>-0.11184378431418958</v>
      </c>
      <c r="L1964" t="s">
        <v>54</v>
      </c>
    </row>
    <row r="1965" spans="1:12" x14ac:dyDescent="0.25">
      <c r="A1965" t="s">
        <v>487</v>
      </c>
      <c r="B1965" t="s">
        <v>461</v>
      </c>
      <c r="C1965" t="s">
        <v>462</v>
      </c>
      <c r="D1965" t="s">
        <v>228</v>
      </c>
      <c r="E1965" t="s">
        <v>230</v>
      </c>
      <c r="F1965">
        <v>1</v>
      </c>
      <c r="G1965" t="s">
        <v>498</v>
      </c>
      <c r="H1965" s="4">
        <v>16408492</v>
      </c>
      <c r="I1965" s="4">
        <v>18297842</v>
      </c>
      <c r="J1965" s="3">
        <v>0.1151446458333892</v>
      </c>
      <c r="K1965" s="3">
        <v>-0.10325534563037543</v>
      </c>
      <c r="L1965" t="s">
        <v>54</v>
      </c>
    </row>
    <row r="1966" spans="1:12" x14ac:dyDescent="0.25">
      <c r="A1966" t="s">
        <v>487</v>
      </c>
      <c r="B1966" t="s">
        <v>461</v>
      </c>
      <c r="C1966" t="s">
        <v>462</v>
      </c>
      <c r="D1966" t="s">
        <v>228</v>
      </c>
      <c r="E1966" t="s">
        <v>230</v>
      </c>
      <c r="F1966">
        <v>1</v>
      </c>
      <c r="G1966" t="s">
        <v>499</v>
      </c>
      <c r="H1966" s="4">
        <v>16408492</v>
      </c>
      <c r="I1966" s="4">
        <v>22076773</v>
      </c>
      <c r="J1966" s="3">
        <v>0.34544801557632476</v>
      </c>
      <c r="K1966" s="3">
        <v>-0.25675314956583556</v>
      </c>
      <c r="L1966" t="s">
        <v>54</v>
      </c>
    </row>
    <row r="1967" spans="1:12" x14ac:dyDescent="0.25">
      <c r="A1967" t="s">
        <v>487</v>
      </c>
      <c r="B1967" t="s">
        <v>461</v>
      </c>
      <c r="C1967" t="s">
        <v>462</v>
      </c>
      <c r="D1967" t="s">
        <v>228</v>
      </c>
      <c r="E1967" t="s">
        <v>232</v>
      </c>
      <c r="F1967">
        <v>2</v>
      </c>
      <c r="G1967" t="s">
        <v>488</v>
      </c>
      <c r="H1967" s="4">
        <v>23212368</v>
      </c>
      <c r="I1967" s="4">
        <v>21780626.716084145</v>
      </c>
      <c r="J1967" s="3">
        <v>0.06168010449928482</v>
      </c>
      <c r="K1967" s="3">
        <v>0.06573462290956807</v>
      </c>
      <c r="L1967" t="s">
        <v>54</v>
      </c>
    </row>
    <row r="1968" spans="1:12" x14ac:dyDescent="0.25">
      <c r="A1968" t="s">
        <v>487</v>
      </c>
      <c r="B1968" t="s">
        <v>461</v>
      </c>
      <c r="C1968" t="s">
        <v>462</v>
      </c>
      <c r="D1968" t="s">
        <v>228</v>
      </c>
      <c r="E1968" t="s">
        <v>232</v>
      </c>
      <c r="F1968">
        <v>2</v>
      </c>
      <c r="G1968" t="s">
        <v>498</v>
      </c>
      <c r="H1968" s="4">
        <v>23212368</v>
      </c>
      <c r="I1968" s="4">
        <v>21572026</v>
      </c>
      <c r="J1968" s="3">
        <v>0.07066672387754666</v>
      </c>
      <c r="K1968" s="3">
        <v>0.07604023840876142</v>
      </c>
      <c r="L1968" t="s">
        <v>54</v>
      </c>
    </row>
    <row r="1969" spans="1:12" x14ac:dyDescent="0.25">
      <c r="A1969" t="s">
        <v>487</v>
      </c>
      <c r="B1969" t="s">
        <v>461</v>
      </c>
      <c r="C1969" t="s">
        <v>462</v>
      </c>
      <c r="D1969" t="s">
        <v>228</v>
      </c>
      <c r="E1969" t="s">
        <v>232</v>
      </c>
      <c r="F1969">
        <v>2</v>
      </c>
      <c r="G1969" t="s">
        <v>499</v>
      </c>
      <c r="H1969" s="4">
        <v>23212368</v>
      </c>
      <c r="I1969" s="4">
        <v>22076773</v>
      </c>
      <c r="J1969" s="3">
        <v>0.04892197986866312</v>
      </c>
      <c r="K1969" s="3">
        <v>0.051438450719224225</v>
      </c>
      <c r="L1969" t="s">
        <v>54</v>
      </c>
    </row>
    <row r="1970" spans="1:12" x14ac:dyDescent="0.25">
      <c r="A1970" t="s">
        <v>487</v>
      </c>
      <c r="B1970" t="s">
        <v>461</v>
      </c>
      <c r="C1970" t="s">
        <v>462</v>
      </c>
      <c r="D1970" t="s">
        <v>228</v>
      </c>
      <c r="E1970" t="s">
        <v>234</v>
      </c>
      <c r="F1970">
        <v>3</v>
      </c>
      <c r="G1970" t="s">
        <v>488</v>
      </c>
      <c r="H1970" s="4">
        <v>25258681</v>
      </c>
      <c r="I1970" s="4">
        <v>25628756.60835034</v>
      </c>
      <c r="J1970" s="3">
        <v>0.014651422548562226</v>
      </c>
      <c r="K1970" s="3">
        <v>-0.014439858086200037</v>
      </c>
      <c r="L1970" t="s">
        <v>54</v>
      </c>
    </row>
    <row r="1971" spans="1:12" x14ac:dyDescent="0.25">
      <c r="A1971" t="s">
        <v>487</v>
      </c>
      <c r="B1971" t="s">
        <v>461</v>
      </c>
      <c r="C1971" t="s">
        <v>462</v>
      </c>
      <c r="D1971" t="s">
        <v>228</v>
      </c>
      <c r="E1971" t="s">
        <v>234</v>
      </c>
      <c r="F1971">
        <v>3</v>
      </c>
      <c r="G1971" t="s">
        <v>498</v>
      </c>
      <c r="H1971" s="4">
        <v>25258681</v>
      </c>
      <c r="I1971" s="4">
        <v>25383301</v>
      </c>
      <c r="J1971" s="3">
        <v>0.004933749311771268</v>
      </c>
      <c r="K1971" s="3">
        <v>-0.004909526936626564</v>
      </c>
      <c r="L1971" t="s">
        <v>54</v>
      </c>
    </row>
    <row r="1972" spans="1:12" x14ac:dyDescent="0.25">
      <c r="A1972" t="s">
        <v>487</v>
      </c>
      <c r="B1972" t="s">
        <v>461</v>
      </c>
      <c r="C1972" t="s">
        <v>462</v>
      </c>
      <c r="D1972" t="s">
        <v>228</v>
      </c>
      <c r="E1972" t="s">
        <v>234</v>
      </c>
      <c r="F1972">
        <v>3</v>
      </c>
      <c r="G1972" t="s">
        <v>499</v>
      </c>
      <c r="H1972" s="4">
        <v>25258681</v>
      </c>
      <c r="I1972" s="4">
        <v>22076773</v>
      </c>
      <c r="J1972" s="3">
        <v>0.125972848701007</v>
      </c>
      <c r="K1972" s="3">
        <v>0.1441292167111561</v>
      </c>
      <c r="L1972" t="s">
        <v>54</v>
      </c>
    </row>
    <row r="1973" spans="1:12" x14ac:dyDescent="0.25">
      <c r="A1973" t="s">
        <v>487</v>
      </c>
      <c r="B1973" t="s">
        <v>461</v>
      </c>
      <c r="C1973" t="s">
        <v>462</v>
      </c>
      <c r="D1973" t="s">
        <v>230</v>
      </c>
      <c r="E1973" t="s">
        <v>232</v>
      </c>
      <c r="F1973">
        <v>1</v>
      </c>
      <c r="G1973" t="s">
        <v>488</v>
      </c>
      <c r="H1973" s="4">
        <v>23212368</v>
      </c>
      <c r="I1973" s="4">
        <v>21668644.34356191</v>
      </c>
      <c r="J1973" s="3">
        <v>0.06650435907435596</v>
      </c>
      <c r="K1973" s="3">
        <v>0.07124228133343072</v>
      </c>
      <c r="L1973" t="s">
        <v>54</v>
      </c>
    </row>
    <row r="1974" spans="1:12" x14ac:dyDescent="0.25">
      <c r="A1974" t="s">
        <v>487</v>
      </c>
      <c r="B1974" t="s">
        <v>461</v>
      </c>
      <c r="C1974" t="s">
        <v>462</v>
      </c>
      <c r="D1974" t="s">
        <v>230</v>
      </c>
      <c r="E1974" t="s">
        <v>232</v>
      </c>
      <c r="F1974">
        <v>1</v>
      </c>
      <c r="G1974" t="s">
        <v>498</v>
      </c>
      <c r="H1974" s="4">
        <v>23212368</v>
      </c>
      <c r="I1974" s="4">
        <v>21572026</v>
      </c>
      <c r="J1974" s="3">
        <v>0.07066672387754666</v>
      </c>
      <c r="K1974" s="3">
        <v>0.07604023840876142</v>
      </c>
      <c r="L1974" t="s">
        <v>54</v>
      </c>
    </row>
    <row r="1975" spans="1:12" x14ac:dyDescent="0.25">
      <c r="A1975" t="s">
        <v>487</v>
      </c>
      <c r="B1975" t="s">
        <v>461</v>
      </c>
      <c r="C1975" t="s">
        <v>462</v>
      </c>
      <c r="D1975" t="s">
        <v>230</v>
      </c>
      <c r="E1975" t="s">
        <v>232</v>
      </c>
      <c r="F1975">
        <v>1</v>
      </c>
      <c r="G1975" t="s">
        <v>499</v>
      </c>
      <c r="H1975" s="4">
        <v>23212368</v>
      </c>
      <c r="I1975" s="4">
        <v>16408492</v>
      </c>
      <c r="J1975" s="3">
        <v>0.29311425702022303</v>
      </c>
      <c r="K1975" s="3">
        <v>0.41465577702082557</v>
      </c>
      <c r="L1975" t="s">
        <v>54</v>
      </c>
    </row>
    <row r="1976" spans="1:12" x14ac:dyDescent="0.25">
      <c r="A1976" t="s">
        <v>487</v>
      </c>
      <c r="B1976" t="s">
        <v>461</v>
      </c>
      <c r="C1976" t="s">
        <v>462</v>
      </c>
      <c r="D1976" t="s">
        <v>230</v>
      </c>
      <c r="E1976" t="s">
        <v>234</v>
      </c>
      <c r="F1976">
        <v>2</v>
      </c>
      <c r="G1976" t="s">
        <v>488</v>
      </c>
      <c r="H1976" s="4">
        <v>25258681</v>
      </c>
      <c r="I1976" s="4">
        <v>25496989.556501526</v>
      </c>
      <c r="J1976" s="3">
        <v>0.009434718958663216</v>
      </c>
      <c r="K1976" s="3">
        <v>-0.009346537008748925</v>
      </c>
      <c r="L1976" t="s">
        <v>54</v>
      </c>
    </row>
    <row r="1977" spans="1:12" x14ac:dyDescent="0.25">
      <c r="A1977" t="s">
        <v>487</v>
      </c>
      <c r="B1977" t="s">
        <v>461</v>
      </c>
      <c r="C1977" t="s">
        <v>462</v>
      </c>
      <c r="D1977" t="s">
        <v>230</v>
      </c>
      <c r="E1977" t="s">
        <v>234</v>
      </c>
      <c r="F1977">
        <v>2</v>
      </c>
      <c r="G1977" t="s">
        <v>498</v>
      </c>
      <c r="H1977" s="4">
        <v>25258681</v>
      </c>
      <c r="I1977" s="4">
        <v>25383301</v>
      </c>
      <c r="J1977" s="3">
        <v>0.004933749311771268</v>
      </c>
      <c r="K1977" s="3">
        <v>-0.004909526936626564</v>
      </c>
      <c r="L1977" t="s">
        <v>54</v>
      </c>
    </row>
    <row r="1978" spans="1:12" x14ac:dyDescent="0.25">
      <c r="A1978" t="s">
        <v>487</v>
      </c>
      <c r="B1978" t="s">
        <v>461</v>
      </c>
      <c r="C1978" t="s">
        <v>462</v>
      </c>
      <c r="D1978" t="s">
        <v>230</v>
      </c>
      <c r="E1978" t="s">
        <v>234</v>
      </c>
      <c r="F1978">
        <v>2</v>
      </c>
      <c r="G1978" t="s">
        <v>499</v>
      </c>
      <c r="H1978" s="4">
        <v>25258681</v>
      </c>
      <c r="I1978" s="4">
        <v>16408492</v>
      </c>
      <c r="J1978" s="3">
        <v>0.3503820726030785</v>
      </c>
      <c r="K1978" s="3">
        <v>0.5393663841869198</v>
      </c>
      <c r="L1978" t="s">
        <v>54</v>
      </c>
    </row>
    <row r="1979" spans="1:12" x14ac:dyDescent="0.25">
      <c r="A1979" t="s">
        <v>487</v>
      </c>
      <c r="B1979" t="s">
        <v>461</v>
      </c>
      <c r="C1979" t="s">
        <v>462</v>
      </c>
      <c r="D1979" t="s">
        <v>230</v>
      </c>
      <c r="E1979" t="s">
        <v>236</v>
      </c>
      <c r="F1979">
        <v>3</v>
      </c>
      <c r="G1979" t="s">
        <v>488</v>
      </c>
      <c r="H1979" s="4">
        <v>29293099</v>
      </c>
      <c r="I1979" s="4">
        <v>26270620.098629043</v>
      </c>
      <c r="J1979" s="3">
        <v>0.10318057851683625</v>
      </c>
      <c r="K1979" s="3">
        <v>0.11505167712157234</v>
      </c>
      <c r="L1979" t="s">
        <v>54</v>
      </c>
    </row>
    <row r="1980" spans="1:12" x14ac:dyDescent="0.25">
      <c r="A1980" t="s">
        <v>487</v>
      </c>
      <c r="B1980" t="s">
        <v>461</v>
      </c>
      <c r="C1980" t="s">
        <v>462</v>
      </c>
      <c r="D1980" t="s">
        <v>230</v>
      </c>
      <c r="E1980" t="s">
        <v>236</v>
      </c>
      <c r="F1980">
        <v>3</v>
      </c>
      <c r="G1980" t="s">
        <v>498</v>
      </c>
      <c r="H1980" s="4">
        <v>29293099</v>
      </c>
      <c r="I1980" s="4">
        <v>26153482</v>
      </c>
      <c r="J1980" s="3">
        <v>0.10717940768233501</v>
      </c>
      <c r="K1980" s="3">
        <v>0.12004585087370011</v>
      </c>
      <c r="L1980" t="s">
        <v>54</v>
      </c>
    </row>
    <row r="1981" spans="1:12" x14ac:dyDescent="0.25">
      <c r="A1981" t="s">
        <v>487</v>
      </c>
      <c r="B1981" t="s">
        <v>461</v>
      </c>
      <c r="C1981" t="s">
        <v>462</v>
      </c>
      <c r="D1981" t="s">
        <v>230</v>
      </c>
      <c r="E1981" t="s">
        <v>236</v>
      </c>
      <c r="F1981">
        <v>3</v>
      </c>
      <c r="G1981" t="s">
        <v>499</v>
      </c>
      <c r="H1981" s="4">
        <v>29293099</v>
      </c>
      <c r="I1981" s="4">
        <v>16408492</v>
      </c>
      <c r="J1981" s="3">
        <v>0.4398512769167919</v>
      </c>
      <c r="K1981" s="3">
        <v>0.7852401671037168</v>
      </c>
      <c r="L1981" t="s">
        <v>54</v>
      </c>
    </row>
    <row r="1982" spans="1:12" x14ac:dyDescent="0.25">
      <c r="A1982" t="s">
        <v>487</v>
      </c>
      <c r="B1982" t="s">
        <v>461</v>
      </c>
      <c r="C1982" t="s">
        <v>462</v>
      </c>
      <c r="D1982" t="s">
        <v>232</v>
      </c>
      <c r="E1982" t="s">
        <v>234</v>
      </c>
      <c r="F1982">
        <v>1</v>
      </c>
      <c r="G1982" t="s">
        <v>488</v>
      </c>
      <c r="H1982" s="4">
        <v>25258681</v>
      </c>
      <c r="I1982" s="4">
        <v>25319799.71555482</v>
      </c>
      <c r="J1982" s="3">
        <v>0.0024197112887572596</v>
      </c>
      <c r="K1982" s="3">
        <v>-0.0024138704192541932</v>
      </c>
      <c r="L1982" t="s">
        <v>54</v>
      </c>
    </row>
    <row r="1983" spans="1:12" x14ac:dyDescent="0.25">
      <c r="A1983" t="s">
        <v>487</v>
      </c>
      <c r="B1983" t="s">
        <v>461</v>
      </c>
      <c r="C1983" t="s">
        <v>462</v>
      </c>
      <c r="D1983" t="s">
        <v>232</v>
      </c>
      <c r="E1983" t="s">
        <v>234</v>
      </c>
      <c r="F1983">
        <v>1</v>
      </c>
      <c r="G1983" t="s">
        <v>498</v>
      </c>
      <c r="H1983" s="4">
        <v>25258681</v>
      </c>
      <c r="I1983" s="4">
        <v>25383301</v>
      </c>
      <c r="J1983" s="3">
        <v>0.004933749311771268</v>
      </c>
      <c r="K1983" s="3">
        <v>-0.004909526936626564</v>
      </c>
      <c r="L1983" t="s">
        <v>54</v>
      </c>
    </row>
    <row r="1984" spans="1:12" x14ac:dyDescent="0.25">
      <c r="A1984" t="s">
        <v>487</v>
      </c>
      <c r="B1984" t="s">
        <v>461</v>
      </c>
      <c r="C1984" t="s">
        <v>462</v>
      </c>
      <c r="D1984" t="s">
        <v>232</v>
      </c>
      <c r="E1984" t="s">
        <v>234</v>
      </c>
      <c r="F1984">
        <v>1</v>
      </c>
      <c r="G1984" t="s">
        <v>499</v>
      </c>
      <c r="H1984" s="4">
        <v>25258681</v>
      </c>
      <c r="I1984" s="4">
        <v>23212368</v>
      </c>
      <c r="J1984" s="3">
        <v>0.0810142461516498</v>
      </c>
      <c r="K1984" s="3">
        <v>0.08815615020406363</v>
      </c>
      <c r="L1984" t="s">
        <v>54</v>
      </c>
    </row>
    <row r="1985" spans="1:12" x14ac:dyDescent="0.25">
      <c r="A1985" t="s">
        <v>487</v>
      </c>
      <c r="B1985" t="s">
        <v>461</v>
      </c>
      <c r="C1985" t="s">
        <v>462</v>
      </c>
      <c r="D1985" t="s">
        <v>232</v>
      </c>
      <c r="E1985" t="s">
        <v>236</v>
      </c>
      <c r="F1985">
        <v>2</v>
      </c>
      <c r="G1985" t="s">
        <v>488</v>
      </c>
      <c r="H1985" s="4">
        <v>29293099</v>
      </c>
      <c r="I1985" s="4">
        <v>26088053.95737804</v>
      </c>
      <c r="J1985" s="3">
        <v>0.10941297274904097</v>
      </c>
      <c r="K1985" s="3">
        <v>0.1228548916626083</v>
      </c>
      <c r="L1985" t="s">
        <v>54</v>
      </c>
    </row>
    <row r="1986" spans="1:12" x14ac:dyDescent="0.25">
      <c r="A1986" t="s">
        <v>487</v>
      </c>
      <c r="B1986" t="s">
        <v>461</v>
      </c>
      <c r="C1986" t="s">
        <v>462</v>
      </c>
      <c r="D1986" t="s">
        <v>232</v>
      </c>
      <c r="E1986" t="s">
        <v>236</v>
      </c>
      <c r="F1986">
        <v>2</v>
      </c>
      <c r="G1986" t="s">
        <v>498</v>
      </c>
      <c r="H1986" s="4">
        <v>29293099</v>
      </c>
      <c r="I1986" s="4">
        <v>26153482</v>
      </c>
      <c r="J1986" s="3">
        <v>0.10717940768233501</v>
      </c>
      <c r="K1986" s="3">
        <v>0.12004585087370011</v>
      </c>
      <c r="L1986" t="s">
        <v>54</v>
      </c>
    </row>
    <row r="1987" spans="1:12" x14ac:dyDescent="0.25">
      <c r="A1987" t="s">
        <v>487</v>
      </c>
      <c r="B1987" t="s">
        <v>461</v>
      </c>
      <c r="C1987" t="s">
        <v>462</v>
      </c>
      <c r="D1987" t="s">
        <v>232</v>
      </c>
      <c r="E1987" t="s">
        <v>236</v>
      </c>
      <c r="F1987">
        <v>2</v>
      </c>
      <c r="G1987" t="s">
        <v>499</v>
      </c>
      <c r="H1987" s="4">
        <v>29293099</v>
      </c>
      <c r="I1987" s="4">
        <v>23212368</v>
      </c>
      <c r="J1987" s="3">
        <v>0.20758237289950102</v>
      </c>
      <c r="K1987" s="3">
        <v>0.26196082192045206</v>
      </c>
      <c r="L1987" t="s">
        <v>54</v>
      </c>
    </row>
    <row r="1988" spans="1:12" x14ac:dyDescent="0.25">
      <c r="A1988" t="s">
        <v>487</v>
      </c>
      <c r="B1988" t="s">
        <v>461</v>
      </c>
      <c r="C1988" t="s">
        <v>462</v>
      </c>
      <c r="D1988" t="s">
        <v>232</v>
      </c>
      <c r="E1988" t="s">
        <v>238</v>
      </c>
      <c r="F1988">
        <v>3</v>
      </c>
      <c r="G1988" t="s">
        <v>488</v>
      </c>
      <c r="H1988" s="4">
        <v>29909778</v>
      </c>
      <c r="I1988" s="4">
        <v>27830770.278066576</v>
      </c>
      <c r="J1988" s="3">
        <v>0.06950929966559513</v>
      </c>
      <c r="K1988" s="3">
        <v>0.0747017671865119</v>
      </c>
      <c r="L1988" t="s">
        <v>54</v>
      </c>
    </row>
    <row r="1989" spans="1:12" x14ac:dyDescent="0.25">
      <c r="A1989" t="s">
        <v>487</v>
      </c>
      <c r="B1989" t="s">
        <v>461</v>
      </c>
      <c r="C1989" t="s">
        <v>462</v>
      </c>
      <c r="D1989" t="s">
        <v>232</v>
      </c>
      <c r="E1989" t="s">
        <v>238</v>
      </c>
      <c r="F1989">
        <v>3</v>
      </c>
      <c r="G1989" t="s">
        <v>498</v>
      </c>
      <c r="H1989" s="4">
        <v>29909778</v>
      </c>
      <c r="I1989" s="4">
        <v>27900569</v>
      </c>
      <c r="J1989" s="3">
        <v>0.06717565740541438</v>
      </c>
      <c r="K1989" s="3">
        <v>0.07201319084209358</v>
      </c>
      <c r="L1989" t="s">
        <v>54</v>
      </c>
    </row>
    <row r="1990" spans="1:12" x14ac:dyDescent="0.25">
      <c r="A1990" t="s">
        <v>487</v>
      </c>
      <c r="B1990" t="s">
        <v>461</v>
      </c>
      <c r="C1990" t="s">
        <v>462</v>
      </c>
      <c r="D1990" t="s">
        <v>232</v>
      </c>
      <c r="E1990" t="s">
        <v>238</v>
      </c>
      <c r="F1990">
        <v>3</v>
      </c>
      <c r="G1990" t="s">
        <v>499</v>
      </c>
      <c r="H1990" s="4">
        <v>29909778</v>
      </c>
      <c r="I1990" s="4">
        <v>23212368</v>
      </c>
      <c r="J1990" s="3">
        <v>0.22392041826589285</v>
      </c>
      <c r="K1990" s="3">
        <v>0.28852765043187323</v>
      </c>
      <c r="L1990" t="s">
        <v>54</v>
      </c>
    </row>
    <row r="1991" spans="1:12" x14ac:dyDescent="0.25">
      <c r="A1991" t="s">
        <v>487</v>
      </c>
      <c r="B1991" t="s">
        <v>461</v>
      </c>
      <c r="C1991" t="s">
        <v>462</v>
      </c>
      <c r="D1991" t="s">
        <v>234</v>
      </c>
      <c r="E1991" t="s">
        <v>236</v>
      </c>
      <c r="F1991">
        <v>1</v>
      </c>
      <c r="G1991" t="s">
        <v>488</v>
      </c>
      <c r="H1991" s="4">
        <v>29293099</v>
      </c>
      <c r="I1991" s="4">
        <v>26205411.285969894</v>
      </c>
      <c r="J1991" s="3">
        <v>0.10540665956954932</v>
      </c>
      <c r="K1991" s="3">
        <v>0.11782634053460636</v>
      </c>
      <c r="L1991" t="s">
        <v>54</v>
      </c>
    </row>
    <row r="1992" spans="1:12" x14ac:dyDescent="0.25">
      <c r="A1992" t="s">
        <v>487</v>
      </c>
      <c r="B1992" t="s">
        <v>461</v>
      </c>
      <c r="C1992" t="s">
        <v>462</v>
      </c>
      <c r="D1992" t="s">
        <v>234</v>
      </c>
      <c r="E1992" t="s">
        <v>236</v>
      </c>
      <c r="F1992">
        <v>1</v>
      </c>
      <c r="G1992" t="s">
        <v>498</v>
      </c>
      <c r="H1992" s="4">
        <v>29293099</v>
      </c>
      <c r="I1992" s="4">
        <v>26153482</v>
      </c>
      <c r="J1992" s="3">
        <v>0.10717940768233501</v>
      </c>
      <c r="K1992" s="3">
        <v>0.12004585087370011</v>
      </c>
      <c r="L1992" t="s">
        <v>54</v>
      </c>
    </row>
    <row r="1993" spans="1:12" x14ac:dyDescent="0.25">
      <c r="A1993" t="s">
        <v>487</v>
      </c>
      <c r="B1993" t="s">
        <v>461</v>
      </c>
      <c r="C1993" t="s">
        <v>462</v>
      </c>
      <c r="D1993" t="s">
        <v>234</v>
      </c>
      <c r="E1993" t="s">
        <v>236</v>
      </c>
      <c r="F1993">
        <v>1</v>
      </c>
      <c r="G1993" t="s">
        <v>499</v>
      </c>
      <c r="H1993" s="4">
        <v>29293099</v>
      </c>
      <c r="I1993" s="4">
        <v>25258681</v>
      </c>
      <c r="J1993" s="3">
        <v>0.13772588554048174</v>
      </c>
      <c r="K1993" s="3">
        <v>0.15972401725965027</v>
      </c>
      <c r="L1993" t="s">
        <v>54</v>
      </c>
    </row>
    <row r="1994" spans="1:12" x14ac:dyDescent="0.25">
      <c r="A1994" t="s">
        <v>487</v>
      </c>
      <c r="B1994" t="s">
        <v>461</v>
      </c>
      <c r="C1994" t="s">
        <v>462</v>
      </c>
      <c r="D1994" t="s">
        <v>234</v>
      </c>
      <c r="E1994" t="s">
        <v>238</v>
      </c>
      <c r="F1994">
        <v>2</v>
      </c>
      <c r="G1994" t="s">
        <v>488</v>
      </c>
      <c r="H1994" s="4">
        <v>29909778</v>
      </c>
      <c r="I1994" s="4">
        <v>27955967.230580684</v>
      </c>
      <c r="J1994" s="3">
        <v>0.06532347947949718</v>
      </c>
      <c r="K1994" s="3">
        <v>0.06988886320062884</v>
      </c>
      <c r="L1994" t="s">
        <v>54</v>
      </c>
    </row>
    <row r="1995" spans="1:12" x14ac:dyDescent="0.25">
      <c r="A1995" t="s">
        <v>487</v>
      </c>
      <c r="B1995" t="s">
        <v>461</v>
      </c>
      <c r="C1995" t="s">
        <v>462</v>
      </c>
      <c r="D1995" t="s">
        <v>234</v>
      </c>
      <c r="E1995" t="s">
        <v>238</v>
      </c>
      <c r="F1995">
        <v>2</v>
      </c>
      <c r="G1995" t="s">
        <v>498</v>
      </c>
      <c r="H1995" s="4">
        <v>29909778</v>
      </c>
      <c r="I1995" s="4">
        <v>27900569</v>
      </c>
      <c r="J1995" s="3">
        <v>0.06717565740541438</v>
      </c>
      <c r="K1995" s="3">
        <v>0.07201319084209358</v>
      </c>
      <c r="L1995" t="s">
        <v>54</v>
      </c>
    </row>
    <row r="1996" spans="1:12" x14ac:dyDescent="0.25">
      <c r="A1996" t="s">
        <v>487</v>
      </c>
      <c r="B1996" t="s">
        <v>461</v>
      </c>
      <c r="C1996" t="s">
        <v>462</v>
      </c>
      <c r="D1996" t="s">
        <v>234</v>
      </c>
      <c r="E1996" t="s">
        <v>238</v>
      </c>
      <c r="F1996">
        <v>2</v>
      </c>
      <c r="G1996" t="s">
        <v>499</v>
      </c>
      <c r="H1996" s="4">
        <v>29909778</v>
      </c>
      <c r="I1996" s="4">
        <v>25258681</v>
      </c>
      <c r="J1996" s="3">
        <v>0.15550423008823402</v>
      </c>
      <c r="K1996" s="3">
        <v>0.18413855418657846</v>
      </c>
      <c r="L1996" t="s">
        <v>54</v>
      </c>
    </row>
    <row r="1997" spans="1:12" x14ac:dyDescent="0.25">
      <c r="A1997" t="s">
        <v>487</v>
      </c>
      <c r="B1997" t="s">
        <v>461</v>
      </c>
      <c r="C1997" t="s">
        <v>462</v>
      </c>
      <c r="D1997" t="s">
        <v>234</v>
      </c>
      <c r="E1997" t="s">
        <v>240</v>
      </c>
      <c r="F1997">
        <v>3</v>
      </c>
      <c r="G1997" t="s">
        <v>488</v>
      </c>
      <c r="H1997" s="4">
        <v>29080056</v>
      </c>
      <c r="I1997" s="4">
        <v>34268417.13619342</v>
      </c>
      <c r="J1997" s="3">
        <v>0.1784164767837248</v>
      </c>
      <c r="K1997" s="3">
        <v>-0.1514035829426625</v>
      </c>
      <c r="L1997" t="s">
        <v>54</v>
      </c>
    </row>
    <row r="1998" spans="1:12" x14ac:dyDescent="0.25">
      <c r="A1998" t="s">
        <v>487</v>
      </c>
      <c r="B1998" t="s">
        <v>461</v>
      </c>
      <c r="C1998" t="s">
        <v>462</v>
      </c>
      <c r="D1998" t="s">
        <v>234</v>
      </c>
      <c r="E1998" t="s">
        <v>240</v>
      </c>
      <c r="F1998">
        <v>3</v>
      </c>
      <c r="G1998" t="s">
        <v>498</v>
      </c>
      <c r="H1998" s="4">
        <v>29080056</v>
      </c>
      <c r="I1998" s="4">
        <v>34200510</v>
      </c>
      <c r="J1998" s="3">
        <v>0.17608129778016934</v>
      </c>
      <c r="K1998" s="3">
        <v>-0.1497186445465287</v>
      </c>
      <c r="L1998" t="s">
        <v>54</v>
      </c>
    </row>
    <row r="1999" spans="1:12" x14ac:dyDescent="0.25">
      <c r="A1999" t="s">
        <v>487</v>
      </c>
      <c r="B1999" t="s">
        <v>461</v>
      </c>
      <c r="C1999" t="s">
        <v>462</v>
      </c>
      <c r="D1999" t="s">
        <v>234</v>
      </c>
      <c r="E1999" t="s">
        <v>240</v>
      </c>
      <c r="F1999">
        <v>3</v>
      </c>
      <c r="G1999" t="s">
        <v>499</v>
      </c>
      <c r="H1999" s="4">
        <v>29080056</v>
      </c>
      <c r="I1999" s="4">
        <v>25258681</v>
      </c>
      <c r="J1999" s="3">
        <v>0.13140879095968727</v>
      </c>
      <c r="K1999" s="3">
        <v>0.1512895705044931</v>
      </c>
      <c r="L1999" t="s">
        <v>54</v>
      </c>
    </row>
    <row r="2000" spans="1:12" x14ac:dyDescent="0.25">
      <c r="A2000" t="s">
        <v>487</v>
      </c>
      <c r="B2000" t="s">
        <v>461</v>
      </c>
      <c r="C2000" t="s">
        <v>462</v>
      </c>
      <c r="D2000" t="s">
        <v>236</v>
      </c>
      <c r="E2000" t="s">
        <v>238</v>
      </c>
      <c r="F2000">
        <v>1</v>
      </c>
      <c r="G2000" t="s">
        <v>488</v>
      </c>
      <c r="H2000" s="4">
        <v>29909778</v>
      </c>
      <c r="I2000" s="4">
        <v>28412492.173285965</v>
      </c>
      <c r="J2000" s="3">
        <v>0.05006007823642272</v>
      </c>
      <c r="K2000" s="3">
        <v>0.052698151840471615</v>
      </c>
      <c r="L2000" t="s">
        <v>54</v>
      </c>
    </row>
    <row r="2001" spans="1:12" x14ac:dyDescent="0.25">
      <c r="A2001" t="s">
        <v>487</v>
      </c>
      <c r="B2001" t="s">
        <v>461</v>
      </c>
      <c r="C2001" t="s">
        <v>462</v>
      </c>
      <c r="D2001" t="s">
        <v>236</v>
      </c>
      <c r="E2001" t="s">
        <v>238</v>
      </c>
      <c r="F2001">
        <v>1</v>
      </c>
      <c r="G2001" t="s">
        <v>498</v>
      </c>
      <c r="H2001" s="4">
        <v>29909778</v>
      </c>
      <c r="I2001" s="4">
        <v>27900569</v>
      </c>
      <c r="J2001" s="3">
        <v>0.06717565740541438</v>
      </c>
      <c r="K2001" s="3">
        <v>0.07201319084209358</v>
      </c>
      <c r="L2001" t="s">
        <v>54</v>
      </c>
    </row>
    <row r="2002" spans="1:12" x14ac:dyDescent="0.25">
      <c r="A2002" t="s">
        <v>487</v>
      </c>
      <c r="B2002" t="s">
        <v>461</v>
      </c>
      <c r="C2002" t="s">
        <v>462</v>
      </c>
      <c r="D2002" t="s">
        <v>236</v>
      </c>
      <c r="E2002" t="s">
        <v>238</v>
      </c>
      <c r="F2002">
        <v>1</v>
      </c>
      <c r="G2002" t="s">
        <v>499</v>
      </c>
      <c r="H2002" s="4">
        <v>29909778</v>
      </c>
      <c r="I2002" s="4">
        <v>29293099</v>
      </c>
      <c r="J2002" s="3">
        <v>0.02061797315914548</v>
      </c>
      <c r="K2002" s="3">
        <v>0.021052023208606233</v>
      </c>
      <c r="L2002" t="s">
        <v>54</v>
      </c>
    </row>
    <row r="2003" spans="1:12" x14ac:dyDescent="0.25">
      <c r="A2003" t="s">
        <v>487</v>
      </c>
      <c r="B2003" t="s">
        <v>461</v>
      </c>
      <c r="C2003" t="s">
        <v>462</v>
      </c>
      <c r="D2003" t="s">
        <v>236</v>
      </c>
      <c r="E2003" t="s">
        <v>240</v>
      </c>
      <c r="F2003">
        <v>2</v>
      </c>
      <c r="G2003" t="s">
        <v>488</v>
      </c>
      <c r="H2003" s="4">
        <v>29080056</v>
      </c>
      <c r="I2003" s="4">
        <v>34828025.28856628</v>
      </c>
      <c r="J2003" s="3">
        <v>0.19766018636849517</v>
      </c>
      <c r="K2003" s="3">
        <v>-0.16503862165430558</v>
      </c>
      <c r="L2003" t="s">
        <v>54</v>
      </c>
    </row>
    <row r="2004" spans="1:12" x14ac:dyDescent="0.25">
      <c r="A2004" t="s">
        <v>487</v>
      </c>
      <c r="B2004" t="s">
        <v>461</v>
      </c>
      <c r="C2004" t="s">
        <v>462</v>
      </c>
      <c r="D2004" t="s">
        <v>236</v>
      </c>
      <c r="E2004" t="s">
        <v>240</v>
      </c>
      <c r="F2004">
        <v>2</v>
      </c>
      <c r="G2004" t="s">
        <v>498</v>
      </c>
      <c r="H2004" s="4">
        <v>29080056</v>
      </c>
      <c r="I2004" s="4">
        <v>34200510</v>
      </c>
      <c r="J2004" s="3">
        <v>0.17608129778016934</v>
      </c>
      <c r="K2004" s="3">
        <v>-0.1497186445465287</v>
      </c>
      <c r="L2004" t="s">
        <v>54</v>
      </c>
    </row>
    <row r="2005" spans="1:12" x14ac:dyDescent="0.25">
      <c r="A2005" t="s">
        <v>487</v>
      </c>
      <c r="B2005" t="s">
        <v>461</v>
      </c>
      <c r="C2005" t="s">
        <v>462</v>
      </c>
      <c r="D2005" t="s">
        <v>236</v>
      </c>
      <c r="E2005" t="s">
        <v>240</v>
      </c>
      <c r="F2005">
        <v>2</v>
      </c>
      <c r="G2005" t="s">
        <v>499</v>
      </c>
      <c r="H2005" s="4">
        <v>29080056</v>
      </c>
      <c r="I2005" s="4">
        <v>29293099</v>
      </c>
      <c r="J2005" s="3">
        <v>0.007326086304648107</v>
      </c>
      <c r="K2005" s="3">
        <v>-0.0072728051067591035</v>
      </c>
      <c r="L2005" t="s">
        <v>54</v>
      </c>
    </row>
    <row r="2006" spans="1:12" x14ac:dyDescent="0.25">
      <c r="A2006" t="s">
        <v>487</v>
      </c>
      <c r="B2006" t="s">
        <v>461</v>
      </c>
      <c r="C2006" t="s">
        <v>462</v>
      </c>
      <c r="D2006" t="s">
        <v>236</v>
      </c>
      <c r="E2006" t="s">
        <v>242</v>
      </c>
      <c r="F2006">
        <v>3</v>
      </c>
      <c r="G2006" t="s">
        <v>488</v>
      </c>
      <c r="H2006" s="4">
        <v>27324565</v>
      </c>
      <c r="I2006" s="4">
        <v>28729663.825764276</v>
      </c>
      <c r="J2006" s="3">
        <v>0.05142255057909526</v>
      </c>
      <c r="K2006" s="3">
        <v>-0.04890759718894473</v>
      </c>
      <c r="L2006" t="s">
        <v>54</v>
      </c>
    </row>
    <row r="2007" spans="1:12" x14ac:dyDescent="0.25">
      <c r="A2007" t="s">
        <v>487</v>
      </c>
      <c r="B2007" t="s">
        <v>461</v>
      </c>
      <c r="C2007" t="s">
        <v>462</v>
      </c>
      <c r="D2007" t="s">
        <v>236</v>
      </c>
      <c r="E2007" t="s">
        <v>242</v>
      </c>
      <c r="F2007">
        <v>3</v>
      </c>
      <c r="G2007" t="s">
        <v>498</v>
      </c>
      <c r="H2007" s="4">
        <v>27324565</v>
      </c>
      <c r="I2007" s="4">
        <v>28212026</v>
      </c>
      <c r="J2007" s="3">
        <v>0.03247850423236381</v>
      </c>
      <c r="K2007" s="3">
        <v>-0.03145683333766955</v>
      </c>
      <c r="L2007" t="s">
        <v>54</v>
      </c>
    </row>
    <row r="2008" spans="1:12" x14ac:dyDescent="0.25">
      <c r="A2008" t="s">
        <v>487</v>
      </c>
      <c r="B2008" t="s">
        <v>461</v>
      </c>
      <c r="C2008" t="s">
        <v>462</v>
      </c>
      <c r="D2008" t="s">
        <v>236</v>
      </c>
      <c r="E2008" t="s">
        <v>242</v>
      </c>
      <c r="F2008">
        <v>3</v>
      </c>
      <c r="G2008" t="s">
        <v>499</v>
      </c>
      <c r="H2008" s="4">
        <v>27324565</v>
      </c>
      <c r="I2008" s="4">
        <v>29293099</v>
      </c>
      <c r="J2008" s="3">
        <v>0.07204264733949103</v>
      </c>
      <c r="K2008" s="3">
        <v>-0.06720128860384489</v>
      </c>
      <c r="L2008" t="s">
        <v>54</v>
      </c>
    </row>
    <row r="2009" spans="1:12" x14ac:dyDescent="0.25">
      <c r="A2009" t="s">
        <v>487</v>
      </c>
      <c r="B2009" t="s">
        <v>461</v>
      </c>
      <c r="C2009" t="s">
        <v>462</v>
      </c>
      <c r="D2009" t="s">
        <v>238</v>
      </c>
      <c r="E2009" t="s">
        <v>240</v>
      </c>
      <c r="F2009">
        <v>1</v>
      </c>
      <c r="G2009" t="s">
        <v>488</v>
      </c>
      <c r="H2009" s="4">
        <v>29080056</v>
      </c>
      <c r="I2009" s="4">
        <v>35288552.11556642</v>
      </c>
      <c r="J2009" s="3">
        <v>0.21349670425553574</v>
      </c>
      <c r="K2009" s="3">
        <v>-0.17593513316256854</v>
      </c>
      <c r="L2009" t="s">
        <v>54</v>
      </c>
    </row>
    <row r="2010" spans="1:12" x14ac:dyDescent="0.25">
      <c r="A2010" t="s">
        <v>487</v>
      </c>
      <c r="B2010" t="s">
        <v>461</v>
      </c>
      <c r="C2010" t="s">
        <v>462</v>
      </c>
      <c r="D2010" t="s">
        <v>238</v>
      </c>
      <c r="E2010" t="s">
        <v>240</v>
      </c>
      <c r="F2010">
        <v>1</v>
      </c>
      <c r="G2010" t="s">
        <v>498</v>
      </c>
      <c r="H2010" s="4">
        <v>29080056</v>
      </c>
      <c r="I2010" s="4">
        <v>34200510</v>
      </c>
      <c r="J2010" s="3">
        <v>0.17608129778016934</v>
      </c>
      <c r="K2010" s="3">
        <v>-0.1497186445465287</v>
      </c>
      <c r="L2010" t="s">
        <v>54</v>
      </c>
    </row>
    <row r="2011" spans="1:12" x14ac:dyDescent="0.25">
      <c r="A2011" t="s">
        <v>487</v>
      </c>
      <c r="B2011" t="s">
        <v>461</v>
      </c>
      <c r="C2011" t="s">
        <v>462</v>
      </c>
      <c r="D2011" t="s">
        <v>238</v>
      </c>
      <c r="E2011" t="s">
        <v>240</v>
      </c>
      <c r="F2011">
        <v>1</v>
      </c>
      <c r="G2011" t="s">
        <v>499</v>
      </c>
      <c r="H2011" s="4">
        <v>29080056</v>
      </c>
      <c r="I2011" s="4">
        <v>29909778</v>
      </c>
      <c r="J2011" s="3">
        <v>0.028532338452168043</v>
      </c>
      <c r="K2011" s="3">
        <v>-0.02774082776542173</v>
      </c>
      <c r="L2011" t="s">
        <v>54</v>
      </c>
    </row>
    <row r="2012" spans="1:12" x14ac:dyDescent="0.25">
      <c r="A2012" t="s">
        <v>487</v>
      </c>
      <c r="B2012" t="s">
        <v>461</v>
      </c>
      <c r="C2012" t="s">
        <v>462</v>
      </c>
      <c r="D2012" t="s">
        <v>238</v>
      </c>
      <c r="E2012" t="s">
        <v>242</v>
      </c>
      <c r="F2012">
        <v>2</v>
      </c>
      <c r="G2012" t="s">
        <v>488</v>
      </c>
      <c r="H2012" s="4">
        <v>27324565</v>
      </c>
      <c r="I2012" s="4">
        <v>29109552.7460472</v>
      </c>
      <c r="J2012" s="3">
        <v>0.06532538563915652</v>
      </c>
      <c r="K2012" s="3">
        <v>-0.06131965549658207</v>
      </c>
      <c r="L2012" t="s">
        <v>54</v>
      </c>
    </row>
    <row r="2013" spans="1:12" x14ac:dyDescent="0.25">
      <c r="A2013" t="s">
        <v>487</v>
      </c>
      <c r="B2013" t="s">
        <v>461</v>
      </c>
      <c r="C2013" t="s">
        <v>462</v>
      </c>
      <c r="D2013" t="s">
        <v>238</v>
      </c>
      <c r="E2013" t="s">
        <v>242</v>
      </c>
      <c r="F2013">
        <v>2</v>
      </c>
      <c r="G2013" t="s">
        <v>498</v>
      </c>
      <c r="H2013" s="4">
        <v>27324565</v>
      </c>
      <c r="I2013" s="4">
        <v>28212026</v>
      </c>
      <c r="J2013" s="3">
        <v>0.03247850423236381</v>
      </c>
      <c r="K2013" s="3">
        <v>-0.03145683333766955</v>
      </c>
      <c r="L2013" t="s">
        <v>54</v>
      </c>
    </row>
    <row r="2014" spans="1:12" x14ac:dyDescent="0.25">
      <c r="A2014" t="s">
        <v>487</v>
      </c>
      <c r="B2014" t="s">
        <v>461</v>
      </c>
      <c r="C2014" t="s">
        <v>462</v>
      </c>
      <c r="D2014" t="s">
        <v>238</v>
      </c>
      <c r="E2014" t="s">
        <v>242</v>
      </c>
      <c r="F2014">
        <v>2</v>
      </c>
      <c r="G2014" t="s">
        <v>499</v>
      </c>
      <c r="H2014" s="4">
        <v>27324565</v>
      </c>
      <c r="I2014" s="4">
        <v>29909778</v>
      </c>
      <c r="J2014" s="3">
        <v>0.09461131403189767</v>
      </c>
      <c r="K2014" s="3">
        <v>-0.0864337073982963</v>
      </c>
      <c r="L2014" t="s">
        <v>54</v>
      </c>
    </row>
    <row r="2015" spans="1:12" x14ac:dyDescent="0.25">
      <c r="A2015" t="s">
        <v>487</v>
      </c>
      <c r="B2015" t="s">
        <v>461</v>
      </c>
      <c r="C2015" t="s">
        <v>462</v>
      </c>
      <c r="D2015" t="s">
        <v>238</v>
      </c>
      <c r="E2015" t="s">
        <v>244</v>
      </c>
      <c r="F2015">
        <v>3</v>
      </c>
      <c r="G2015" t="s">
        <v>488</v>
      </c>
      <c r="H2015" s="4">
        <v>29269057</v>
      </c>
      <c r="I2015" s="4">
        <v>29875310.13056899</v>
      </c>
      <c r="J2015" s="3">
        <v>0.020713107722226533</v>
      </c>
      <c r="K2015" s="3">
        <v>-0.020292781160074345</v>
      </c>
      <c r="L2015" t="s">
        <v>54</v>
      </c>
    </row>
    <row r="2016" spans="1:12" x14ac:dyDescent="0.25">
      <c r="A2016" t="s">
        <v>487</v>
      </c>
      <c r="B2016" t="s">
        <v>461</v>
      </c>
      <c r="C2016" t="s">
        <v>462</v>
      </c>
      <c r="D2016" t="s">
        <v>238</v>
      </c>
      <c r="E2016" t="s">
        <v>244</v>
      </c>
      <c r="F2016">
        <v>3</v>
      </c>
      <c r="G2016" t="s">
        <v>498</v>
      </c>
      <c r="H2016" s="4">
        <v>29269057</v>
      </c>
      <c r="I2016" s="4">
        <v>28954173</v>
      </c>
      <c r="J2016" s="3">
        <v>0.010758255723783652</v>
      </c>
      <c r="K2016" s="3">
        <v>0.0108752544926771</v>
      </c>
      <c r="L2016" t="s">
        <v>54</v>
      </c>
    </row>
    <row r="2017" spans="1:12" x14ac:dyDescent="0.25">
      <c r="A2017" t="s">
        <v>487</v>
      </c>
      <c r="B2017" t="s">
        <v>461</v>
      </c>
      <c r="C2017" t="s">
        <v>462</v>
      </c>
      <c r="D2017" t="s">
        <v>238</v>
      </c>
      <c r="E2017" t="s">
        <v>244</v>
      </c>
      <c r="F2017">
        <v>3</v>
      </c>
      <c r="G2017" t="s">
        <v>499</v>
      </c>
      <c r="H2017" s="4">
        <v>29269057</v>
      </c>
      <c r="I2017" s="4">
        <v>29909778</v>
      </c>
      <c r="J2017" s="3">
        <v>0.0218907291751832</v>
      </c>
      <c r="K2017" s="3">
        <v>-0.021421790559595595</v>
      </c>
      <c r="L2017" t="s">
        <v>54</v>
      </c>
    </row>
    <row r="2018" spans="1:12" x14ac:dyDescent="0.25">
      <c r="A2018" t="s">
        <v>487</v>
      </c>
      <c r="B2018" t="s">
        <v>461</v>
      </c>
      <c r="C2018" t="s">
        <v>462</v>
      </c>
      <c r="D2018" t="s">
        <v>240</v>
      </c>
      <c r="E2018" t="s">
        <v>242</v>
      </c>
      <c r="F2018">
        <v>1</v>
      </c>
      <c r="G2018" t="s">
        <v>488</v>
      </c>
      <c r="H2018" s="4">
        <v>27324565</v>
      </c>
      <c r="I2018" s="4">
        <v>28529367.9914201</v>
      </c>
      <c r="J2018" s="3">
        <v>0.044092302710769644</v>
      </c>
      <c r="K2018" s="3">
        <v>-0.04223027274149336</v>
      </c>
      <c r="L2018" t="s">
        <v>54</v>
      </c>
    </row>
    <row r="2019" spans="1:12" x14ac:dyDescent="0.25">
      <c r="A2019" t="s">
        <v>487</v>
      </c>
      <c r="B2019" t="s">
        <v>461</v>
      </c>
      <c r="C2019" t="s">
        <v>462</v>
      </c>
      <c r="D2019" t="s">
        <v>240</v>
      </c>
      <c r="E2019" t="s">
        <v>242</v>
      </c>
      <c r="F2019">
        <v>1</v>
      </c>
      <c r="G2019" t="s">
        <v>498</v>
      </c>
      <c r="H2019" s="4">
        <v>27324565</v>
      </c>
      <c r="I2019" s="4">
        <v>28212026</v>
      </c>
      <c r="J2019" s="3">
        <v>0.03247850423236381</v>
      </c>
      <c r="K2019" s="3">
        <v>-0.03145683333766955</v>
      </c>
      <c r="L2019" t="s">
        <v>54</v>
      </c>
    </row>
    <row r="2020" spans="1:12" x14ac:dyDescent="0.25">
      <c r="A2020" t="s">
        <v>487</v>
      </c>
      <c r="B2020" t="s">
        <v>461</v>
      </c>
      <c r="C2020" t="s">
        <v>462</v>
      </c>
      <c r="D2020" t="s">
        <v>240</v>
      </c>
      <c r="E2020" t="s">
        <v>242</v>
      </c>
      <c r="F2020">
        <v>1</v>
      </c>
      <c r="G2020" t="s">
        <v>499</v>
      </c>
      <c r="H2020" s="4">
        <v>27324565</v>
      </c>
      <c r="I2020" s="4">
        <v>29080056</v>
      </c>
      <c r="J2020" s="3">
        <v>0.06424589009925684</v>
      </c>
      <c r="K2020" s="3">
        <v>-0.06036752473929211</v>
      </c>
      <c r="L2020" t="s">
        <v>54</v>
      </c>
    </row>
    <row r="2021" spans="1:12" x14ac:dyDescent="0.25">
      <c r="A2021" t="s">
        <v>487</v>
      </c>
      <c r="B2021" t="s">
        <v>461</v>
      </c>
      <c r="C2021" t="s">
        <v>462</v>
      </c>
      <c r="D2021" t="s">
        <v>240</v>
      </c>
      <c r="E2021" t="s">
        <v>244</v>
      </c>
      <c r="F2021">
        <v>2</v>
      </c>
      <c r="G2021" t="s">
        <v>488</v>
      </c>
      <c r="H2021" s="4">
        <v>29269057</v>
      </c>
      <c r="I2021" s="4">
        <v>29279863.006089676</v>
      </c>
      <c r="J2021" s="3">
        <v>0.0003691955668293711</v>
      </c>
      <c r="K2021" s="3">
        <v>-0.0003690593117675694</v>
      </c>
      <c r="L2021" t="s">
        <v>54</v>
      </c>
    </row>
    <row r="2022" spans="1:12" x14ac:dyDescent="0.25">
      <c r="A2022" t="s">
        <v>487</v>
      </c>
      <c r="B2022" t="s">
        <v>461</v>
      </c>
      <c r="C2022" t="s">
        <v>462</v>
      </c>
      <c r="D2022" t="s">
        <v>240</v>
      </c>
      <c r="E2022" t="s">
        <v>244</v>
      </c>
      <c r="F2022">
        <v>2</v>
      </c>
      <c r="G2022" t="s">
        <v>498</v>
      </c>
      <c r="H2022" s="4">
        <v>29269057</v>
      </c>
      <c r="I2022" s="4">
        <v>28954173</v>
      </c>
      <c r="J2022" s="3">
        <v>0.010758255723783652</v>
      </c>
      <c r="K2022" s="3">
        <v>0.0108752544926771</v>
      </c>
      <c r="L2022" t="s">
        <v>54</v>
      </c>
    </row>
    <row r="2023" spans="1:12" x14ac:dyDescent="0.25">
      <c r="A2023" t="s">
        <v>487</v>
      </c>
      <c r="B2023" t="s">
        <v>461</v>
      </c>
      <c r="C2023" t="s">
        <v>462</v>
      </c>
      <c r="D2023" t="s">
        <v>240</v>
      </c>
      <c r="E2023" t="s">
        <v>244</v>
      </c>
      <c r="F2023">
        <v>2</v>
      </c>
      <c r="G2023" t="s">
        <v>499</v>
      </c>
      <c r="H2023" s="4">
        <v>29269057</v>
      </c>
      <c r="I2023" s="4">
        <v>29080056</v>
      </c>
      <c r="J2023" s="3">
        <v>0.006457365537946781</v>
      </c>
      <c r="K2023" s="3">
        <v>0.006499334114074608</v>
      </c>
      <c r="L2023" t="s">
        <v>54</v>
      </c>
    </row>
    <row r="2024" spans="1:12" x14ac:dyDescent="0.25">
      <c r="A2024" t="s">
        <v>487</v>
      </c>
      <c r="B2024" t="s">
        <v>461</v>
      </c>
      <c r="C2024" t="s">
        <v>462</v>
      </c>
      <c r="D2024" t="s">
        <v>240</v>
      </c>
      <c r="E2024" t="s">
        <v>246</v>
      </c>
      <c r="F2024">
        <v>3</v>
      </c>
      <c r="G2024" t="s">
        <v>488</v>
      </c>
      <c r="H2024" s="4">
        <v>34917863</v>
      </c>
      <c r="I2024" s="4">
        <v>35750535.5263332</v>
      </c>
      <c r="J2024" s="3">
        <v>0.02384660614348587</v>
      </c>
      <c r="K2024" s="3">
        <v>-0.023291190301747127</v>
      </c>
      <c r="L2024" t="s">
        <v>54</v>
      </c>
    </row>
    <row r="2025" spans="1:12" x14ac:dyDescent="0.25">
      <c r="A2025" t="s">
        <v>487</v>
      </c>
      <c r="B2025" t="s">
        <v>461</v>
      </c>
      <c r="C2025" t="s">
        <v>462</v>
      </c>
      <c r="D2025" t="s">
        <v>240</v>
      </c>
      <c r="E2025" t="s">
        <v>246</v>
      </c>
      <c r="F2025">
        <v>3</v>
      </c>
      <c r="G2025" t="s">
        <v>498</v>
      </c>
      <c r="H2025" s="4">
        <v>34917863</v>
      </c>
      <c r="I2025" s="4">
        <v>35352870</v>
      </c>
      <c r="J2025" s="3">
        <v>0.012458007524687292</v>
      </c>
      <c r="K2025" s="3">
        <v>-0.012304715289027454</v>
      </c>
      <c r="L2025" t="s">
        <v>54</v>
      </c>
    </row>
    <row r="2026" spans="1:12" x14ac:dyDescent="0.25">
      <c r="A2026" t="s">
        <v>487</v>
      </c>
      <c r="B2026" t="s">
        <v>461</v>
      </c>
      <c r="C2026" t="s">
        <v>462</v>
      </c>
      <c r="D2026" t="s">
        <v>240</v>
      </c>
      <c r="E2026" t="s">
        <v>246</v>
      </c>
      <c r="F2026">
        <v>3</v>
      </c>
      <c r="G2026" t="s">
        <v>499</v>
      </c>
      <c r="H2026" s="4">
        <v>34917863</v>
      </c>
      <c r="I2026" s="4">
        <v>29080056</v>
      </c>
      <c r="J2026" s="3">
        <v>0.16718683500190146</v>
      </c>
      <c r="K2026" s="3">
        <v>0.20074951024853596</v>
      </c>
      <c r="L2026" t="s">
        <v>54</v>
      </c>
    </row>
    <row r="2027" spans="1:12" x14ac:dyDescent="0.25">
      <c r="A2027" t="s">
        <v>487</v>
      </c>
      <c r="B2027" t="s">
        <v>461</v>
      </c>
      <c r="C2027" t="s">
        <v>462</v>
      </c>
      <c r="D2027" t="s">
        <v>242</v>
      </c>
      <c r="E2027" t="s">
        <v>244</v>
      </c>
      <c r="F2027">
        <v>1</v>
      </c>
      <c r="G2027" t="s">
        <v>488</v>
      </c>
      <c r="H2027" s="4">
        <v>29269057</v>
      </c>
      <c r="I2027" s="4">
        <v>29066911.014685083</v>
      </c>
      <c r="J2027" s="3">
        <v>0.00690647414144285</v>
      </c>
      <c r="K2027" s="3">
        <v>0.006954505252133236</v>
      </c>
      <c r="L2027" t="s">
        <v>54</v>
      </c>
    </row>
    <row r="2028" spans="1:12" x14ac:dyDescent="0.25">
      <c r="A2028" t="s">
        <v>487</v>
      </c>
      <c r="B2028" t="s">
        <v>461</v>
      </c>
      <c r="C2028" t="s">
        <v>462</v>
      </c>
      <c r="D2028" t="s">
        <v>242</v>
      </c>
      <c r="E2028" t="s">
        <v>244</v>
      </c>
      <c r="F2028">
        <v>1</v>
      </c>
      <c r="G2028" t="s">
        <v>498</v>
      </c>
      <c r="H2028" s="4">
        <v>29269057</v>
      </c>
      <c r="I2028" s="4">
        <v>28954173</v>
      </c>
      <c r="J2028" s="3">
        <v>0.010758255723783652</v>
      </c>
      <c r="K2028" s="3">
        <v>0.0108752544926771</v>
      </c>
      <c r="L2028" t="s">
        <v>54</v>
      </c>
    </row>
    <row r="2029" spans="1:12" x14ac:dyDescent="0.25">
      <c r="A2029" t="s">
        <v>487</v>
      </c>
      <c r="B2029" t="s">
        <v>461</v>
      </c>
      <c r="C2029" t="s">
        <v>462</v>
      </c>
      <c r="D2029" t="s">
        <v>242</v>
      </c>
      <c r="E2029" t="s">
        <v>244</v>
      </c>
      <c r="F2029">
        <v>1</v>
      </c>
      <c r="G2029" t="s">
        <v>499</v>
      </c>
      <c r="H2029" s="4">
        <v>29269057</v>
      </c>
      <c r="I2029" s="4">
        <v>27324565</v>
      </c>
      <c r="J2029" s="3">
        <v>0.06643507510337623</v>
      </c>
      <c r="K2029" s="3">
        <v>0.07116277971854264</v>
      </c>
      <c r="L2029" t="s">
        <v>54</v>
      </c>
    </row>
    <row r="2030" spans="1:12" x14ac:dyDescent="0.25">
      <c r="A2030" t="s">
        <v>487</v>
      </c>
      <c r="B2030" t="s">
        <v>461</v>
      </c>
      <c r="C2030" t="s">
        <v>462</v>
      </c>
      <c r="D2030" t="s">
        <v>242</v>
      </c>
      <c r="E2030" t="s">
        <v>246</v>
      </c>
      <c r="F2030">
        <v>2</v>
      </c>
      <c r="G2030" t="s">
        <v>488</v>
      </c>
      <c r="H2030" s="4">
        <v>34917863</v>
      </c>
      <c r="I2030" s="4">
        <v>35490522.43363089</v>
      </c>
      <c r="J2030" s="3">
        <v>0.016400185590707286</v>
      </c>
      <c r="K2030" s="3">
        <v>-0.016135559421583436</v>
      </c>
      <c r="L2030" t="s">
        <v>54</v>
      </c>
    </row>
    <row r="2031" spans="1:12" x14ac:dyDescent="0.25">
      <c r="A2031" t="s">
        <v>487</v>
      </c>
      <c r="B2031" t="s">
        <v>461</v>
      </c>
      <c r="C2031" t="s">
        <v>462</v>
      </c>
      <c r="D2031" t="s">
        <v>242</v>
      </c>
      <c r="E2031" t="s">
        <v>246</v>
      </c>
      <c r="F2031">
        <v>2</v>
      </c>
      <c r="G2031" t="s">
        <v>498</v>
      </c>
      <c r="H2031" s="4">
        <v>34917863</v>
      </c>
      <c r="I2031" s="4">
        <v>35352870</v>
      </c>
      <c r="J2031" s="3">
        <v>0.012458007524687292</v>
      </c>
      <c r="K2031" s="3">
        <v>-0.012304715289027454</v>
      </c>
      <c r="L2031" t="s">
        <v>54</v>
      </c>
    </row>
    <row r="2032" spans="1:12" x14ac:dyDescent="0.25">
      <c r="A2032" t="s">
        <v>487</v>
      </c>
      <c r="B2032" t="s">
        <v>461</v>
      </c>
      <c r="C2032" t="s">
        <v>462</v>
      </c>
      <c r="D2032" t="s">
        <v>242</v>
      </c>
      <c r="E2032" t="s">
        <v>246</v>
      </c>
      <c r="F2032">
        <v>2</v>
      </c>
      <c r="G2032" t="s">
        <v>499</v>
      </c>
      <c r="H2032" s="4">
        <v>34917863</v>
      </c>
      <c r="I2032" s="4">
        <v>27324565</v>
      </c>
      <c r="J2032" s="3">
        <v>0.21746170434313233</v>
      </c>
      <c r="K2032" s="3">
        <v>0.2778927313206999</v>
      </c>
      <c r="L2032" t="s">
        <v>54</v>
      </c>
    </row>
    <row r="2033" spans="1:12" x14ac:dyDescent="0.25">
      <c r="A2033" t="s">
        <v>487</v>
      </c>
      <c r="B2033" t="s">
        <v>461</v>
      </c>
      <c r="C2033" t="s">
        <v>462</v>
      </c>
      <c r="D2033" t="s">
        <v>242</v>
      </c>
      <c r="E2033" t="s">
        <v>248</v>
      </c>
      <c r="F2033">
        <v>3</v>
      </c>
      <c r="G2033" t="s">
        <v>488</v>
      </c>
      <c r="H2033" s="4">
        <v>33456438</v>
      </c>
      <c r="I2033" s="4">
        <v>33087128.705661207</v>
      </c>
      <c r="J2033" s="3">
        <v>0.011038512059735486</v>
      </c>
      <c r="K2033" s="3">
        <v>0.011161720849945005</v>
      </c>
      <c r="L2033" t="s">
        <v>54</v>
      </c>
    </row>
    <row r="2034" spans="1:12" x14ac:dyDescent="0.25">
      <c r="A2034" t="s">
        <v>487</v>
      </c>
      <c r="B2034" t="s">
        <v>461</v>
      </c>
      <c r="C2034" t="s">
        <v>462</v>
      </c>
      <c r="D2034" t="s">
        <v>242</v>
      </c>
      <c r="E2034" t="s">
        <v>248</v>
      </c>
      <c r="F2034">
        <v>3</v>
      </c>
      <c r="G2034" t="s">
        <v>498</v>
      </c>
      <c r="H2034" s="4">
        <v>33456438</v>
      </c>
      <c r="I2034" s="4">
        <v>32958798</v>
      </c>
      <c r="J2034" s="3">
        <v>0.014874267248653308</v>
      </c>
      <c r="K2034" s="3">
        <v>0.015098851602537204</v>
      </c>
      <c r="L2034" t="s">
        <v>54</v>
      </c>
    </row>
    <row r="2035" spans="1:12" x14ac:dyDescent="0.25">
      <c r="A2035" t="s">
        <v>487</v>
      </c>
      <c r="B2035" t="s">
        <v>461</v>
      </c>
      <c r="C2035" t="s">
        <v>462</v>
      </c>
      <c r="D2035" t="s">
        <v>242</v>
      </c>
      <c r="E2035" t="s">
        <v>248</v>
      </c>
      <c r="F2035">
        <v>3</v>
      </c>
      <c r="G2035" t="s">
        <v>499</v>
      </c>
      <c r="H2035" s="4">
        <v>33456438</v>
      </c>
      <c r="I2035" s="4">
        <v>27324565</v>
      </c>
      <c r="J2035" s="3">
        <v>0.18327931383490376</v>
      </c>
      <c r="K2035" s="3">
        <v>0.22440880577604805</v>
      </c>
      <c r="L2035" t="s">
        <v>54</v>
      </c>
    </row>
    <row r="2036" spans="1:12" x14ac:dyDescent="0.25">
      <c r="A2036" t="s">
        <v>487</v>
      </c>
      <c r="B2036" t="s">
        <v>461</v>
      </c>
      <c r="C2036" t="s">
        <v>462</v>
      </c>
      <c r="D2036" t="s">
        <v>244</v>
      </c>
      <c r="E2036" t="s">
        <v>246</v>
      </c>
      <c r="F2036">
        <v>1</v>
      </c>
      <c r="G2036" t="s">
        <v>488</v>
      </c>
      <c r="H2036" s="4">
        <v>34917863</v>
      </c>
      <c r="I2036" s="4">
        <v>35355790.56589363</v>
      </c>
      <c r="J2036" s="3">
        <v>0.012541648550875742</v>
      </c>
      <c r="K2036" s="3">
        <v>-0.012386303880758915</v>
      </c>
      <c r="L2036" t="s">
        <v>54</v>
      </c>
    </row>
    <row r="2037" spans="1:12" x14ac:dyDescent="0.25">
      <c r="A2037" t="s">
        <v>487</v>
      </c>
      <c r="B2037" t="s">
        <v>461</v>
      </c>
      <c r="C2037" t="s">
        <v>462</v>
      </c>
      <c r="D2037" t="s">
        <v>244</v>
      </c>
      <c r="E2037" t="s">
        <v>246</v>
      </c>
      <c r="F2037">
        <v>1</v>
      </c>
      <c r="G2037" t="s">
        <v>498</v>
      </c>
      <c r="H2037" s="4">
        <v>34917863</v>
      </c>
      <c r="I2037" s="4">
        <v>35352870</v>
      </c>
      <c r="J2037" s="3">
        <v>0.012458007524687292</v>
      </c>
      <c r="K2037" s="3">
        <v>-0.012304715289027454</v>
      </c>
      <c r="L2037" t="s">
        <v>54</v>
      </c>
    </row>
    <row r="2038" spans="1:12" x14ac:dyDescent="0.25">
      <c r="A2038" t="s">
        <v>487</v>
      </c>
      <c r="B2038" t="s">
        <v>461</v>
      </c>
      <c r="C2038" t="s">
        <v>462</v>
      </c>
      <c r="D2038" t="s">
        <v>244</v>
      </c>
      <c r="E2038" t="s">
        <v>246</v>
      </c>
      <c r="F2038">
        <v>1</v>
      </c>
      <c r="G2038" t="s">
        <v>499</v>
      </c>
      <c r="H2038" s="4">
        <v>34917863</v>
      </c>
      <c r="I2038" s="4">
        <v>29269057</v>
      </c>
      <c r="J2038" s="3">
        <v>0.16177410398797887</v>
      </c>
      <c r="K2038" s="3">
        <v>0.1929958317413506</v>
      </c>
      <c r="L2038" t="s">
        <v>54</v>
      </c>
    </row>
    <row r="2039" spans="1:12" x14ac:dyDescent="0.25">
      <c r="A2039" t="s">
        <v>487</v>
      </c>
      <c r="B2039" t="s">
        <v>461</v>
      </c>
      <c r="C2039" t="s">
        <v>462</v>
      </c>
      <c r="D2039" t="s">
        <v>244</v>
      </c>
      <c r="E2039" t="s">
        <v>248</v>
      </c>
      <c r="F2039">
        <v>2</v>
      </c>
      <c r="G2039" t="s">
        <v>488</v>
      </c>
      <c r="H2039" s="4">
        <v>33456438</v>
      </c>
      <c r="I2039" s="4">
        <v>32961520.787183434</v>
      </c>
      <c r="J2039" s="3">
        <v>0.01479288419217151</v>
      </c>
      <c r="K2039" s="3">
        <v>0.015014999338531945</v>
      </c>
      <c r="L2039" t="s">
        <v>54</v>
      </c>
    </row>
    <row r="2040" spans="1:12" x14ac:dyDescent="0.25">
      <c r="A2040" t="s">
        <v>487</v>
      </c>
      <c r="B2040" t="s">
        <v>461</v>
      </c>
      <c r="C2040" t="s">
        <v>462</v>
      </c>
      <c r="D2040" t="s">
        <v>244</v>
      </c>
      <c r="E2040" t="s">
        <v>248</v>
      </c>
      <c r="F2040">
        <v>2</v>
      </c>
      <c r="G2040" t="s">
        <v>498</v>
      </c>
      <c r="H2040" s="4">
        <v>33456438</v>
      </c>
      <c r="I2040" s="4">
        <v>32958798</v>
      </c>
      <c r="J2040" s="3">
        <v>0.014874267248653308</v>
      </c>
      <c r="K2040" s="3">
        <v>0.015098851602537204</v>
      </c>
      <c r="L2040" t="s">
        <v>54</v>
      </c>
    </row>
    <row r="2041" spans="1:12" x14ac:dyDescent="0.25">
      <c r="A2041" t="s">
        <v>487</v>
      </c>
      <c r="B2041" t="s">
        <v>461</v>
      </c>
      <c r="C2041" t="s">
        <v>462</v>
      </c>
      <c r="D2041" t="s">
        <v>244</v>
      </c>
      <c r="E2041" t="s">
        <v>248</v>
      </c>
      <c r="F2041">
        <v>2</v>
      </c>
      <c r="G2041" t="s">
        <v>499</v>
      </c>
      <c r="H2041" s="4">
        <v>33456438</v>
      </c>
      <c r="I2041" s="4">
        <v>29269057</v>
      </c>
      <c r="J2041" s="3">
        <v>0.12515919955376004</v>
      </c>
      <c r="K2041" s="3">
        <v>0.14306511480708106</v>
      </c>
      <c r="L2041" t="s">
        <v>54</v>
      </c>
    </row>
    <row r="2042" spans="1:12" x14ac:dyDescent="0.25">
      <c r="A2042" t="s">
        <v>487</v>
      </c>
      <c r="B2042" t="s">
        <v>461</v>
      </c>
      <c r="C2042" t="s">
        <v>462</v>
      </c>
      <c r="D2042" t="s">
        <v>244</v>
      </c>
      <c r="E2042" t="s">
        <v>250</v>
      </c>
      <c r="F2042">
        <v>3</v>
      </c>
      <c r="G2042" t="s">
        <v>488</v>
      </c>
      <c r="H2042" s="4">
        <v>28941839</v>
      </c>
      <c r="I2042" s="4">
        <v>30076504.470344167</v>
      </c>
      <c r="J2042" s="3">
        <v>0.039205023231045105</v>
      </c>
      <c r="K2042" s="3">
        <v>-0.03772597548571385</v>
      </c>
      <c r="L2042" t="s">
        <v>54</v>
      </c>
    </row>
    <row r="2043" spans="1:12" x14ac:dyDescent="0.25">
      <c r="A2043" t="s">
        <v>487</v>
      </c>
      <c r="B2043" t="s">
        <v>461</v>
      </c>
      <c r="C2043" t="s">
        <v>462</v>
      </c>
      <c r="D2043" t="s">
        <v>244</v>
      </c>
      <c r="E2043" t="s">
        <v>250</v>
      </c>
      <c r="F2043">
        <v>3</v>
      </c>
      <c r="G2043" t="s">
        <v>498</v>
      </c>
      <c r="H2043" s="4">
        <v>28941839</v>
      </c>
      <c r="I2043" s="4">
        <v>30074020</v>
      </c>
      <c r="J2043" s="3">
        <v>0.03911917967617745</v>
      </c>
      <c r="K2043" s="3">
        <v>-0.03764648025106055</v>
      </c>
      <c r="L2043" t="s">
        <v>54</v>
      </c>
    </row>
    <row r="2044" spans="1:12" x14ac:dyDescent="0.25">
      <c r="A2044" t="s">
        <v>487</v>
      </c>
      <c r="B2044" t="s">
        <v>461</v>
      </c>
      <c r="C2044" t="s">
        <v>462</v>
      </c>
      <c r="D2044" t="s">
        <v>244</v>
      </c>
      <c r="E2044" t="s">
        <v>250</v>
      </c>
      <c r="F2044">
        <v>3</v>
      </c>
      <c r="G2044" t="s">
        <v>499</v>
      </c>
      <c r="H2044" s="4">
        <v>28941839</v>
      </c>
      <c r="I2044" s="4">
        <v>29269057</v>
      </c>
      <c r="J2044" s="3">
        <v>0.011306054186812386</v>
      </c>
      <c r="K2044" s="3">
        <v>-0.011179656385923196</v>
      </c>
      <c r="L2044" t="s">
        <v>54</v>
      </c>
    </row>
    <row r="2045" spans="1:12" x14ac:dyDescent="0.25">
      <c r="A2045" t="s">
        <v>487</v>
      </c>
      <c r="B2045" t="s">
        <v>461</v>
      </c>
      <c r="C2045" t="s">
        <v>462</v>
      </c>
      <c r="D2045" t="s">
        <v>246</v>
      </c>
      <c r="E2045" t="s">
        <v>248</v>
      </c>
      <c r="F2045">
        <v>1</v>
      </c>
      <c r="G2045" t="s">
        <v>488</v>
      </c>
      <c r="H2045" s="4">
        <v>33456438</v>
      </c>
      <c r="I2045" s="4">
        <v>33067951.09537487</v>
      </c>
      <c r="J2045" s="3">
        <v>0.011611723418527967</v>
      </c>
      <c r="K2045" s="3">
        <v>0.011748139565848869</v>
      </c>
      <c r="L2045" t="s">
        <v>54</v>
      </c>
    </row>
    <row r="2046" spans="1:12" x14ac:dyDescent="0.25">
      <c r="A2046" t="s">
        <v>487</v>
      </c>
      <c r="B2046" t="s">
        <v>461</v>
      </c>
      <c r="C2046" t="s">
        <v>462</v>
      </c>
      <c r="D2046" t="s">
        <v>246</v>
      </c>
      <c r="E2046" t="s">
        <v>248</v>
      </c>
      <c r="F2046">
        <v>1</v>
      </c>
      <c r="G2046" t="s">
        <v>498</v>
      </c>
      <c r="H2046" s="4">
        <v>33456438</v>
      </c>
      <c r="I2046" s="4">
        <v>32958798</v>
      </c>
      <c r="J2046" s="3">
        <v>0.014874267248653308</v>
      </c>
      <c r="K2046" s="3">
        <v>0.015098851602537204</v>
      </c>
      <c r="L2046" t="s">
        <v>54</v>
      </c>
    </row>
    <row r="2047" spans="1:12" x14ac:dyDescent="0.25">
      <c r="A2047" t="s">
        <v>487</v>
      </c>
      <c r="B2047" t="s">
        <v>461</v>
      </c>
      <c r="C2047" t="s">
        <v>462</v>
      </c>
      <c r="D2047" t="s">
        <v>246</v>
      </c>
      <c r="E2047" t="s">
        <v>248</v>
      </c>
      <c r="F2047">
        <v>1</v>
      </c>
      <c r="G2047" t="s">
        <v>499</v>
      </c>
      <c r="H2047" s="4">
        <v>33456438</v>
      </c>
      <c r="I2047" s="4">
        <v>34917863</v>
      </c>
      <c r="J2047" s="3">
        <v>0.04368142836963098</v>
      </c>
      <c r="K2047" s="3">
        <v>-0.04185321994075067</v>
      </c>
      <c r="L2047" t="s">
        <v>54</v>
      </c>
    </row>
    <row r="2048" spans="1:12" x14ac:dyDescent="0.25">
      <c r="A2048" t="s">
        <v>487</v>
      </c>
      <c r="B2048" t="s">
        <v>461</v>
      </c>
      <c r="C2048" t="s">
        <v>462</v>
      </c>
      <c r="D2048" t="s">
        <v>246</v>
      </c>
      <c r="E2048" t="s">
        <v>250</v>
      </c>
      <c r="F2048">
        <v>2</v>
      </c>
      <c r="G2048" t="s">
        <v>488</v>
      </c>
      <c r="H2048" s="4">
        <v>28941839</v>
      </c>
      <c r="I2048" s="4">
        <v>30173619.274626635</v>
      </c>
      <c r="J2048" s="3">
        <v>0.04256053924654321</v>
      </c>
      <c r="K2048" s="3">
        <v>-0.040823086664398066</v>
      </c>
      <c r="L2048" t="s">
        <v>54</v>
      </c>
    </row>
    <row r="2049" spans="1:12" x14ac:dyDescent="0.25">
      <c r="A2049" t="s">
        <v>487</v>
      </c>
      <c r="B2049" t="s">
        <v>461</v>
      </c>
      <c r="C2049" t="s">
        <v>462</v>
      </c>
      <c r="D2049" t="s">
        <v>246</v>
      </c>
      <c r="E2049" t="s">
        <v>250</v>
      </c>
      <c r="F2049">
        <v>2</v>
      </c>
      <c r="G2049" t="s">
        <v>498</v>
      </c>
      <c r="H2049" s="4">
        <v>28941839</v>
      </c>
      <c r="I2049" s="4">
        <v>30074020</v>
      </c>
      <c r="J2049" s="3">
        <v>0.03911917967617745</v>
      </c>
      <c r="K2049" s="3">
        <v>-0.03764648025106055</v>
      </c>
      <c r="L2049" t="s">
        <v>54</v>
      </c>
    </row>
    <row r="2050" spans="1:12" x14ac:dyDescent="0.25">
      <c r="A2050" t="s">
        <v>487</v>
      </c>
      <c r="B2050" t="s">
        <v>461</v>
      </c>
      <c r="C2050" t="s">
        <v>462</v>
      </c>
      <c r="D2050" t="s">
        <v>246</v>
      </c>
      <c r="E2050" t="s">
        <v>250</v>
      </c>
      <c r="F2050">
        <v>2</v>
      </c>
      <c r="G2050" t="s">
        <v>499</v>
      </c>
      <c r="H2050" s="4">
        <v>28941839</v>
      </c>
      <c r="I2050" s="4">
        <v>34917863</v>
      </c>
      <c r="J2050" s="3">
        <v>0.20648390725965962</v>
      </c>
      <c r="K2050" s="3">
        <v>-0.17114518147917585</v>
      </c>
      <c r="L2050" t="s">
        <v>54</v>
      </c>
    </row>
    <row r="2051" spans="1:12" x14ac:dyDescent="0.25">
      <c r="A2051" t="s">
        <v>487</v>
      </c>
      <c r="B2051" t="s">
        <v>461</v>
      </c>
      <c r="C2051" t="s">
        <v>462</v>
      </c>
      <c r="D2051" t="s">
        <v>246</v>
      </c>
      <c r="E2051" t="s">
        <v>252</v>
      </c>
      <c r="F2051">
        <v>3</v>
      </c>
      <c r="G2051" t="s">
        <v>488</v>
      </c>
      <c r="H2051" s="4">
        <v>20432583</v>
      </c>
      <c r="I2051" s="4">
        <v>22149886.956062306</v>
      </c>
      <c r="J2051" s="3">
        <v>0.08404732559081275</v>
      </c>
      <c r="K2051" s="3">
        <v>-0.07753104832854638</v>
      </c>
      <c r="L2051" t="s">
        <v>54</v>
      </c>
    </row>
    <row r="2052" spans="1:12" x14ac:dyDescent="0.25">
      <c r="A2052" t="s">
        <v>487</v>
      </c>
      <c r="B2052" t="s">
        <v>461</v>
      </c>
      <c r="C2052" t="s">
        <v>462</v>
      </c>
      <c r="D2052" t="s">
        <v>246</v>
      </c>
      <c r="E2052" t="s">
        <v>252</v>
      </c>
      <c r="F2052">
        <v>3</v>
      </c>
      <c r="G2052" t="s">
        <v>498</v>
      </c>
      <c r="H2052" s="4">
        <v>20432583</v>
      </c>
      <c r="I2052" s="4">
        <v>22076773</v>
      </c>
      <c r="J2052" s="3">
        <v>0.08046902342205095</v>
      </c>
      <c r="K2052" s="3">
        <v>-0.0744760115076601</v>
      </c>
      <c r="L2052" t="s">
        <v>54</v>
      </c>
    </row>
    <row r="2053" spans="1:12" x14ac:dyDescent="0.25">
      <c r="A2053" t="s">
        <v>487</v>
      </c>
      <c r="B2053" t="s">
        <v>461</v>
      </c>
      <c r="C2053" t="s">
        <v>462</v>
      </c>
      <c r="D2053" t="s">
        <v>246</v>
      </c>
      <c r="E2053" t="s">
        <v>252</v>
      </c>
      <c r="F2053">
        <v>3</v>
      </c>
      <c r="G2053" t="s">
        <v>499</v>
      </c>
      <c r="H2053" s="4">
        <v>20432583</v>
      </c>
      <c r="I2053" s="4">
        <v>34917863</v>
      </c>
      <c r="J2053" s="3">
        <v>0.7089304372335108</v>
      </c>
      <c r="K2053" s="3">
        <v>-0.4148386744057046</v>
      </c>
      <c r="L2053" t="s">
        <v>54</v>
      </c>
    </row>
    <row r="2054" spans="1:12" x14ac:dyDescent="0.25">
      <c r="A2054" t="s">
        <v>487</v>
      </c>
      <c r="B2054" t="s">
        <v>461</v>
      </c>
      <c r="C2054" t="s">
        <v>462</v>
      </c>
      <c r="D2054" t="s">
        <v>248</v>
      </c>
      <c r="E2054" t="s">
        <v>250</v>
      </c>
      <c r="F2054">
        <v>1</v>
      </c>
      <c r="G2054" t="s">
        <v>488</v>
      </c>
      <c r="H2054" s="4">
        <v>28941839</v>
      </c>
      <c r="I2054" s="4">
        <v>30004757.893415544</v>
      </c>
      <c r="J2054" s="3">
        <v>0.036726031590996834</v>
      </c>
      <c r="K2054" s="3">
        <v>-0.03542501149955283</v>
      </c>
      <c r="L2054" t="s">
        <v>54</v>
      </c>
    </row>
    <row r="2055" spans="1:12" x14ac:dyDescent="0.25">
      <c r="A2055" t="s">
        <v>487</v>
      </c>
      <c r="B2055" t="s">
        <v>461</v>
      </c>
      <c r="C2055" t="s">
        <v>462</v>
      </c>
      <c r="D2055" t="s">
        <v>248</v>
      </c>
      <c r="E2055" t="s">
        <v>250</v>
      </c>
      <c r="F2055">
        <v>1</v>
      </c>
      <c r="G2055" t="s">
        <v>498</v>
      </c>
      <c r="H2055" s="4">
        <v>28941839</v>
      </c>
      <c r="I2055" s="4">
        <v>30074020</v>
      </c>
      <c r="J2055" s="3">
        <v>0.03911917967617745</v>
      </c>
      <c r="K2055" s="3">
        <v>-0.03764648025106055</v>
      </c>
      <c r="L2055" t="s">
        <v>54</v>
      </c>
    </row>
    <row r="2056" spans="1:12" x14ac:dyDescent="0.25">
      <c r="A2056" t="s">
        <v>487</v>
      </c>
      <c r="B2056" t="s">
        <v>461</v>
      </c>
      <c r="C2056" t="s">
        <v>462</v>
      </c>
      <c r="D2056" t="s">
        <v>248</v>
      </c>
      <c r="E2056" t="s">
        <v>250</v>
      </c>
      <c r="F2056">
        <v>1</v>
      </c>
      <c r="G2056" t="s">
        <v>499</v>
      </c>
      <c r="H2056" s="4">
        <v>28941839</v>
      </c>
      <c r="I2056" s="4">
        <v>33456438</v>
      </c>
      <c r="J2056" s="3">
        <v>0.15598867093414487</v>
      </c>
      <c r="K2056" s="3">
        <v>-0.134939619095135</v>
      </c>
      <c r="L2056" t="s">
        <v>54</v>
      </c>
    </row>
    <row r="2057" spans="1:12" x14ac:dyDescent="0.25">
      <c r="A2057" t="s">
        <v>487</v>
      </c>
      <c r="B2057" t="s">
        <v>461</v>
      </c>
      <c r="C2057" t="s">
        <v>462</v>
      </c>
      <c r="D2057" t="s">
        <v>248</v>
      </c>
      <c r="E2057" t="s">
        <v>252</v>
      </c>
      <c r="F2057">
        <v>2</v>
      </c>
      <c r="G2057" t="s">
        <v>488</v>
      </c>
      <c r="H2057" s="4">
        <v>20432583</v>
      </c>
      <c r="I2057" s="4">
        <v>22025928.988970984</v>
      </c>
      <c r="J2057" s="3">
        <v>0.07798064439385778</v>
      </c>
      <c r="K2057" s="3">
        <v>-0.07233955897019453</v>
      </c>
      <c r="L2057" t="s">
        <v>54</v>
      </c>
    </row>
    <row r="2058" spans="1:12" x14ac:dyDescent="0.25">
      <c r="A2058" t="s">
        <v>487</v>
      </c>
      <c r="B2058" t="s">
        <v>461</v>
      </c>
      <c r="C2058" t="s">
        <v>462</v>
      </c>
      <c r="D2058" t="s">
        <v>248</v>
      </c>
      <c r="E2058" t="s">
        <v>252</v>
      </c>
      <c r="F2058">
        <v>2</v>
      </c>
      <c r="G2058" t="s">
        <v>498</v>
      </c>
      <c r="H2058" s="4">
        <v>20432583</v>
      </c>
      <c r="I2058" s="4">
        <v>22076773</v>
      </c>
      <c r="J2058" s="3">
        <v>0.08046902342205095</v>
      </c>
      <c r="K2058" s="3">
        <v>-0.0744760115076601</v>
      </c>
      <c r="L2058" t="s">
        <v>54</v>
      </c>
    </row>
    <row r="2059" spans="1:12" x14ac:dyDescent="0.25">
      <c r="A2059" t="s">
        <v>487</v>
      </c>
      <c r="B2059" t="s">
        <v>461</v>
      </c>
      <c r="C2059" t="s">
        <v>462</v>
      </c>
      <c r="D2059" t="s">
        <v>248</v>
      </c>
      <c r="E2059" t="s">
        <v>252</v>
      </c>
      <c r="F2059">
        <v>2</v>
      </c>
      <c r="G2059" t="s">
        <v>499</v>
      </c>
      <c r="H2059" s="4">
        <v>20432583</v>
      </c>
      <c r="I2059" s="4">
        <v>33456438</v>
      </c>
      <c r="J2059" s="3">
        <v>0.6374061957805335</v>
      </c>
      <c r="K2059" s="3">
        <v>-0.38927799187707907</v>
      </c>
      <c r="L2059" t="s">
        <v>54</v>
      </c>
    </row>
    <row r="2060" spans="1:12" x14ac:dyDescent="0.25">
      <c r="A2060" t="s">
        <v>487</v>
      </c>
      <c r="B2060" t="s">
        <v>461</v>
      </c>
      <c r="C2060" t="s">
        <v>462</v>
      </c>
      <c r="D2060" t="s">
        <v>248</v>
      </c>
      <c r="E2060" t="s">
        <v>254</v>
      </c>
      <c r="F2060">
        <v>3</v>
      </c>
      <c r="G2060" t="s">
        <v>488</v>
      </c>
      <c r="H2060" s="4">
        <v>19278302</v>
      </c>
      <c r="I2060" s="4">
        <v>16370702.348939244</v>
      </c>
      <c r="J2060" s="3">
        <v>0.15082239354175261</v>
      </c>
      <c r="K2060" s="3">
        <v>0.17760995155159956</v>
      </c>
      <c r="L2060" t="s">
        <v>54</v>
      </c>
    </row>
    <row r="2061" spans="1:12" x14ac:dyDescent="0.25">
      <c r="A2061" t="s">
        <v>487</v>
      </c>
      <c r="B2061" t="s">
        <v>461</v>
      </c>
      <c r="C2061" t="s">
        <v>462</v>
      </c>
      <c r="D2061" t="s">
        <v>248</v>
      </c>
      <c r="E2061" t="s">
        <v>254</v>
      </c>
      <c r="F2061">
        <v>3</v>
      </c>
      <c r="G2061" t="s">
        <v>498</v>
      </c>
      <c r="H2061" s="4">
        <v>19278302</v>
      </c>
      <c r="I2061" s="4">
        <v>16408492</v>
      </c>
      <c r="J2061" s="3">
        <v>0.14886217676224806</v>
      </c>
      <c r="K2061" s="3">
        <v>0.17489785167338961</v>
      </c>
      <c r="L2061" t="s">
        <v>54</v>
      </c>
    </row>
    <row r="2062" spans="1:12" x14ac:dyDescent="0.25">
      <c r="A2062" t="s">
        <v>487</v>
      </c>
      <c r="B2062" t="s">
        <v>461</v>
      </c>
      <c r="C2062" t="s">
        <v>462</v>
      </c>
      <c r="D2062" t="s">
        <v>248</v>
      </c>
      <c r="E2062" t="s">
        <v>254</v>
      </c>
      <c r="F2062">
        <v>3</v>
      </c>
      <c r="G2062" t="s">
        <v>499</v>
      </c>
      <c r="H2062" s="4">
        <v>19278302</v>
      </c>
      <c r="I2062" s="4">
        <v>33456438</v>
      </c>
      <c r="J2062" s="3">
        <v>0.7354452689868641</v>
      </c>
      <c r="K2062" s="3">
        <v>-0.4237790048061901</v>
      </c>
      <c r="L2062" t="s">
        <v>54</v>
      </c>
    </row>
    <row r="2063" spans="1:12" x14ac:dyDescent="0.25">
      <c r="A2063" t="s">
        <v>487</v>
      </c>
      <c r="B2063" t="s">
        <v>461</v>
      </c>
      <c r="C2063" t="s">
        <v>462</v>
      </c>
      <c r="D2063" t="s">
        <v>250</v>
      </c>
      <c r="E2063" t="s">
        <v>252</v>
      </c>
      <c r="F2063">
        <v>1</v>
      </c>
      <c r="G2063" t="s">
        <v>488</v>
      </c>
      <c r="H2063" s="4">
        <v>20432583</v>
      </c>
      <c r="I2063" s="4">
        <v>22107140.78786118</v>
      </c>
      <c r="J2063" s="3">
        <v>0.08195526663766298</v>
      </c>
      <c r="K2063" s="3">
        <v>-0.07574737067674818</v>
      </c>
      <c r="L2063" t="s">
        <v>54</v>
      </c>
    </row>
    <row r="2064" spans="1:12" x14ac:dyDescent="0.25">
      <c r="A2064" t="s">
        <v>487</v>
      </c>
      <c r="B2064" t="s">
        <v>461</v>
      </c>
      <c r="C2064" t="s">
        <v>462</v>
      </c>
      <c r="D2064" t="s">
        <v>250</v>
      </c>
      <c r="E2064" t="s">
        <v>252</v>
      </c>
      <c r="F2064">
        <v>1</v>
      </c>
      <c r="G2064" t="s">
        <v>498</v>
      </c>
      <c r="H2064" s="4">
        <v>20432583</v>
      </c>
      <c r="I2064" s="4">
        <v>22076773</v>
      </c>
      <c r="J2064" s="3">
        <v>0.08046902342205095</v>
      </c>
      <c r="K2064" s="3">
        <v>-0.0744760115076601</v>
      </c>
      <c r="L2064" t="s">
        <v>54</v>
      </c>
    </row>
    <row r="2065" spans="1:12" x14ac:dyDescent="0.25">
      <c r="A2065" t="s">
        <v>487</v>
      </c>
      <c r="B2065" t="s">
        <v>461</v>
      </c>
      <c r="C2065" t="s">
        <v>462</v>
      </c>
      <c r="D2065" t="s">
        <v>250</v>
      </c>
      <c r="E2065" t="s">
        <v>252</v>
      </c>
      <c r="F2065">
        <v>1</v>
      </c>
      <c r="G2065" t="s">
        <v>499</v>
      </c>
      <c r="H2065" s="4">
        <v>20432583</v>
      </c>
      <c r="I2065" s="4">
        <v>28941839</v>
      </c>
      <c r="J2065" s="3">
        <v>0.41645522741789426</v>
      </c>
      <c r="K2065" s="3">
        <v>-0.2940122775197526</v>
      </c>
      <c r="L2065" t="s">
        <v>54</v>
      </c>
    </row>
    <row r="2066" spans="1:12" x14ac:dyDescent="0.25">
      <c r="A2066" t="s">
        <v>487</v>
      </c>
      <c r="B2066" t="s">
        <v>461</v>
      </c>
      <c r="C2066" t="s">
        <v>462</v>
      </c>
      <c r="D2066" t="s">
        <v>250</v>
      </c>
      <c r="E2066" t="s">
        <v>254</v>
      </c>
      <c r="F2066">
        <v>2</v>
      </c>
      <c r="G2066" t="s">
        <v>488</v>
      </c>
      <c r="H2066" s="4">
        <v>19278302</v>
      </c>
      <c r="I2066" s="4">
        <v>16431062.762682475</v>
      </c>
      <c r="J2066" s="3">
        <v>0.14769139093876238</v>
      </c>
      <c r="K2066" s="3">
        <v>0.17328393655607308</v>
      </c>
      <c r="L2066" t="s">
        <v>54</v>
      </c>
    </row>
    <row r="2067" spans="1:12" x14ac:dyDescent="0.25">
      <c r="A2067" t="s">
        <v>487</v>
      </c>
      <c r="B2067" t="s">
        <v>461</v>
      </c>
      <c r="C2067" t="s">
        <v>462</v>
      </c>
      <c r="D2067" t="s">
        <v>250</v>
      </c>
      <c r="E2067" t="s">
        <v>254</v>
      </c>
      <c r="F2067">
        <v>2</v>
      </c>
      <c r="G2067" t="s">
        <v>498</v>
      </c>
      <c r="H2067" s="4">
        <v>19278302</v>
      </c>
      <c r="I2067" s="4">
        <v>16408492</v>
      </c>
      <c r="J2067" s="3">
        <v>0.14886217676224806</v>
      </c>
      <c r="K2067" s="3">
        <v>0.17489785167338961</v>
      </c>
      <c r="L2067" t="s">
        <v>54</v>
      </c>
    </row>
    <row r="2068" spans="1:12" x14ac:dyDescent="0.25">
      <c r="A2068" t="s">
        <v>487</v>
      </c>
      <c r="B2068" t="s">
        <v>461</v>
      </c>
      <c r="C2068" t="s">
        <v>462</v>
      </c>
      <c r="D2068" t="s">
        <v>250</v>
      </c>
      <c r="E2068" t="s">
        <v>254</v>
      </c>
      <c r="F2068">
        <v>2</v>
      </c>
      <c r="G2068" t="s">
        <v>499</v>
      </c>
      <c r="H2068" s="4">
        <v>19278302</v>
      </c>
      <c r="I2068" s="4">
        <v>28941839</v>
      </c>
      <c r="J2068" s="3">
        <v>0.5012649454293225</v>
      </c>
      <c r="K2068" s="3">
        <v>-0.3338950576015574</v>
      </c>
      <c r="L2068" t="s">
        <v>54</v>
      </c>
    </row>
    <row r="2069" spans="1:12" x14ac:dyDescent="0.25">
      <c r="A2069" t="s">
        <v>487</v>
      </c>
      <c r="B2069" t="s">
        <v>461</v>
      </c>
      <c r="C2069" t="s">
        <v>462</v>
      </c>
      <c r="D2069" t="s">
        <v>250</v>
      </c>
      <c r="E2069" t="s">
        <v>256</v>
      </c>
      <c r="F2069">
        <v>3</v>
      </c>
      <c r="G2069" t="s">
        <v>488</v>
      </c>
      <c r="H2069" s="4">
        <v>24901449</v>
      </c>
      <c r="I2069" s="4">
        <v>23244297.85982053</v>
      </c>
      <c r="J2069" s="3">
        <v>0.0665483819909223</v>
      </c>
      <c r="K2069" s="3">
        <v>0.07129280265522571</v>
      </c>
      <c r="L2069" t="s">
        <v>54</v>
      </c>
    </row>
    <row r="2070" spans="1:12" x14ac:dyDescent="0.25">
      <c r="A2070" t="s">
        <v>487</v>
      </c>
      <c r="B2070" t="s">
        <v>461</v>
      </c>
      <c r="C2070" t="s">
        <v>462</v>
      </c>
      <c r="D2070" t="s">
        <v>250</v>
      </c>
      <c r="E2070" t="s">
        <v>256</v>
      </c>
      <c r="F2070">
        <v>3</v>
      </c>
      <c r="G2070" t="s">
        <v>498</v>
      </c>
      <c r="H2070" s="4">
        <v>24901449</v>
      </c>
      <c r="I2070" s="4">
        <v>23212368</v>
      </c>
      <c r="J2070" s="3">
        <v>0.06783063106086717</v>
      </c>
      <c r="K2070" s="3">
        <v>0.07276642348596231</v>
      </c>
      <c r="L2070" t="s">
        <v>54</v>
      </c>
    </row>
    <row r="2071" spans="1:12" x14ac:dyDescent="0.25">
      <c r="A2071" t="s">
        <v>487</v>
      </c>
      <c r="B2071" t="s">
        <v>461</v>
      </c>
      <c r="C2071" t="s">
        <v>462</v>
      </c>
      <c r="D2071" t="s">
        <v>250</v>
      </c>
      <c r="E2071" t="s">
        <v>256</v>
      </c>
      <c r="F2071">
        <v>3</v>
      </c>
      <c r="G2071" t="s">
        <v>499</v>
      </c>
      <c r="H2071" s="4">
        <v>24901449</v>
      </c>
      <c r="I2071" s="4">
        <v>28941839</v>
      </c>
      <c r="J2071" s="3">
        <v>0.162255216553864</v>
      </c>
      <c r="K2071" s="3">
        <v>-0.13960377569649254</v>
      </c>
      <c r="L2071" t="s">
        <v>54</v>
      </c>
    </row>
    <row r="2072" spans="1:12" x14ac:dyDescent="0.25">
      <c r="A2072" t="s">
        <v>487</v>
      </c>
      <c r="B2072" t="s">
        <v>461</v>
      </c>
      <c r="C2072" t="s">
        <v>462</v>
      </c>
      <c r="D2072" t="s">
        <v>252</v>
      </c>
      <c r="E2072" t="s">
        <v>254</v>
      </c>
      <c r="F2072">
        <v>1</v>
      </c>
      <c r="G2072" t="s">
        <v>488</v>
      </c>
      <c r="H2072" s="4">
        <v>19278302</v>
      </c>
      <c r="I2072" s="4">
        <v>16244825.262343246</v>
      </c>
      <c r="J2072" s="3">
        <v>0.15735186312864866</v>
      </c>
      <c r="K2072" s="3">
        <v>0.1867349564349323</v>
      </c>
      <c r="L2072" t="s">
        <v>54</v>
      </c>
    </row>
    <row r="2073" spans="1:12" x14ac:dyDescent="0.25">
      <c r="A2073" t="s">
        <v>487</v>
      </c>
      <c r="B2073" t="s">
        <v>461</v>
      </c>
      <c r="C2073" t="s">
        <v>462</v>
      </c>
      <c r="D2073" t="s">
        <v>252</v>
      </c>
      <c r="E2073" t="s">
        <v>254</v>
      </c>
      <c r="F2073">
        <v>1</v>
      </c>
      <c r="G2073" t="s">
        <v>498</v>
      </c>
      <c r="H2073" s="4">
        <v>19278302</v>
      </c>
      <c r="I2073" s="4">
        <v>16408492</v>
      </c>
      <c r="J2073" s="3">
        <v>0.14886217676224806</v>
      </c>
      <c r="K2073" s="3">
        <v>0.17489785167338961</v>
      </c>
      <c r="L2073" t="s">
        <v>54</v>
      </c>
    </row>
    <row r="2074" spans="1:12" x14ac:dyDescent="0.25">
      <c r="A2074" t="s">
        <v>487</v>
      </c>
      <c r="B2074" t="s">
        <v>461</v>
      </c>
      <c r="C2074" t="s">
        <v>462</v>
      </c>
      <c r="D2074" t="s">
        <v>252</v>
      </c>
      <c r="E2074" t="s">
        <v>254</v>
      </c>
      <c r="F2074">
        <v>1</v>
      </c>
      <c r="G2074" t="s">
        <v>499</v>
      </c>
      <c r="H2074" s="4">
        <v>19278302</v>
      </c>
      <c r="I2074" s="4">
        <v>20432583</v>
      </c>
      <c r="J2074" s="3">
        <v>0.05987461966308029</v>
      </c>
      <c r="K2074" s="3">
        <v>-0.05649217233083061</v>
      </c>
      <c r="L2074" t="s">
        <v>54</v>
      </c>
    </row>
    <row r="2075" spans="1:12" x14ac:dyDescent="0.25">
      <c r="A2075" t="s">
        <v>487</v>
      </c>
      <c r="B2075" t="s">
        <v>461</v>
      </c>
      <c r="C2075" t="s">
        <v>462</v>
      </c>
      <c r="D2075" t="s">
        <v>252</v>
      </c>
      <c r="E2075" t="s">
        <v>256</v>
      </c>
      <c r="F2075">
        <v>2</v>
      </c>
      <c r="G2075" t="s">
        <v>488</v>
      </c>
      <c r="H2075" s="4">
        <v>24901449</v>
      </c>
      <c r="I2075" s="4">
        <v>22980835.90406772</v>
      </c>
      <c r="J2075" s="3">
        <v>0.07712856773645095</v>
      </c>
      <c r="K2075" s="3">
        <v>0.08357455333434241</v>
      </c>
      <c r="L2075" t="s">
        <v>54</v>
      </c>
    </row>
    <row r="2076" spans="1:12" x14ac:dyDescent="0.25">
      <c r="A2076" t="s">
        <v>487</v>
      </c>
      <c r="B2076" t="s">
        <v>461</v>
      </c>
      <c r="C2076" t="s">
        <v>462</v>
      </c>
      <c r="D2076" t="s">
        <v>252</v>
      </c>
      <c r="E2076" t="s">
        <v>256</v>
      </c>
      <c r="F2076">
        <v>2</v>
      </c>
      <c r="G2076" t="s">
        <v>498</v>
      </c>
      <c r="H2076" s="4">
        <v>24901449</v>
      </c>
      <c r="I2076" s="4">
        <v>23212368</v>
      </c>
      <c r="J2076" s="3">
        <v>0.06783063106086717</v>
      </c>
      <c r="K2076" s="3">
        <v>0.07276642348596231</v>
      </c>
      <c r="L2076" t="s">
        <v>54</v>
      </c>
    </row>
    <row r="2077" spans="1:12" x14ac:dyDescent="0.25">
      <c r="A2077" t="s">
        <v>487</v>
      </c>
      <c r="B2077" t="s">
        <v>461</v>
      </c>
      <c r="C2077" t="s">
        <v>462</v>
      </c>
      <c r="D2077" t="s">
        <v>252</v>
      </c>
      <c r="E2077" t="s">
        <v>256</v>
      </c>
      <c r="F2077">
        <v>2</v>
      </c>
      <c r="G2077" t="s">
        <v>499</v>
      </c>
      <c r="H2077" s="4">
        <v>24901449</v>
      </c>
      <c r="I2077" s="4">
        <v>20432583</v>
      </c>
      <c r="J2077" s="3">
        <v>0.17946208672435085</v>
      </c>
      <c r="K2077" s="3">
        <v>0.2187127295653222</v>
      </c>
      <c r="L2077" t="s">
        <v>54</v>
      </c>
    </row>
    <row r="2078" spans="1:12" x14ac:dyDescent="0.25">
      <c r="A2078" t="s">
        <v>487</v>
      </c>
      <c r="B2078" t="s">
        <v>461</v>
      </c>
      <c r="C2078" t="s">
        <v>462</v>
      </c>
      <c r="D2078" t="s">
        <v>252</v>
      </c>
      <c r="E2078" t="s">
        <v>258</v>
      </c>
      <c r="F2078">
        <v>3</v>
      </c>
      <c r="G2078" t="s">
        <v>488</v>
      </c>
      <c r="H2078" s="4">
        <v>26455601</v>
      </c>
      <c r="I2078" s="4">
        <v>25006737.925841656</v>
      </c>
      <c r="J2078" s="3">
        <v>0.054765834809738186</v>
      </c>
      <c r="K2078" s="3">
        <v>0.05793890744386564</v>
      </c>
      <c r="L2078" t="s">
        <v>54</v>
      </c>
    </row>
    <row r="2079" spans="1:12" x14ac:dyDescent="0.25">
      <c r="A2079" t="s">
        <v>487</v>
      </c>
      <c r="B2079" t="s">
        <v>461</v>
      </c>
      <c r="C2079" t="s">
        <v>462</v>
      </c>
      <c r="D2079" t="s">
        <v>252</v>
      </c>
      <c r="E2079" t="s">
        <v>258</v>
      </c>
      <c r="F2079">
        <v>3</v>
      </c>
      <c r="G2079" t="s">
        <v>498</v>
      </c>
      <c r="H2079" s="4">
        <v>26455601</v>
      </c>
      <c r="I2079" s="4">
        <v>25258681</v>
      </c>
      <c r="J2079" s="3">
        <v>0.0452425934304044</v>
      </c>
      <c r="K2079" s="3">
        <v>0.047386480711324556</v>
      </c>
      <c r="L2079" t="s">
        <v>54</v>
      </c>
    </row>
    <row r="2080" spans="1:12" x14ac:dyDescent="0.25">
      <c r="A2080" t="s">
        <v>487</v>
      </c>
      <c r="B2080" t="s">
        <v>461</v>
      </c>
      <c r="C2080" t="s">
        <v>462</v>
      </c>
      <c r="D2080" t="s">
        <v>252</v>
      </c>
      <c r="E2080" t="s">
        <v>258</v>
      </c>
      <c r="F2080">
        <v>3</v>
      </c>
      <c r="G2080" t="s">
        <v>499</v>
      </c>
      <c r="H2080" s="4">
        <v>26455601</v>
      </c>
      <c r="I2080" s="4">
        <v>20432583</v>
      </c>
      <c r="J2080" s="3">
        <v>0.22766513601410907</v>
      </c>
      <c r="K2080" s="3">
        <v>0.2947751637666173</v>
      </c>
      <c r="L2080" t="s">
        <v>54</v>
      </c>
    </row>
    <row r="2081" spans="1:12" x14ac:dyDescent="0.25">
      <c r="A2081" t="s">
        <v>487</v>
      </c>
      <c r="B2081" t="s">
        <v>461</v>
      </c>
      <c r="C2081" t="s">
        <v>462</v>
      </c>
      <c r="D2081" t="s">
        <v>254</v>
      </c>
      <c r="E2081" t="s">
        <v>256</v>
      </c>
      <c r="F2081">
        <v>1</v>
      </c>
      <c r="G2081" t="s">
        <v>488</v>
      </c>
      <c r="H2081" s="4">
        <v>24901449</v>
      </c>
      <c r="I2081" s="4">
        <v>23518885.435417023</v>
      </c>
      <c r="J2081" s="3">
        <v>0.05552141020319651</v>
      </c>
      <c r="K2081" s="3">
        <v>0.0587852501930631</v>
      </c>
      <c r="L2081" t="s">
        <v>54</v>
      </c>
    </row>
    <row r="2082" spans="1:12" x14ac:dyDescent="0.25">
      <c r="A2082" t="s">
        <v>487</v>
      </c>
      <c r="B2082" t="s">
        <v>461</v>
      </c>
      <c r="C2082" t="s">
        <v>462</v>
      </c>
      <c r="D2082" t="s">
        <v>254</v>
      </c>
      <c r="E2082" t="s">
        <v>256</v>
      </c>
      <c r="F2082">
        <v>1</v>
      </c>
      <c r="G2082" t="s">
        <v>498</v>
      </c>
      <c r="H2082" s="4">
        <v>24901449</v>
      </c>
      <c r="I2082" s="4">
        <v>23212368</v>
      </c>
      <c r="J2082" s="3">
        <v>0.06783063106086717</v>
      </c>
      <c r="K2082" s="3">
        <v>0.07276642348596231</v>
      </c>
      <c r="L2082" t="s">
        <v>54</v>
      </c>
    </row>
    <row r="2083" spans="1:12" x14ac:dyDescent="0.25">
      <c r="A2083" t="s">
        <v>487</v>
      </c>
      <c r="B2083" t="s">
        <v>461</v>
      </c>
      <c r="C2083" t="s">
        <v>462</v>
      </c>
      <c r="D2083" t="s">
        <v>254</v>
      </c>
      <c r="E2083" t="s">
        <v>256</v>
      </c>
      <c r="F2083">
        <v>1</v>
      </c>
      <c r="G2083" t="s">
        <v>499</v>
      </c>
      <c r="H2083" s="4">
        <v>24901449</v>
      </c>
      <c r="I2083" s="4">
        <v>19278302</v>
      </c>
      <c r="J2083" s="3">
        <v>0.22581605592509899</v>
      </c>
      <c r="K2083" s="3">
        <v>0.2916826907266003</v>
      </c>
      <c r="L2083" t="s">
        <v>54</v>
      </c>
    </row>
    <row r="2084" spans="1:12" x14ac:dyDescent="0.25">
      <c r="A2084" t="s">
        <v>487</v>
      </c>
      <c r="B2084" t="s">
        <v>461</v>
      </c>
      <c r="C2084" t="s">
        <v>462</v>
      </c>
      <c r="D2084" t="s">
        <v>254</v>
      </c>
      <c r="E2084" t="s">
        <v>258</v>
      </c>
      <c r="F2084">
        <v>2</v>
      </c>
      <c r="G2084" t="s">
        <v>488</v>
      </c>
      <c r="H2084" s="4">
        <v>26455601</v>
      </c>
      <c r="I2084" s="4">
        <v>25592219.83249381</v>
      </c>
      <c r="J2084" s="3">
        <v>0.03263509936917283</v>
      </c>
      <c r="K2084" s="3">
        <v>0.03373607968191858</v>
      </c>
      <c r="L2084" t="s">
        <v>54</v>
      </c>
    </row>
    <row r="2085" spans="1:12" x14ac:dyDescent="0.25">
      <c r="A2085" t="s">
        <v>487</v>
      </c>
      <c r="B2085" t="s">
        <v>461</v>
      </c>
      <c r="C2085" t="s">
        <v>462</v>
      </c>
      <c r="D2085" t="s">
        <v>254</v>
      </c>
      <c r="E2085" t="s">
        <v>258</v>
      </c>
      <c r="F2085">
        <v>2</v>
      </c>
      <c r="G2085" t="s">
        <v>498</v>
      </c>
      <c r="H2085" s="4">
        <v>26455601</v>
      </c>
      <c r="I2085" s="4">
        <v>25258681</v>
      </c>
      <c r="J2085" s="3">
        <v>0.0452425934304044</v>
      </c>
      <c r="K2085" s="3">
        <v>0.047386480711324556</v>
      </c>
      <c r="L2085" t="s">
        <v>54</v>
      </c>
    </row>
    <row r="2086" spans="1:12" x14ac:dyDescent="0.25">
      <c r="A2086" t="s">
        <v>487</v>
      </c>
      <c r="B2086" t="s">
        <v>461</v>
      </c>
      <c r="C2086" t="s">
        <v>462</v>
      </c>
      <c r="D2086" t="s">
        <v>254</v>
      </c>
      <c r="E2086" t="s">
        <v>258</v>
      </c>
      <c r="F2086">
        <v>2</v>
      </c>
      <c r="G2086" t="s">
        <v>499</v>
      </c>
      <c r="H2086" s="4">
        <v>26455601</v>
      </c>
      <c r="I2086" s="4">
        <v>19278302</v>
      </c>
      <c r="J2086" s="3">
        <v>0.27129601024750866</v>
      </c>
      <c r="K2086" s="3">
        <v>0.372299334246346</v>
      </c>
      <c r="L2086" t="s">
        <v>54</v>
      </c>
    </row>
    <row r="2087" spans="1:12" x14ac:dyDescent="0.25">
      <c r="A2087" t="s">
        <v>487</v>
      </c>
      <c r="B2087" t="s">
        <v>461</v>
      </c>
      <c r="C2087" t="s">
        <v>462</v>
      </c>
      <c r="D2087" t="s">
        <v>254</v>
      </c>
      <c r="E2087" t="s">
        <v>260</v>
      </c>
      <c r="F2087">
        <v>3</v>
      </c>
      <c r="G2087" t="s">
        <v>488</v>
      </c>
      <c r="H2087" s="4">
        <v>33233388</v>
      </c>
      <c r="I2087" s="4">
        <v>29679911.994731817</v>
      </c>
      <c r="J2087" s="3">
        <v>0.10692487943956189</v>
      </c>
      <c r="K2087" s="3">
        <v>0.11972663550683453</v>
      </c>
      <c r="L2087" t="s">
        <v>54</v>
      </c>
    </row>
    <row r="2088" spans="1:12" x14ac:dyDescent="0.25">
      <c r="A2088" t="s">
        <v>487</v>
      </c>
      <c r="B2088" t="s">
        <v>461</v>
      </c>
      <c r="C2088" t="s">
        <v>462</v>
      </c>
      <c r="D2088" t="s">
        <v>254</v>
      </c>
      <c r="E2088" t="s">
        <v>260</v>
      </c>
      <c r="F2088">
        <v>3</v>
      </c>
      <c r="G2088" t="s">
        <v>498</v>
      </c>
      <c r="H2088" s="4">
        <v>33233388</v>
      </c>
      <c r="I2088" s="4">
        <v>29293099</v>
      </c>
      <c r="J2088" s="3">
        <v>0.11856416805894121</v>
      </c>
      <c r="K2088" s="3">
        <v>0.13451253484651796</v>
      </c>
      <c r="L2088" t="s">
        <v>54</v>
      </c>
    </row>
    <row r="2089" spans="1:12" x14ac:dyDescent="0.25">
      <c r="A2089" t="s">
        <v>487</v>
      </c>
      <c r="B2089" t="s">
        <v>461</v>
      </c>
      <c r="C2089" t="s">
        <v>462</v>
      </c>
      <c r="D2089" t="s">
        <v>254</v>
      </c>
      <c r="E2089" t="s">
        <v>260</v>
      </c>
      <c r="F2089">
        <v>3</v>
      </c>
      <c r="G2089" t="s">
        <v>499</v>
      </c>
      <c r="H2089" s="4">
        <v>33233388</v>
      </c>
      <c r="I2089" s="4">
        <v>19278302</v>
      </c>
      <c r="J2089" s="3">
        <v>0.4199116262236038</v>
      </c>
      <c r="K2089" s="3">
        <v>0.7238752666080239</v>
      </c>
      <c r="L2089" t="s">
        <v>54</v>
      </c>
    </row>
    <row r="2090" spans="1:12" x14ac:dyDescent="0.25">
      <c r="A2090" t="s">
        <v>487</v>
      </c>
      <c r="B2090" t="s">
        <v>461</v>
      </c>
      <c r="C2090" t="s">
        <v>462</v>
      </c>
      <c r="D2090" t="s">
        <v>256</v>
      </c>
      <c r="E2090" t="s">
        <v>258</v>
      </c>
      <c r="F2090">
        <v>1</v>
      </c>
      <c r="G2090" t="s">
        <v>488</v>
      </c>
      <c r="H2090" s="4">
        <v>26455601</v>
      </c>
      <c r="I2090" s="4">
        <v>25585328.811928138</v>
      </c>
      <c r="J2090" s="3">
        <v>0.03289557428961307</v>
      </c>
      <c r="K2090" s="3">
        <v>0.034014500828542495</v>
      </c>
      <c r="L2090" t="s">
        <v>54</v>
      </c>
    </row>
    <row r="2091" spans="1:12" x14ac:dyDescent="0.25">
      <c r="A2091" t="s">
        <v>487</v>
      </c>
      <c r="B2091" t="s">
        <v>461</v>
      </c>
      <c r="C2091" t="s">
        <v>462</v>
      </c>
      <c r="D2091" t="s">
        <v>256</v>
      </c>
      <c r="E2091" t="s">
        <v>258</v>
      </c>
      <c r="F2091">
        <v>1</v>
      </c>
      <c r="G2091" t="s">
        <v>498</v>
      </c>
      <c r="H2091" s="4">
        <v>26455601</v>
      </c>
      <c r="I2091" s="4">
        <v>25258681</v>
      </c>
      <c r="J2091" s="3">
        <v>0.0452425934304044</v>
      </c>
      <c r="K2091" s="3">
        <v>0.047386480711324556</v>
      </c>
      <c r="L2091" t="s">
        <v>54</v>
      </c>
    </row>
    <row r="2092" spans="1:12" x14ac:dyDescent="0.25">
      <c r="A2092" t="s">
        <v>487</v>
      </c>
      <c r="B2092" t="s">
        <v>461</v>
      </c>
      <c r="C2092" t="s">
        <v>462</v>
      </c>
      <c r="D2092" t="s">
        <v>256</v>
      </c>
      <c r="E2092" t="s">
        <v>258</v>
      </c>
      <c r="F2092">
        <v>1</v>
      </c>
      <c r="G2092" t="s">
        <v>499</v>
      </c>
      <c r="H2092" s="4">
        <v>26455601</v>
      </c>
      <c r="I2092" s="4">
        <v>24901449</v>
      </c>
      <c r="J2092" s="3">
        <v>0.058745669773293</v>
      </c>
      <c r="K2092" s="3">
        <v>0.062412111038197014</v>
      </c>
      <c r="L2092" t="s">
        <v>54</v>
      </c>
    </row>
    <row r="2093" spans="1:12" x14ac:dyDescent="0.25">
      <c r="A2093" t="s">
        <v>487</v>
      </c>
      <c r="B2093" t="s">
        <v>461</v>
      </c>
      <c r="C2093" t="s">
        <v>462</v>
      </c>
      <c r="D2093" t="s">
        <v>256</v>
      </c>
      <c r="E2093" t="s">
        <v>260</v>
      </c>
      <c r="F2093">
        <v>2</v>
      </c>
      <c r="G2093" t="s">
        <v>488</v>
      </c>
      <c r="H2093" s="4">
        <v>33233388</v>
      </c>
      <c r="I2093" s="4">
        <v>29671920.312678378</v>
      </c>
      <c r="J2093" s="3">
        <v>0.10716535092123686</v>
      </c>
      <c r="K2093" s="3">
        <v>0.12002821690646893</v>
      </c>
      <c r="L2093" t="s">
        <v>54</v>
      </c>
    </row>
    <row r="2094" spans="1:12" x14ac:dyDescent="0.25">
      <c r="A2094" t="s">
        <v>487</v>
      </c>
      <c r="B2094" t="s">
        <v>461</v>
      </c>
      <c r="C2094" t="s">
        <v>462</v>
      </c>
      <c r="D2094" t="s">
        <v>256</v>
      </c>
      <c r="E2094" t="s">
        <v>260</v>
      </c>
      <c r="F2094">
        <v>2</v>
      </c>
      <c r="G2094" t="s">
        <v>498</v>
      </c>
      <c r="H2094" s="4">
        <v>33233388</v>
      </c>
      <c r="I2094" s="4">
        <v>29293099</v>
      </c>
      <c r="J2094" s="3">
        <v>0.11856416805894121</v>
      </c>
      <c r="K2094" s="3">
        <v>0.13451253484651796</v>
      </c>
      <c r="L2094" t="s">
        <v>54</v>
      </c>
    </row>
    <row r="2095" spans="1:12" x14ac:dyDescent="0.25">
      <c r="A2095" t="s">
        <v>487</v>
      </c>
      <c r="B2095" t="s">
        <v>461</v>
      </c>
      <c r="C2095" t="s">
        <v>462</v>
      </c>
      <c r="D2095" t="s">
        <v>256</v>
      </c>
      <c r="E2095" t="s">
        <v>260</v>
      </c>
      <c r="F2095">
        <v>2</v>
      </c>
      <c r="G2095" t="s">
        <v>499</v>
      </c>
      <c r="H2095" s="4">
        <v>33233388</v>
      </c>
      <c r="I2095" s="4">
        <v>24901449</v>
      </c>
      <c r="J2095" s="3">
        <v>0.2507098885012867</v>
      </c>
      <c r="K2095" s="3">
        <v>0.33459655299577146</v>
      </c>
      <c r="L2095" t="s">
        <v>54</v>
      </c>
    </row>
    <row r="2096" spans="1:12" x14ac:dyDescent="0.25">
      <c r="A2096" t="s">
        <v>487</v>
      </c>
      <c r="B2096" t="s">
        <v>461</v>
      </c>
      <c r="C2096" t="s">
        <v>462</v>
      </c>
      <c r="D2096" t="s">
        <v>256</v>
      </c>
      <c r="E2096" t="s">
        <v>262</v>
      </c>
      <c r="F2096">
        <v>3</v>
      </c>
      <c r="G2096" t="s">
        <v>488</v>
      </c>
      <c r="H2096" s="4">
        <v>29509810</v>
      </c>
      <c r="I2096" s="4">
        <v>30296574.2677448</v>
      </c>
      <c r="J2096" s="3">
        <v>0.02666110922926302</v>
      </c>
      <c r="K2096" s="3">
        <v>-0.025968753456803384</v>
      </c>
      <c r="L2096" t="s">
        <v>54</v>
      </c>
    </row>
    <row r="2097" spans="1:12" x14ac:dyDescent="0.25">
      <c r="A2097" t="s">
        <v>487</v>
      </c>
      <c r="B2097" t="s">
        <v>461</v>
      </c>
      <c r="C2097" t="s">
        <v>462</v>
      </c>
      <c r="D2097" t="s">
        <v>256</v>
      </c>
      <c r="E2097" t="s">
        <v>262</v>
      </c>
      <c r="F2097">
        <v>3</v>
      </c>
      <c r="G2097" t="s">
        <v>498</v>
      </c>
      <c r="H2097" s="4">
        <v>29509810</v>
      </c>
      <c r="I2097" s="4">
        <v>29909778</v>
      </c>
      <c r="J2097" s="3">
        <v>0.013553730098567222</v>
      </c>
      <c r="K2097" s="3">
        <v>-0.013372483072258176</v>
      </c>
      <c r="L2097" t="s">
        <v>54</v>
      </c>
    </row>
    <row r="2098" spans="1:12" x14ac:dyDescent="0.25">
      <c r="A2098" t="s">
        <v>487</v>
      </c>
      <c r="B2098" t="s">
        <v>461</v>
      </c>
      <c r="C2098" t="s">
        <v>462</v>
      </c>
      <c r="D2098" t="s">
        <v>256</v>
      </c>
      <c r="E2098" t="s">
        <v>262</v>
      </c>
      <c r="F2098">
        <v>3</v>
      </c>
      <c r="G2098" t="s">
        <v>499</v>
      </c>
      <c r="H2098" s="4">
        <v>29509810</v>
      </c>
      <c r="I2098" s="4">
        <v>24901449</v>
      </c>
      <c r="J2098" s="3">
        <v>0.15616369607259417</v>
      </c>
      <c r="K2098" s="3">
        <v>0.1850639695706061</v>
      </c>
      <c r="L2098" t="s">
        <v>54</v>
      </c>
    </row>
    <row r="2099" spans="1:12" x14ac:dyDescent="0.25">
      <c r="A2099" t="s">
        <v>487</v>
      </c>
      <c r="B2099" t="s">
        <v>461</v>
      </c>
      <c r="C2099" t="s">
        <v>462</v>
      </c>
      <c r="D2099" t="s">
        <v>258</v>
      </c>
      <c r="E2099" t="s">
        <v>260</v>
      </c>
      <c r="F2099">
        <v>1</v>
      </c>
      <c r="G2099" t="s">
        <v>488</v>
      </c>
      <c r="H2099" s="4">
        <v>33233388</v>
      </c>
      <c r="I2099" s="4">
        <v>29799579.65678973</v>
      </c>
      <c r="J2099" s="3">
        <v>0.10332405300387275</v>
      </c>
      <c r="K2099" s="3">
        <v>0.11523009326837559</v>
      </c>
      <c r="L2099" t="s">
        <v>54</v>
      </c>
    </row>
    <row r="2100" spans="1:12" x14ac:dyDescent="0.25">
      <c r="A2100" t="s">
        <v>487</v>
      </c>
      <c r="B2100" t="s">
        <v>461</v>
      </c>
      <c r="C2100" t="s">
        <v>462</v>
      </c>
      <c r="D2100" t="s">
        <v>258</v>
      </c>
      <c r="E2100" t="s">
        <v>260</v>
      </c>
      <c r="F2100">
        <v>1</v>
      </c>
      <c r="G2100" t="s">
        <v>498</v>
      </c>
      <c r="H2100" s="4">
        <v>33233388</v>
      </c>
      <c r="I2100" s="4">
        <v>29293099</v>
      </c>
      <c r="J2100" s="3">
        <v>0.11856416805894121</v>
      </c>
      <c r="K2100" s="3">
        <v>0.13451253484651796</v>
      </c>
      <c r="L2100" t="s">
        <v>54</v>
      </c>
    </row>
    <row r="2101" spans="1:12" x14ac:dyDescent="0.25">
      <c r="A2101" t="s">
        <v>487</v>
      </c>
      <c r="B2101" t="s">
        <v>461</v>
      </c>
      <c r="C2101" t="s">
        <v>462</v>
      </c>
      <c r="D2101" t="s">
        <v>258</v>
      </c>
      <c r="E2101" t="s">
        <v>260</v>
      </c>
      <c r="F2101">
        <v>1</v>
      </c>
      <c r="G2101" t="s">
        <v>499</v>
      </c>
      <c r="H2101" s="4">
        <v>33233388</v>
      </c>
      <c r="I2101" s="4">
        <v>26455601</v>
      </c>
      <c r="J2101" s="3">
        <v>0.203945110862606</v>
      </c>
      <c r="K2101" s="3">
        <v>0.25619478461290673</v>
      </c>
      <c r="L2101" t="s">
        <v>54</v>
      </c>
    </row>
    <row r="2102" spans="1:12" x14ac:dyDescent="0.25">
      <c r="A2102" t="s">
        <v>487</v>
      </c>
      <c r="B2102" t="s">
        <v>461</v>
      </c>
      <c r="C2102" t="s">
        <v>462</v>
      </c>
      <c r="D2102" t="s">
        <v>258</v>
      </c>
      <c r="E2102" t="s">
        <v>262</v>
      </c>
      <c r="F2102">
        <v>2</v>
      </c>
      <c r="G2102" t="s">
        <v>488</v>
      </c>
      <c r="H2102" s="4">
        <v>29509810</v>
      </c>
      <c r="I2102" s="4">
        <v>30426921.099331178</v>
      </c>
      <c r="J2102" s="3">
        <v>0.031078177031000125</v>
      </c>
      <c r="K2102" s="3">
        <v>-0.030141436142592064</v>
      </c>
      <c r="L2102" t="s">
        <v>54</v>
      </c>
    </row>
    <row r="2103" spans="1:12" x14ac:dyDescent="0.25">
      <c r="A2103" t="s">
        <v>487</v>
      </c>
      <c r="B2103" t="s">
        <v>461</v>
      </c>
      <c r="C2103" t="s">
        <v>462</v>
      </c>
      <c r="D2103" t="s">
        <v>258</v>
      </c>
      <c r="E2103" t="s">
        <v>262</v>
      </c>
      <c r="F2103">
        <v>2</v>
      </c>
      <c r="G2103" t="s">
        <v>498</v>
      </c>
      <c r="H2103" s="4">
        <v>29509810</v>
      </c>
      <c r="I2103" s="4">
        <v>29909778</v>
      </c>
      <c r="J2103" s="3">
        <v>0.013553730098567222</v>
      </c>
      <c r="K2103" s="3">
        <v>-0.013372483072258176</v>
      </c>
      <c r="L2103" t="s">
        <v>54</v>
      </c>
    </row>
    <row r="2104" spans="1:12" x14ac:dyDescent="0.25">
      <c r="A2104" t="s">
        <v>487</v>
      </c>
      <c r="B2104" t="s">
        <v>461</v>
      </c>
      <c r="C2104" t="s">
        <v>462</v>
      </c>
      <c r="D2104" t="s">
        <v>258</v>
      </c>
      <c r="E2104" t="s">
        <v>262</v>
      </c>
      <c r="F2104">
        <v>2</v>
      </c>
      <c r="G2104" t="s">
        <v>499</v>
      </c>
      <c r="H2104" s="4">
        <v>29509810</v>
      </c>
      <c r="I2104" s="4">
        <v>26455601</v>
      </c>
      <c r="J2104" s="3">
        <v>0.10349809097381515</v>
      </c>
      <c r="K2104" s="3">
        <v>0.11544659295398355</v>
      </c>
      <c r="L2104" t="s">
        <v>54</v>
      </c>
    </row>
    <row r="2105" spans="1:12" x14ac:dyDescent="0.25">
      <c r="A2105" t="s">
        <v>487</v>
      </c>
      <c r="B2105" t="s">
        <v>461</v>
      </c>
      <c r="C2105" t="s">
        <v>462</v>
      </c>
      <c r="D2105" t="s">
        <v>258</v>
      </c>
      <c r="E2105" t="s">
        <v>264</v>
      </c>
      <c r="F2105">
        <v>3</v>
      </c>
      <c r="G2105" t="s">
        <v>488</v>
      </c>
      <c r="H2105" s="4">
        <v>29415399</v>
      </c>
      <c r="I2105" s="4">
        <v>29582853.121682554</v>
      </c>
      <c r="J2105" s="3">
        <v>0.00569273670850273</v>
      </c>
      <c r="K2105" s="3">
        <v>-0.005660512898934014</v>
      </c>
      <c r="L2105" t="s">
        <v>54</v>
      </c>
    </row>
    <row r="2106" spans="1:12" x14ac:dyDescent="0.25">
      <c r="A2106" t="s">
        <v>487</v>
      </c>
      <c r="B2106" t="s">
        <v>461</v>
      </c>
      <c r="C2106" t="s">
        <v>462</v>
      </c>
      <c r="D2106" t="s">
        <v>258</v>
      </c>
      <c r="E2106" t="s">
        <v>264</v>
      </c>
      <c r="F2106">
        <v>3</v>
      </c>
      <c r="G2106" t="s">
        <v>498</v>
      </c>
      <c r="H2106" s="4">
        <v>29415399</v>
      </c>
      <c r="I2106" s="4">
        <v>29080056</v>
      </c>
      <c r="J2106" s="3">
        <v>0.011400253316298719</v>
      </c>
      <c r="K2106" s="3">
        <v>0.01153171782062593</v>
      </c>
      <c r="L2106" t="s">
        <v>54</v>
      </c>
    </row>
    <row r="2107" spans="1:12" x14ac:dyDescent="0.25">
      <c r="A2107" t="s">
        <v>487</v>
      </c>
      <c r="B2107" t="s">
        <v>461</v>
      </c>
      <c r="C2107" t="s">
        <v>462</v>
      </c>
      <c r="D2107" t="s">
        <v>258</v>
      </c>
      <c r="E2107" t="s">
        <v>264</v>
      </c>
      <c r="F2107">
        <v>3</v>
      </c>
      <c r="G2107" t="s">
        <v>499</v>
      </c>
      <c r="H2107" s="4">
        <v>29415399</v>
      </c>
      <c r="I2107" s="4">
        <v>26455601</v>
      </c>
      <c r="J2107" s="3">
        <v>0.1006206987027441</v>
      </c>
      <c r="K2107" s="3">
        <v>0.1118779346573907</v>
      </c>
      <c r="L2107" t="s">
        <v>54</v>
      </c>
    </row>
    <row r="2108" spans="1:12" x14ac:dyDescent="0.25">
      <c r="A2108" t="s">
        <v>487</v>
      </c>
      <c r="B2108" t="s">
        <v>461</v>
      </c>
      <c r="C2108" t="s">
        <v>462</v>
      </c>
      <c r="D2108" t="s">
        <v>260</v>
      </c>
      <c r="E2108" t="s">
        <v>262</v>
      </c>
      <c r="F2108">
        <v>1</v>
      </c>
      <c r="G2108" t="s">
        <v>488</v>
      </c>
      <c r="H2108" s="4">
        <v>29509810</v>
      </c>
      <c r="I2108" s="4">
        <v>30462979.041499767</v>
      </c>
      <c r="J2108" s="3">
        <v>0.0323000738229005</v>
      </c>
      <c r="K2108" s="3">
        <v>-0.03128942314542723</v>
      </c>
      <c r="L2108" t="s">
        <v>54</v>
      </c>
    </row>
    <row r="2109" spans="1:12" x14ac:dyDescent="0.25">
      <c r="A2109" t="s">
        <v>487</v>
      </c>
      <c r="B2109" t="s">
        <v>461</v>
      </c>
      <c r="C2109" t="s">
        <v>462</v>
      </c>
      <c r="D2109" t="s">
        <v>260</v>
      </c>
      <c r="E2109" t="s">
        <v>262</v>
      </c>
      <c r="F2109">
        <v>1</v>
      </c>
      <c r="G2109" t="s">
        <v>498</v>
      </c>
      <c r="H2109" s="4">
        <v>29509810</v>
      </c>
      <c r="I2109" s="4">
        <v>29909778</v>
      </c>
      <c r="J2109" s="3">
        <v>0.013553730098567222</v>
      </c>
      <c r="K2109" s="3">
        <v>-0.013372483072258176</v>
      </c>
      <c r="L2109" t="s">
        <v>54</v>
      </c>
    </row>
    <row r="2110" spans="1:12" x14ac:dyDescent="0.25">
      <c r="A2110" t="s">
        <v>487</v>
      </c>
      <c r="B2110" t="s">
        <v>461</v>
      </c>
      <c r="C2110" t="s">
        <v>462</v>
      </c>
      <c r="D2110" t="s">
        <v>260</v>
      </c>
      <c r="E2110" t="s">
        <v>262</v>
      </c>
      <c r="F2110">
        <v>1</v>
      </c>
      <c r="G2110" t="s">
        <v>499</v>
      </c>
      <c r="H2110" s="4">
        <v>29509810</v>
      </c>
      <c r="I2110" s="4">
        <v>33233388</v>
      </c>
      <c r="J2110" s="3">
        <v>0.12618102251420799</v>
      </c>
      <c r="K2110" s="3">
        <v>-0.11204328610733279</v>
      </c>
      <c r="L2110" t="s">
        <v>54</v>
      </c>
    </row>
    <row r="2111" spans="1:12" x14ac:dyDescent="0.25">
      <c r="A2111" t="s">
        <v>487</v>
      </c>
      <c r="B2111" t="s">
        <v>461</v>
      </c>
      <c r="C2111" t="s">
        <v>462</v>
      </c>
      <c r="D2111" t="s">
        <v>260</v>
      </c>
      <c r="E2111" t="s">
        <v>264</v>
      </c>
      <c r="F2111">
        <v>2</v>
      </c>
      <c r="G2111" t="s">
        <v>488</v>
      </c>
      <c r="H2111" s="4">
        <v>29415399</v>
      </c>
      <c r="I2111" s="4">
        <v>29617910.786687873</v>
      </c>
      <c r="J2111" s="3">
        <v>0.006884550051076081</v>
      </c>
      <c r="K2111" s="3">
        <v>-0.006837477097773374</v>
      </c>
      <c r="L2111" t="s">
        <v>54</v>
      </c>
    </row>
    <row r="2112" spans="1:12" x14ac:dyDescent="0.25">
      <c r="A2112" t="s">
        <v>487</v>
      </c>
      <c r="B2112" t="s">
        <v>461</v>
      </c>
      <c r="C2112" t="s">
        <v>462</v>
      </c>
      <c r="D2112" t="s">
        <v>260</v>
      </c>
      <c r="E2112" t="s">
        <v>264</v>
      </c>
      <c r="F2112">
        <v>2</v>
      </c>
      <c r="G2112" t="s">
        <v>498</v>
      </c>
      <c r="H2112" s="4">
        <v>29415399</v>
      </c>
      <c r="I2112" s="4">
        <v>29080056</v>
      </c>
      <c r="J2112" s="3">
        <v>0.011400253316298719</v>
      </c>
      <c r="K2112" s="3">
        <v>0.01153171782062593</v>
      </c>
      <c r="L2112" t="s">
        <v>54</v>
      </c>
    </row>
    <row r="2113" spans="1:12" x14ac:dyDescent="0.25">
      <c r="A2113" t="s">
        <v>487</v>
      </c>
      <c r="B2113" t="s">
        <v>461</v>
      </c>
      <c r="C2113" t="s">
        <v>462</v>
      </c>
      <c r="D2113" t="s">
        <v>260</v>
      </c>
      <c r="E2113" t="s">
        <v>264</v>
      </c>
      <c r="F2113">
        <v>2</v>
      </c>
      <c r="G2113" t="s">
        <v>499</v>
      </c>
      <c r="H2113" s="4">
        <v>29415399</v>
      </c>
      <c r="I2113" s="4">
        <v>33233388</v>
      </c>
      <c r="J2113" s="3">
        <v>0.12979558767841293</v>
      </c>
      <c r="K2113" s="3">
        <v>-0.11488413399199625</v>
      </c>
      <c r="L2113" t="s">
        <v>54</v>
      </c>
    </row>
    <row r="2114" spans="1:12" x14ac:dyDescent="0.25">
      <c r="A2114" t="s">
        <v>487</v>
      </c>
      <c r="B2114" t="s">
        <v>461</v>
      </c>
      <c r="C2114" t="s">
        <v>462</v>
      </c>
      <c r="D2114" t="s">
        <v>260</v>
      </c>
      <c r="E2114" t="s">
        <v>266</v>
      </c>
      <c r="F2114">
        <v>3</v>
      </c>
      <c r="G2114" t="s">
        <v>488</v>
      </c>
      <c r="H2114" s="4">
        <v>30550204</v>
      </c>
      <c r="I2114" s="4">
        <v>27829950.824546345</v>
      </c>
      <c r="J2114" s="3">
        <v>0.08904206254903095</v>
      </c>
      <c r="K2114" s="3">
        <v>0.09774552576838763</v>
      </c>
      <c r="L2114" t="s">
        <v>54</v>
      </c>
    </row>
    <row r="2115" spans="1:12" x14ac:dyDescent="0.25">
      <c r="A2115" t="s">
        <v>487</v>
      </c>
      <c r="B2115" t="s">
        <v>461</v>
      </c>
      <c r="C2115" t="s">
        <v>462</v>
      </c>
      <c r="D2115" t="s">
        <v>260</v>
      </c>
      <c r="E2115" t="s">
        <v>266</v>
      </c>
      <c r="F2115">
        <v>3</v>
      </c>
      <c r="G2115" t="s">
        <v>498</v>
      </c>
      <c r="H2115" s="4">
        <v>30550204</v>
      </c>
      <c r="I2115" s="4">
        <v>27324565</v>
      </c>
      <c r="J2115" s="3">
        <v>0.10558485959700957</v>
      </c>
      <c r="K2115" s="3">
        <v>0.11804905219900115</v>
      </c>
      <c r="L2115" t="s">
        <v>54</v>
      </c>
    </row>
    <row r="2116" spans="1:12" x14ac:dyDescent="0.25">
      <c r="A2116" t="s">
        <v>487</v>
      </c>
      <c r="B2116" t="s">
        <v>461</v>
      </c>
      <c r="C2116" t="s">
        <v>462</v>
      </c>
      <c r="D2116" t="s">
        <v>260</v>
      </c>
      <c r="E2116" t="s">
        <v>266</v>
      </c>
      <c r="F2116">
        <v>3</v>
      </c>
      <c r="G2116" t="s">
        <v>499</v>
      </c>
      <c r="H2116" s="4">
        <v>30550204</v>
      </c>
      <c r="I2116" s="4">
        <v>33233388</v>
      </c>
      <c r="J2116" s="3">
        <v>0.08782867701963627</v>
      </c>
      <c r="K2116" s="3">
        <v>-0.08073760039150989</v>
      </c>
      <c r="L2116" t="s">
        <v>54</v>
      </c>
    </row>
    <row r="2117" spans="1:12" x14ac:dyDescent="0.25">
      <c r="A2117" t="s">
        <v>487</v>
      </c>
      <c r="B2117" t="s">
        <v>461</v>
      </c>
      <c r="C2117" t="s">
        <v>462</v>
      </c>
      <c r="D2117" t="s">
        <v>262</v>
      </c>
      <c r="E2117" t="s">
        <v>264</v>
      </c>
      <c r="F2117">
        <v>1</v>
      </c>
      <c r="G2117" t="s">
        <v>488</v>
      </c>
      <c r="H2117" s="4">
        <v>29415399</v>
      </c>
      <c r="I2117" s="4">
        <v>29410992.438435614</v>
      </c>
      <c r="J2117" s="3">
        <v>0.000149804582436087</v>
      </c>
      <c r="K2117" s="3">
        <v>0.00014982702721133602</v>
      </c>
      <c r="L2117" t="s">
        <v>54</v>
      </c>
    </row>
    <row r="2118" spans="1:12" x14ac:dyDescent="0.25">
      <c r="A2118" t="s">
        <v>487</v>
      </c>
      <c r="B2118" t="s">
        <v>461</v>
      </c>
      <c r="C2118" t="s">
        <v>462</v>
      </c>
      <c r="D2118" t="s">
        <v>262</v>
      </c>
      <c r="E2118" t="s">
        <v>264</v>
      </c>
      <c r="F2118">
        <v>1</v>
      </c>
      <c r="G2118" t="s">
        <v>498</v>
      </c>
      <c r="H2118" s="4">
        <v>29415399</v>
      </c>
      <c r="I2118" s="4">
        <v>29080056</v>
      </c>
      <c r="J2118" s="3">
        <v>0.011400253316298719</v>
      </c>
      <c r="K2118" s="3">
        <v>0.01153171782062593</v>
      </c>
      <c r="L2118" t="s">
        <v>54</v>
      </c>
    </row>
    <row r="2119" spans="1:12" x14ac:dyDescent="0.25">
      <c r="A2119" t="s">
        <v>487</v>
      </c>
      <c r="B2119" t="s">
        <v>461</v>
      </c>
      <c r="C2119" t="s">
        <v>462</v>
      </c>
      <c r="D2119" t="s">
        <v>262</v>
      </c>
      <c r="E2119" t="s">
        <v>264</v>
      </c>
      <c r="F2119">
        <v>1</v>
      </c>
      <c r="G2119" t="s">
        <v>499</v>
      </c>
      <c r="H2119" s="4">
        <v>29415399</v>
      </c>
      <c r="I2119" s="4">
        <v>29509810</v>
      </c>
      <c r="J2119" s="3">
        <v>0.0032095774053583293</v>
      </c>
      <c r="K2119" s="3">
        <v>-0.0031993089755576196</v>
      </c>
      <c r="L2119" t="s">
        <v>54</v>
      </c>
    </row>
    <row r="2120" spans="1:12" x14ac:dyDescent="0.25">
      <c r="A2120" t="s">
        <v>487</v>
      </c>
      <c r="B2120" t="s">
        <v>461</v>
      </c>
      <c r="C2120" t="s">
        <v>462</v>
      </c>
      <c r="D2120" t="s">
        <v>262</v>
      </c>
      <c r="E2120" t="s">
        <v>266</v>
      </c>
      <c r="F2120">
        <v>2</v>
      </c>
      <c r="G2120" t="s">
        <v>488</v>
      </c>
      <c r="H2120" s="4">
        <v>30550204</v>
      </c>
      <c r="I2120" s="4">
        <v>27635523.62480122</v>
      </c>
      <c r="J2120" s="3">
        <v>0.09540624917590669</v>
      </c>
      <c r="K2120" s="3">
        <v>0.10546861404800853</v>
      </c>
      <c r="L2120" t="s">
        <v>54</v>
      </c>
    </row>
    <row r="2121" spans="1:12" x14ac:dyDescent="0.25">
      <c r="A2121" t="s">
        <v>487</v>
      </c>
      <c r="B2121" t="s">
        <v>461</v>
      </c>
      <c r="C2121" t="s">
        <v>462</v>
      </c>
      <c r="D2121" t="s">
        <v>262</v>
      </c>
      <c r="E2121" t="s">
        <v>266</v>
      </c>
      <c r="F2121">
        <v>2</v>
      </c>
      <c r="G2121" t="s">
        <v>498</v>
      </c>
      <c r="H2121" s="4">
        <v>30550204</v>
      </c>
      <c r="I2121" s="4">
        <v>27324565</v>
      </c>
      <c r="J2121" s="3">
        <v>0.10558485959700957</v>
      </c>
      <c r="K2121" s="3">
        <v>0.11804905219900115</v>
      </c>
      <c r="L2121" t="s">
        <v>54</v>
      </c>
    </row>
    <row r="2122" spans="1:12" x14ac:dyDescent="0.25">
      <c r="A2122" t="s">
        <v>487</v>
      </c>
      <c r="B2122" t="s">
        <v>461</v>
      </c>
      <c r="C2122" t="s">
        <v>462</v>
      </c>
      <c r="D2122" t="s">
        <v>262</v>
      </c>
      <c r="E2122" t="s">
        <v>266</v>
      </c>
      <c r="F2122">
        <v>2</v>
      </c>
      <c r="G2122" t="s">
        <v>499</v>
      </c>
      <c r="H2122" s="4">
        <v>30550204</v>
      </c>
      <c r="I2122" s="4">
        <v>29509810</v>
      </c>
      <c r="J2122" s="3">
        <v>0.03405522267543615</v>
      </c>
      <c r="K2122" s="3">
        <v>0.035255869149953864</v>
      </c>
      <c r="L2122" t="s">
        <v>54</v>
      </c>
    </row>
    <row r="2123" spans="1:12" x14ac:dyDescent="0.25">
      <c r="A2123" t="s">
        <v>487</v>
      </c>
      <c r="B2123" t="s">
        <v>461</v>
      </c>
      <c r="C2123" t="s">
        <v>462</v>
      </c>
      <c r="D2123" t="s">
        <v>262</v>
      </c>
      <c r="E2123" t="s">
        <v>268</v>
      </c>
      <c r="F2123">
        <v>3</v>
      </c>
      <c r="G2123" t="s">
        <v>488</v>
      </c>
      <c r="H2123" s="4">
        <v>27971242</v>
      </c>
      <c r="I2123" s="4">
        <v>29602144.30491953</v>
      </c>
      <c r="J2123" s="3">
        <v>0.05830639572313341</v>
      </c>
      <c r="K2123" s="3">
        <v>-0.05509405967757859</v>
      </c>
      <c r="L2123" t="s">
        <v>54</v>
      </c>
    </row>
    <row r="2124" spans="1:12" x14ac:dyDescent="0.25">
      <c r="A2124" t="s">
        <v>487</v>
      </c>
      <c r="B2124" t="s">
        <v>461</v>
      </c>
      <c r="C2124" t="s">
        <v>462</v>
      </c>
      <c r="D2124" t="s">
        <v>262</v>
      </c>
      <c r="E2124" t="s">
        <v>268</v>
      </c>
      <c r="F2124">
        <v>3</v>
      </c>
      <c r="G2124" t="s">
        <v>498</v>
      </c>
      <c r="H2124" s="4">
        <v>27971242</v>
      </c>
      <c r="I2124" s="4">
        <v>29269057</v>
      </c>
      <c r="J2124" s="3">
        <v>0.04639818996954086</v>
      </c>
      <c r="K2124" s="3">
        <v>-0.044340854575533474</v>
      </c>
      <c r="L2124" t="s">
        <v>54</v>
      </c>
    </row>
    <row r="2125" spans="1:12" x14ac:dyDescent="0.25">
      <c r="A2125" t="s">
        <v>487</v>
      </c>
      <c r="B2125" t="s">
        <v>461</v>
      </c>
      <c r="C2125" t="s">
        <v>462</v>
      </c>
      <c r="D2125" t="s">
        <v>262</v>
      </c>
      <c r="E2125" t="s">
        <v>268</v>
      </c>
      <c r="F2125">
        <v>3</v>
      </c>
      <c r="G2125" t="s">
        <v>499</v>
      </c>
      <c r="H2125" s="4">
        <v>27971242</v>
      </c>
      <c r="I2125" s="4">
        <v>29509810</v>
      </c>
      <c r="J2125" s="3">
        <v>0.05500535156787103</v>
      </c>
      <c r="K2125" s="3">
        <v>-0.052137509526493056</v>
      </c>
      <c r="L2125" t="s">
        <v>54</v>
      </c>
    </row>
    <row r="2126" spans="1:12" x14ac:dyDescent="0.25">
      <c r="A2126" t="s">
        <v>487</v>
      </c>
      <c r="B2126" t="s">
        <v>461</v>
      </c>
      <c r="C2126" t="s">
        <v>462</v>
      </c>
      <c r="D2126" t="s">
        <v>264</v>
      </c>
      <c r="E2126" t="s">
        <v>266</v>
      </c>
      <c r="F2126">
        <v>1</v>
      </c>
      <c r="G2126" t="s">
        <v>488</v>
      </c>
      <c r="H2126" s="4">
        <v>30550204</v>
      </c>
      <c r="I2126" s="4">
        <v>28002698.292115793</v>
      </c>
      <c r="J2126" s="3">
        <v>0.08338751871785234</v>
      </c>
      <c r="K2126" s="3">
        <v>0.0909735798068239</v>
      </c>
      <c r="L2126" t="s">
        <v>54</v>
      </c>
    </row>
    <row r="2127" spans="1:12" x14ac:dyDescent="0.25">
      <c r="A2127" t="s">
        <v>487</v>
      </c>
      <c r="B2127" t="s">
        <v>461</v>
      </c>
      <c r="C2127" t="s">
        <v>462</v>
      </c>
      <c r="D2127" t="s">
        <v>264</v>
      </c>
      <c r="E2127" t="s">
        <v>266</v>
      </c>
      <c r="F2127">
        <v>1</v>
      </c>
      <c r="G2127" t="s">
        <v>498</v>
      </c>
      <c r="H2127" s="4">
        <v>30550204</v>
      </c>
      <c r="I2127" s="4">
        <v>27324565</v>
      </c>
      <c r="J2127" s="3">
        <v>0.10558485959700957</v>
      </c>
      <c r="K2127" s="3">
        <v>0.11804905219900115</v>
      </c>
      <c r="L2127" t="s">
        <v>54</v>
      </c>
    </row>
    <row r="2128" spans="1:12" x14ac:dyDescent="0.25">
      <c r="A2128" t="s">
        <v>487</v>
      </c>
      <c r="B2128" t="s">
        <v>461</v>
      </c>
      <c r="C2128" t="s">
        <v>462</v>
      </c>
      <c r="D2128" t="s">
        <v>264</v>
      </c>
      <c r="E2128" t="s">
        <v>266</v>
      </c>
      <c r="F2128">
        <v>1</v>
      </c>
      <c r="G2128" t="s">
        <v>499</v>
      </c>
      <c r="H2128" s="4">
        <v>30550204</v>
      </c>
      <c r="I2128" s="4">
        <v>29415399</v>
      </c>
      <c r="J2128" s="3">
        <v>0.03714557847142363</v>
      </c>
      <c r="K2128" s="3">
        <v>0.03857860299634215</v>
      </c>
      <c r="L2128" t="s">
        <v>54</v>
      </c>
    </row>
    <row r="2129" spans="1:12" x14ac:dyDescent="0.25">
      <c r="A2129" t="s">
        <v>487</v>
      </c>
      <c r="B2129" t="s">
        <v>461</v>
      </c>
      <c r="C2129" t="s">
        <v>462</v>
      </c>
      <c r="D2129" t="s">
        <v>264</v>
      </c>
      <c r="E2129" t="s">
        <v>268</v>
      </c>
      <c r="F2129">
        <v>2</v>
      </c>
      <c r="G2129" t="s">
        <v>488</v>
      </c>
      <c r="H2129" s="4">
        <v>27971242</v>
      </c>
      <c r="I2129" s="4">
        <v>29995448.14220244</v>
      </c>
      <c r="J2129" s="3">
        <v>0.07236740299921042</v>
      </c>
      <c r="K2129" s="3">
        <v>-0.06748377729201054</v>
      </c>
      <c r="L2129" t="s">
        <v>54</v>
      </c>
    </row>
    <row r="2130" spans="1:12" x14ac:dyDescent="0.25">
      <c r="A2130" t="s">
        <v>487</v>
      </c>
      <c r="B2130" t="s">
        <v>461</v>
      </c>
      <c r="C2130" t="s">
        <v>462</v>
      </c>
      <c r="D2130" t="s">
        <v>264</v>
      </c>
      <c r="E2130" t="s">
        <v>268</v>
      </c>
      <c r="F2130">
        <v>2</v>
      </c>
      <c r="G2130" t="s">
        <v>498</v>
      </c>
      <c r="H2130" s="4">
        <v>27971242</v>
      </c>
      <c r="I2130" s="4">
        <v>29269057</v>
      </c>
      <c r="J2130" s="3">
        <v>0.04639818996954086</v>
      </c>
      <c r="K2130" s="3">
        <v>-0.044340854575533474</v>
      </c>
      <c r="L2130" t="s">
        <v>54</v>
      </c>
    </row>
    <row r="2131" spans="1:12" x14ac:dyDescent="0.25">
      <c r="A2131" t="s">
        <v>487</v>
      </c>
      <c r="B2131" t="s">
        <v>461</v>
      </c>
      <c r="C2131" t="s">
        <v>462</v>
      </c>
      <c r="D2131" t="s">
        <v>264</v>
      </c>
      <c r="E2131" t="s">
        <v>268</v>
      </c>
      <c r="F2131">
        <v>2</v>
      </c>
      <c r="G2131" t="s">
        <v>499</v>
      </c>
      <c r="H2131" s="4">
        <v>27971242</v>
      </c>
      <c r="I2131" s="4">
        <v>29415399</v>
      </c>
      <c r="J2131" s="3">
        <v>0.05163006347733862</v>
      </c>
      <c r="K2131" s="3">
        <v>-0.04909527149368261</v>
      </c>
      <c r="L2131" t="s">
        <v>54</v>
      </c>
    </row>
    <row r="2132" spans="1:12" x14ac:dyDescent="0.25">
      <c r="A2132" t="s">
        <v>487</v>
      </c>
      <c r="B2132" t="s">
        <v>461</v>
      </c>
      <c r="C2132" t="s">
        <v>462</v>
      </c>
      <c r="D2132" t="s">
        <v>264</v>
      </c>
      <c r="E2132" t="s">
        <v>270</v>
      </c>
      <c r="F2132">
        <v>3</v>
      </c>
      <c r="G2132" t="s">
        <v>488</v>
      </c>
      <c r="H2132" s="4">
        <v>35880377</v>
      </c>
      <c r="I2132" s="4">
        <v>35784444.60486135</v>
      </c>
      <c r="J2132" s="3">
        <v>0.0026736729978799035</v>
      </c>
      <c r="K2132" s="3">
        <v>0.0026808406892423484</v>
      </c>
      <c r="L2132" t="s">
        <v>54</v>
      </c>
    </row>
    <row r="2133" spans="1:12" x14ac:dyDescent="0.25">
      <c r="A2133" t="s">
        <v>487</v>
      </c>
      <c r="B2133" t="s">
        <v>461</v>
      </c>
      <c r="C2133" t="s">
        <v>462</v>
      </c>
      <c r="D2133" t="s">
        <v>264</v>
      </c>
      <c r="E2133" t="s">
        <v>270</v>
      </c>
      <c r="F2133">
        <v>3</v>
      </c>
      <c r="G2133" t="s">
        <v>498</v>
      </c>
      <c r="H2133" s="4">
        <v>35880377</v>
      </c>
      <c r="I2133" s="4">
        <v>34917863</v>
      </c>
      <c r="J2133" s="3">
        <v>0.026825637868855168</v>
      </c>
      <c r="K2133" s="3">
        <v>0.02756508896320488</v>
      </c>
      <c r="L2133" t="s">
        <v>54</v>
      </c>
    </row>
    <row r="2134" spans="1:12" x14ac:dyDescent="0.25">
      <c r="A2134" t="s">
        <v>487</v>
      </c>
      <c r="B2134" t="s">
        <v>461</v>
      </c>
      <c r="C2134" t="s">
        <v>462</v>
      </c>
      <c r="D2134" t="s">
        <v>264</v>
      </c>
      <c r="E2134" t="s">
        <v>270</v>
      </c>
      <c r="F2134">
        <v>3</v>
      </c>
      <c r="G2134" t="s">
        <v>499</v>
      </c>
      <c r="H2134" s="4">
        <v>35880377</v>
      </c>
      <c r="I2134" s="4">
        <v>29415399</v>
      </c>
      <c r="J2134" s="3">
        <v>0.18018144012254944</v>
      </c>
      <c r="K2134" s="3">
        <v>0.21978209440572266</v>
      </c>
      <c r="L2134" t="s">
        <v>54</v>
      </c>
    </row>
    <row r="2135" spans="1:12" x14ac:dyDescent="0.25">
      <c r="A2135" t="s">
        <v>487</v>
      </c>
      <c r="B2135" t="s">
        <v>461</v>
      </c>
      <c r="C2135" t="s">
        <v>462</v>
      </c>
      <c r="D2135" t="s">
        <v>266</v>
      </c>
      <c r="E2135" t="s">
        <v>268</v>
      </c>
      <c r="F2135">
        <v>1</v>
      </c>
      <c r="G2135" t="s">
        <v>488</v>
      </c>
      <c r="H2135" s="4">
        <v>27971242</v>
      </c>
      <c r="I2135" s="4">
        <v>30360106.16600313</v>
      </c>
      <c r="J2135" s="3">
        <v>0.08540429366715752</v>
      </c>
      <c r="K2135" s="3">
        <v>-0.07868431529657004</v>
      </c>
      <c r="L2135" t="s">
        <v>54</v>
      </c>
    </row>
    <row r="2136" spans="1:12" x14ac:dyDescent="0.25">
      <c r="A2136" t="s">
        <v>487</v>
      </c>
      <c r="B2136" t="s">
        <v>461</v>
      </c>
      <c r="C2136" t="s">
        <v>462</v>
      </c>
      <c r="D2136" t="s">
        <v>266</v>
      </c>
      <c r="E2136" t="s">
        <v>268</v>
      </c>
      <c r="F2136">
        <v>1</v>
      </c>
      <c r="G2136" t="s">
        <v>498</v>
      </c>
      <c r="H2136" s="4">
        <v>27971242</v>
      </c>
      <c r="I2136" s="4">
        <v>29269057</v>
      </c>
      <c r="J2136" s="3">
        <v>0.04639818996954086</v>
      </c>
      <c r="K2136" s="3">
        <v>-0.044340854575533474</v>
      </c>
      <c r="L2136" t="s">
        <v>54</v>
      </c>
    </row>
    <row r="2137" spans="1:12" x14ac:dyDescent="0.25">
      <c r="A2137" t="s">
        <v>487</v>
      </c>
      <c r="B2137" t="s">
        <v>461</v>
      </c>
      <c r="C2137" t="s">
        <v>462</v>
      </c>
      <c r="D2137" t="s">
        <v>266</v>
      </c>
      <c r="E2137" t="s">
        <v>268</v>
      </c>
      <c r="F2137">
        <v>1</v>
      </c>
      <c r="G2137" t="s">
        <v>499</v>
      </c>
      <c r="H2137" s="4">
        <v>27971242</v>
      </c>
      <c r="I2137" s="4">
        <v>30550204</v>
      </c>
      <c r="J2137" s="3">
        <v>0.09220048219524897</v>
      </c>
      <c r="K2137" s="3">
        <v>-0.0844171777052618</v>
      </c>
      <c r="L2137" t="s">
        <v>54</v>
      </c>
    </row>
    <row r="2138" spans="1:12" x14ac:dyDescent="0.25">
      <c r="A2138" t="s">
        <v>487</v>
      </c>
      <c r="B2138" t="s">
        <v>461</v>
      </c>
      <c r="C2138" t="s">
        <v>462</v>
      </c>
      <c r="D2138" t="s">
        <v>266</v>
      </c>
      <c r="E2138" t="s">
        <v>270</v>
      </c>
      <c r="F2138">
        <v>2</v>
      </c>
      <c r="G2138" t="s">
        <v>488</v>
      </c>
      <c r="H2138" s="4">
        <v>35880377</v>
      </c>
      <c r="I2138" s="4">
        <v>36219480.10726661</v>
      </c>
      <c r="J2138" s="3">
        <v>0.009450934901453581</v>
      </c>
      <c r="K2138" s="3">
        <v>-0.009362450986660602</v>
      </c>
      <c r="L2138" t="s">
        <v>54</v>
      </c>
    </row>
    <row r="2139" spans="1:12" x14ac:dyDescent="0.25">
      <c r="A2139" t="s">
        <v>487</v>
      </c>
      <c r="B2139" t="s">
        <v>461</v>
      </c>
      <c r="C2139" t="s">
        <v>462</v>
      </c>
      <c r="D2139" t="s">
        <v>266</v>
      </c>
      <c r="E2139" t="s">
        <v>270</v>
      </c>
      <c r="F2139">
        <v>2</v>
      </c>
      <c r="G2139" t="s">
        <v>498</v>
      </c>
      <c r="H2139" s="4">
        <v>35880377</v>
      </c>
      <c r="I2139" s="4">
        <v>34917863</v>
      </c>
      <c r="J2139" s="3">
        <v>0.026825637868855168</v>
      </c>
      <c r="K2139" s="3">
        <v>0.02756508896320488</v>
      </c>
      <c r="L2139" t="s">
        <v>54</v>
      </c>
    </row>
    <row r="2140" spans="1:12" x14ac:dyDescent="0.25">
      <c r="A2140" t="s">
        <v>487</v>
      </c>
      <c r="B2140" t="s">
        <v>461</v>
      </c>
      <c r="C2140" t="s">
        <v>462</v>
      </c>
      <c r="D2140" t="s">
        <v>266</v>
      </c>
      <c r="E2140" t="s">
        <v>270</v>
      </c>
      <c r="F2140">
        <v>2</v>
      </c>
      <c r="G2140" t="s">
        <v>499</v>
      </c>
      <c r="H2140" s="4">
        <v>35880377</v>
      </c>
      <c r="I2140" s="4">
        <v>30550204</v>
      </c>
      <c r="J2140" s="3">
        <v>0.14855398537200432</v>
      </c>
      <c r="K2140" s="3">
        <v>0.17447258289993742</v>
      </c>
      <c r="L2140" t="s">
        <v>54</v>
      </c>
    </row>
    <row r="2141" spans="1:12" x14ac:dyDescent="0.25">
      <c r="A2141" t="s">
        <v>487</v>
      </c>
      <c r="B2141" t="s">
        <v>461</v>
      </c>
      <c r="C2141" t="s">
        <v>462</v>
      </c>
      <c r="D2141" t="s">
        <v>266</v>
      </c>
      <c r="E2141" t="s">
        <v>272</v>
      </c>
      <c r="F2141">
        <v>3</v>
      </c>
      <c r="G2141" t="s">
        <v>488</v>
      </c>
      <c r="H2141" s="4">
        <v>37367819</v>
      </c>
      <c r="I2141" s="4">
        <v>34703578.24019754</v>
      </c>
      <c r="J2141" s="3">
        <v>0.07129773240987013</v>
      </c>
      <c r="K2141" s="3">
        <v>0.07677135600721545</v>
      </c>
      <c r="L2141" t="s">
        <v>54</v>
      </c>
    </row>
    <row r="2142" spans="1:12" x14ac:dyDescent="0.25">
      <c r="A2142" t="s">
        <v>487</v>
      </c>
      <c r="B2142" t="s">
        <v>461</v>
      </c>
      <c r="C2142" t="s">
        <v>462</v>
      </c>
      <c r="D2142" t="s">
        <v>266</v>
      </c>
      <c r="E2142" t="s">
        <v>272</v>
      </c>
      <c r="F2142">
        <v>3</v>
      </c>
      <c r="G2142" t="s">
        <v>498</v>
      </c>
      <c r="H2142" s="4">
        <v>37367819</v>
      </c>
      <c r="I2142" s="4">
        <v>33456438</v>
      </c>
      <c r="J2142" s="3">
        <v>0.10467244556071094</v>
      </c>
      <c r="K2142" s="3">
        <v>0.11690966623523999</v>
      </c>
      <c r="L2142" t="s">
        <v>54</v>
      </c>
    </row>
    <row r="2143" spans="1:12" x14ac:dyDescent="0.25">
      <c r="A2143" t="s">
        <v>487</v>
      </c>
      <c r="B2143" t="s">
        <v>461</v>
      </c>
      <c r="C2143" t="s">
        <v>462</v>
      </c>
      <c r="D2143" t="s">
        <v>266</v>
      </c>
      <c r="E2143" t="s">
        <v>272</v>
      </c>
      <c r="F2143">
        <v>3</v>
      </c>
      <c r="G2143" t="s">
        <v>499</v>
      </c>
      <c r="H2143" s="4">
        <v>37367819</v>
      </c>
      <c r="I2143" s="4">
        <v>30550204</v>
      </c>
      <c r="J2143" s="3">
        <v>0.18244615774873027</v>
      </c>
      <c r="K2143" s="3">
        <v>0.22316103028313658</v>
      </c>
      <c r="L2143" t="s">
        <v>54</v>
      </c>
    </row>
    <row r="2144" spans="1:12" x14ac:dyDescent="0.25">
      <c r="A2144" t="s">
        <v>487</v>
      </c>
      <c r="B2144" t="s">
        <v>461</v>
      </c>
      <c r="C2144" t="s">
        <v>462</v>
      </c>
      <c r="D2144" t="s">
        <v>268</v>
      </c>
      <c r="E2144" t="s">
        <v>270</v>
      </c>
      <c r="F2144">
        <v>1</v>
      </c>
      <c r="G2144" t="s">
        <v>488</v>
      </c>
      <c r="H2144" s="4">
        <v>35880377</v>
      </c>
      <c r="I2144" s="4">
        <v>36058811.06294688</v>
      </c>
      <c r="J2144" s="3">
        <v>0.004973026424635348</v>
      </c>
      <c r="K2144" s="3">
        <v>-0.00494841781209566</v>
      </c>
      <c r="L2144" t="s">
        <v>54</v>
      </c>
    </row>
    <row r="2145" spans="1:12" x14ac:dyDescent="0.25">
      <c r="A2145" t="s">
        <v>487</v>
      </c>
      <c r="B2145" t="s">
        <v>461</v>
      </c>
      <c r="C2145" t="s">
        <v>462</v>
      </c>
      <c r="D2145" t="s">
        <v>268</v>
      </c>
      <c r="E2145" t="s">
        <v>270</v>
      </c>
      <c r="F2145">
        <v>1</v>
      </c>
      <c r="G2145" t="s">
        <v>498</v>
      </c>
      <c r="H2145" s="4">
        <v>35880377</v>
      </c>
      <c r="I2145" s="4">
        <v>34917863</v>
      </c>
      <c r="J2145" s="3">
        <v>0.026825637868855168</v>
      </c>
      <c r="K2145" s="3">
        <v>0.02756508896320488</v>
      </c>
      <c r="L2145" t="s">
        <v>54</v>
      </c>
    </row>
    <row r="2146" spans="1:12" x14ac:dyDescent="0.25">
      <c r="A2146" t="s">
        <v>487</v>
      </c>
      <c r="B2146" t="s">
        <v>461</v>
      </c>
      <c r="C2146" t="s">
        <v>462</v>
      </c>
      <c r="D2146" t="s">
        <v>268</v>
      </c>
      <c r="E2146" t="s">
        <v>270</v>
      </c>
      <c r="F2146">
        <v>1</v>
      </c>
      <c r="G2146" t="s">
        <v>499</v>
      </c>
      <c r="H2146" s="4">
        <v>35880377</v>
      </c>
      <c r="I2146" s="4">
        <v>27971242</v>
      </c>
      <c r="J2146" s="3">
        <v>0.22043065489529276</v>
      </c>
      <c r="K2146" s="3">
        <v>0.28275952136841115</v>
      </c>
      <c r="L2146" t="s">
        <v>54</v>
      </c>
    </row>
    <row r="2147" spans="1:12" x14ac:dyDescent="0.25">
      <c r="A2147" t="s">
        <v>487</v>
      </c>
      <c r="B2147" t="s">
        <v>461</v>
      </c>
      <c r="C2147" t="s">
        <v>462</v>
      </c>
      <c r="D2147" t="s">
        <v>268</v>
      </c>
      <c r="E2147" t="s">
        <v>272</v>
      </c>
      <c r="F2147">
        <v>2</v>
      </c>
      <c r="G2147" t="s">
        <v>488</v>
      </c>
      <c r="H2147" s="4">
        <v>37367819</v>
      </c>
      <c r="I2147" s="4">
        <v>34549633.71272739</v>
      </c>
      <c r="J2147" s="3">
        <v>0.07541744106801121</v>
      </c>
      <c r="K2147" s="3">
        <v>0.08156917988495048</v>
      </c>
      <c r="L2147" t="s">
        <v>54</v>
      </c>
    </row>
    <row r="2148" spans="1:12" x14ac:dyDescent="0.25">
      <c r="A2148" t="s">
        <v>487</v>
      </c>
      <c r="B2148" t="s">
        <v>461</v>
      </c>
      <c r="C2148" t="s">
        <v>462</v>
      </c>
      <c r="D2148" t="s">
        <v>268</v>
      </c>
      <c r="E2148" t="s">
        <v>272</v>
      </c>
      <c r="F2148">
        <v>2</v>
      </c>
      <c r="G2148" t="s">
        <v>498</v>
      </c>
      <c r="H2148" s="4">
        <v>37367819</v>
      </c>
      <c r="I2148" s="4">
        <v>33456438</v>
      </c>
      <c r="J2148" s="3">
        <v>0.10467244556071094</v>
      </c>
      <c r="K2148" s="3">
        <v>0.11690966623523999</v>
      </c>
      <c r="L2148" t="s">
        <v>54</v>
      </c>
    </row>
    <row r="2149" spans="1:12" x14ac:dyDescent="0.25">
      <c r="A2149" t="s">
        <v>487</v>
      </c>
      <c r="B2149" t="s">
        <v>461</v>
      </c>
      <c r="C2149" t="s">
        <v>462</v>
      </c>
      <c r="D2149" t="s">
        <v>268</v>
      </c>
      <c r="E2149" t="s">
        <v>272</v>
      </c>
      <c r="F2149">
        <v>2</v>
      </c>
      <c r="G2149" t="s">
        <v>499</v>
      </c>
      <c r="H2149" s="4">
        <v>37367819</v>
      </c>
      <c r="I2149" s="4">
        <v>27971242</v>
      </c>
      <c r="J2149" s="3">
        <v>0.2514617457336753</v>
      </c>
      <c r="K2149" s="3">
        <v>0.3359370670776793</v>
      </c>
      <c r="L2149" t="s">
        <v>54</v>
      </c>
    </row>
    <row r="2150" spans="1:12" x14ac:dyDescent="0.25">
      <c r="A2150" t="s">
        <v>487</v>
      </c>
      <c r="B2150" t="s">
        <v>461</v>
      </c>
      <c r="C2150" t="s">
        <v>462</v>
      </c>
      <c r="D2150" t="s">
        <v>268</v>
      </c>
      <c r="E2150" t="s">
        <v>274</v>
      </c>
      <c r="F2150">
        <v>3</v>
      </c>
      <c r="G2150" t="s">
        <v>488</v>
      </c>
      <c r="H2150" s="4">
        <v>26663933</v>
      </c>
      <c r="I2150" s="4">
        <v>29887519.29965552</v>
      </c>
      <c r="J2150" s="3">
        <v>0.12089687967846002</v>
      </c>
      <c r="K2150" s="3">
        <v>-0.10785727203838809</v>
      </c>
      <c r="L2150" t="s">
        <v>54</v>
      </c>
    </row>
    <row r="2151" spans="1:12" x14ac:dyDescent="0.25">
      <c r="A2151" t="s">
        <v>487</v>
      </c>
      <c r="B2151" t="s">
        <v>461</v>
      </c>
      <c r="C2151" t="s">
        <v>462</v>
      </c>
      <c r="D2151" t="s">
        <v>268</v>
      </c>
      <c r="E2151" t="s">
        <v>274</v>
      </c>
      <c r="F2151">
        <v>3</v>
      </c>
      <c r="G2151" t="s">
        <v>498</v>
      </c>
      <c r="H2151" s="4">
        <v>26663933</v>
      </c>
      <c r="I2151" s="4">
        <v>28941839</v>
      </c>
      <c r="J2151" s="3">
        <v>0.08543023266672625</v>
      </c>
      <c r="K2151" s="3">
        <v>-0.07870633237922442</v>
      </c>
      <c r="L2151" t="s">
        <v>54</v>
      </c>
    </row>
    <row r="2152" spans="1:12" x14ac:dyDescent="0.25">
      <c r="A2152" t="s">
        <v>487</v>
      </c>
      <c r="B2152" t="s">
        <v>461</v>
      </c>
      <c r="C2152" t="s">
        <v>462</v>
      </c>
      <c r="D2152" t="s">
        <v>268</v>
      </c>
      <c r="E2152" t="s">
        <v>274</v>
      </c>
      <c r="F2152">
        <v>3</v>
      </c>
      <c r="G2152" t="s">
        <v>499</v>
      </c>
      <c r="H2152" s="4">
        <v>26663933</v>
      </c>
      <c r="I2152" s="4">
        <v>27971242</v>
      </c>
      <c r="J2152" s="3">
        <v>0.049029113597007616</v>
      </c>
      <c r="K2152" s="3">
        <v>-0.04673761000673477</v>
      </c>
      <c r="L2152" t="s">
        <v>54</v>
      </c>
    </row>
    <row r="2153" spans="1:12" x14ac:dyDescent="0.25">
      <c r="A2153" t="s">
        <v>487</v>
      </c>
      <c r="B2153" t="s">
        <v>461</v>
      </c>
      <c r="C2153" t="s">
        <v>462</v>
      </c>
      <c r="D2153" t="s">
        <v>270</v>
      </c>
      <c r="E2153" t="s">
        <v>272</v>
      </c>
      <c r="F2153">
        <v>1</v>
      </c>
      <c r="G2153" t="s">
        <v>488</v>
      </c>
      <c r="H2153" s="4">
        <v>37367819</v>
      </c>
      <c r="I2153" s="4">
        <v>34660792.182230465</v>
      </c>
      <c r="J2153" s="3">
        <v>0.07244272987325096</v>
      </c>
      <c r="K2153" s="3">
        <v>0.07810054667929216</v>
      </c>
      <c r="L2153" t="s">
        <v>54</v>
      </c>
    </row>
    <row r="2154" spans="1:12" x14ac:dyDescent="0.25">
      <c r="A2154" t="s">
        <v>487</v>
      </c>
      <c r="B2154" t="s">
        <v>461</v>
      </c>
      <c r="C2154" t="s">
        <v>462</v>
      </c>
      <c r="D2154" t="s">
        <v>270</v>
      </c>
      <c r="E2154" t="s">
        <v>272</v>
      </c>
      <c r="F2154">
        <v>1</v>
      </c>
      <c r="G2154" t="s">
        <v>498</v>
      </c>
      <c r="H2154" s="4">
        <v>37367819</v>
      </c>
      <c r="I2154" s="4">
        <v>33456438</v>
      </c>
      <c r="J2154" s="3">
        <v>0.10467244556071094</v>
      </c>
      <c r="K2154" s="3">
        <v>0.11690966623523999</v>
      </c>
      <c r="L2154" t="s">
        <v>54</v>
      </c>
    </row>
    <row r="2155" spans="1:12" x14ac:dyDescent="0.25">
      <c r="A2155" t="s">
        <v>487</v>
      </c>
      <c r="B2155" t="s">
        <v>461</v>
      </c>
      <c r="C2155" t="s">
        <v>462</v>
      </c>
      <c r="D2155" t="s">
        <v>270</v>
      </c>
      <c r="E2155" t="s">
        <v>272</v>
      </c>
      <c r="F2155">
        <v>1</v>
      </c>
      <c r="G2155" t="s">
        <v>499</v>
      </c>
      <c r="H2155" s="4">
        <v>37367819</v>
      </c>
      <c r="I2155" s="4">
        <v>35880377</v>
      </c>
      <c r="J2155" s="3">
        <v>0.039805427231383236</v>
      </c>
      <c r="K2155" s="3">
        <v>0.04145558448284978</v>
      </c>
      <c r="L2155" t="s">
        <v>54</v>
      </c>
    </row>
    <row r="2156" spans="1:12" x14ac:dyDescent="0.25">
      <c r="A2156" t="s">
        <v>487</v>
      </c>
      <c r="B2156" t="s">
        <v>461</v>
      </c>
      <c r="C2156" t="s">
        <v>462</v>
      </c>
      <c r="D2156" t="s">
        <v>270</v>
      </c>
      <c r="E2156" t="s">
        <v>274</v>
      </c>
      <c r="F2156">
        <v>2</v>
      </c>
      <c r="G2156" t="s">
        <v>488</v>
      </c>
      <c r="H2156" s="4">
        <v>26663933</v>
      </c>
      <c r="I2156" s="4">
        <v>29983678.087624654</v>
      </c>
      <c r="J2156" s="3">
        <v>0.12450320392061644</v>
      </c>
      <c r="K2156" s="3">
        <v>-0.11071840745898459</v>
      </c>
      <c r="L2156" t="s">
        <v>54</v>
      </c>
    </row>
    <row r="2157" spans="1:12" x14ac:dyDescent="0.25">
      <c r="A2157" t="s">
        <v>487</v>
      </c>
      <c r="B2157" t="s">
        <v>461</v>
      </c>
      <c r="C2157" t="s">
        <v>462</v>
      </c>
      <c r="D2157" t="s">
        <v>270</v>
      </c>
      <c r="E2157" t="s">
        <v>274</v>
      </c>
      <c r="F2157">
        <v>2</v>
      </c>
      <c r="G2157" t="s">
        <v>498</v>
      </c>
      <c r="H2157" s="4">
        <v>26663933</v>
      </c>
      <c r="I2157" s="4">
        <v>28941839</v>
      </c>
      <c r="J2157" s="3">
        <v>0.08543023266672625</v>
      </c>
      <c r="K2157" s="3">
        <v>-0.07870633237922442</v>
      </c>
      <c r="L2157" t="s">
        <v>54</v>
      </c>
    </row>
    <row r="2158" spans="1:12" x14ac:dyDescent="0.25">
      <c r="A2158" t="s">
        <v>487</v>
      </c>
      <c r="B2158" t="s">
        <v>461</v>
      </c>
      <c r="C2158" t="s">
        <v>462</v>
      </c>
      <c r="D2158" t="s">
        <v>270</v>
      </c>
      <c r="E2158" t="s">
        <v>274</v>
      </c>
      <c r="F2158">
        <v>2</v>
      </c>
      <c r="G2158" t="s">
        <v>499</v>
      </c>
      <c r="H2158" s="4">
        <v>26663933</v>
      </c>
      <c r="I2158" s="4">
        <v>35880377</v>
      </c>
      <c r="J2158" s="3">
        <v>0.3456520836592261</v>
      </c>
      <c r="K2158" s="3">
        <v>-0.2568658629200022</v>
      </c>
      <c r="L2158" t="s">
        <v>54</v>
      </c>
    </row>
    <row r="2159" spans="1:12" x14ac:dyDescent="0.25">
      <c r="A2159" t="s">
        <v>487</v>
      </c>
      <c r="B2159" t="s">
        <v>461</v>
      </c>
      <c r="C2159" t="s">
        <v>462</v>
      </c>
      <c r="D2159" t="s">
        <v>270</v>
      </c>
      <c r="E2159" t="s">
        <v>276</v>
      </c>
      <c r="F2159">
        <v>3</v>
      </c>
      <c r="G2159" t="s">
        <v>488</v>
      </c>
      <c r="H2159" s="4">
        <v>20672713</v>
      </c>
      <c r="I2159" s="4">
        <v>21168108.60466303</v>
      </c>
      <c r="J2159" s="3">
        <v>0.023963744123136104</v>
      </c>
      <c r="K2159" s="3">
        <v>-0.023402922477159853</v>
      </c>
      <c r="L2159" t="s">
        <v>54</v>
      </c>
    </row>
    <row r="2160" spans="1:12" x14ac:dyDescent="0.25">
      <c r="A2160" t="s">
        <v>487</v>
      </c>
      <c r="B2160" t="s">
        <v>461</v>
      </c>
      <c r="C2160" t="s">
        <v>462</v>
      </c>
      <c r="D2160" t="s">
        <v>270</v>
      </c>
      <c r="E2160" t="s">
        <v>276</v>
      </c>
      <c r="F2160">
        <v>3</v>
      </c>
      <c r="G2160" t="s">
        <v>498</v>
      </c>
      <c r="H2160" s="4">
        <v>20672713</v>
      </c>
      <c r="I2160" s="4">
        <v>20432583</v>
      </c>
      <c r="J2160" s="3">
        <v>0.011615795178891131</v>
      </c>
      <c r="K2160" s="3">
        <v>0.011752307576580015</v>
      </c>
      <c r="L2160" t="s">
        <v>54</v>
      </c>
    </row>
    <row r="2161" spans="1:12" x14ac:dyDescent="0.25">
      <c r="A2161" t="s">
        <v>487</v>
      </c>
      <c r="B2161" t="s">
        <v>461</v>
      </c>
      <c r="C2161" t="s">
        <v>462</v>
      </c>
      <c r="D2161" t="s">
        <v>270</v>
      </c>
      <c r="E2161" t="s">
        <v>276</v>
      </c>
      <c r="F2161">
        <v>3</v>
      </c>
      <c r="G2161" t="s">
        <v>499</v>
      </c>
      <c r="H2161" s="4">
        <v>20672713</v>
      </c>
      <c r="I2161" s="4">
        <v>35880377</v>
      </c>
      <c r="J2161" s="3">
        <v>0.7356394876666648</v>
      </c>
      <c r="K2161" s="3">
        <v>-0.4238434841417636</v>
      </c>
      <c r="L2161" t="s">
        <v>54</v>
      </c>
    </row>
    <row r="2162" spans="1:12" x14ac:dyDescent="0.25">
      <c r="A2162" t="s">
        <v>487</v>
      </c>
      <c r="B2162" t="s">
        <v>461</v>
      </c>
      <c r="C2162" t="s">
        <v>462</v>
      </c>
      <c r="D2162" t="s">
        <v>272</v>
      </c>
      <c r="E2162" t="s">
        <v>274</v>
      </c>
      <c r="F2162">
        <v>1</v>
      </c>
      <c r="G2162" t="s">
        <v>488</v>
      </c>
      <c r="H2162" s="4">
        <v>26663933</v>
      </c>
      <c r="I2162" s="4">
        <v>30229227.438087862</v>
      </c>
      <c r="J2162" s="3">
        <v>0.13371224860517997</v>
      </c>
      <c r="K2162" s="3">
        <v>-0.1179419634653218</v>
      </c>
      <c r="L2162" t="s">
        <v>54</v>
      </c>
    </row>
    <row r="2163" spans="1:12" x14ac:dyDescent="0.25">
      <c r="A2163" t="s">
        <v>487</v>
      </c>
      <c r="B2163" t="s">
        <v>461</v>
      </c>
      <c r="C2163" t="s">
        <v>462</v>
      </c>
      <c r="D2163" t="s">
        <v>272</v>
      </c>
      <c r="E2163" t="s">
        <v>274</v>
      </c>
      <c r="F2163">
        <v>1</v>
      </c>
      <c r="G2163" t="s">
        <v>498</v>
      </c>
      <c r="H2163" s="4">
        <v>26663933</v>
      </c>
      <c r="I2163" s="4">
        <v>28941839</v>
      </c>
      <c r="J2163" s="3">
        <v>0.08543023266672625</v>
      </c>
      <c r="K2163" s="3">
        <v>-0.07870633237922442</v>
      </c>
      <c r="L2163" t="s">
        <v>54</v>
      </c>
    </row>
    <row r="2164" spans="1:12" x14ac:dyDescent="0.25">
      <c r="A2164" t="s">
        <v>487</v>
      </c>
      <c r="B2164" t="s">
        <v>461</v>
      </c>
      <c r="C2164" t="s">
        <v>462</v>
      </c>
      <c r="D2164" t="s">
        <v>272</v>
      </c>
      <c r="E2164" t="s">
        <v>274</v>
      </c>
      <c r="F2164">
        <v>1</v>
      </c>
      <c r="G2164" t="s">
        <v>499</v>
      </c>
      <c r="H2164" s="4">
        <v>26663933</v>
      </c>
      <c r="I2164" s="4">
        <v>37367819</v>
      </c>
      <c r="J2164" s="3">
        <v>0.401436877297884</v>
      </c>
      <c r="K2164" s="3">
        <v>-0.28644663473669685</v>
      </c>
      <c r="L2164" t="s">
        <v>54</v>
      </c>
    </row>
    <row r="2165" spans="1:12" x14ac:dyDescent="0.25">
      <c r="A2165" t="s">
        <v>487</v>
      </c>
      <c r="B2165" t="s">
        <v>461</v>
      </c>
      <c r="C2165" t="s">
        <v>462</v>
      </c>
      <c r="D2165" t="s">
        <v>272</v>
      </c>
      <c r="E2165" t="s">
        <v>276</v>
      </c>
      <c r="F2165">
        <v>2</v>
      </c>
      <c r="G2165" t="s">
        <v>488</v>
      </c>
      <c r="H2165" s="4">
        <v>20672713</v>
      </c>
      <c r="I2165" s="4">
        <v>21341463.43135305</v>
      </c>
      <c r="J2165" s="3">
        <v>0.032349427545047</v>
      </c>
      <c r="K2165" s="3">
        <v>-0.03133573447313741</v>
      </c>
      <c r="L2165" t="s">
        <v>54</v>
      </c>
    </row>
    <row r="2166" spans="1:12" x14ac:dyDescent="0.25">
      <c r="A2166" t="s">
        <v>487</v>
      </c>
      <c r="B2166" t="s">
        <v>461</v>
      </c>
      <c r="C2166" t="s">
        <v>462</v>
      </c>
      <c r="D2166" t="s">
        <v>272</v>
      </c>
      <c r="E2166" t="s">
        <v>276</v>
      </c>
      <c r="F2166">
        <v>2</v>
      </c>
      <c r="G2166" t="s">
        <v>498</v>
      </c>
      <c r="H2166" s="4">
        <v>20672713</v>
      </c>
      <c r="I2166" s="4">
        <v>20432583</v>
      </c>
      <c r="J2166" s="3">
        <v>0.011615795178891131</v>
      </c>
      <c r="K2166" s="3">
        <v>0.011752307576580015</v>
      </c>
      <c r="L2166" t="s">
        <v>54</v>
      </c>
    </row>
    <row r="2167" spans="1:12" x14ac:dyDescent="0.25">
      <c r="A2167" t="s">
        <v>487</v>
      </c>
      <c r="B2167" t="s">
        <v>461</v>
      </c>
      <c r="C2167" t="s">
        <v>462</v>
      </c>
      <c r="D2167" t="s">
        <v>272</v>
      </c>
      <c r="E2167" t="s">
        <v>276</v>
      </c>
      <c r="F2167">
        <v>2</v>
      </c>
      <c r="G2167" t="s">
        <v>499</v>
      </c>
      <c r="H2167" s="4">
        <v>20672713</v>
      </c>
      <c r="I2167" s="4">
        <v>37367819</v>
      </c>
      <c r="J2167" s="3">
        <v>0.8075914370794003</v>
      </c>
      <c r="K2167" s="3">
        <v>-0.44677764040764595</v>
      </c>
      <c r="L2167" t="s">
        <v>54</v>
      </c>
    </row>
    <row r="2168" spans="1:12" x14ac:dyDescent="0.25">
      <c r="A2168" t="s">
        <v>487</v>
      </c>
      <c r="B2168" t="s">
        <v>461</v>
      </c>
      <c r="C2168" t="s">
        <v>462</v>
      </c>
      <c r="D2168" t="s">
        <v>272</v>
      </c>
      <c r="E2168" t="s">
        <v>278</v>
      </c>
      <c r="F2168">
        <v>3</v>
      </c>
      <c r="G2168" t="s">
        <v>488</v>
      </c>
      <c r="H2168" s="4">
        <v>17111402</v>
      </c>
      <c r="I2168" s="4">
        <v>20135837.801396936</v>
      </c>
      <c r="J2168" s="3">
        <v>0.17674973689455348</v>
      </c>
      <c r="K2168" s="3">
        <v>-0.15020163706260656</v>
      </c>
      <c r="L2168" t="s">
        <v>54</v>
      </c>
    </row>
    <row r="2169" spans="1:12" x14ac:dyDescent="0.25">
      <c r="A2169" t="s">
        <v>487</v>
      </c>
      <c r="B2169" t="s">
        <v>461</v>
      </c>
      <c r="C2169" t="s">
        <v>462</v>
      </c>
      <c r="D2169" t="s">
        <v>272</v>
      </c>
      <c r="E2169" t="s">
        <v>278</v>
      </c>
      <c r="F2169">
        <v>3</v>
      </c>
      <c r="G2169" t="s">
        <v>498</v>
      </c>
      <c r="H2169" s="4">
        <v>17111402</v>
      </c>
      <c r="I2169" s="4">
        <v>19278302</v>
      </c>
      <c r="J2169" s="3">
        <v>0.1266348601943897</v>
      </c>
      <c r="K2169" s="3">
        <v>-0.11240097805294263</v>
      </c>
      <c r="L2169" t="s">
        <v>54</v>
      </c>
    </row>
    <row r="2170" spans="1:12" x14ac:dyDescent="0.25">
      <c r="A2170" t="s">
        <v>487</v>
      </c>
      <c r="B2170" t="s">
        <v>461</v>
      </c>
      <c r="C2170" t="s">
        <v>462</v>
      </c>
      <c r="D2170" t="s">
        <v>272</v>
      </c>
      <c r="E2170" t="s">
        <v>278</v>
      </c>
      <c r="F2170">
        <v>3</v>
      </c>
      <c r="G2170" t="s">
        <v>499</v>
      </c>
      <c r="H2170" s="4">
        <v>17111402</v>
      </c>
      <c r="I2170" s="4">
        <v>37367819</v>
      </c>
      <c r="J2170" s="3">
        <v>1.1837964533823704</v>
      </c>
      <c r="K2170" s="3">
        <v>-0.5420818646119004</v>
      </c>
      <c r="L2170" t="s">
        <v>54</v>
      </c>
    </row>
    <row r="2171" spans="1:12" x14ac:dyDescent="0.25">
      <c r="A2171" t="s">
        <v>487</v>
      </c>
      <c r="B2171" t="s">
        <v>461</v>
      </c>
      <c r="C2171" t="s">
        <v>462</v>
      </c>
      <c r="D2171" t="s">
        <v>274</v>
      </c>
      <c r="E2171" t="s">
        <v>276</v>
      </c>
      <c r="F2171">
        <v>1</v>
      </c>
      <c r="G2171" t="s">
        <v>488</v>
      </c>
      <c r="H2171" s="4">
        <v>20672713</v>
      </c>
      <c r="I2171" s="4">
        <v>21271550.194971684</v>
      </c>
      <c r="J2171" s="3">
        <v>0.028967518437066502</v>
      </c>
      <c r="K2171" s="3">
        <v>-0.028152024158222454</v>
      </c>
      <c r="L2171" t="s">
        <v>54</v>
      </c>
    </row>
    <row r="2172" spans="1:12" x14ac:dyDescent="0.25">
      <c r="A2172" t="s">
        <v>487</v>
      </c>
      <c r="B2172" t="s">
        <v>461</v>
      </c>
      <c r="C2172" t="s">
        <v>462</v>
      </c>
      <c r="D2172" t="s">
        <v>274</v>
      </c>
      <c r="E2172" t="s">
        <v>276</v>
      </c>
      <c r="F2172">
        <v>1</v>
      </c>
      <c r="G2172" t="s">
        <v>498</v>
      </c>
      <c r="H2172" s="4">
        <v>20672713</v>
      </c>
      <c r="I2172" s="4">
        <v>20432583</v>
      </c>
      <c r="J2172" s="3">
        <v>0.011615795178891131</v>
      </c>
      <c r="K2172" s="3">
        <v>0.011752307576580015</v>
      </c>
      <c r="L2172" t="s">
        <v>54</v>
      </c>
    </row>
    <row r="2173" spans="1:12" x14ac:dyDescent="0.25">
      <c r="A2173" t="s">
        <v>487</v>
      </c>
      <c r="B2173" t="s">
        <v>461</v>
      </c>
      <c r="C2173" t="s">
        <v>462</v>
      </c>
      <c r="D2173" t="s">
        <v>274</v>
      </c>
      <c r="E2173" t="s">
        <v>276</v>
      </c>
      <c r="F2173">
        <v>1</v>
      </c>
      <c r="G2173" t="s">
        <v>499</v>
      </c>
      <c r="H2173" s="4">
        <v>20672713</v>
      </c>
      <c r="I2173" s="4">
        <v>26663933</v>
      </c>
      <c r="J2173" s="3">
        <v>0.2898129529491364</v>
      </c>
      <c r="K2173" s="3">
        <v>-0.22469378392152425</v>
      </c>
      <c r="L2173" t="s">
        <v>54</v>
      </c>
    </row>
    <row r="2174" spans="1:12" x14ac:dyDescent="0.25">
      <c r="A2174" t="s">
        <v>487</v>
      </c>
      <c r="B2174" t="s">
        <v>461</v>
      </c>
      <c r="C2174" t="s">
        <v>462</v>
      </c>
      <c r="D2174" t="s">
        <v>274</v>
      </c>
      <c r="E2174" t="s">
        <v>278</v>
      </c>
      <c r="F2174">
        <v>2</v>
      </c>
      <c r="G2174" t="s">
        <v>488</v>
      </c>
      <c r="H2174" s="4">
        <v>17111402</v>
      </c>
      <c r="I2174" s="4">
        <v>20069874.11561343</v>
      </c>
      <c r="J2174" s="3">
        <v>0.17289478183105222</v>
      </c>
      <c r="K2174" s="3">
        <v>-0.14740860349053594</v>
      </c>
      <c r="L2174" t="s">
        <v>54</v>
      </c>
    </row>
    <row r="2175" spans="1:12" x14ac:dyDescent="0.25">
      <c r="A2175" t="s">
        <v>487</v>
      </c>
      <c r="B2175" t="s">
        <v>461</v>
      </c>
      <c r="C2175" t="s">
        <v>462</v>
      </c>
      <c r="D2175" t="s">
        <v>274</v>
      </c>
      <c r="E2175" t="s">
        <v>278</v>
      </c>
      <c r="F2175">
        <v>2</v>
      </c>
      <c r="G2175" t="s">
        <v>498</v>
      </c>
      <c r="H2175" s="4">
        <v>17111402</v>
      </c>
      <c r="I2175" s="4">
        <v>19278302</v>
      </c>
      <c r="J2175" s="3">
        <v>0.1266348601943897</v>
      </c>
      <c r="K2175" s="3">
        <v>-0.11240097805294263</v>
      </c>
      <c r="L2175" t="s">
        <v>54</v>
      </c>
    </row>
    <row r="2176" spans="1:12" x14ac:dyDescent="0.25">
      <c r="A2176" t="s">
        <v>487</v>
      </c>
      <c r="B2176" t="s">
        <v>461</v>
      </c>
      <c r="C2176" t="s">
        <v>462</v>
      </c>
      <c r="D2176" t="s">
        <v>274</v>
      </c>
      <c r="E2176" t="s">
        <v>278</v>
      </c>
      <c r="F2176">
        <v>2</v>
      </c>
      <c r="G2176" t="s">
        <v>499</v>
      </c>
      <c r="H2176" s="4">
        <v>17111402</v>
      </c>
      <c r="I2176" s="4">
        <v>26663933</v>
      </c>
      <c r="J2176" s="3">
        <v>0.5582553083610565</v>
      </c>
      <c r="K2176" s="3">
        <v>-0.3582566382836321</v>
      </c>
      <c r="L2176" t="s">
        <v>54</v>
      </c>
    </row>
    <row r="2177" spans="1:12" x14ac:dyDescent="0.25">
      <c r="A2177" t="s">
        <v>487</v>
      </c>
      <c r="B2177" t="s">
        <v>461</v>
      </c>
      <c r="C2177" t="s">
        <v>462</v>
      </c>
      <c r="D2177" t="s">
        <v>274</v>
      </c>
      <c r="E2177" t="s">
        <v>280</v>
      </c>
      <c r="F2177">
        <v>3</v>
      </c>
      <c r="G2177" t="s">
        <v>488</v>
      </c>
      <c r="H2177" s="4">
        <v>18642354</v>
      </c>
      <c r="I2177" s="4">
        <v>25923909.000199705</v>
      </c>
      <c r="J2177" s="3">
        <v>0.3905920357589876</v>
      </c>
      <c r="K2177" s="3">
        <v>-0.280881829979561</v>
      </c>
      <c r="L2177" t="s">
        <v>54</v>
      </c>
    </row>
    <row r="2178" spans="1:12" x14ac:dyDescent="0.25">
      <c r="A2178" t="s">
        <v>487</v>
      </c>
      <c r="B2178" t="s">
        <v>461</v>
      </c>
      <c r="C2178" t="s">
        <v>462</v>
      </c>
      <c r="D2178" t="s">
        <v>274</v>
      </c>
      <c r="E2178" t="s">
        <v>280</v>
      </c>
      <c r="F2178">
        <v>3</v>
      </c>
      <c r="G2178" t="s">
        <v>498</v>
      </c>
      <c r="H2178" s="4">
        <v>18642354</v>
      </c>
      <c r="I2178" s="4">
        <v>24901449</v>
      </c>
      <c r="J2178" s="3">
        <v>0.3357459578334367</v>
      </c>
      <c r="K2178" s="3">
        <v>-0.2513546500848204</v>
      </c>
      <c r="L2178" t="s">
        <v>54</v>
      </c>
    </row>
    <row r="2179" spans="1:12" x14ac:dyDescent="0.25">
      <c r="A2179" t="s">
        <v>487</v>
      </c>
      <c r="B2179" t="s">
        <v>461</v>
      </c>
      <c r="C2179" t="s">
        <v>462</v>
      </c>
      <c r="D2179" t="s">
        <v>274</v>
      </c>
      <c r="E2179" t="s">
        <v>280</v>
      </c>
      <c r="F2179">
        <v>3</v>
      </c>
      <c r="G2179" t="s">
        <v>499</v>
      </c>
      <c r="H2179" s="4">
        <v>18642354</v>
      </c>
      <c r="I2179" s="4">
        <v>26663933</v>
      </c>
      <c r="J2179" s="3">
        <v>0.4302878810261837</v>
      </c>
      <c r="K2179" s="3">
        <v>-0.30084005236586814</v>
      </c>
      <c r="L2179" t="s">
        <v>54</v>
      </c>
    </row>
    <row r="2180" spans="1:12" x14ac:dyDescent="0.25">
      <c r="A2180" t="s">
        <v>487</v>
      </c>
      <c r="B2180" t="s">
        <v>461</v>
      </c>
      <c r="C2180" t="s">
        <v>462</v>
      </c>
      <c r="D2180" t="s">
        <v>276</v>
      </c>
      <c r="E2180" t="s">
        <v>278</v>
      </c>
      <c r="F2180">
        <v>1</v>
      </c>
      <c r="G2180" t="s">
        <v>488</v>
      </c>
      <c r="H2180" s="4">
        <v>17111402</v>
      </c>
      <c r="I2180" s="4">
        <v>20208402.080301628</v>
      </c>
      <c r="J2180" s="3">
        <v>0.18099043434907483</v>
      </c>
      <c r="K2180" s="3">
        <v>-0.1532530908676082</v>
      </c>
      <c r="L2180" t="s">
        <v>54</v>
      </c>
    </row>
    <row r="2181" spans="1:12" x14ac:dyDescent="0.25">
      <c r="A2181" t="s">
        <v>487</v>
      </c>
      <c r="B2181" t="s">
        <v>461</v>
      </c>
      <c r="C2181" t="s">
        <v>462</v>
      </c>
      <c r="D2181" t="s">
        <v>276</v>
      </c>
      <c r="E2181" t="s">
        <v>278</v>
      </c>
      <c r="F2181">
        <v>1</v>
      </c>
      <c r="G2181" t="s">
        <v>498</v>
      </c>
      <c r="H2181" s="4">
        <v>17111402</v>
      </c>
      <c r="I2181" s="4">
        <v>19278302</v>
      </c>
      <c r="J2181" s="3">
        <v>0.1266348601943897</v>
      </c>
      <c r="K2181" s="3">
        <v>-0.11240097805294263</v>
      </c>
      <c r="L2181" t="s">
        <v>54</v>
      </c>
    </row>
    <row r="2182" spans="1:12" x14ac:dyDescent="0.25">
      <c r="A2182" t="s">
        <v>487</v>
      </c>
      <c r="B2182" t="s">
        <v>461</v>
      </c>
      <c r="C2182" t="s">
        <v>462</v>
      </c>
      <c r="D2182" t="s">
        <v>276</v>
      </c>
      <c r="E2182" t="s">
        <v>278</v>
      </c>
      <c r="F2182">
        <v>1</v>
      </c>
      <c r="G2182" t="s">
        <v>499</v>
      </c>
      <c r="H2182" s="4">
        <v>17111402</v>
      </c>
      <c r="I2182" s="4">
        <v>20672713</v>
      </c>
      <c r="J2182" s="3">
        <v>0.20812502680960918</v>
      </c>
      <c r="K2182" s="3">
        <v>-0.1722710995891057</v>
      </c>
      <c r="L2182" t="s">
        <v>54</v>
      </c>
    </row>
    <row r="2183" spans="1:12" x14ac:dyDescent="0.25">
      <c r="A2183" t="s">
        <v>487</v>
      </c>
      <c r="B2183" t="s">
        <v>461</v>
      </c>
      <c r="C2183" t="s">
        <v>462</v>
      </c>
      <c r="D2183" t="s">
        <v>276</v>
      </c>
      <c r="E2183" t="s">
        <v>280</v>
      </c>
      <c r="F2183">
        <v>2</v>
      </c>
      <c r="G2183" t="s">
        <v>488</v>
      </c>
      <c r="H2183" s="4">
        <v>18642354</v>
      </c>
      <c r="I2183" s="4">
        <v>26102843.174369033</v>
      </c>
      <c r="J2183" s="3">
        <v>0.40019029648128307</v>
      </c>
      <c r="K2183" s="3">
        <v>-0.2858113625604836</v>
      </c>
      <c r="L2183" t="s">
        <v>54</v>
      </c>
    </row>
    <row r="2184" spans="1:12" x14ac:dyDescent="0.25">
      <c r="A2184" t="s">
        <v>487</v>
      </c>
      <c r="B2184" t="s">
        <v>461</v>
      </c>
      <c r="C2184" t="s">
        <v>462</v>
      </c>
      <c r="D2184" t="s">
        <v>276</v>
      </c>
      <c r="E2184" t="s">
        <v>280</v>
      </c>
      <c r="F2184">
        <v>2</v>
      </c>
      <c r="G2184" t="s">
        <v>498</v>
      </c>
      <c r="H2184" s="4">
        <v>18642354</v>
      </c>
      <c r="I2184" s="4">
        <v>24901449</v>
      </c>
      <c r="J2184" s="3">
        <v>0.3357459578334367</v>
      </c>
      <c r="K2184" s="3">
        <v>-0.2513546500848204</v>
      </c>
      <c r="L2184" t="s">
        <v>54</v>
      </c>
    </row>
    <row r="2185" spans="1:12" x14ac:dyDescent="0.25">
      <c r="A2185" t="s">
        <v>487</v>
      </c>
      <c r="B2185" t="s">
        <v>461</v>
      </c>
      <c r="C2185" t="s">
        <v>462</v>
      </c>
      <c r="D2185" t="s">
        <v>276</v>
      </c>
      <c r="E2185" t="s">
        <v>280</v>
      </c>
      <c r="F2185">
        <v>2</v>
      </c>
      <c r="G2185" t="s">
        <v>499</v>
      </c>
      <c r="H2185" s="4">
        <v>18642354</v>
      </c>
      <c r="I2185" s="4">
        <v>20672713</v>
      </c>
      <c r="J2185" s="3">
        <v>0.10891108494131159</v>
      </c>
      <c r="K2185" s="3">
        <v>-0.09821444335825685</v>
      </c>
      <c r="L2185" t="s">
        <v>54</v>
      </c>
    </row>
    <row r="2186" spans="1:12" x14ac:dyDescent="0.25">
      <c r="A2186" t="s">
        <v>487</v>
      </c>
      <c r="B2186" t="s">
        <v>461</v>
      </c>
      <c r="C2186" t="s">
        <v>462</v>
      </c>
      <c r="D2186" t="s">
        <v>276</v>
      </c>
      <c r="E2186" t="s">
        <v>282</v>
      </c>
      <c r="F2186">
        <v>3</v>
      </c>
      <c r="G2186" t="s">
        <v>488</v>
      </c>
      <c r="H2186" s="4">
        <v>23880978</v>
      </c>
      <c r="I2186" s="4">
        <v>27731976.720980395</v>
      </c>
      <c r="J2186" s="3">
        <v>0.16125799877125613</v>
      </c>
      <c r="K2186" s="3">
        <v>-0.13886491971800027</v>
      </c>
      <c r="L2186" t="s">
        <v>54</v>
      </c>
    </row>
    <row r="2187" spans="1:12" x14ac:dyDescent="0.25">
      <c r="A2187" t="s">
        <v>487</v>
      </c>
      <c r="B2187" t="s">
        <v>461</v>
      </c>
      <c r="C2187" t="s">
        <v>462</v>
      </c>
      <c r="D2187" t="s">
        <v>276</v>
      </c>
      <c r="E2187" t="s">
        <v>282</v>
      </c>
      <c r="F2187">
        <v>3</v>
      </c>
      <c r="G2187" t="s">
        <v>498</v>
      </c>
      <c r="H2187" s="4">
        <v>23880978</v>
      </c>
      <c r="I2187" s="4">
        <v>26455601</v>
      </c>
      <c r="J2187" s="3">
        <v>0.10781061814135083</v>
      </c>
      <c r="K2187" s="3">
        <v>-0.09731863585333027</v>
      </c>
      <c r="L2187" t="s">
        <v>54</v>
      </c>
    </row>
    <row r="2188" spans="1:12" x14ac:dyDescent="0.25">
      <c r="A2188" t="s">
        <v>487</v>
      </c>
      <c r="B2188" t="s">
        <v>461</v>
      </c>
      <c r="C2188" t="s">
        <v>462</v>
      </c>
      <c r="D2188" t="s">
        <v>276</v>
      </c>
      <c r="E2188" t="s">
        <v>282</v>
      </c>
      <c r="F2188">
        <v>3</v>
      </c>
      <c r="G2188" t="s">
        <v>499</v>
      </c>
      <c r="H2188" s="4">
        <v>23880978</v>
      </c>
      <c r="I2188" s="4">
        <v>20672713</v>
      </c>
      <c r="J2188" s="3">
        <v>0.1343439535851505</v>
      </c>
      <c r="K2188" s="3">
        <v>0.155193225001479</v>
      </c>
      <c r="L2188" t="s">
        <v>54</v>
      </c>
    </row>
    <row r="2189" spans="1:12" x14ac:dyDescent="0.25">
      <c r="A2189" t="s">
        <v>487</v>
      </c>
      <c r="B2189" t="s">
        <v>461</v>
      </c>
      <c r="C2189" t="s">
        <v>462</v>
      </c>
      <c r="D2189" t="s">
        <v>278</v>
      </c>
      <c r="E2189" t="s">
        <v>280</v>
      </c>
      <c r="F2189">
        <v>1</v>
      </c>
      <c r="G2189" t="s">
        <v>488</v>
      </c>
      <c r="H2189" s="4">
        <v>18642354</v>
      </c>
      <c r="I2189" s="4">
        <v>25506663.4113532</v>
      </c>
      <c r="J2189" s="3">
        <v>0.3682104422731808</v>
      </c>
      <c r="K2189" s="3">
        <v>-0.2691182810017341</v>
      </c>
      <c r="L2189" t="s">
        <v>54</v>
      </c>
    </row>
    <row r="2190" spans="1:12" x14ac:dyDescent="0.25">
      <c r="A2190" t="s">
        <v>487</v>
      </c>
      <c r="B2190" t="s">
        <v>461</v>
      </c>
      <c r="C2190" t="s">
        <v>462</v>
      </c>
      <c r="D2190" t="s">
        <v>278</v>
      </c>
      <c r="E2190" t="s">
        <v>280</v>
      </c>
      <c r="F2190">
        <v>1</v>
      </c>
      <c r="G2190" t="s">
        <v>498</v>
      </c>
      <c r="H2190" s="4">
        <v>18642354</v>
      </c>
      <c r="I2190" s="4">
        <v>24901449</v>
      </c>
      <c r="J2190" s="3">
        <v>0.3357459578334367</v>
      </c>
      <c r="K2190" s="3">
        <v>-0.2513546500848204</v>
      </c>
      <c r="L2190" t="s">
        <v>54</v>
      </c>
    </row>
    <row r="2191" spans="1:12" x14ac:dyDescent="0.25">
      <c r="A2191" t="s">
        <v>487</v>
      </c>
      <c r="B2191" t="s">
        <v>461</v>
      </c>
      <c r="C2191" t="s">
        <v>462</v>
      </c>
      <c r="D2191" t="s">
        <v>278</v>
      </c>
      <c r="E2191" t="s">
        <v>280</v>
      </c>
      <c r="F2191">
        <v>1</v>
      </c>
      <c r="G2191" t="s">
        <v>499</v>
      </c>
      <c r="H2191" s="4">
        <v>18642354</v>
      </c>
      <c r="I2191" s="4">
        <v>17111402</v>
      </c>
      <c r="J2191" s="3">
        <v>0.08212224700807634</v>
      </c>
      <c r="K2191" s="3">
        <v>0.08946969979432427</v>
      </c>
      <c r="L2191" t="s">
        <v>54</v>
      </c>
    </row>
    <row r="2192" spans="1:12" x14ac:dyDescent="0.25">
      <c r="A2192" t="s">
        <v>487</v>
      </c>
      <c r="B2192" t="s">
        <v>461</v>
      </c>
      <c r="C2192" t="s">
        <v>462</v>
      </c>
      <c r="D2192" t="s">
        <v>278</v>
      </c>
      <c r="E2192" t="s">
        <v>282</v>
      </c>
      <c r="F2192">
        <v>2</v>
      </c>
      <c r="G2192" t="s">
        <v>488</v>
      </c>
      <c r="H2192" s="4">
        <v>23880978</v>
      </c>
      <c r="I2192" s="4">
        <v>27098588.120396495</v>
      </c>
      <c r="J2192" s="3">
        <v>0.1347352742587215</v>
      </c>
      <c r="K2192" s="3">
        <v>-0.11873718682689127</v>
      </c>
      <c r="L2192" t="s">
        <v>54</v>
      </c>
    </row>
    <row r="2193" spans="1:12" x14ac:dyDescent="0.25">
      <c r="A2193" t="s">
        <v>487</v>
      </c>
      <c r="B2193" t="s">
        <v>461</v>
      </c>
      <c r="C2193" t="s">
        <v>462</v>
      </c>
      <c r="D2193" t="s">
        <v>278</v>
      </c>
      <c r="E2193" t="s">
        <v>282</v>
      </c>
      <c r="F2193">
        <v>2</v>
      </c>
      <c r="G2193" t="s">
        <v>498</v>
      </c>
      <c r="H2193" s="4">
        <v>23880978</v>
      </c>
      <c r="I2193" s="4">
        <v>26455601</v>
      </c>
      <c r="J2193" s="3">
        <v>0.10781061814135083</v>
      </c>
      <c r="K2193" s="3">
        <v>-0.09731863585333027</v>
      </c>
      <c r="L2193" t="s">
        <v>54</v>
      </c>
    </row>
    <row r="2194" spans="1:12" x14ac:dyDescent="0.25">
      <c r="A2194" t="s">
        <v>487</v>
      </c>
      <c r="B2194" t="s">
        <v>461</v>
      </c>
      <c r="C2194" t="s">
        <v>462</v>
      </c>
      <c r="D2194" t="s">
        <v>278</v>
      </c>
      <c r="E2194" t="s">
        <v>282</v>
      </c>
      <c r="F2194">
        <v>2</v>
      </c>
      <c r="G2194" t="s">
        <v>499</v>
      </c>
      <c r="H2194" s="4">
        <v>23880978</v>
      </c>
      <c r="I2194" s="4">
        <v>17111402</v>
      </c>
      <c r="J2194" s="3">
        <v>0.2834714725669945</v>
      </c>
      <c r="K2194" s="3">
        <v>0.3956178459251907</v>
      </c>
      <c r="L2194" t="s">
        <v>54</v>
      </c>
    </row>
    <row r="2195" spans="1:12" x14ac:dyDescent="0.25">
      <c r="A2195" t="s">
        <v>487</v>
      </c>
      <c r="B2195" t="s">
        <v>461</v>
      </c>
      <c r="C2195" t="s">
        <v>462</v>
      </c>
      <c r="D2195" t="s">
        <v>278</v>
      </c>
      <c r="E2195" t="s">
        <v>284</v>
      </c>
      <c r="F2195">
        <v>3</v>
      </c>
      <c r="G2195" t="s">
        <v>488</v>
      </c>
      <c r="H2195" s="4">
        <v>26235749</v>
      </c>
      <c r="I2195" s="4">
        <v>34041105.067215346</v>
      </c>
      <c r="J2195" s="3">
        <v>0.2975084136997707</v>
      </c>
      <c r="K2195" s="3">
        <v>-0.22929208825046657</v>
      </c>
      <c r="L2195" t="s">
        <v>54</v>
      </c>
    </row>
    <row r="2196" spans="1:12" x14ac:dyDescent="0.25">
      <c r="A2196" t="s">
        <v>487</v>
      </c>
      <c r="B2196" t="s">
        <v>461</v>
      </c>
      <c r="C2196" t="s">
        <v>462</v>
      </c>
      <c r="D2196" t="s">
        <v>278</v>
      </c>
      <c r="E2196" t="s">
        <v>284</v>
      </c>
      <c r="F2196">
        <v>3</v>
      </c>
      <c r="G2196" t="s">
        <v>498</v>
      </c>
      <c r="H2196" s="4">
        <v>26235749</v>
      </c>
      <c r="I2196" s="4">
        <v>33233388</v>
      </c>
      <c r="J2196" s="3">
        <v>0.2667215256556998</v>
      </c>
      <c r="K2196" s="3">
        <v>-0.21056050619936795</v>
      </c>
      <c r="L2196" t="s">
        <v>54</v>
      </c>
    </row>
    <row r="2197" spans="1:12" x14ac:dyDescent="0.25">
      <c r="A2197" t="s">
        <v>487</v>
      </c>
      <c r="B2197" t="s">
        <v>461</v>
      </c>
      <c r="C2197" t="s">
        <v>462</v>
      </c>
      <c r="D2197" t="s">
        <v>278</v>
      </c>
      <c r="E2197" t="s">
        <v>284</v>
      </c>
      <c r="F2197">
        <v>3</v>
      </c>
      <c r="G2197" t="s">
        <v>499</v>
      </c>
      <c r="H2197" s="4">
        <v>26235749</v>
      </c>
      <c r="I2197" s="4">
        <v>17111402</v>
      </c>
      <c r="J2197" s="3">
        <v>0.34778298115292994</v>
      </c>
      <c r="K2197" s="3">
        <v>0.533231993497669</v>
      </c>
      <c r="L2197" t="s">
        <v>54</v>
      </c>
    </row>
    <row r="2198" spans="1:12" x14ac:dyDescent="0.25">
      <c r="A2198" t="s">
        <v>487</v>
      </c>
      <c r="B2198" t="s">
        <v>461</v>
      </c>
      <c r="C2198" t="s">
        <v>462</v>
      </c>
      <c r="D2198" t="s">
        <v>280</v>
      </c>
      <c r="E2198" t="s">
        <v>282</v>
      </c>
      <c r="F2198">
        <v>1</v>
      </c>
      <c r="G2198" t="s">
        <v>488</v>
      </c>
      <c r="H2198" s="4">
        <v>23880978</v>
      </c>
      <c r="I2198" s="4">
        <v>26384019.970556475</v>
      </c>
      <c r="J2198" s="3">
        <v>0.10481321035329773</v>
      </c>
      <c r="K2198" s="3">
        <v>-0.09486962082919022</v>
      </c>
      <c r="L2198" t="s">
        <v>54</v>
      </c>
    </row>
    <row r="2199" spans="1:12" x14ac:dyDescent="0.25">
      <c r="A2199" t="s">
        <v>487</v>
      </c>
      <c r="B2199" t="s">
        <v>461</v>
      </c>
      <c r="C2199" t="s">
        <v>462</v>
      </c>
      <c r="D2199" t="s">
        <v>280</v>
      </c>
      <c r="E2199" t="s">
        <v>282</v>
      </c>
      <c r="F2199">
        <v>1</v>
      </c>
      <c r="G2199" t="s">
        <v>498</v>
      </c>
      <c r="H2199" s="4">
        <v>23880978</v>
      </c>
      <c r="I2199" s="4">
        <v>26455601</v>
      </c>
      <c r="J2199" s="3">
        <v>0.10781061814135083</v>
      </c>
      <c r="K2199" s="3">
        <v>-0.09731863585333027</v>
      </c>
      <c r="L2199" t="s">
        <v>54</v>
      </c>
    </row>
    <row r="2200" spans="1:12" x14ac:dyDescent="0.25">
      <c r="A2200" t="s">
        <v>487</v>
      </c>
      <c r="B2200" t="s">
        <v>461</v>
      </c>
      <c r="C2200" t="s">
        <v>462</v>
      </c>
      <c r="D2200" t="s">
        <v>280</v>
      </c>
      <c r="E2200" t="s">
        <v>282</v>
      </c>
      <c r="F2200">
        <v>1</v>
      </c>
      <c r="G2200" t="s">
        <v>499</v>
      </c>
      <c r="H2200" s="4">
        <v>23880978</v>
      </c>
      <c r="I2200" s="4">
        <v>18642354</v>
      </c>
      <c r="J2200" s="3">
        <v>0.2193638803234943</v>
      </c>
      <c r="K2200" s="3">
        <v>0.2810065724532428</v>
      </c>
      <c r="L2200" t="s">
        <v>54</v>
      </c>
    </row>
    <row r="2201" spans="1:12" x14ac:dyDescent="0.25">
      <c r="A2201" t="s">
        <v>487</v>
      </c>
      <c r="B2201" t="s">
        <v>461</v>
      </c>
      <c r="C2201" t="s">
        <v>462</v>
      </c>
      <c r="D2201" t="s">
        <v>280</v>
      </c>
      <c r="E2201" t="s">
        <v>284</v>
      </c>
      <c r="F2201">
        <v>2</v>
      </c>
      <c r="G2201" t="s">
        <v>488</v>
      </c>
      <c r="H2201" s="4">
        <v>26235749</v>
      </c>
      <c r="I2201" s="4">
        <v>33143468.28413582</v>
      </c>
      <c r="J2201" s="3">
        <v>0.26329415196554207</v>
      </c>
      <c r="K2201" s="3">
        <v>-0.20841872144811746</v>
      </c>
      <c r="L2201" t="s">
        <v>54</v>
      </c>
    </row>
    <row r="2202" spans="1:12" x14ac:dyDescent="0.25">
      <c r="A2202" t="s">
        <v>487</v>
      </c>
      <c r="B2202" t="s">
        <v>461</v>
      </c>
      <c r="C2202" t="s">
        <v>462</v>
      </c>
      <c r="D2202" t="s">
        <v>280</v>
      </c>
      <c r="E2202" t="s">
        <v>284</v>
      </c>
      <c r="F2202">
        <v>2</v>
      </c>
      <c r="G2202" t="s">
        <v>498</v>
      </c>
      <c r="H2202" s="4">
        <v>26235749</v>
      </c>
      <c r="I2202" s="4">
        <v>33233388</v>
      </c>
      <c r="J2202" s="3">
        <v>0.2667215256556998</v>
      </c>
      <c r="K2202" s="3">
        <v>-0.21056050619936795</v>
      </c>
      <c r="L2202" t="s">
        <v>54</v>
      </c>
    </row>
    <row r="2203" spans="1:12" x14ac:dyDescent="0.25">
      <c r="A2203" t="s">
        <v>487</v>
      </c>
      <c r="B2203" t="s">
        <v>461</v>
      </c>
      <c r="C2203" t="s">
        <v>462</v>
      </c>
      <c r="D2203" t="s">
        <v>280</v>
      </c>
      <c r="E2203" t="s">
        <v>284</v>
      </c>
      <c r="F2203">
        <v>2</v>
      </c>
      <c r="G2203" t="s">
        <v>499</v>
      </c>
      <c r="H2203" s="4">
        <v>26235749</v>
      </c>
      <c r="I2203" s="4">
        <v>18642354</v>
      </c>
      <c r="J2203" s="3">
        <v>0.28942932027593343</v>
      </c>
      <c r="K2203" s="3">
        <v>0.4073195370069681</v>
      </c>
      <c r="L2203" t="s">
        <v>54</v>
      </c>
    </row>
    <row r="2204" spans="1:12" x14ac:dyDescent="0.25">
      <c r="A2204" t="s">
        <v>487</v>
      </c>
      <c r="B2204" t="s">
        <v>461</v>
      </c>
      <c r="C2204" t="s">
        <v>462</v>
      </c>
      <c r="D2204" t="s">
        <v>280</v>
      </c>
      <c r="E2204" t="s">
        <v>286</v>
      </c>
      <c r="F2204">
        <v>3</v>
      </c>
      <c r="G2204" t="s">
        <v>488</v>
      </c>
      <c r="H2204" s="4">
        <v>28233242</v>
      </c>
      <c r="I2204" s="4">
        <v>29429965.18458708</v>
      </c>
      <c r="J2204" s="3">
        <v>0.04238702677457587</v>
      </c>
      <c r="K2204" s="3">
        <v>-0.04066342508668078</v>
      </c>
      <c r="L2204" t="s">
        <v>54</v>
      </c>
    </row>
    <row r="2205" spans="1:12" x14ac:dyDescent="0.25">
      <c r="A2205" t="s">
        <v>487</v>
      </c>
      <c r="B2205" t="s">
        <v>461</v>
      </c>
      <c r="C2205" t="s">
        <v>462</v>
      </c>
      <c r="D2205" t="s">
        <v>280</v>
      </c>
      <c r="E2205" t="s">
        <v>286</v>
      </c>
      <c r="F2205">
        <v>3</v>
      </c>
      <c r="G2205" t="s">
        <v>498</v>
      </c>
      <c r="H2205" s="4">
        <v>28233242</v>
      </c>
      <c r="I2205" s="4">
        <v>29509810</v>
      </c>
      <c r="J2205" s="3">
        <v>0.04521506952690733</v>
      </c>
      <c r="K2205" s="3">
        <v>-0.04325910603965258</v>
      </c>
      <c r="L2205" t="s">
        <v>54</v>
      </c>
    </row>
    <row r="2206" spans="1:12" x14ac:dyDescent="0.25">
      <c r="A2206" t="s">
        <v>487</v>
      </c>
      <c r="B2206" t="s">
        <v>461</v>
      </c>
      <c r="C2206" t="s">
        <v>462</v>
      </c>
      <c r="D2206" t="s">
        <v>280</v>
      </c>
      <c r="E2206" t="s">
        <v>286</v>
      </c>
      <c r="F2206">
        <v>3</v>
      </c>
      <c r="G2206" t="s">
        <v>499</v>
      </c>
      <c r="H2206" s="4">
        <v>28233242</v>
      </c>
      <c r="I2206" s="4">
        <v>18642354</v>
      </c>
      <c r="J2206" s="3">
        <v>0.33970197258961615</v>
      </c>
      <c r="K2206" s="3">
        <v>0.5144676471651595</v>
      </c>
      <c r="L2206" t="s">
        <v>54</v>
      </c>
    </row>
    <row r="2207" spans="1:12" x14ac:dyDescent="0.25">
      <c r="A2207" t="s">
        <v>487</v>
      </c>
      <c r="B2207" t="s">
        <v>461</v>
      </c>
      <c r="C2207" t="s">
        <v>462</v>
      </c>
      <c r="D2207" t="s">
        <v>282</v>
      </c>
      <c r="E2207" t="s">
        <v>284</v>
      </c>
      <c r="F2207">
        <v>1</v>
      </c>
      <c r="G2207" t="s">
        <v>488</v>
      </c>
      <c r="H2207" s="4">
        <v>26235749</v>
      </c>
      <c r="I2207" s="4">
        <v>32742714.84377095</v>
      </c>
      <c r="J2207" s="3">
        <v>0.2480190614634616</v>
      </c>
      <c r="K2207" s="3">
        <v>-0.19873018699940975</v>
      </c>
      <c r="L2207" t="s">
        <v>54</v>
      </c>
    </row>
    <row r="2208" spans="1:12" x14ac:dyDescent="0.25">
      <c r="A2208" t="s">
        <v>487</v>
      </c>
      <c r="B2208" t="s">
        <v>461</v>
      </c>
      <c r="C2208" t="s">
        <v>462</v>
      </c>
      <c r="D2208" t="s">
        <v>282</v>
      </c>
      <c r="E2208" t="s">
        <v>284</v>
      </c>
      <c r="F2208">
        <v>1</v>
      </c>
      <c r="G2208" t="s">
        <v>498</v>
      </c>
      <c r="H2208" s="4">
        <v>26235749</v>
      </c>
      <c r="I2208" s="4">
        <v>33233388</v>
      </c>
      <c r="J2208" s="3">
        <v>0.2667215256556998</v>
      </c>
      <c r="K2208" s="3">
        <v>-0.21056050619936795</v>
      </c>
      <c r="L2208" t="s">
        <v>54</v>
      </c>
    </row>
    <row r="2209" spans="1:12" x14ac:dyDescent="0.25">
      <c r="A2209" t="s">
        <v>487</v>
      </c>
      <c r="B2209" t="s">
        <v>461</v>
      </c>
      <c r="C2209" t="s">
        <v>462</v>
      </c>
      <c r="D2209" t="s">
        <v>282</v>
      </c>
      <c r="E2209" t="s">
        <v>284</v>
      </c>
      <c r="F2209">
        <v>1</v>
      </c>
      <c r="G2209" t="s">
        <v>499</v>
      </c>
      <c r="H2209" s="4">
        <v>26235749</v>
      </c>
      <c r="I2209" s="4">
        <v>23880978</v>
      </c>
      <c r="J2209" s="3">
        <v>0.08975428908090255</v>
      </c>
      <c r="K2209" s="3">
        <v>0.09860446251405616</v>
      </c>
      <c r="L2209" t="s">
        <v>54</v>
      </c>
    </row>
    <row r="2210" spans="1:12" x14ac:dyDescent="0.25">
      <c r="A2210" t="s">
        <v>487</v>
      </c>
      <c r="B2210" t="s">
        <v>461</v>
      </c>
      <c r="C2210" t="s">
        <v>462</v>
      </c>
      <c r="D2210" t="s">
        <v>282</v>
      </c>
      <c r="E2210" t="s">
        <v>286</v>
      </c>
      <c r="F2210">
        <v>2</v>
      </c>
      <c r="G2210" t="s">
        <v>488</v>
      </c>
      <c r="H2210" s="4">
        <v>28233242</v>
      </c>
      <c r="I2210" s="4">
        <v>29074113.47659951</v>
      </c>
      <c r="J2210" s="3">
        <v>0.02978302940199042</v>
      </c>
      <c r="K2210" s="3">
        <v>-0.028921654903641056</v>
      </c>
      <c r="L2210" t="s">
        <v>54</v>
      </c>
    </row>
    <row r="2211" spans="1:12" x14ac:dyDescent="0.25">
      <c r="A2211" t="s">
        <v>487</v>
      </c>
      <c r="B2211" t="s">
        <v>461</v>
      </c>
      <c r="C2211" t="s">
        <v>462</v>
      </c>
      <c r="D2211" t="s">
        <v>282</v>
      </c>
      <c r="E2211" t="s">
        <v>286</v>
      </c>
      <c r="F2211">
        <v>2</v>
      </c>
      <c r="G2211" t="s">
        <v>498</v>
      </c>
      <c r="H2211" s="4">
        <v>28233242</v>
      </c>
      <c r="I2211" s="4">
        <v>29509810</v>
      </c>
      <c r="J2211" s="3">
        <v>0.04521506952690733</v>
      </c>
      <c r="K2211" s="3">
        <v>-0.04325910603965258</v>
      </c>
      <c r="L2211" t="s">
        <v>54</v>
      </c>
    </row>
    <row r="2212" spans="1:12" x14ac:dyDescent="0.25">
      <c r="A2212" t="s">
        <v>487</v>
      </c>
      <c r="B2212" t="s">
        <v>461</v>
      </c>
      <c r="C2212" t="s">
        <v>462</v>
      </c>
      <c r="D2212" t="s">
        <v>282</v>
      </c>
      <c r="E2212" t="s">
        <v>286</v>
      </c>
      <c r="F2212">
        <v>2</v>
      </c>
      <c r="G2212" t="s">
        <v>499</v>
      </c>
      <c r="H2212" s="4">
        <v>28233242</v>
      </c>
      <c r="I2212" s="4">
        <v>23880978</v>
      </c>
      <c r="J2212" s="3">
        <v>0.15415388710938688</v>
      </c>
      <c r="K2212" s="3">
        <v>0.18224814745861748</v>
      </c>
      <c r="L2212" t="s">
        <v>54</v>
      </c>
    </row>
    <row r="2213" spans="1:12" x14ac:dyDescent="0.25">
      <c r="A2213" t="s">
        <v>487</v>
      </c>
      <c r="B2213" t="s">
        <v>461</v>
      </c>
      <c r="C2213" t="s">
        <v>462</v>
      </c>
      <c r="D2213" t="s">
        <v>282</v>
      </c>
      <c r="E2213" t="s">
        <v>288</v>
      </c>
      <c r="F2213">
        <v>3</v>
      </c>
      <c r="G2213" t="s">
        <v>488</v>
      </c>
      <c r="H2213" s="4">
        <v>17682829</v>
      </c>
      <c r="I2213" s="4">
        <v>28981096.404397447</v>
      </c>
      <c r="J2213" s="3">
        <v>0.6389400363707327</v>
      </c>
      <c r="K2213" s="3">
        <v>-0.38984955043602504</v>
      </c>
      <c r="L2213" t="s">
        <v>54</v>
      </c>
    </row>
    <row r="2214" spans="1:12" x14ac:dyDescent="0.25">
      <c r="A2214" t="s">
        <v>487</v>
      </c>
      <c r="B2214" t="s">
        <v>461</v>
      </c>
      <c r="C2214" t="s">
        <v>462</v>
      </c>
      <c r="D2214" t="s">
        <v>282</v>
      </c>
      <c r="E2214" t="s">
        <v>288</v>
      </c>
      <c r="F2214">
        <v>3</v>
      </c>
      <c r="G2214" t="s">
        <v>498</v>
      </c>
      <c r="H2214" s="4">
        <v>17682829</v>
      </c>
      <c r="I2214" s="4">
        <v>29415399</v>
      </c>
      <c r="J2214" s="3">
        <v>0.6635007328295716</v>
      </c>
      <c r="K2214" s="3">
        <v>-0.39885809470067024</v>
      </c>
      <c r="L2214" t="s">
        <v>54</v>
      </c>
    </row>
    <row r="2215" spans="1:12" x14ac:dyDescent="0.25">
      <c r="A2215" t="s">
        <v>487</v>
      </c>
      <c r="B2215" t="s">
        <v>461</v>
      </c>
      <c r="C2215" t="s">
        <v>462</v>
      </c>
      <c r="D2215" t="s">
        <v>282</v>
      </c>
      <c r="E2215" t="s">
        <v>288</v>
      </c>
      <c r="F2215">
        <v>3</v>
      </c>
      <c r="G2215" t="s">
        <v>499</v>
      </c>
      <c r="H2215" s="4">
        <v>17682829</v>
      </c>
      <c r="I2215" s="4">
        <v>23880978</v>
      </c>
      <c r="J2215" s="3">
        <v>0.3505179516241434</v>
      </c>
      <c r="K2215" s="3">
        <v>-0.25954334868530093</v>
      </c>
      <c r="L2215" t="s">
        <v>54</v>
      </c>
    </row>
    <row r="2216" spans="1:12" x14ac:dyDescent="0.25">
      <c r="A2216" t="s">
        <v>487</v>
      </c>
      <c r="B2216" t="s">
        <v>461</v>
      </c>
      <c r="C2216" t="s">
        <v>462</v>
      </c>
      <c r="D2216" t="s">
        <v>284</v>
      </c>
      <c r="E2216" t="s">
        <v>286</v>
      </c>
      <c r="F2216">
        <v>1</v>
      </c>
      <c r="G2216" t="s">
        <v>488</v>
      </c>
      <c r="H2216" s="4">
        <v>28233242</v>
      </c>
      <c r="I2216" s="4">
        <v>28225526.820150655</v>
      </c>
      <c r="J2216" s="3">
        <v>0.00027326581372926417</v>
      </c>
      <c r="K2216" s="3">
        <v>0.0002733405083457024</v>
      </c>
      <c r="L2216" t="s">
        <v>54</v>
      </c>
    </row>
    <row r="2217" spans="1:12" x14ac:dyDescent="0.25">
      <c r="A2217" t="s">
        <v>487</v>
      </c>
      <c r="B2217" t="s">
        <v>461</v>
      </c>
      <c r="C2217" t="s">
        <v>462</v>
      </c>
      <c r="D2217" t="s">
        <v>284</v>
      </c>
      <c r="E2217" t="s">
        <v>286</v>
      </c>
      <c r="F2217">
        <v>1</v>
      </c>
      <c r="G2217" t="s">
        <v>498</v>
      </c>
      <c r="H2217" s="4">
        <v>28233242</v>
      </c>
      <c r="I2217" s="4">
        <v>29509810</v>
      </c>
      <c r="J2217" s="3">
        <v>0.04521506952690733</v>
      </c>
      <c r="K2217" s="3">
        <v>-0.04325910603965258</v>
      </c>
      <c r="L2217" t="s">
        <v>54</v>
      </c>
    </row>
    <row r="2218" spans="1:12" x14ac:dyDescent="0.25">
      <c r="A2218" t="s">
        <v>487</v>
      </c>
      <c r="B2218" t="s">
        <v>461</v>
      </c>
      <c r="C2218" t="s">
        <v>462</v>
      </c>
      <c r="D2218" t="s">
        <v>284</v>
      </c>
      <c r="E2218" t="s">
        <v>286</v>
      </c>
      <c r="F2218">
        <v>1</v>
      </c>
      <c r="G2218" t="s">
        <v>499</v>
      </c>
      <c r="H2218" s="4">
        <v>28233242</v>
      </c>
      <c r="I2218" s="4">
        <v>26235749</v>
      </c>
      <c r="J2218" s="3">
        <v>0.07074968577820429</v>
      </c>
      <c r="K2218" s="3">
        <v>0.07613630546625522</v>
      </c>
      <c r="L2218" t="s">
        <v>54</v>
      </c>
    </row>
    <row r="2219" spans="1:12" x14ac:dyDescent="0.25">
      <c r="A2219" t="s">
        <v>487</v>
      </c>
      <c r="B2219" t="s">
        <v>461</v>
      </c>
      <c r="C2219" t="s">
        <v>462</v>
      </c>
      <c r="D2219" t="s">
        <v>284</v>
      </c>
      <c r="E2219" t="s">
        <v>288</v>
      </c>
      <c r="F2219">
        <v>2</v>
      </c>
      <c r="G2219" t="s">
        <v>488</v>
      </c>
      <c r="H2219" s="4">
        <v>17682829</v>
      </c>
      <c r="I2219" s="4">
        <v>28135224.638855103</v>
      </c>
      <c r="J2219" s="3">
        <v>0.591104264982436</v>
      </c>
      <c r="K2219" s="3">
        <v>-0.3715056756440541</v>
      </c>
      <c r="L2219" t="s">
        <v>54</v>
      </c>
    </row>
    <row r="2220" spans="1:12" x14ac:dyDescent="0.25">
      <c r="A2220" t="s">
        <v>487</v>
      </c>
      <c r="B2220" t="s">
        <v>461</v>
      </c>
      <c r="C2220" t="s">
        <v>462</v>
      </c>
      <c r="D2220" t="s">
        <v>284</v>
      </c>
      <c r="E2220" t="s">
        <v>288</v>
      </c>
      <c r="F2220">
        <v>2</v>
      </c>
      <c r="G2220" t="s">
        <v>498</v>
      </c>
      <c r="H2220" s="4">
        <v>17682829</v>
      </c>
      <c r="I2220" s="4">
        <v>29415399</v>
      </c>
      <c r="J2220" s="3">
        <v>0.6635007328295716</v>
      </c>
      <c r="K2220" s="3">
        <v>-0.39885809470067024</v>
      </c>
      <c r="L2220" t="s">
        <v>54</v>
      </c>
    </row>
    <row r="2221" spans="1:12" x14ac:dyDescent="0.25">
      <c r="A2221" t="s">
        <v>487</v>
      </c>
      <c r="B2221" t="s">
        <v>461</v>
      </c>
      <c r="C2221" t="s">
        <v>462</v>
      </c>
      <c r="D2221" t="s">
        <v>284</v>
      </c>
      <c r="E2221" t="s">
        <v>288</v>
      </c>
      <c r="F2221">
        <v>2</v>
      </c>
      <c r="G2221" t="s">
        <v>499</v>
      </c>
      <c r="H2221" s="4">
        <v>17682829</v>
      </c>
      <c r="I2221" s="4">
        <v>26235749</v>
      </c>
      <c r="J2221" s="3">
        <v>0.48368504835962617</v>
      </c>
      <c r="K2221" s="3">
        <v>-0.32600250901927746</v>
      </c>
      <c r="L2221" t="s">
        <v>54</v>
      </c>
    </row>
    <row r="2222" spans="1:12" x14ac:dyDescent="0.25">
      <c r="A2222" t="s">
        <v>487</v>
      </c>
      <c r="B2222" t="s">
        <v>461</v>
      </c>
      <c r="C2222" t="s">
        <v>462</v>
      </c>
      <c r="D2222" t="s">
        <v>284</v>
      </c>
      <c r="E2222" t="s">
        <v>290</v>
      </c>
      <c r="F2222">
        <v>3</v>
      </c>
      <c r="G2222" t="s">
        <v>488</v>
      </c>
      <c r="H2222" s="4">
        <v>13533384</v>
      </c>
      <c r="I2222" s="4">
        <v>29220642.300410397</v>
      </c>
      <c r="J2222" s="3">
        <v>1.1591526775868028</v>
      </c>
      <c r="K2222" s="3">
        <v>-0.5368553551675376</v>
      </c>
      <c r="L2222" t="s">
        <v>54</v>
      </c>
    </row>
    <row r="2223" spans="1:12" x14ac:dyDescent="0.25">
      <c r="A2223" t="s">
        <v>487</v>
      </c>
      <c r="B2223" t="s">
        <v>461</v>
      </c>
      <c r="C2223" t="s">
        <v>462</v>
      </c>
      <c r="D2223" t="s">
        <v>284</v>
      </c>
      <c r="E2223" t="s">
        <v>290</v>
      </c>
      <c r="F2223">
        <v>3</v>
      </c>
      <c r="G2223" t="s">
        <v>498</v>
      </c>
      <c r="H2223" s="4">
        <v>13533384</v>
      </c>
      <c r="I2223" s="4">
        <v>30550204</v>
      </c>
      <c r="J2223" s="3">
        <v>1.2573957851192281</v>
      </c>
      <c r="K2223" s="3">
        <v>-0.5570116651266879</v>
      </c>
      <c r="L2223" t="s">
        <v>54</v>
      </c>
    </row>
    <row r="2224" spans="1:12" x14ac:dyDescent="0.25">
      <c r="A2224" t="s">
        <v>487</v>
      </c>
      <c r="B2224" t="s">
        <v>461</v>
      </c>
      <c r="C2224" t="s">
        <v>462</v>
      </c>
      <c r="D2224" t="s">
        <v>284</v>
      </c>
      <c r="E2224" t="s">
        <v>290</v>
      </c>
      <c r="F2224">
        <v>3</v>
      </c>
      <c r="G2224" t="s">
        <v>499</v>
      </c>
      <c r="H2224" s="4">
        <v>13533384</v>
      </c>
      <c r="I2224" s="4">
        <v>26235749</v>
      </c>
      <c r="J2224" s="3">
        <v>0.9385948850634845</v>
      </c>
      <c r="K2224" s="3">
        <v>-0.4841624685462572</v>
      </c>
      <c r="L2224" t="s">
        <v>54</v>
      </c>
    </row>
    <row r="2225" spans="1:12" x14ac:dyDescent="0.25">
      <c r="A2225" t="s">
        <v>487</v>
      </c>
      <c r="B2225" t="s">
        <v>461</v>
      </c>
      <c r="C2225" t="s">
        <v>462</v>
      </c>
      <c r="D2225" t="s">
        <v>286</v>
      </c>
      <c r="E2225" t="s">
        <v>288</v>
      </c>
      <c r="F2225">
        <v>1</v>
      </c>
      <c r="G2225" t="s">
        <v>488</v>
      </c>
      <c r="H2225" s="4">
        <v>17682829</v>
      </c>
      <c r="I2225" s="4">
        <v>28061964.060576063</v>
      </c>
      <c r="J2225" s="3">
        <v>0.5869612300484307</v>
      </c>
      <c r="K2225" s="3">
        <v>-0.3698648832338002</v>
      </c>
      <c r="L2225" t="s">
        <v>54</v>
      </c>
    </row>
    <row r="2226" spans="1:12" x14ac:dyDescent="0.25">
      <c r="A2226" t="s">
        <v>487</v>
      </c>
      <c r="B2226" t="s">
        <v>461</v>
      </c>
      <c r="C2226" t="s">
        <v>462</v>
      </c>
      <c r="D2226" t="s">
        <v>286</v>
      </c>
      <c r="E2226" t="s">
        <v>288</v>
      </c>
      <c r="F2226">
        <v>1</v>
      </c>
      <c r="G2226" t="s">
        <v>498</v>
      </c>
      <c r="H2226" s="4">
        <v>17682829</v>
      </c>
      <c r="I2226" s="4">
        <v>29415399</v>
      </c>
      <c r="J2226" s="3">
        <v>0.6635007328295716</v>
      </c>
      <c r="K2226" s="3">
        <v>-0.39885809470067024</v>
      </c>
      <c r="L2226" t="s">
        <v>54</v>
      </c>
    </row>
    <row r="2227" spans="1:12" x14ac:dyDescent="0.25">
      <c r="A2227" t="s">
        <v>487</v>
      </c>
      <c r="B2227" t="s">
        <v>461</v>
      </c>
      <c r="C2227" t="s">
        <v>462</v>
      </c>
      <c r="D2227" t="s">
        <v>286</v>
      </c>
      <c r="E2227" t="s">
        <v>288</v>
      </c>
      <c r="F2227">
        <v>1</v>
      </c>
      <c r="G2227" t="s">
        <v>499</v>
      </c>
      <c r="H2227" s="4">
        <v>17682829</v>
      </c>
      <c r="I2227" s="4">
        <v>28233242</v>
      </c>
      <c r="J2227" s="3">
        <v>0.5966473464172504</v>
      </c>
      <c r="K2227" s="3">
        <v>-0.3736876197214617</v>
      </c>
      <c r="L2227" t="s">
        <v>54</v>
      </c>
    </row>
    <row r="2228" spans="1:12" x14ac:dyDescent="0.25">
      <c r="A2228" t="s">
        <v>487</v>
      </c>
      <c r="B2228" t="s">
        <v>461</v>
      </c>
      <c r="C2228" t="s">
        <v>462</v>
      </c>
      <c r="D2228" t="s">
        <v>286</v>
      </c>
      <c r="E2228" t="s">
        <v>290</v>
      </c>
      <c r="F2228">
        <v>2</v>
      </c>
      <c r="G2228" t="s">
        <v>488</v>
      </c>
      <c r="H2228" s="4">
        <v>13533384</v>
      </c>
      <c r="I2228" s="4">
        <v>29144555.43136665</v>
      </c>
      <c r="J2228" s="3">
        <v>1.1535305161936327</v>
      </c>
      <c r="K2228" s="3">
        <v>-0.5356462365030699</v>
      </c>
      <c r="L2228" t="s">
        <v>54</v>
      </c>
    </row>
    <row r="2229" spans="1:12" x14ac:dyDescent="0.25">
      <c r="A2229" t="s">
        <v>487</v>
      </c>
      <c r="B2229" t="s">
        <v>461</v>
      </c>
      <c r="C2229" t="s">
        <v>462</v>
      </c>
      <c r="D2229" t="s">
        <v>286</v>
      </c>
      <c r="E2229" t="s">
        <v>290</v>
      </c>
      <c r="F2229">
        <v>2</v>
      </c>
      <c r="G2229" t="s">
        <v>498</v>
      </c>
      <c r="H2229" s="4">
        <v>13533384</v>
      </c>
      <c r="I2229" s="4">
        <v>30550204</v>
      </c>
      <c r="J2229" s="3">
        <v>1.2573957851192281</v>
      </c>
      <c r="K2229" s="3">
        <v>-0.5570116651266879</v>
      </c>
      <c r="L2229" t="s">
        <v>54</v>
      </c>
    </row>
    <row r="2230" spans="1:12" x14ac:dyDescent="0.25">
      <c r="A2230" t="s">
        <v>487</v>
      </c>
      <c r="B2230" t="s">
        <v>461</v>
      </c>
      <c r="C2230" t="s">
        <v>462</v>
      </c>
      <c r="D2230" t="s">
        <v>286</v>
      </c>
      <c r="E2230" t="s">
        <v>290</v>
      </c>
      <c r="F2230">
        <v>2</v>
      </c>
      <c r="G2230" t="s">
        <v>499</v>
      </c>
      <c r="H2230" s="4">
        <v>13533384</v>
      </c>
      <c r="I2230" s="4">
        <v>28233242</v>
      </c>
      <c r="J2230" s="3">
        <v>1.0861923374079978</v>
      </c>
      <c r="K2230" s="3">
        <v>-0.5206578118092141</v>
      </c>
      <c r="L2230" t="s">
        <v>54</v>
      </c>
    </row>
    <row r="2231" spans="1:12" x14ac:dyDescent="0.25">
      <c r="A2231" t="s">
        <v>487</v>
      </c>
      <c r="B2231" t="s">
        <v>461</v>
      </c>
      <c r="C2231" t="s">
        <v>462</v>
      </c>
      <c r="D2231" t="s">
        <v>286</v>
      </c>
      <c r="E2231" t="s">
        <v>292</v>
      </c>
      <c r="F2231">
        <v>3</v>
      </c>
      <c r="G2231" t="s">
        <v>488</v>
      </c>
      <c r="H2231" s="4">
        <v>13149950</v>
      </c>
      <c r="I2231" s="4">
        <v>26684254.31637612</v>
      </c>
      <c r="J2231" s="3">
        <v>1.0292285762589302</v>
      </c>
      <c r="K2231" s="3">
        <v>-0.5072018935177859</v>
      </c>
      <c r="L2231" t="s">
        <v>54</v>
      </c>
    </row>
    <row r="2232" spans="1:12" x14ac:dyDescent="0.25">
      <c r="A2232" t="s">
        <v>487</v>
      </c>
      <c r="B2232" t="s">
        <v>461</v>
      </c>
      <c r="C2232" t="s">
        <v>462</v>
      </c>
      <c r="D2232" t="s">
        <v>286</v>
      </c>
      <c r="E2232" t="s">
        <v>292</v>
      </c>
      <c r="F2232">
        <v>3</v>
      </c>
      <c r="G2232" t="s">
        <v>498</v>
      </c>
      <c r="H2232" s="4">
        <v>13149950</v>
      </c>
      <c r="I2232" s="4">
        <v>27971242</v>
      </c>
      <c r="J2232" s="3">
        <v>1.1270987342157195</v>
      </c>
      <c r="K2232" s="3">
        <v>-0.5298760777229699</v>
      </c>
      <c r="L2232" t="s">
        <v>54</v>
      </c>
    </row>
    <row r="2233" spans="1:12" x14ac:dyDescent="0.25">
      <c r="A2233" t="s">
        <v>487</v>
      </c>
      <c r="B2233" t="s">
        <v>461</v>
      </c>
      <c r="C2233" t="s">
        <v>462</v>
      </c>
      <c r="D2233" t="s">
        <v>286</v>
      </c>
      <c r="E2233" t="s">
        <v>292</v>
      </c>
      <c r="F2233">
        <v>3</v>
      </c>
      <c r="G2233" t="s">
        <v>499</v>
      </c>
      <c r="H2233" s="4">
        <v>13149950</v>
      </c>
      <c r="I2233" s="4">
        <v>28233242</v>
      </c>
      <c r="J2233" s="3">
        <v>1.1470227643451116</v>
      </c>
      <c r="K2233" s="3">
        <v>-0.5342387530273711</v>
      </c>
      <c r="L2233" t="s">
        <v>54</v>
      </c>
    </row>
    <row r="2234" spans="1:12" x14ac:dyDescent="0.25">
      <c r="A2234" t="s">
        <v>487</v>
      </c>
      <c r="B2234" t="s">
        <v>461</v>
      </c>
      <c r="C2234" t="s">
        <v>462</v>
      </c>
      <c r="D2234" t="s">
        <v>288</v>
      </c>
      <c r="E2234" t="s">
        <v>290</v>
      </c>
      <c r="F2234">
        <v>1</v>
      </c>
      <c r="G2234" t="s">
        <v>488</v>
      </c>
      <c r="H2234" s="4">
        <v>13533384</v>
      </c>
      <c r="I2234" s="4">
        <v>28099764.390362702</v>
      </c>
      <c r="J2234" s="3">
        <v>1.0763294967735122</v>
      </c>
      <c r="K2234" s="3">
        <v>-0.518380872807549</v>
      </c>
      <c r="L2234" t="s">
        <v>54</v>
      </c>
    </row>
    <row r="2235" spans="1:12" x14ac:dyDescent="0.25">
      <c r="A2235" t="s">
        <v>487</v>
      </c>
      <c r="B2235" t="s">
        <v>461</v>
      </c>
      <c r="C2235" t="s">
        <v>462</v>
      </c>
      <c r="D2235" t="s">
        <v>288</v>
      </c>
      <c r="E2235" t="s">
        <v>290</v>
      </c>
      <c r="F2235">
        <v>1</v>
      </c>
      <c r="G2235" t="s">
        <v>498</v>
      </c>
      <c r="H2235" s="4">
        <v>13533384</v>
      </c>
      <c r="I2235" s="4">
        <v>30550204</v>
      </c>
      <c r="J2235" s="3">
        <v>1.2573957851192281</v>
      </c>
      <c r="K2235" s="3">
        <v>-0.5570116651266879</v>
      </c>
      <c r="L2235" t="s">
        <v>54</v>
      </c>
    </row>
    <row r="2236" spans="1:12" x14ac:dyDescent="0.25">
      <c r="A2236" t="s">
        <v>487</v>
      </c>
      <c r="B2236" t="s">
        <v>461</v>
      </c>
      <c r="C2236" t="s">
        <v>462</v>
      </c>
      <c r="D2236" t="s">
        <v>288</v>
      </c>
      <c r="E2236" t="s">
        <v>290</v>
      </c>
      <c r="F2236">
        <v>1</v>
      </c>
      <c r="G2236" t="s">
        <v>499</v>
      </c>
      <c r="H2236" s="4">
        <v>13533384</v>
      </c>
      <c r="I2236" s="4">
        <v>17682829</v>
      </c>
      <c r="J2236" s="3">
        <v>0.3066080885608507</v>
      </c>
      <c r="K2236" s="3">
        <v>-0.2346595671993435</v>
      </c>
      <c r="L2236" t="s">
        <v>54</v>
      </c>
    </row>
    <row r="2237" spans="1:12" x14ac:dyDescent="0.25">
      <c r="A2237" t="s">
        <v>487</v>
      </c>
      <c r="B2237" t="s">
        <v>461</v>
      </c>
      <c r="C2237" t="s">
        <v>462</v>
      </c>
      <c r="D2237" t="s">
        <v>288</v>
      </c>
      <c r="E2237" t="s">
        <v>292</v>
      </c>
      <c r="F2237">
        <v>2</v>
      </c>
      <c r="G2237" t="s">
        <v>488</v>
      </c>
      <c r="H2237" s="4">
        <v>13149950</v>
      </c>
      <c r="I2237" s="4">
        <v>25727661.586345468</v>
      </c>
      <c r="J2237" s="3">
        <v>0.9564836053631738</v>
      </c>
      <c r="K2237" s="3">
        <v>-0.48887892683650974</v>
      </c>
      <c r="L2237" t="s">
        <v>54</v>
      </c>
    </row>
    <row r="2238" spans="1:12" x14ac:dyDescent="0.25">
      <c r="A2238" t="s">
        <v>487</v>
      </c>
      <c r="B2238" t="s">
        <v>461</v>
      </c>
      <c r="C2238" t="s">
        <v>462</v>
      </c>
      <c r="D2238" t="s">
        <v>288</v>
      </c>
      <c r="E2238" t="s">
        <v>292</v>
      </c>
      <c r="F2238">
        <v>2</v>
      </c>
      <c r="G2238" t="s">
        <v>498</v>
      </c>
      <c r="H2238" s="4">
        <v>13149950</v>
      </c>
      <c r="I2238" s="4">
        <v>27971242</v>
      </c>
      <c r="J2238" s="3">
        <v>1.1270987342157195</v>
      </c>
      <c r="K2238" s="3">
        <v>-0.5298760777229699</v>
      </c>
      <c r="L2238" t="s">
        <v>54</v>
      </c>
    </row>
    <row r="2239" spans="1:12" x14ac:dyDescent="0.25">
      <c r="A2239" t="s">
        <v>487</v>
      </c>
      <c r="B2239" t="s">
        <v>461</v>
      </c>
      <c r="C2239" t="s">
        <v>462</v>
      </c>
      <c r="D2239" t="s">
        <v>288</v>
      </c>
      <c r="E2239" t="s">
        <v>292</v>
      </c>
      <c r="F2239">
        <v>2</v>
      </c>
      <c r="G2239" t="s">
        <v>499</v>
      </c>
      <c r="H2239" s="4">
        <v>13149950</v>
      </c>
      <c r="I2239" s="4">
        <v>17682829</v>
      </c>
      <c r="J2239" s="3">
        <v>0.3447069380491941</v>
      </c>
      <c r="K2239" s="3">
        <v>-0.25634354095716244</v>
      </c>
      <c r="L2239" t="s">
        <v>54</v>
      </c>
    </row>
    <row r="2240" spans="1:12" x14ac:dyDescent="0.25">
      <c r="A2240" t="s">
        <v>487</v>
      </c>
      <c r="B2240" t="s">
        <v>461</v>
      </c>
      <c r="C2240" t="s">
        <v>462</v>
      </c>
      <c r="D2240" t="s">
        <v>288</v>
      </c>
      <c r="E2240" t="s">
        <v>294</v>
      </c>
      <c r="F2240">
        <v>3</v>
      </c>
      <c r="G2240" t="s">
        <v>488</v>
      </c>
      <c r="H2240" s="4">
        <v>18334669</v>
      </c>
      <c r="I2240" s="4">
        <v>33002402.862428967</v>
      </c>
      <c r="J2240" s="3">
        <v>0.7999999270468949</v>
      </c>
      <c r="K2240" s="3">
        <v>-0.4444444219280531</v>
      </c>
      <c r="L2240" t="s">
        <v>54</v>
      </c>
    </row>
    <row r="2241" spans="1:12" x14ac:dyDescent="0.25">
      <c r="A2241" t="s">
        <v>487</v>
      </c>
      <c r="B2241" t="s">
        <v>461</v>
      </c>
      <c r="C2241" t="s">
        <v>462</v>
      </c>
      <c r="D2241" t="s">
        <v>288</v>
      </c>
      <c r="E2241" t="s">
        <v>294</v>
      </c>
      <c r="F2241">
        <v>3</v>
      </c>
      <c r="G2241" t="s">
        <v>498</v>
      </c>
      <c r="H2241" s="4">
        <v>18334669</v>
      </c>
      <c r="I2241" s="4">
        <v>35880377</v>
      </c>
      <c r="J2241" s="3">
        <v>0.9569688986476931</v>
      </c>
      <c r="K2241" s="3">
        <v>-0.4890056757207428</v>
      </c>
      <c r="L2241" t="s">
        <v>54</v>
      </c>
    </row>
    <row r="2242" spans="1:12" x14ac:dyDescent="0.25">
      <c r="A2242" t="s">
        <v>487</v>
      </c>
      <c r="B2242" t="s">
        <v>461</v>
      </c>
      <c r="C2242" t="s">
        <v>462</v>
      </c>
      <c r="D2242" t="s">
        <v>288</v>
      </c>
      <c r="E2242" t="s">
        <v>294</v>
      </c>
      <c r="F2242">
        <v>3</v>
      </c>
      <c r="G2242" t="s">
        <v>499</v>
      </c>
      <c r="H2242" s="4">
        <v>18334669</v>
      </c>
      <c r="I2242" s="4">
        <v>17682829</v>
      </c>
      <c r="J2242" s="3">
        <v>0.035552318942872654</v>
      </c>
      <c r="K2242" s="3">
        <v>0.03686287980277364</v>
      </c>
      <c r="L2242" t="s">
        <v>54</v>
      </c>
    </row>
    <row r="2243" spans="1:12" x14ac:dyDescent="0.25">
      <c r="A2243" t="s">
        <v>487</v>
      </c>
      <c r="B2243" t="s">
        <v>461</v>
      </c>
      <c r="C2243" t="s">
        <v>462</v>
      </c>
      <c r="D2243" t="s">
        <v>290</v>
      </c>
      <c r="E2243" t="s">
        <v>292</v>
      </c>
      <c r="F2243">
        <v>1</v>
      </c>
      <c r="G2243" t="s">
        <v>488</v>
      </c>
      <c r="H2243" s="4">
        <v>13149950</v>
      </c>
      <c r="I2243" s="4">
        <v>24154137.695594598</v>
      </c>
      <c r="J2243" s="3">
        <v>0.8368235389179881</v>
      </c>
      <c r="K2243" s="3">
        <v>-0.45558188970669067</v>
      </c>
      <c r="L2243" t="s">
        <v>54</v>
      </c>
    </row>
    <row r="2244" spans="1:12" x14ac:dyDescent="0.25">
      <c r="A2244" t="s">
        <v>487</v>
      </c>
      <c r="B2244" t="s">
        <v>461</v>
      </c>
      <c r="C2244" t="s">
        <v>462</v>
      </c>
      <c r="D2244" t="s">
        <v>290</v>
      </c>
      <c r="E2244" t="s">
        <v>292</v>
      </c>
      <c r="F2244">
        <v>1</v>
      </c>
      <c r="G2244" t="s">
        <v>498</v>
      </c>
      <c r="H2244" s="4">
        <v>13149950</v>
      </c>
      <c r="I2244" s="4">
        <v>27971242</v>
      </c>
      <c r="J2244" s="3">
        <v>1.1270987342157195</v>
      </c>
      <c r="K2244" s="3">
        <v>-0.5298760777229699</v>
      </c>
      <c r="L2244" t="s">
        <v>54</v>
      </c>
    </row>
    <row r="2245" spans="1:12" x14ac:dyDescent="0.25">
      <c r="A2245" t="s">
        <v>487</v>
      </c>
      <c r="B2245" t="s">
        <v>461</v>
      </c>
      <c r="C2245" t="s">
        <v>462</v>
      </c>
      <c r="D2245" t="s">
        <v>290</v>
      </c>
      <c r="E2245" t="s">
        <v>292</v>
      </c>
      <c r="F2245">
        <v>1</v>
      </c>
      <c r="G2245" t="s">
        <v>499</v>
      </c>
      <c r="H2245" s="4">
        <v>13149950</v>
      </c>
      <c r="I2245" s="4">
        <v>13533384</v>
      </c>
      <c r="J2245" s="3">
        <v>0.029158589956615806</v>
      </c>
      <c r="K2245" s="3">
        <v>-0.028332455504107474</v>
      </c>
      <c r="L2245" t="s">
        <v>54</v>
      </c>
    </row>
    <row r="2246" spans="1:12" x14ac:dyDescent="0.25">
      <c r="A2246" t="s">
        <v>487</v>
      </c>
      <c r="B2246" t="s">
        <v>461</v>
      </c>
      <c r="C2246" t="s">
        <v>462</v>
      </c>
      <c r="D2246" t="s">
        <v>290</v>
      </c>
      <c r="E2246" t="s">
        <v>294</v>
      </c>
      <c r="F2246">
        <v>2</v>
      </c>
      <c r="G2246" t="s">
        <v>488</v>
      </c>
      <c r="H2246" s="4">
        <v>18334669</v>
      </c>
      <c r="I2246" s="4">
        <v>30983950.109467622</v>
      </c>
      <c r="J2246" s="3">
        <v>0.6899105246714637</v>
      </c>
      <c r="K2246" s="3">
        <v>-0.40825269421029825</v>
      </c>
      <c r="L2246" t="s">
        <v>54</v>
      </c>
    </row>
    <row r="2247" spans="1:12" x14ac:dyDescent="0.25">
      <c r="A2247" t="s">
        <v>487</v>
      </c>
      <c r="B2247" t="s">
        <v>461</v>
      </c>
      <c r="C2247" t="s">
        <v>462</v>
      </c>
      <c r="D2247" t="s">
        <v>290</v>
      </c>
      <c r="E2247" t="s">
        <v>294</v>
      </c>
      <c r="F2247">
        <v>2</v>
      </c>
      <c r="G2247" t="s">
        <v>498</v>
      </c>
      <c r="H2247" s="4">
        <v>18334669</v>
      </c>
      <c r="I2247" s="4">
        <v>35880377</v>
      </c>
      <c r="J2247" s="3">
        <v>0.9569688986476931</v>
      </c>
      <c r="K2247" s="3">
        <v>-0.4890056757207428</v>
      </c>
      <c r="L2247" t="s">
        <v>54</v>
      </c>
    </row>
    <row r="2248" spans="1:12" x14ac:dyDescent="0.25">
      <c r="A2248" t="s">
        <v>487</v>
      </c>
      <c r="B2248" t="s">
        <v>461</v>
      </c>
      <c r="C2248" t="s">
        <v>462</v>
      </c>
      <c r="D2248" t="s">
        <v>290</v>
      </c>
      <c r="E2248" t="s">
        <v>294</v>
      </c>
      <c r="F2248">
        <v>2</v>
      </c>
      <c r="G2248" t="s">
        <v>499</v>
      </c>
      <c r="H2248" s="4">
        <v>18334669</v>
      </c>
      <c r="I2248" s="4">
        <v>13533384</v>
      </c>
      <c r="J2248" s="3">
        <v>0.26186919436614864</v>
      </c>
      <c r="K2248" s="3">
        <v>0.35477342547880114</v>
      </c>
      <c r="L2248" t="s">
        <v>54</v>
      </c>
    </row>
    <row r="2249" spans="1:12" x14ac:dyDescent="0.25">
      <c r="A2249" t="s">
        <v>487</v>
      </c>
      <c r="B2249" t="s">
        <v>461</v>
      </c>
      <c r="C2249" t="s">
        <v>462</v>
      </c>
      <c r="D2249" t="s">
        <v>290</v>
      </c>
      <c r="E2249" t="s">
        <v>296</v>
      </c>
      <c r="F2249">
        <v>3</v>
      </c>
      <c r="G2249" t="s">
        <v>488</v>
      </c>
      <c r="H2249" s="4">
        <v>24049930</v>
      </c>
      <c r="I2249" s="4">
        <v>32268407.87084306</v>
      </c>
      <c r="J2249" s="3">
        <v>0.34172564622196655</v>
      </c>
      <c r="K2249" s="3">
        <v>-0.25469114880840077</v>
      </c>
      <c r="L2249" t="s">
        <v>54</v>
      </c>
    </row>
    <row r="2250" spans="1:12" x14ac:dyDescent="0.25">
      <c r="A2250" t="s">
        <v>487</v>
      </c>
      <c r="B2250" t="s">
        <v>461</v>
      </c>
      <c r="C2250" t="s">
        <v>462</v>
      </c>
      <c r="D2250" t="s">
        <v>290</v>
      </c>
      <c r="E2250" t="s">
        <v>296</v>
      </c>
      <c r="F2250">
        <v>3</v>
      </c>
      <c r="G2250" t="s">
        <v>498</v>
      </c>
      <c r="H2250" s="4">
        <v>24049930</v>
      </c>
      <c r="I2250" s="4">
        <v>37367819</v>
      </c>
      <c r="J2250" s="3">
        <v>0.5537599901538175</v>
      </c>
      <c r="K2250" s="3">
        <v>-0.35639995473110164</v>
      </c>
      <c r="L2250" t="s">
        <v>54</v>
      </c>
    </row>
    <row r="2251" spans="1:12" x14ac:dyDescent="0.25">
      <c r="A2251" t="s">
        <v>487</v>
      </c>
      <c r="B2251" t="s">
        <v>461</v>
      </c>
      <c r="C2251" t="s">
        <v>462</v>
      </c>
      <c r="D2251" t="s">
        <v>290</v>
      </c>
      <c r="E2251" t="s">
        <v>296</v>
      </c>
      <c r="F2251">
        <v>3</v>
      </c>
      <c r="G2251" t="s">
        <v>499</v>
      </c>
      <c r="H2251" s="4">
        <v>24049930</v>
      </c>
      <c r="I2251" s="4">
        <v>13533384</v>
      </c>
      <c r="J2251" s="3">
        <v>0.4372796927059663</v>
      </c>
      <c r="K2251" s="3">
        <v>0.7770817705313025</v>
      </c>
      <c r="L2251" t="s">
        <v>54</v>
      </c>
    </row>
    <row r="2252" spans="1:12" x14ac:dyDescent="0.25">
      <c r="A2252" t="s">
        <v>487</v>
      </c>
      <c r="B2252" t="s">
        <v>461</v>
      </c>
      <c r="C2252" t="s">
        <v>462</v>
      </c>
      <c r="D2252" t="s">
        <v>292</v>
      </c>
      <c r="E2252" t="s">
        <v>294</v>
      </c>
      <c r="F2252">
        <v>1</v>
      </c>
      <c r="G2252" t="s">
        <v>488</v>
      </c>
      <c r="H2252" s="4">
        <v>18334669</v>
      </c>
      <c r="I2252" s="4">
        <v>29532184.53835853</v>
      </c>
      <c r="J2252" s="3">
        <v>0.6107290804300055</v>
      </c>
      <c r="K2252" s="3">
        <v>-0.3791631304421245</v>
      </c>
      <c r="L2252" t="s">
        <v>54</v>
      </c>
    </row>
    <row r="2253" spans="1:12" x14ac:dyDescent="0.25">
      <c r="A2253" t="s">
        <v>487</v>
      </c>
      <c r="B2253" t="s">
        <v>461</v>
      </c>
      <c r="C2253" t="s">
        <v>462</v>
      </c>
      <c r="D2253" t="s">
        <v>292</v>
      </c>
      <c r="E2253" t="s">
        <v>294</v>
      </c>
      <c r="F2253">
        <v>1</v>
      </c>
      <c r="G2253" t="s">
        <v>498</v>
      </c>
      <c r="H2253" s="4">
        <v>18334669</v>
      </c>
      <c r="I2253" s="4">
        <v>35880377</v>
      </c>
      <c r="J2253" s="3">
        <v>0.9569688986476931</v>
      </c>
      <c r="K2253" s="3">
        <v>-0.4890056757207428</v>
      </c>
      <c r="L2253" t="s">
        <v>54</v>
      </c>
    </row>
    <row r="2254" spans="1:12" x14ac:dyDescent="0.25">
      <c r="A2254" t="s">
        <v>487</v>
      </c>
      <c r="B2254" t="s">
        <v>461</v>
      </c>
      <c r="C2254" t="s">
        <v>462</v>
      </c>
      <c r="D2254" t="s">
        <v>292</v>
      </c>
      <c r="E2254" t="s">
        <v>294</v>
      </c>
      <c r="F2254">
        <v>1</v>
      </c>
      <c r="G2254" t="s">
        <v>499</v>
      </c>
      <c r="H2254" s="4">
        <v>18334669</v>
      </c>
      <c r="I2254" s="4">
        <v>13149950</v>
      </c>
      <c r="J2254" s="3">
        <v>0.28278225257298073</v>
      </c>
      <c r="K2254" s="3">
        <v>0.39427670827645733</v>
      </c>
      <c r="L2254" t="s">
        <v>54</v>
      </c>
    </row>
    <row r="2255" spans="1:12" x14ac:dyDescent="0.25">
      <c r="A2255" t="s">
        <v>487</v>
      </c>
      <c r="B2255" t="s">
        <v>461</v>
      </c>
      <c r="C2255" t="s">
        <v>462</v>
      </c>
      <c r="D2255" t="s">
        <v>292</v>
      </c>
      <c r="E2255" t="s">
        <v>296</v>
      </c>
      <c r="F2255">
        <v>2</v>
      </c>
      <c r="G2255" t="s">
        <v>488</v>
      </c>
      <c r="H2255" s="4">
        <v>24049930</v>
      </c>
      <c r="I2255" s="4">
        <v>30756458.50945156</v>
      </c>
      <c r="J2255" s="3">
        <v>0.2788585459272256</v>
      </c>
      <c r="K2255" s="3">
        <v>-0.21805268988920237</v>
      </c>
      <c r="L2255" t="s">
        <v>54</v>
      </c>
    </row>
    <row r="2256" spans="1:12" x14ac:dyDescent="0.25">
      <c r="A2256" t="s">
        <v>487</v>
      </c>
      <c r="B2256" t="s">
        <v>461</v>
      </c>
      <c r="C2256" t="s">
        <v>462</v>
      </c>
      <c r="D2256" t="s">
        <v>292</v>
      </c>
      <c r="E2256" t="s">
        <v>296</v>
      </c>
      <c r="F2256">
        <v>2</v>
      </c>
      <c r="G2256" t="s">
        <v>498</v>
      </c>
      <c r="H2256" s="4">
        <v>24049930</v>
      </c>
      <c r="I2256" s="4">
        <v>37367819</v>
      </c>
      <c r="J2256" s="3">
        <v>0.5537599901538175</v>
      </c>
      <c r="K2256" s="3">
        <v>-0.35639995473110164</v>
      </c>
      <c r="L2256" t="s">
        <v>54</v>
      </c>
    </row>
    <row r="2257" spans="1:12" x14ac:dyDescent="0.25">
      <c r="A2257" t="s">
        <v>487</v>
      </c>
      <c r="B2257" t="s">
        <v>461</v>
      </c>
      <c r="C2257" t="s">
        <v>462</v>
      </c>
      <c r="D2257" t="s">
        <v>292</v>
      </c>
      <c r="E2257" t="s">
        <v>296</v>
      </c>
      <c r="F2257">
        <v>2</v>
      </c>
      <c r="G2257" t="s">
        <v>499</v>
      </c>
      <c r="H2257" s="4">
        <v>24049930</v>
      </c>
      <c r="I2257" s="4">
        <v>13149950</v>
      </c>
      <c r="J2257" s="3">
        <v>0.4532229407736322</v>
      </c>
      <c r="K2257" s="3">
        <v>0.8288989691976015</v>
      </c>
      <c r="L2257" t="s">
        <v>54</v>
      </c>
    </row>
    <row r="2258" spans="1:12" x14ac:dyDescent="0.25">
      <c r="A2258" t="s">
        <v>487</v>
      </c>
      <c r="B2258" t="s">
        <v>461</v>
      </c>
      <c r="C2258" t="s">
        <v>462</v>
      </c>
      <c r="D2258" t="s">
        <v>292</v>
      </c>
      <c r="E2258" t="s">
        <v>298</v>
      </c>
      <c r="F2258">
        <v>3</v>
      </c>
      <c r="G2258" t="s">
        <v>488</v>
      </c>
      <c r="H2258" s="4">
        <v>24384501</v>
      </c>
      <c r="I2258" s="4">
        <v>21946374.473000318</v>
      </c>
      <c r="J2258" s="3">
        <v>0.09998673038253611</v>
      </c>
      <c r="K2258" s="3">
        <v>0.11109472910886509</v>
      </c>
      <c r="L2258" t="s">
        <v>54</v>
      </c>
    </row>
    <row r="2259" spans="1:12" x14ac:dyDescent="0.25">
      <c r="A2259" t="s">
        <v>487</v>
      </c>
      <c r="B2259" t="s">
        <v>461</v>
      </c>
      <c r="C2259" t="s">
        <v>462</v>
      </c>
      <c r="D2259" t="s">
        <v>292</v>
      </c>
      <c r="E2259" t="s">
        <v>298</v>
      </c>
      <c r="F2259">
        <v>3</v>
      </c>
      <c r="G2259" t="s">
        <v>498</v>
      </c>
      <c r="H2259" s="4">
        <v>24384501</v>
      </c>
      <c r="I2259" s="4">
        <v>26663933</v>
      </c>
      <c r="J2259" s="3">
        <v>0.09347872240649911</v>
      </c>
      <c r="K2259" s="3">
        <v>-0.08548746353360549</v>
      </c>
      <c r="L2259" t="s">
        <v>54</v>
      </c>
    </row>
    <row r="2260" spans="1:12" x14ac:dyDescent="0.25">
      <c r="A2260" t="s">
        <v>487</v>
      </c>
      <c r="B2260" t="s">
        <v>461</v>
      </c>
      <c r="C2260" t="s">
        <v>462</v>
      </c>
      <c r="D2260" t="s">
        <v>292</v>
      </c>
      <c r="E2260" t="s">
        <v>298</v>
      </c>
      <c r="F2260">
        <v>3</v>
      </c>
      <c r="G2260" t="s">
        <v>499</v>
      </c>
      <c r="H2260" s="4">
        <v>24384501</v>
      </c>
      <c r="I2260" s="4">
        <v>13149950</v>
      </c>
      <c r="J2260" s="3">
        <v>0.4607250728649317</v>
      </c>
      <c r="K2260" s="3">
        <v>0.8543417275350856</v>
      </c>
      <c r="L2260" t="s">
        <v>54</v>
      </c>
    </row>
    <row r="2261" spans="1:12" x14ac:dyDescent="0.25">
      <c r="A2261" t="s">
        <v>487</v>
      </c>
      <c r="B2261" t="s">
        <v>461</v>
      </c>
      <c r="C2261" t="s">
        <v>462</v>
      </c>
      <c r="D2261" t="s">
        <v>294</v>
      </c>
      <c r="E2261" t="s">
        <v>296</v>
      </c>
      <c r="F2261">
        <v>1</v>
      </c>
      <c r="G2261" t="s">
        <v>488</v>
      </c>
      <c r="H2261" s="4">
        <v>24049930</v>
      </c>
      <c r="I2261" s="4">
        <v>29147864.93983478</v>
      </c>
      <c r="J2261" s="3">
        <v>0.2119729637398022</v>
      </c>
      <c r="K2261" s="3">
        <v>-0.1748990861031373</v>
      </c>
      <c r="L2261" t="s">
        <v>54</v>
      </c>
    </row>
    <row r="2262" spans="1:12" x14ac:dyDescent="0.25">
      <c r="A2262" t="s">
        <v>487</v>
      </c>
      <c r="B2262" t="s">
        <v>461</v>
      </c>
      <c r="C2262" t="s">
        <v>462</v>
      </c>
      <c r="D2262" t="s">
        <v>294</v>
      </c>
      <c r="E2262" t="s">
        <v>296</v>
      </c>
      <c r="F2262">
        <v>1</v>
      </c>
      <c r="G2262" t="s">
        <v>498</v>
      </c>
      <c r="H2262" s="4">
        <v>24049930</v>
      </c>
      <c r="I2262" s="4">
        <v>37367819</v>
      </c>
      <c r="J2262" s="3">
        <v>0.5537599901538175</v>
      </c>
      <c r="K2262" s="3">
        <v>-0.35639995473110164</v>
      </c>
      <c r="L2262" t="s">
        <v>54</v>
      </c>
    </row>
    <row r="2263" spans="1:12" x14ac:dyDescent="0.25">
      <c r="A2263" t="s">
        <v>487</v>
      </c>
      <c r="B2263" t="s">
        <v>461</v>
      </c>
      <c r="C2263" t="s">
        <v>462</v>
      </c>
      <c r="D2263" t="s">
        <v>294</v>
      </c>
      <c r="E2263" t="s">
        <v>296</v>
      </c>
      <c r="F2263">
        <v>1</v>
      </c>
      <c r="G2263" t="s">
        <v>499</v>
      </c>
      <c r="H2263" s="4">
        <v>24049930</v>
      </c>
      <c r="I2263" s="4">
        <v>18334669</v>
      </c>
      <c r="J2263" s="3">
        <v>0.23764148170077834</v>
      </c>
      <c r="K2263" s="3">
        <v>0.3117187989595013</v>
      </c>
      <c r="L2263" t="s">
        <v>54</v>
      </c>
    </row>
    <row r="2264" spans="1:12" x14ac:dyDescent="0.25">
      <c r="A2264" t="s">
        <v>487</v>
      </c>
      <c r="B2264" t="s">
        <v>461</v>
      </c>
      <c r="C2264" t="s">
        <v>462</v>
      </c>
      <c r="D2264" t="s">
        <v>294</v>
      </c>
      <c r="E2264" t="s">
        <v>298</v>
      </c>
      <c r="F2264">
        <v>2</v>
      </c>
      <c r="G2264" t="s">
        <v>488</v>
      </c>
      <c r="H2264" s="4">
        <v>24384501</v>
      </c>
      <c r="I2264" s="4">
        <v>20798557.118059356</v>
      </c>
      <c r="J2264" s="3">
        <v>0.14705832536579871</v>
      </c>
      <c r="K2264" s="3">
        <v>0.1724131083510103</v>
      </c>
      <c r="L2264" t="s">
        <v>54</v>
      </c>
    </row>
    <row r="2265" spans="1:12" x14ac:dyDescent="0.25">
      <c r="A2265" t="s">
        <v>487</v>
      </c>
      <c r="B2265" t="s">
        <v>461</v>
      </c>
      <c r="C2265" t="s">
        <v>462</v>
      </c>
      <c r="D2265" t="s">
        <v>294</v>
      </c>
      <c r="E2265" t="s">
        <v>298</v>
      </c>
      <c r="F2265">
        <v>2</v>
      </c>
      <c r="G2265" t="s">
        <v>498</v>
      </c>
      <c r="H2265" s="4">
        <v>24384501</v>
      </c>
      <c r="I2265" s="4">
        <v>26663933</v>
      </c>
      <c r="J2265" s="3">
        <v>0.09347872240649911</v>
      </c>
      <c r="K2265" s="3">
        <v>-0.08548746353360549</v>
      </c>
      <c r="L2265" t="s">
        <v>54</v>
      </c>
    </row>
    <row r="2266" spans="1:12" x14ac:dyDescent="0.25">
      <c r="A2266" t="s">
        <v>487</v>
      </c>
      <c r="B2266" t="s">
        <v>461</v>
      </c>
      <c r="C2266" t="s">
        <v>462</v>
      </c>
      <c r="D2266" t="s">
        <v>294</v>
      </c>
      <c r="E2266" t="s">
        <v>298</v>
      </c>
      <c r="F2266">
        <v>2</v>
      </c>
      <c r="G2266" t="s">
        <v>499</v>
      </c>
      <c r="H2266" s="4">
        <v>24384501</v>
      </c>
      <c r="I2266" s="4">
        <v>18334669</v>
      </c>
      <c r="J2266" s="3">
        <v>0.2481015297380906</v>
      </c>
      <c r="K2266" s="3">
        <v>0.3299667967826417</v>
      </c>
      <c r="L2266" t="s">
        <v>54</v>
      </c>
    </row>
    <row r="2267" spans="1:12" x14ac:dyDescent="0.25">
      <c r="A2267" t="s">
        <v>487</v>
      </c>
      <c r="B2267" t="s">
        <v>461</v>
      </c>
      <c r="C2267" t="s">
        <v>462</v>
      </c>
      <c r="D2267" t="s">
        <v>294</v>
      </c>
      <c r="E2267" t="s">
        <v>300</v>
      </c>
      <c r="F2267">
        <v>3</v>
      </c>
      <c r="G2267" t="s">
        <v>488</v>
      </c>
      <c r="H2267" s="4">
        <v>20879302</v>
      </c>
      <c r="I2267" s="4">
        <v>16125250.619094647</v>
      </c>
      <c r="J2267" s="3">
        <v>0.2276920646535671</v>
      </c>
      <c r="K2267" s="3">
        <v>0.2948203096624038</v>
      </c>
      <c r="L2267" t="s">
        <v>54</v>
      </c>
    </row>
    <row r="2268" spans="1:12" x14ac:dyDescent="0.25">
      <c r="A2268" t="s">
        <v>487</v>
      </c>
      <c r="B2268" t="s">
        <v>461</v>
      </c>
      <c r="C2268" t="s">
        <v>462</v>
      </c>
      <c r="D2268" t="s">
        <v>294</v>
      </c>
      <c r="E2268" t="s">
        <v>300</v>
      </c>
      <c r="F2268">
        <v>3</v>
      </c>
      <c r="G2268" t="s">
        <v>498</v>
      </c>
      <c r="H2268" s="4">
        <v>20879302</v>
      </c>
      <c r="I2268" s="4">
        <v>20672713</v>
      </c>
      <c r="J2268" s="3">
        <v>0.00989443995781085</v>
      </c>
      <c r="K2268" s="3">
        <v>0.00999331824516695</v>
      </c>
      <c r="L2268" t="s">
        <v>54</v>
      </c>
    </row>
    <row r="2269" spans="1:12" x14ac:dyDescent="0.25">
      <c r="A2269" t="s">
        <v>487</v>
      </c>
      <c r="B2269" t="s">
        <v>461</v>
      </c>
      <c r="C2269" t="s">
        <v>462</v>
      </c>
      <c r="D2269" t="s">
        <v>294</v>
      </c>
      <c r="E2269" t="s">
        <v>300</v>
      </c>
      <c r="F2269">
        <v>3</v>
      </c>
      <c r="G2269" t="s">
        <v>499</v>
      </c>
      <c r="H2269" s="4">
        <v>20879302</v>
      </c>
      <c r="I2269" s="4">
        <v>18334669</v>
      </c>
      <c r="J2269" s="3">
        <v>0.1218734706744507</v>
      </c>
      <c r="K2269" s="3">
        <v>0.1387880522958991</v>
      </c>
      <c r="L2269" t="s">
        <v>54</v>
      </c>
    </row>
    <row r="2270" spans="1:12" x14ac:dyDescent="0.25">
      <c r="A2270" t="s">
        <v>487</v>
      </c>
      <c r="B2270" t="s">
        <v>461</v>
      </c>
      <c r="C2270" t="s">
        <v>462</v>
      </c>
      <c r="D2270" t="s">
        <v>296</v>
      </c>
      <c r="E2270" t="s">
        <v>298</v>
      </c>
      <c r="F2270">
        <v>1</v>
      </c>
      <c r="G2270" t="s">
        <v>488</v>
      </c>
      <c r="H2270" s="4">
        <v>24384501</v>
      </c>
      <c r="I2270" s="4">
        <v>19746865.78291753</v>
      </c>
      <c r="J2270" s="3">
        <v>0.19018782533554698</v>
      </c>
      <c r="K2270" s="3">
        <v>0.23485424310192868</v>
      </c>
      <c r="L2270" t="s">
        <v>54</v>
      </c>
    </row>
    <row r="2271" spans="1:12" x14ac:dyDescent="0.25">
      <c r="A2271" t="s">
        <v>487</v>
      </c>
      <c r="B2271" t="s">
        <v>461</v>
      </c>
      <c r="C2271" t="s">
        <v>462</v>
      </c>
      <c r="D2271" t="s">
        <v>296</v>
      </c>
      <c r="E2271" t="s">
        <v>298</v>
      </c>
      <c r="F2271">
        <v>1</v>
      </c>
      <c r="G2271" t="s">
        <v>498</v>
      </c>
      <c r="H2271" s="4">
        <v>24384501</v>
      </c>
      <c r="I2271" s="4">
        <v>26663933</v>
      </c>
      <c r="J2271" s="3">
        <v>0.09347872240649911</v>
      </c>
      <c r="K2271" s="3">
        <v>-0.08548746353360549</v>
      </c>
      <c r="L2271" t="s">
        <v>54</v>
      </c>
    </row>
    <row r="2272" spans="1:12" x14ac:dyDescent="0.25">
      <c r="A2272" t="s">
        <v>487</v>
      </c>
      <c r="B2272" t="s">
        <v>461</v>
      </c>
      <c r="C2272" t="s">
        <v>462</v>
      </c>
      <c r="D2272" t="s">
        <v>296</v>
      </c>
      <c r="E2272" t="s">
        <v>298</v>
      </c>
      <c r="F2272">
        <v>1</v>
      </c>
      <c r="G2272" t="s">
        <v>499</v>
      </c>
      <c r="H2272" s="4">
        <v>24384501</v>
      </c>
      <c r="I2272" s="4">
        <v>24049930</v>
      </c>
      <c r="J2272" s="3">
        <v>0.013720641648561929</v>
      </c>
      <c r="K2272" s="3">
        <v>0.013911516582376746</v>
      </c>
      <c r="L2272" t="s">
        <v>54</v>
      </c>
    </row>
    <row r="2273" spans="1:12" x14ac:dyDescent="0.25">
      <c r="A2273" t="s">
        <v>487</v>
      </c>
      <c r="B2273" t="s">
        <v>461</v>
      </c>
      <c r="C2273" t="s">
        <v>462</v>
      </c>
      <c r="D2273" t="s">
        <v>296</v>
      </c>
      <c r="E2273" t="s">
        <v>300</v>
      </c>
      <c r="F2273">
        <v>2</v>
      </c>
      <c r="G2273" t="s">
        <v>488</v>
      </c>
      <c r="H2273" s="4">
        <v>20879302</v>
      </c>
      <c r="I2273" s="4">
        <v>15309867.789563317</v>
      </c>
      <c r="J2273" s="3">
        <v>0.2667442719319201</v>
      </c>
      <c r="K2273" s="3">
        <v>0.36378068622077503</v>
      </c>
      <c r="L2273" t="s">
        <v>54</v>
      </c>
    </row>
    <row r="2274" spans="1:12" x14ac:dyDescent="0.25">
      <c r="A2274" t="s">
        <v>487</v>
      </c>
      <c r="B2274" t="s">
        <v>461</v>
      </c>
      <c r="C2274" t="s">
        <v>462</v>
      </c>
      <c r="D2274" t="s">
        <v>296</v>
      </c>
      <c r="E2274" t="s">
        <v>300</v>
      </c>
      <c r="F2274">
        <v>2</v>
      </c>
      <c r="G2274" t="s">
        <v>498</v>
      </c>
      <c r="H2274" s="4">
        <v>20879302</v>
      </c>
      <c r="I2274" s="4">
        <v>20672713</v>
      </c>
      <c r="J2274" s="3">
        <v>0.00989443995781085</v>
      </c>
      <c r="K2274" s="3">
        <v>0.00999331824516695</v>
      </c>
      <c r="L2274" t="s">
        <v>54</v>
      </c>
    </row>
    <row r="2275" spans="1:12" x14ac:dyDescent="0.25">
      <c r="A2275" t="s">
        <v>487</v>
      </c>
      <c r="B2275" t="s">
        <v>461</v>
      </c>
      <c r="C2275" t="s">
        <v>462</v>
      </c>
      <c r="D2275" t="s">
        <v>296</v>
      </c>
      <c r="E2275" t="s">
        <v>300</v>
      </c>
      <c r="F2275">
        <v>2</v>
      </c>
      <c r="G2275" t="s">
        <v>499</v>
      </c>
      <c r="H2275" s="4">
        <v>20879302</v>
      </c>
      <c r="I2275" s="4">
        <v>24049930</v>
      </c>
      <c r="J2275" s="3">
        <v>0.1518550763813848</v>
      </c>
      <c r="K2275" s="3">
        <v>-0.1318352277948418</v>
      </c>
      <c r="L2275" t="s">
        <v>54</v>
      </c>
    </row>
    <row r="2276" spans="1:12" x14ac:dyDescent="0.25">
      <c r="A2276" t="s">
        <v>487</v>
      </c>
      <c r="B2276" t="s">
        <v>461</v>
      </c>
      <c r="C2276" t="s">
        <v>462</v>
      </c>
      <c r="D2276" t="s">
        <v>296</v>
      </c>
      <c r="E2276" t="s">
        <v>302</v>
      </c>
      <c r="F2276">
        <v>3</v>
      </c>
      <c r="G2276" t="s">
        <v>488</v>
      </c>
      <c r="H2276" s="4">
        <v>17471720</v>
      </c>
      <c r="I2276" s="4">
        <v>12672420.030891413</v>
      </c>
      <c r="J2276" s="3">
        <v>0.2746896109317564</v>
      </c>
      <c r="K2276" s="3">
        <v>0.37872008325240075</v>
      </c>
      <c r="L2276" t="s">
        <v>54</v>
      </c>
    </row>
    <row r="2277" spans="1:12" x14ac:dyDescent="0.25">
      <c r="A2277" t="s">
        <v>487</v>
      </c>
      <c r="B2277" t="s">
        <v>461</v>
      </c>
      <c r="C2277" t="s">
        <v>462</v>
      </c>
      <c r="D2277" t="s">
        <v>296</v>
      </c>
      <c r="E2277" t="s">
        <v>302</v>
      </c>
      <c r="F2277">
        <v>3</v>
      </c>
      <c r="G2277" t="s">
        <v>498</v>
      </c>
      <c r="H2277" s="4">
        <v>17471720</v>
      </c>
      <c r="I2277" s="4">
        <v>17111402</v>
      </c>
      <c r="J2277" s="3">
        <v>0.020622926649465537</v>
      </c>
      <c r="K2277" s="3">
        <v>0.021057187482358256</v>
      </c>
      <c r="L2277" t="s">
        <v>54</v>
      </c>
    </row>
    <row r="2278" spans="1:12" x14ac:dyDescent="0.25">
      <c r="A2278" t="s">
        <v>487</v>
      </c>
      <c r="B2278" t="s">
        <v>461</v>
      </c>
      <c r="C2278" t="s">
        <v>462</v>
      </c>
      <c r="D2278" t="s">
        <v>296</v>
      </c>
      <c r="E2278" t="s">
        <v>302</v>
      </c>
      <c r="F2278">
        <v>3</v>
      </c>
      <c r="G2278" t="s">
        <v>499</v>
      </c>
      <c r="H2278" s="4">
        <v>17471720</v>
      </c>
      <c r="I2278" s="4">
        <v>24049930</v>
      </c>
      <c r="J2278" s="3">
        <v>0.3765061482212398</v>
      </c>
      <c r="K2278" s="3">
        <v>-0.27352304143920586</v>
      </c>
      <c r="L2278" t="s">
        <v>54</v>
      </c>
    </row>
    <row r="2279" spans="1:12" x14ac:dyDescent="0.25">
      <c r="A2279" t="s">
        <v>487</v>
      </c>
      <c r="B2279" t="s">
        <v>461</v>
      </c>
      <c r="C2279" t="s">
        <v>462</v>
      </c>
      <c r="D2279" t="s">
        <v>298</v>
      </c>
      <c r="E2279" t="s">
        <v>300</v>
      </c>
      <c r="F2279">
        <v>1</v>
      </c>
      <c r="G2279" t="s">
        <v>488</v>
      </c>
      <c r="H2279" s="4">
        <v>20879302</v>
      </c>
      <c r="I2279" s="4">
        <v>15298185.758049158</v>
      </c>
      <c r="J2279" s="3">
        <v>0.26730377490353086</v>
      </c>
      <c r="K2279" s="3">
        <v>0.36482209918351466</v>
      </c>
      <c r="L2279" t="s">
        <v>54</v>
      </c>
    </row>
    <row r="2280" spans="1:12" x14ac:dyDescent="0.25">
      <c r="A2280" t="s">
        <v>487</v>
      </c>
      <c r="B2280" t="s">
        <v>461</v>
      </c>
      <c r="C2280" t="s">
        <v>462</v>
      </c>
      <c r="D2280" t="s">
        <v>298</v>
      </c>
      <c r="E2280" t="s">
        <v>300</v>
      </c>
      <c r="F2280">
        <v>1</v>
      </c>
      <c r="G2280" t="s">
        <v>498</v>
      </c>
      <c r="H2280" s="4">
        <v>20879302</v>
      </c>
      <c r="I2280" s="4">
        <v>20672713</v>
      </c>
      <c r="J2280" s="3">
        <v>0.00989443995781085</v>
      </c>
      <c r="K2280" s="3">
        <v>0.00999331824516695</v>
      </c>
      <c r="L2280" t="s">
        <v>54</v>
      </c>
    </row>
    <row r="2281" spans="1:12" x14ac:dyDescent="0.25">
      <c r="A2281" t="s">
        <v>487</v>
      </c>
      <c r="B2281" t="s">
        <v>461</v>
      </c>
      <c r="C2281" t="s">
        <v>462</v>
      </c>
      <c r="D2281" t="s">
        <v>298</v>
      </c>
      <c r="E2281" t="s">
        <v>300</v>
      </c>
      <c r="F2281">
        <v>1</v>
      </c>
      <c r="G2281" t="s">
        <v>499</v>
      </c>
      <c r="H2281" s="4">
        <v>20879302</v>
      </c>
      <c r="I2281" s="4">
        <v>24384501</v>
      </c>
      <c r="J2281" s="3">
        <v>0.16787912737695926</v>
      </c>
      <c r="K2281" s="3">
        <v>-0.1437470055261742</v>
      </c>
      <c r="L2281" t="s">
        <v>54</v>
      </c>
    </row>
    <row r="2282" spans="1:12" x14ac:dyDescent="0.25">
      <c r="A2282" t="s">
        <v>487</v>
      </c>
      <c r="B2282" t="s">
        <v>461</v>
      </c>
      <c r="C2282" t="s">
        <v>462</v>
      </c>
      <c r="D2282" t="s">
        <v>298</v>
      </c>
      <c r="E2282" t="s">
        <v>302</v>
      </c>
      <c r="F2282">
        <v>2</v>
      </c>
      <c r="G2282" t="s">
        <v>488</v>
      </c>
      <c r="H2282" s="4">
        <v>17471720</v>
      </c>
      <c r="I2282" s="4">
        <v>12662750.475791633</v>
      </c>
      <c r="J2282" s="3">
        <v>0.2752430512970885</v>
      </c>
      <c r="K2282" s="3">
        <v>0.3797729042676825</v>
      </c>
      <c r="L2282" t="s">
        <v>54</v>
      </c>
    </row>
    <row r="2283" spans="1:12" x14ac:dyDescent="0.25">
      <c r="A2283" t="s">
        <v>487</v>
      </c>
      <c r="B2283" t="s">
        <v>461</v>
      </c>
      <c r="C2283" t="s">
        <v>462</v>
      </c>
      <c r="D2283" t="s">
        <v>298</v>
      </c>
      <c r="E2283" t="s">
        <v>302</v>
      </c>
      <c r="F2283">
        <v>2</v>
      </c>
      <c r="G2283" t="s">
        <v>498</v>
      </c>
      <c r="H2283" s="4">
        <v>17471720</v>
      </c>
      <c r="I2283" s="4">
        <v>17111402</v>
      </c>
      <c r="J2283" s="3">
        <v>0.020622926649465537</v>
      </c>
      <c r="K2283" s="3">
        <v>0.021057187482358256</v>
      </c>
      <c r="L2283" t="s">
        <v>54</v>
      </c>
    </row>
    <row r="2284" spans="1:12" x14ac:dyDescent="0.25">
      <c r="A2284" t="s">
        <v>487</v>
      </c>
      <c r="B2284" t="s">
        <v>461</v>
      </c>
      <c r="C2284" t="s">
        <v>462</v>
      </c>
      <c r="D2284" t="s">
        <v>298</v>
      </c>
      <c r="E2284" t="s">
        <v>302</v>
      </c>
      <c r="F2284">
        <v>2</v>
      </c>
      <c r="G2284" t="s">
        <v>499</v>
      </c>
      <c r="H2284" s="4">
        <v>17471720</v>
      </c>
      <c r="I2284" s="4">
        <v>24384501</v>
      </c>
      <c r="J2284" s="3">
        <v>0.39565543632796313</v>
      </c>
      <c r="K2284" s="3">
        <v>-0.28349077145355567</v>
      </c>
      <c r="L2284" t="s">
        <v>54</v>
      </c>
    </row>
    <row r="2285" spans="1:12" x14ac:dyDescent="0.25">
      <c r="A2285" t="s">
        <v>487</v>
      </c>
      <c r="B2285" t="s">
        <v>461</v>
      </c>
      <c r="C2285" t="s">
        <v>462</v>
      </c>
      <c r="D2285" t="s">
        <v>298</v>
      </c>
      <c r="E2285" t="s">
        <v>304</v>
      </c>
      <c r="F2285">
        <v>3</v>
      </c>
      <c r="G2285" t="s">
        <v>488</v>
      </c>
      <c r="H2285" s="4">
        <v>14053892</v>
      </c>
      <c r="I2285" s="4">
        <v>13795682.959431147</v>
      </c>
      <c r="J2285" s="3">
        <v>0.01837277820043393</v>
      </c>
      <c r="K2285" s="3">
        <v>0.01871665515423673</v>
      </c>
      <c r="L2285" t="s">
        <v>54</v>
      </c>
    </row>
    <row r="2286" spans="1:12" x14ac:dyDescent="0.25">
      <c r="A2286" t="s">
        <v>487</v>
      </c>
      <c r="B2286" t="s">
        <v>461</v>
      </c>
      <c r="C2286" t="s">
        <v>462</v>
      </c>
      <c r="D2286" t="s">
        <v>298</v>
      </c>
      <c r="E2286" t="s">
        <v>304</v>
      </c>
      <c r="F2286">
        <v>3</v>
      </c>
      <c r="G2286" t="s">
        <v>498</v>
      </c>
      <c r="H2286" s="4">
        <v>14053892</v>
      </c>
      <c r="I2286" s="4">
        <v>18642354</v>
      </c>
      <c r="J2286" s="3">
        <v>0.3264904839171953</v>
      </c>
      <c r="K2286" s="3">
        <v>-0.2461310411764523</v>
      </c>
      <c r="L2286" t="s">
        <v>54</v>
      </c>
    </row>
    <row r="2287" spans="1:12" x14ac:dyDescent="0.25">
      <c r="A2287" t="s">
        <v>487</v>
      </c>
      <c r="B2287" t="s">
        <v>461</v>
      </c>
      <c r="C2287" t="s">
        <v>462</v>
      </c>
      <c r="D2287" t="s">
        <v>298</v>
      </c>
      <c r="E2287" t="s">
        <v>304</v>
      </c>
      <c r="F2287">
        <v>3</v>
      </c>
      <c r="G2287" t="s">
        <v>499</v>
      </c>
      <c r="H2287" s="4">
        <v>14053892</v>
      </c>
      <c r="I2287" s="4">
        <v>24384501</v>
      </c>
      <c r="J2287" s="3">
        <v>0.735071039396062</v>
      </c>
      <c r="K2287" s="3">
        <v>-0.4236547223172621</v>
      </c>
      <c r="L2287" t="s">
        <v>54</v>
      </c>
    </row>
    <row r="2288" spans="1:12" x14ac:dyDescent="0.25">
      <c r="A2288" t="s">
        <v>487</v>
      </c>
      <c r="B2288" t="s">
        <v>461</v>
      </c>
      <c r="C2288" t="s">
        <v>462</v>
      </c>
      <c r="D2288" t="s">
        <v>300</v>
      </c>
      <c r="E2288" t="s">
        <v>302</v>
      </c>
      <c r="F2288">
        <v>1</v>
      </c>
      <c r="G2288" t="s">
        <v>488</v>
      </c>
      <c r="H2288" s="4">
        <v>17471720</v>
      </c>
      <c r="I2288" s="4">
        <v>12660242.24466134</v>
      </c>
      <c r="J2288" s="3">
        <v>0.2753866107823763</v>
      </c>
      <c r="K2288" s="3">
        <v>0.3800462631248306</v>
      </c>
      <c r="L2288" t="s">
        <v>54</v>
      </c>
    </row>
    <row r="2289" spans="1:12" x14ac:dyDescent="0.25">
      <c r="A2289" t="s">
        <v>487</v>
      </c>
      <c r="B2289" t="s">
        <v>461</v>
      </c>
      <c r="C2289" t="s">
        <v>462</v>
      </c>
      <c r="D2289" t="s">
        <v>300</v>
      </c>
      <c r="E2289" t="s">
        <v>302</v>
      </c>
      <c r="F2289">
        <v>1</v>
      </c>
      <c r="G2289" t="s">
        <v>498</v>
      </c>
      <c r="H2289" s="4">
        <v>17471720</v>
      </c>
      <c r="I2289" s="4">
        <v>17111402</v>
      </c>
      <c r="J2289" s="3">
        <v>0.020622926649465537</v>
      </c>
      <c r="K2289" s="3">
        <v>0.021057187482358256</v>
      </c>
      <c r="L2289" t="s">
        <v>54</v>
      </c>
    </row>
    <row r="2290" spans="1:12" x14ac:dyDescent="0.25">
      <c r="A2290" t="s">
        <v>487</v>
      </c>
      <c r="B2290" t="s">
        <v>461</v>
      </c>
      <c r="C2290" t="s">
        <v>462</v>
      </c>
      <c r="D2290" t="s">
        <v>300</v>
      </c>
      <c r="E2290" t="s">
        <v>302</v>
      </c>
      <c r="F2290">
        <v>1</v>
      </c>
      <c r="G2290" t="s">
        <v>499</v>
      </c>
      <c r="H2290" s="4">
        <v>17471720</v>
      </c>
      <c r="I2290" s="4">
        <v>20879302</v>
      </c>
      <c r="J2290" s="3">
        <v>0.19503414660949236</v>
      </c>
      <c r="K2290" s="3">
        <v>-0.16320382740764036</v>
      </c>
      <c r="L2290" t="s">
        <v>54</v>
      </c>
    </row>
    <row r="2291" spans="1:12" x14ac:dyDescent="0.25">
      <c r="A2291" t="s">
        <v>487</v>
      </c>
      <c r="B2291" t="s">
        <v>461</v>
      </c>
      <c r="C2291" t="s">
        <v>462</v>
      </c>
      <c r="D2291" t="s">
        <v>300</v>
      </c>
      <c r="E2291" t="s">
        <v>304</v>
      </c>
      <c r="F2291">
        <v>2</v>
      </c>
      <c r="G2291" t="s">
        <v>488</v>
      </c>
      <c r="H2291" s="4">
        <v>14053892</v>
      </c>
      <c r="I2291" s="4">
        <v>13792950.317614613</v>
      </c>
      <c r="J2291" s="3">
        <v>0.01856721841788644</v>
      </c>
      <c r="K2291" s="3">
        <v>0.018918482005415852</v>
      </c>
      <c r="L2291" t="s">
        <v>54</v>
      </c>
    </row>
    <row r="2292" spans="1:12" x14ac:dyDescent="0.25">
      <c r="A2292" t="s">
        <v>487</v>
      </c>
      <c r="B2292" t="s">
        <v>461</v>
      </c>
      <c r="C2292" t="s">
        <v>462</v>
      </c>
      <c r="D2292" t="s">
        <v>300</v>
      </c>
      <c r="E2292" t="s">
        <v>304</v>
      </c>
      <c r="F2292">
        <v>2</v>
      </c>
      <c r="G2292" t="s">
        <v>498</v>
      </c>
      <c r="H2292" s="4">
        <v>14053892</v>
      </c>
      <c r="I2292" s="4">
        <v>18642354</v>
      </c>
      <c r="J2292" s="3">
        <v>0.3264904839171953</v>
      </c>
      <c r="K2292" s="3">
        <v>-0.2461310411764523</v>
      </c>
      <c r="L2292" t="s">
        <v>54</v>
      </c>
    </row>
    <row r="2293" spans="1:12" x14ac:dyDescent="0.25">
      <c r="A2293" t="s">
        <v>487</v>
      </c>
      <c r="B2293" t="s">
        <v>461</v>
      </c>
      <c r="C2293" t="s">
        <v>462</v>
      </c>
      <c r="D2293" t="s">
        <v>300</v>
      </c>
      <c r="E2293" t="s">
        <v>304</v>
      </c>
      <c r="F2293">
        <v>2</v>
      </c>
      <c r="G2293" t="s">
        <v>499</v>
      </c>
      <c r="H2293" s="4">
        <v>14053892</v>
      </c>
      <c r="I2293" s="4">
        <v>20879302</v>
      </c>
      <c r="J2293" s="3">
        <v>0.48565977310769143</v>
      </c>
      <c r="K2293" s="3">
        <v>-0.3268983800320528</v>
      </c>
      <c r="L2293" t="s">
        <v>54</v>
      </c>
    </row>
    <row r="2294" spans="1:12" x14ac:dyDescent="0.25">
      <c r="A2294" t="s">
        <v>487</v>
      </c>
      <c r="B2294" t="s">
        <v>461</v>
      </c>
      <c r="C2294" t="s">
        <v>462</v>
      </c>
      <c r="D2294" t="s">
        <v>300</v>
      </c>
      <c r="E2294" t="s">
        <v>306</v>
      </c>
      <c r="F2294">
        <v>3</v>
      </c>
      <c r="G2294" t="s">
        <v>488</v>
      </c>
      <c r="H2294" s="4">
        <v>16968763</v>
      </c>
      <c r="I2294" s="4">
        <v>17668860.01038536</v>
      </c>
      <c r="J2294" s="3">
        <v>0.041257987419905655</v>
      </c>
      <c r="K2294" s="3">
        <v>-0.039623213380708164</v>
      </c>
      <c r="L2294" t="s">
        <v>54</v>
      </c>
    </row>
    <row r="2295" spans="1:12" x14ac:dyDescent="0.25">
      <c r="A2295" t="s">
        <v>487</v>
      </c>
      <c r="B2295" t="s">
        <v>461</v>
      </c>
      <c r="C2295" t="s">
        <v>462</v>
      </c>
      <c r="D2295" t="s">
        <v>300</v>
      </c>
      <c r="E2295" t="s">
        <v>306</v>
      </c>
      <c r="F2295">
        <v>3</v>
      </c>
      <c r="G2295" t="s">
        <v>498</v>
      </c>
      <c r="H2295" s="4">
        <v>16968763</v>
      </c>
      <c r="I2295" s="4">
        <v>23880978</v>
      </c>
      <c r="J2295" s="3">
        <v>0.4073493748483611</v>
      </c>
      <c r="K2295" s="3">
        <v>-0.2894443854016364</v>
      </c>
      <c r="L2295" t="s">
        <v>54</v>
      </c>
    </row>
    <row r="2296" spans="1:12" x14ac:dyDescent="0.25">
      <c r="A2296" t="s">
        <v>487</v>
      </c>
      <c r="B2296" t="s">
        <v>461</v>
      </c>
      <c r="C2296" t="s">
        <v>462</v>
      </c>
      <c r="D2296" t="s">
        <v>300</v>
      </c>
      <c r="E2296" t="s">
        <v>306</v>
      </c>
      <c r="F2296">
        <v>3</v>
      </c>
      <c r="G2296" t="s">
        <v>499</v>
      </c>
      <c r="H2296" s="4">
        <v>16968763</v>
      </c>
      <c r="I2296" s="4">
        <v>20879302</v>
      </c>
      <c r="J2296" s="3">
        <v>0.2304551604616082</v>
      </c>
      <c r="K2296" s="3">
        <v>-0.18729261160167135</v>
      </c>
      <c r="L2296" t="s">
        <v>54</v>
      </c>
    </row>
    <row r="2297" spans="1:12" x14ac:dyDescent="0.25">
      <c r="A2297" t="s">
        <v>487</v>
      </c>
      <c r="B2297" t="s">
        <v>461</v>
      </c>
      <c r="C2297" t="s">
        <v>462</v>
      </c>
      <c r="D2297" t="s">
        <v>302</v>
      </c>
      <c r="E2297" t="s">
        <v>304</v>
      </c>
      <c r="F2297">
        <v>1</v>
      </c>
      <c r="G2297" t="s">
        <v>488</v>
      </c>
      <c r="H2297" s="4">
        <v>14053892</v>
      </c>
      <c r="I2297" s="4">
        <v>14000281.514789585</v>
      </c>
      <c r="J2297" s="3">
        <v>0.003814636202584663</v>
      </c>
      <c r="K2297" s="3">
        <v>0.0038292433729837545</v>
      </c>
      <c r="L2297" t="s">
        <v>54</v>
      </c>
    </row>
    <row r="2298" spans="1:12" x14ac:dyDescent="0.25">
      <c r="A2298" t="s">
        <v>487</v>
      </c>
      <c r="B2298" t="s">
        <v>461</v>
      </c>
      <c r="C2298" t="s">
        <v>462</v>
      </c>
      <c r="D2298" t="s">
        <v>302</v>
      </c>
      <c r="E2298" t="s">
        <v>304</v>
      </c>
      <c r="F2298">
        <v>1</v>
      </c>
      <c r="G2298" t="s">
        <v>498</v>
      </c>
      <c r="H2298" s="4">
        <v>14053892</v>
      </c>
      <c r="I2298" s="4">
        <v>18642354</v>
      </c>
      <c r="J2298" s="3">
        <v>0.3264904839171953</v>
      </c>
      <c r="K2298" s="3">
        <v>-0.2461310411764523</v>
      </c>
      <c r="L2298" t="s">
        <v>54</v>
      </c>
    </row>
    <row r="2299" spans="1:12" x14ac:dyDescent="0.25">
      <c r="A2299" t="s">
        <v>487</v>
      </c>
      <c r="B2299" t="s">
        <v>461</v>
      </c>
      <c r="C2299" t="s">
        <v>462</v>
      </c>
      <c r="D2299" t="s">
        <v>302</v>
      </c>
      <c r="E2299" t="s">
        <v>304</v>
      </c>
      <c r="F2299">
        <v>1</v>
      </c>
      <c r="G2299" t="s">
        <v>499</v>
      </c>
      <c r="H2299" s="4">
        <v>14053892</v>
      </c>
      <c r="I2299" s="4">
        <v>17471720</v>
      </c>
      <c r="J2299" s="3">
        <v>0.24319441191094965</v>
      </c>
      <c r="K2299" s="3">
        <v>-0.19562058000013738</v>
      </c>
      <c r="L2299" t="s">
        <v>54</v>
      </c>
    </row>
    <row r="2300" spans="1:12" x14ac:dyDescent="0.25">
      <c r="A2300" t="s">
        <v>487</v>
      </c>
      <c r="B2300" t="s">
        <v>461</v>
      </c>
      <c r="C2300" t="s">
        <v>462</v>
      </c>
      <c r="D2300" t="s">
        <v>302</v>
      </c>
      <c r="E2300" t="s">
        <v>306</v>
      </c>
      <c r="F2300">
        <v>2</v>
      </c>
      <c r="G2300" t="s">
        <v>488</v>
      </c>
      <c r="H2300" s="4">
        <v>16968763</v>
      </c>
      <c r="I2300" s="4">
        <v>17934452.6366411</v>
      </c>
      <c r="J2300" s="3">
        <v>0.0569098429061152</v>
      </c>
      <c r="K2300" s="3">
        <v>-0.05384550374669041</v>
      </c>
      <c r="L2300" t="s">
        <v>54</v>
      </c>
    </row>
    <row r="2301" spans="1:12" x14ac:dyDescent="0.25">
      <c r="A2301" t="s">
        <v>487</v>
      </c>
      <c r="B2301" t="s">
        <v>461</v>
      </c>
      <c r="C2301" t="s">
        <v>462</v>
      </c>
      <c r="D2301" t="s">
        <v>302</v>
      </c>
      <c r="E2301" t="s">
        <v>306</v>
      </c>
      <c r="F2301">
        <v>2</v>
      </c>
      <c r="G2301" t="s">
        <v>498</v>
      </c>
      <c r="H2301" s="4">
        <v>16968763</v>
      </c>
      <c r="I2301" s="4">
        <v>23880978</v>
      </c>
      <c r="J2301" s="3">
        <v>0.4073493748483611</v>
      </c>
      <c r="K2301" s="3">
        <v>-0.2894443854016364</v>
      </c>
      <c r="L2301" t="s">
        <v>54</v>
      </c>
    </row>
    <row r="2302" spans="1:12" x14ac:dyDescent="0.25">
      <c r="A2302" t="s">
        <v>487</v>
      </c>
      <c r="B2302" t="s">
        <v>461</v>
      </c>
      <c r="C2302" t="s">
        <v>462</v>
      </c>
      <c r="D2302" t="s">
        <v>302</v>
      </c>
      <c r="E2302" t="s">
        <v>306</v>
      </c>
      <c r="F2302">
        <v>2</v>
      </c>
      <c r="G2302" t="s">
        <v>499</v>
      </c>
      <c r="H2302" s="4">
        <v>16968763</v>
      </c>
      <c r="I2302" s="4">
        <v>17471720</v>
      </c>
      <c r="J2302" s="3">
        <v>0.029640168820791474</v>
      </c>
      <c r="K2302" s="3">
        <v>-0.028786919662174074</v>
      </c>
      <c r="L2302" t="s">
        <v>54</v>
      </c>
    </row>
    <row r="2303" spans="1:12" x14ac:dyDescent="0.25">
      <c r="A2303" t="s">
        <v>487</v>
      </c>
      <c r="B2303" t="s">
        <v>461</v>
      </c>
      <c r="C2303" t="s">
        <v>462</v>
      </c>
      <c r="D2303" t="s">
        <v>302</v>
      </c>
      <c r="E2303" t="s">
        <v>308</v>
      </c>
      <c r="F2303">
        <v>3</v>
      </c>
      <c r="G2303" t="s">
        <v>488</v>
      </c>
      <c r="H2303" s="4">
        <v>21911616</v>
      </c>
      <c r="I2303" s="4">
        <v>19702869.699360892</v>
      </c>
      <c r="J2303" s="3">
        <v>0.1008025286970668</v>
      </c>
      <c r="K2303" s="3">
        <v>0.11210277154250041</v>
      </c>
      <c r="L2303" t="s">
        <v>54</v>
      </c>
    </row>
    <row r="2304" spans="1:12" x14ac:dyDescent="0.25">
      <c r="A2304" t="s">
        <v>487</v>
      </c>
      <c r="B2304" t="s">
        <v>461</v>
      </c>
      <c r="C2304" t="s">
        <v>462</v>
      </c>
      <c r="D2304" t="s">
        <v>302</v>
      </c>
      <c r="E2304" t="s">
        <v>308</v>
      </c>
      <c r="F2304">
        <v>3</v>
      </c>
      <c r="G2304" t="s">
        <v>498</v>
      </c>
      <c r="H2304" s="4">
        <v>21911616</v>
      </c>
      <c r="I2304" s="4">
        <v>26235749</v>
      </c>
      <c r="J2304" s="3">
        <v>0.19734432184280704</v>
      </c>
      <c r="K2304" s="3">
        <v>-0.1648183552907142</v>
      </c>
      <c r="L2304" t="s">
        <v>54</v>
      </c>
    </row>
    <row r="2305" spans="1:12" x14ac:dyDescent="0.25">
      <c r="A2305" t="s">
        <v>487</v>
      </c>
      <c r="B2305" t="s">
        <v>461</v>
      </c>
      <c r="C2305" t="s">
        <v>462</v>
      </c>
      <c r="D2305" t="s">
        <v>302</v>
      </c>
      <c r="E2305" t="s">
        <v>308</v>
      </c>
      <c r="F2305">
        <v>3</v>
      </c>
      <c r="G2305" t="s">
        <v>499</v>
      </c>
      <c r="H2305" s="4">
        <v>21911616</v>
      </c>
      <c r="I2305" s="4">
        <v>17471720</v>
      </c>
      <c r="J2305" s="3">
        <v>0.2026275013216734</v>
      </c>
      <c r="K2305" s="3">
        <v>0.2541189991597851</v>
      </c>
      <c r="L2305" t="s">
        <v>54</v>
      </c>
    </row>
    <row r="2306" spans="1:12" x14ac:dyDescent="0.25">
      <c r="A2306" t="s">
        <v>487</v>
      </c>
      <c r="B2306" t="s">
        <v>461</v>
      </c>
      <c r="C2306" t="s">
        <v>462</v>
      </c>
      <c r="D2306" t="s">
        <v>304</v>
      </c>
      <c r="E2306" t="s">
        <v>306</v>
      </c>
      <c r="F2306">
        <v>1</v>
      </c>
      <c r="G2306" t="s">
        <v>488</v>
      </c>
      <c r="H2306" s="4">
        <v>16968763</v>
      </c>
      <c r="I2306" s="4">
        <v>17944848.044092882</v>
      </c>
      <c r="J2306" s="3">
        <v>0.057522463133752436</v>
      </c>
      <c r="K2306" s="3">
        <v>-0.054393608778102294</v>
      </c>
      <c r="L2306" t="s">
        <v>54</v>
      </c>
    </row>
    <row r="2307" spans="1:12" x14ac:dyDescent="0.25">
      <c r="A2307" t="s">
        <v>487</v>
      </c>
      <c r="B2307" t="s">
        <v>461</v>
      </c>
      <c r="C2307" t="s">
        <v>462</v>
      </c>
      <c r="D2307" t="s">
        <v>304</v>
      </c>
      <c r="E2307" t="s">
        <v>306</v>
      </c>
      <c r="F2307">
        <v>1</v>
      </c>
      <c r="G2307" t="s">
        <v>498</v>
      </c>
      <c r="H2307" s="4">
        <v>16968763</v>
      </c>
      <c r="I2307" s="4">
        <v>23880978</v>
      </c>
      <c r="J2307" s="3">
        <v>0.4073493748483611</v>
      </c>
      <c r="K2307" s="3">
        <v>-0.2894443854016364</v>
      </c>
      <c r="L2307" t="s">
        <v>54</v>
      </c>
    </row>
    <row r="2308" spans="1:12" x14ac:dyDescent="0.25">
      <c r="A2308" t="s">
        <v>487</v>
      </c>
      <c r="B2308" t="s">
        <v>461</v>
      </c>
      <c r="C2308" t="s">
        <v>462</v>
      </c>
      <c r="D2308" t="s">
        <v>304</v>
      </c>
      <c r="E2308" t="s">
        <v>306</v>
      </c>
      <c r="F2308">
        <v>1</v>
      </c>
      <c r="G2308" t="s">
        <v>499</v>
      </c>
      <c r="H2308" s="4">
        <v>16968763</v>
      </c>
      <c r="I2308" s="4">
        <v>14053892</v>
      </c>
      <c r="J2308" s="3">
        <v>0.17177863819537112</v>
      </c>
      <c r="K2308" s="3">
        <v>0.2074066742508054</v>
      </c>
      <c r="L2308" t="s">
        <v>54</v>
      </c>
    </row>
    <row r="2309" spans="1:12" x14ac:dyDescent="0.25">
      <c r="A2309" t="s">
        <v>487</v>
      </c>
      <c r="B2309" t="s">
        <v>461</v>
      </c>
      <c r="C2309" t="s">
        <v>462</v>
      </c>
      <c r="D2309" t="s">
        <v>304</v>
      </c>
      <c r="E2309" t="s">
        <v>308</v>
      </c>
      <c r="F2309">
        <v>2</v>
      </c>
      <c r="G2309" t="s">
        <v>488</v>
      </c>
      <c r="H2309" s="4">
        <v>21911616</v>
      </c>
      <c r="I2309" s="4">
        <v>19714290.14037707</v>
      </c>
      <c r="J2309" s="3">
        <v>0.10028132382490317</v>
      </c>
      <c r="K2309" s="3">
        <v>0.11145853307305041</v>
      </c>
      <c r="L2309" t="s">
        <v>54</v>
      </c>
    </row>
    <row r="2310" spans="1:12" x14ac:dyDescent="0.25">
      <c r="A2310" t="s">
        <v>487</v>
      </c>
      <c r="B2310" t="s">
        <v>461</v>
      </c>
      <c r="C2310" t="s">
        <v>462</v>
      </c>
      <c r="D2310" t="s">
        <v>304</v>
      </c>
      <c r="E2310" t="s">
        <v>308</v>
      </c>
      <c r="F2310">
        <v>2</v>
      </c>
      <c r="G2310" t="s">
        <v>498</v>
      </c>
      <c r="H2310" s="4">
        <v>21911616</v>
      </c>
      <c r="I2310" s="4">
        <v>26235749</v>
      </c>
      <c r="J2310" s="3">
        <v>0.19734432184280704</v>
      </c>
      <c r="K2310" s="3">
        <v>-0.1648183552907142</v>
      </c>
      <c r="L2310" t="s">
        <v>54</v>
      </c>
    </row>
    <row r="2311" spans="1:12" x14ac:dyDescent="0.25">
      <c r="A2311" t="s">
        <v>487</v>
      </c>
      <c r="B2311" t="s">
        <v>461</v>
      </c>
      <c r="C2311" t="s">
        <v>462</v>
      </c>
      <c r="D2311" t="s">
        <v>304</v>
      </c>
      <c r="E2311" t="s">
        <v>308</v>
      </c>
      <c r="F2311">
        <v>2</v>
      </c>
      <c r="G2311" t="s">
        <v>499</v>
      </c>
      <c r="H2311" s="4">
        <v>21911616</v>
      </c>
      <c r="I2311" s="4">
        <v>14053892</v>
      </c>
      <c r="J2311" s="3">
        <v>0.3586099719892864</v>
      </c>
      <c r="K2311" s="3">
        <v>0.5591137316267978</v>
      </c>
      <c r="L2311" t="s">
        <v>54</v>
      </c>
    </row>
    <row r="2312" spans="1:12" x14ac:dyDescent="0.25">
      <c r="A2312" t="s">
        <v>487</v>
      </c>
      <c r="B2312" t="s">
        <v>461</v>
      </c>
      <c r="C2312" t="s">
        <v>462</v>
      </c>
      <c r="D2312" t="s">
        <v>304</v>
      </c>
      <c r="E2312" t="s">
        <v>310</v>
      </c>
      <c r="F2312">
        <v>3</v>
      </c>
      <c r="G2312" t="s">
        <v>488</v>
      </c>
      <c r="H2312" s="4">
        <v>28047148</v>
      </c>
      <c r="I2312" s="4">
        <v>21215263.356555205</v>
      </c>
      <c r="J2312" s="3">
        <v>0.24358571657427683</v>
      </c>
      <c r="K2312" s="3">
        <v>0.322026860031122</v>
      </c>
      <c r="L2312" t="s">
        <v>54</v>
      </c>
    </row>
    <row r="2313" spans="1:12" x14ac:dyDescent="0.25">
      <c r="A2313" t="s">
        <v>487</v>
      </c>
      <c r="B2313" t="s">
        <v>461</v>
      </c>
      <c r="C2313" t="s">
        <v>462</v>
      </c>
      <c r="D2313" t="s">
        <v>304</v>
      </c>
      <c r="E2313" t="s">
        <v>310</v>
      </c>
      <c r="F2313">
        <v>3</v>
      </c>
      <c r="G2313" t="s">
        <v>498</v>
      </c>
      <c r="H2313" s="4">
        <v>28047148</v>
      </c>
      <c r="I2313" s="4">
        <v>28233242</v>
      </c>
      <c r="J2313" s="3">
        <v>0.0066350418231472235</v>
      </c>
      <c r="K2313" s="3">
        <v>-0.006591308217455154</v>
      </c>
      <c r="L2313" t="s">
        <v>54</v>
      </c>
    </row>
    <row r="2314" spans="1:12" x14ac:dyDescent="0.25">
      <c r="A2314" t="s">
        <v>487</v>
      </c>
      <c r="B2314" t="s">
        <v>461</v>
      </c>
      <c r="C2314" t="s">
        <v>462</v>
      </c>
      <c r="D2314" t="s">
        <v>304</v>
      </c>
      <c r="E2314" t="s">
        <v>310</v>
      </c>
      <c r="F2314">
        <v>3</v>
      </c>
      <c r="G2314" t="s">
        <v>499</v>
      </c>
      <c r="H2314" s="4">
        <v>28047148</v>
      </c>
      <c r="I2314" s="4">
        <v>14053892</v>
      </c>
      <c r="J2314" s="3">
        <v>0.49891903447723096</v>
      </c>
      <c r="K2314" s="3">
        <v>0.9956854656347153</v>
      </c>
      <c r="L2314" t="s">
        <v>54</v>
      </c>
    </row>
    <row r="2315" spans="1:12" x14ac:dyDescent="0.25">
      <c r="A2315" t="s">
        <v>487</v>
      </c>
      <c r="B2315" t="s">
        <v>461</v>
      </c>
      <c r="C2315" t="s">
        <v>462</v>
      </c>
      <c r="D2315" t="s">
        <v>306</v>
      </c>
      <c r="E2315" t="s">
        <v>308</v>
      </c>
      <c r="F2315">
        <v>1</v>
      </c>
      <c r="G2315" t="s">
        <v>488</v>
      </c>
      <c r="H2315" s="4">
        <v>21911616</v>
      </c>
      <c r="I2315" s="4">
        <v>19294243.22857822</v>
      </c>
      <c r="J2315" s="3">
        <v>0.11945138010002453</v>
      </c>
      <c r="K2315" s="3">
        <v>0.13565563263683658</v>
      </c>
      <c r="L2315" t="s">
        <v>54</v>
      </c>
    </row>
    <row r="2316" spans="1:12" x14ac:dyDescent="0.25">
      <c r="A2316" t="s">
        <v>487</v>
      </c>
      <c r="B2316" t="s">
        <v>461</v>
      </c>
      <c r="C2316" t="s">
        <v>462</v>
      </c>
      <c r="D2316" t="s">
        <v>306</v>
      </c>
      <c r="E2316" t="s">
        <v>308</v>
      </c>
      <c r="F2316">
        <v>1</v>
      </c>
      <c r="G2316" t="s">
        <v>498</v>
      </c>
      <c r="H2316" s="4">
        <v>21911616</v>
      </c>
      <c r="I2316" s="4">
        <v>26235749</v>
      </c>
      <c r="J2316" s="3">
        <v>0.19734432184280704</v>
      </c>
      <c r="K2316" s="3">
        <v>-0.1648183552907142</v>
      </c>
      <c r="L2316" t="s">
        <v>54</v>
      </c>
    </row>
    <row r="2317" spans="1:12" x14ac:dyDescent="0.25">
      <c r="A2317" t="s">
        <v>487</v>
      </c>
      <c r="B2317" t="s">
        <v>461</v>
      </c>
      <c r="C2317" t="s">
        <v>462</v>
      </c>
      <c r="D2317" t="s">
        <v>306</v>
      </c>
      <c r="E2317" t="s">
        <v>308</v>
      </c>
      <c r="F2317">
        <v>1</v>
      </c>
      <c r="G2317" t="s">
        <v>499</v>
      </c>
      <c r="H2317" s="4">
        <v>21911616</v>
      </c>
      <c r="I2317" s="4">
        <v>16968763</v>
      </c>
      <c r="J2317" s="3">
        <v>0.2255813993819534</v>
      </c>
      <c r="K2317" s="3">
        <v>0.29129129801624315</v>
      </c>
      <c r="L2317" t="s">
        <v>54</v>
      </c>
    </row>
    <row r="2318" spans="1:12" x14ac:dyDescent="0.25">
      <c r="A2318" t="s">
        <v>487</v>
      </c>
      <c r="B2318" t="s">
        <v>461</v>
      </c>
      <c r="C2318" t="s">
        <v>462</v>
      </c>
      <c r="D2318" t="s">
        <v>306</v>
      </c>
      <c r="E2318" t="s">
        <v>310</v>
      </c>
      <c r="F2318">
        <v>2</v>
      </c>
      <c r="G2318" t="s">
        <v>488</v>
      </c>
      <c r="H2318" s="4">
        <v>28047148</v>
      </c>
      <c r="I2318" s="4">
        <v>20763235.62476948</v>
      </c>
      <c r="J2318" s="3">
        <v>0.25970242590193204</v>
      </c>
      <c r="K2318" s="3">
        <v>0.3508081547050011</v>
      </c>
      <c r="L2318" t="s">
        <v>54</v>
      </c>
    </row>
    <row r="2319" spans="1:12" x14ac:dyDescent="0.25">
      <c r="A2319" t="s">
        <v>487</v>
      </c>
      <c r="B2319" t="s">
        <v>461</v>
      </c>
      <c r="C2319" t="s">
        <v>462</v>
      </c>
      <c r="D2319" t="s">
        <v>306</v>
      </c>
      <c r="E2319" t="s">
        <v>310</v>
      </c>
      <c r="F2319">
        <v>2</v>
      </c>
      <c r="G2319" t="s">
        <v>498</v>
      </c>
      <c r="H2319" s="4">
        <v>28047148</v>
      </c>
      <c r="I2319" s="4">
        <v>28233242</v>
      </c>
      <c r="J2319" s="3">
        <v>0.0066350418231472235</v>
      </c>
      <c r="K2319" s="3">
        <v>-0.006591308217455154</v>
      </c>
      <c r="L2319" t="s">
        <v>54</v>
      </c>
    </row>
    <row r="2320" spans="1:12" x14ac:dyDescent="0.25">
      <c r="A2320" t="s">
        <v>487</v>
      </c>
      <c r="B2320" t="s">
        <v>461</v>
      </c>
      <c r="C2320" t="s">
        <v>462</v>
      </c>
      <c r="D2320" t="s">
        <v>306</v>
      </c>
      <c r="E2320" t="s">
        <v>310</v>
      </c>
      <c r="F2320">
        <v>2</v>
      </c>
      <c r="G2320" t="s">
        <v>499</v>
      </c>
      <c r="H2320" s="4">
        <v>28047148</v>
      </c>
      <c r="I2320" s="4">
        <v>16968763</v>
      </c>
      <c r="J2320" s="3">
        <v>0.394991497887771</v>
      </c>
      <c r="K2320" s="3">
        <v>0.6528693340816888</v>
      </c>
      <c r="L2320" t="s">
        <v>54</v>
      </c>
    </row>
    <row r="2321" spans="1:12" x14ac:dyDescent="0.25">
      <c r="A2321" t="s">
        <v>487</v>
      </c>
      <c r="B2321" t="s">
        <v>461</v>
      </c>
      <c r="C2321" t="s">
        <v>462</v>
      </c>
      <c r="D2321" t="s">
        <v>306</v>
      </c>
      <c r="E2321" t="s">
        <v>312</v>
      </c>
      <c r="F2321">
        <v>3</v>
      </c>
      <c r="G2321" t="s">
        <v>488</v>
      </c>
      <c r="H2321" s="4">
        <v>28244842</v>
      </c>
      <c r="I2321" s="4">
        <v>13004271.526433516</v>
      </c>
      <c r="J2321" s="3">
        <v>0.5395877404294378</v>
      </c>
      <c r="K2321" s="3">
        <v>1.1719664913630332</v>
      </c>
      <c r="L2321" t="s">
        <v>54</v>
      </c>
    </row>
    <row r="2322" spans="1:12" x14ac:dyDescent="0.25">
      <c r="A2322" t="s">
        <v>487</v>
      </c>
      <c r="B2322" t="s">
        <v>461</v>
      </c>
      <c r="C2322" t="s">
        <v>462</v>
      </c>
      <c r="D2322" t="s">
        <v>306</v>
      </c>
      <c r="E2322" t="s">
        <v>312</v>
      </c>
      <c r="F2322">
        <v>3</v>
      </c>
      <c r="G2322" t="s">
        <v>498</v>
      </c>
      <c r="H2322" s="4">
        <v>28244842</v>
      </c>
      <c r="I2322" s="4">
        <v>17682829</v>
      </c>
      <c r="J2322" s="3">
        <v>0.37394484274332285</v>
      </c>
      <c r="K2322" s="3">
        <v>0.5973033500465339</v>
      </c>
      <c r="L2322" t="s">
        <v>54</v>
      </c>
    </row>
    <row r="2323" spans="1:12" x14ac:dyDescent="0.25">
      <c r="A2323" t="s">
        <v>487</v>
      </c>
      <c r="B2323" t="s">
        <v>461</v>
      </c>
      <c r="C2323" t="s">
        <v>462</v>
      </c>
      <c r="D2323" t="s">
        <v>306</v>
      </c>
      <c r="E2323" t="s">
        <v>312</v>
      </c>
      <c r="F2323">
        <v>3</v>
      </c>
      <c r="G2323" t="s">
        <v>499</v>
      </c>
      <c r="H2323" s="4">
        <v>28244842</v>
      </c>
      <c r="I2323" s="4">
        <v>16968763</v>
      </c>
      <c r="J2323" s="3">
        <v>0.39922613127026874</v>
      </c>
      <c r="K2323" s="3">
        <v>0.664519800294223</v>
      </c>
      <c r="L2323" t="s">
        <v>54</v>
      </c>
    </row>
    <row r="2324" spans="1:12" x14ac:dyDescent="0.25">
      <c r="A2324" t="s">
        <v>487</v>
      </c>
      <c r="B2324" t="s">
        <v>461</v>
      </c>
      <c r="C2324" t="s">
        <v>462</v>
      </c>
      <c r="D2324" t="s">
        <v>308</v>
      </c>
      <c r="E2324" t="s">
        <v>310</v>
      </c>
      <c r="F2324">
        <v>1</v>
      </c>
      <c r="G2324" t="s">
        <v>488</v>
      </c>
      <c r="H2324" s="4">
        <v>28047148</v>
      </c>
      <c r="I2324" s="4">
        <v>20870856.39278652</v>
      </c>
      <c r="J2324" s="3">
        <v>0.2558652882358477</v>
      </c>
      <c r="K2324" s="3">
        <v>0.3438426997031986</v>
      </c>
      <c r="L2324" t="s">
        <v>54</v>
      </c>
    </row>
    <row r="2325" spans="1:12" x14ac:dyDescent="0.25">
      <c r="A2325" t="s">
        <v>487</v>
      </c>
      <c r="B2325" t="s">
        <v>461</v>
      </c>
      <c r="C2325" t="s">
        <v>462</v>
      </c>
      <c r="D2325" t="s">
        <v>308</v>
      </c>
      <c r="E2325" t="s">
        <v>310</v>
      </c>
      <c r="F2325">
        <v>1</v>
      </c>
      <c r="G2325" t="s">
        <v>498</v>
      </c>
      <c r="H2325" s="4">
        <v>28047148</v>
      </c>
      <c r="I2325" s="4">
        <v>28233242</v>
      </c>
      <c r="J2325" s="3">
        <v>0.0066350418231472235</v>
      </c>
      <c r="K2325" s="3">
        <v>-0.006591308217455154</v>
      </c>
      <c r="L2325" t="s">
        <v>54</v>
      </c>
    </row>
    <row r="2326" spans="1:12" x14ac:dyDescent="0.25">
      <c r="A2326" t="s">
        <v>487</v>
      </c>
      <c r="B2326" t="s">
        <v>461</v>
      </c>
      <c r="C2326" t="s">
        <v>462</v>
      </c>
      <c r="D2326" t="s">
        <v>308</v>
      </c>
      <c r="E2326" t="s">
        <v>310</v>
      </c>
      <c r="F2326">
        <v>1</v>
      </c>
      <c r="G2326" t="s">
        <v>499</v>
      </c>
      <c r="H2326" s="4">
        <v>28047148</v>
      </c>
      <c r="I2326" s="4">
        <v>21911616</v>
      </c>
      <c r="J2326" s="3">
        <v>0.2187577859966368</v>
      </c>
      <c r="K2326" s="3">
        <v>0.28001275670402404</v>
      </c>
      <c r="L2326" t="s">
        <v>54</v>
      </c>
    </row>
    <row r="2327" spans="1:12" x14ac:dyDescent="0.25">
      <c r="A2327" t="s">
        <v>487</v>
      </c>
      <c r="B2327" t="s">
        <v>461</v>
      </c>
      <c r="C2327" t="s">
        <v>462</v>
      </c>
      <c r="D2327" t="s">
        <v>308</v>
      </c>
      <c r="E2327" t="s">
        <v>312</v>
      </c>
      <c r="F2327">
        <v>2</v>
      </c>
      <c r="G2327" t="s">
        <v>488</v>
      </c>
      <c r="H2327" s="4">
        <v>28244842</v>
      </c>
      <c r="I2327" s="4">
        <v>13071675.745817674</v>
      </c>
      <c r="J2327" s="3">
        <v>0.5372013146394066</v>
      </c>
      <c r="K2327" s="3">
        <v>1.160766725646253</v>
      </c>
      <c r="L2327" t="s">
        <v>54</v>
      </c>
    </row>
    <row r="2328" spans="1:12" x14ac:dyDescent="0.25">
      <c r="A2328" t="s">
        <v>487</v>
      </c>
      <c r="B2328" t="s">
        <v>461</v>
      </c>
      <c r="C2328" t="s">
        <v>462</v>
      </c>
      <c r="D2328" t="s">
        <v>308</v>
      </c>
      <c r="E2328" t="s">
        <v>312</v>
      </c>
      <c r="F2328">
        <v>2</v>
      </c>
      <c r="G2328" t="s">
        <v>498</v>
      </c>
      <c r="H2328" s="4">
        <v>28244842</v>
      </c>
      <c r="I2328" s="4">
        <v>17682829</v>
      </c>
      <c r="J2328" s="3">
        <v>0.37394484274332285</v>
      </c>
      <c r="K2328" s="3">
        <v>0.5973033500465339</v>
      </c>
      <c r="L2328" t="s">
        <v>54</v>
      </c>
    </row>
    <row r="2329" spans="1:12" x14ac:dyDescent="0.25">
      <c r="A2329" t="s">
        <v>487</v>
      </c>
      <c r="B2329" t="s">
        <v>461</v>
      </c>
      <c r="C2329" t="s">
        <v>462</v>
      </c>
      <c r="D2329" t="s">
        <v>308</v>
      </c>
      <c r="E2329" t="s">
        <v>312</v>
      </c>
      <c r="F2329">
        <v>2</v>
      </c>
      <c r="G2329" t="s">
        <v>499</v>
      </c>
      <c r="H2329" s="4">
        <v>28244842</v>
      </c>
      <c r="I2329" s="4">
        <v>21911616</v>
      </c>
      <c r="J2329" s="3">
        <v>0.22422593123374526</v>
      </c>
      <c r="K2329" s="3">
        <v>0.28903509444488257</v>
      </c>
      <c r="L2329" t="s">
        <v>54</v>
      </c>
    </row>
    <row r="2330" spans="1:12" x14ac:dyDescent="0.25">
      <c r="A2330" t="s">
        <v>487</v>
      </c>
      <c r="B2330" t="s">
        <v>461</v>
      </c>
      <c r="C2330" t="s">
        <v>462</v>
      </c>
      <c r="D2330" t="s">
        <v>308</v>
      </c>
      <c r="E2330" t="s">
        <v>314</v>
      </c>
      <c r="F2330">
        <v>3</v>
      </c>
      <c r="G2330" t="s">
        <v>488</v>
      </c>
      <c r="H2330" s="4">
        <v>20339380</v>
      </c>
      <c r="I2330" s="4">
        <v>10004281.972733943</v>
      </c>
      <c r="J2330" s="3">
        <v>0.5081324026231899</v>
      </c>
      <c r="K2330" s="3">
        <v>1.0330674460629692</v>
      </c>
      <c r="L2330" t="s">
        <v>54</v>
      </c>
    </row>
    <row r="2331" spans="1:12" x14ac:dyDescent="0.25">
      <c r="A2331" t="s">
        <v>487</v>
      </c>
      <c r="B2331" t="s">
        <v>461</v>
      </c>
      <c r="C2331" t="s">
        <v>462</v>
      </c>
      <c r="D2331" t="s">
        <v>308</v>
      </c>
      <c r="E2331" t="s">
        <v>314</v>
      </c>
      <c r="F2331">
        <v>3</v>
      </c>
      <c r="G2331" t="s">
        <v>498</v>
      </c>
      <c r="H2331" s="4">
        <v>20339380</v>
      </c>
      <c r="I2331" s="4">
        <v>13533384</v>
      </c>
      <c r="J2331" s="3">
        <v>0.3346216059683235</v>
      </c>
      <c r="K2331" s="3">
        <v>0.5029042255802392</v>
      </c>
      <c r="L2331" t="s">
        <v>54</v>
      </c>
    </row>
    <row r="2332" spans="1:12" x14ac:dyDescent="0.25">
      <c r="A2332" t="s">
        <v>487</v>
      </c>
      <c r="B2332" t="s">
        <v>461</v>
      </c>
      <c r="C2332" t="s">
        <v>462</v>
      </c>
      <c r="D2332" t="s">
        <v>308</v>
      </c>
      <c r="E2332" t="s">
        <v>314</v>
      </c>
      <c r="F2332">
        <v>3</v>
      </c>
      <c r="G2332" t="s">
        <v>499</v>
      </c>
      <c r="H2332" s="4">
        <v>20339380</v>
      </c>
      <c r="I2332" s="4">
        <v>21911616</v>
      </c>
      <c r="J2332" s="3">
        <v>0.07730009469315191</v>
      </c>
      <c r="K2332" s="3">
        <v>-0.07175353930992584</v>
      </c>
      <c r="L2332" t="s">
        <v>54</v>
      </c>
    </row>
    <row r="2333" spans="1:12" x14ac:dyDescent="0.25">
      <c r="A2333" t="s">
        <v>487</v>
      </c>
      <c r="B2333" t="s">
        <v>461</v>
      </c>
      <c r="C2333" t="s">
        <v>462</v>
      </c>
      <c r="D2333" t="s">
        <v>310</v>
      </c>
      <c r="E2333" t="s">
        <v>312</v>
      </c>
      <c r="F2333">
        <v>1</v>
      </c>
      <c r="G2333" t="s">
        <v>488</v>
      </c>
      <c r="H2333" s="4">
        <v>28244842</v>
      </c>
      <c r="I2333" s="4">
        <v>13125708.27904238</v>
      </c>
      <c r="J2333" s="3">
        <v>0.535288309311754</v>
      </c>
      <c r="K2333" s="3">
        <v>1.1518718380400175</v>
      </c>
      <c r="L2333" t="s">
        <v>54</v>
      </c>
    </row>
    <row r="2334" spans="1:12" x14ac:dyDescent="0.25">
      <c r="A2334" t="s">
        <v>487</v>
      </c>
      <c r="B2334" t="s">
        <v>461</v>
      </c>
      <c r="C2334" t="s">
        <v>462</v>
      </c>
      <c r="D2334" t="s">
        <v>310</v>
      </c>
      <c r="E2334" t="s">
        <v>312</v>
      </c>
      <c r="F2334">
        <v>1</v>
      </c>
      <c r="G2334" t="s">
        <v>498</v>
      </c>
      <c r="H2334" s="4">
        <v>28244842</v>
      </c>
      <c r="I2334" s="4">
        <v>17682829</v>
      </c>
      <c r="J2334" s="3">
        <v>0.37394484274332285</v>
      </c>
      <c r="K2334" s="3">
        <v>0.5973033500465339</v>
      </c>
      <c r="L2334" t="s">
        <v>54</v>
      </c>
    </row>
    <row r="2335" spans="1:12" x14ac:dyDescent="0.25">
      <c r="A2335" t="s">
        <v>487</v>
      </c>
      <c r="B2335" t="s">
        <v>461</v>
      </c>
      <c r="C2335" t="s">
        <v>462</v>
      </c>
      <c r="D2335" t="s">
        <v>310</v>
      </c>
      <c r="E2335" t="s">
        <v>312</v>
      </c>
      <c r="F2335">
        <v>1</v>
      </c>
      <c r="G2335" t="s">
        <v>499</v>
      </c>
      <c r="H2335" s="4">
        <v>28244842</v>
      </c>
      <c r="I2335" s="4">
        <v>28047148</v>
      </c>
      <c r="J2335" s="3">
        <v>0.0069992956590091745</v>
      </c>
      <c r="K2335" s="3">
        <v>0.007048631112154434</v>
      </c>
      <c r="L2335" t="s">
        <v>54</v>
      </c>
    </row>
    <row r="2336" spans="1:12" x14ac:dyDescent="0.25">
      <c r="A2336" t="s">
        <v>487</v>
      </c>
      <c r="B2336" t="s">
        <v>461</v>
      </c>
      <c r="C2336" t="s">
        <v>462</v>
      </c>
      <c r="D2336" t="s">
        <v>310</v>
      </c>
      <c r="E2336" t="s">
        <v>314</v>
      </c>
      <c r="F2336">
        <v>2</v>
      </c>
      <c r="G2336" t="s">
        <v>488</v>
      </c>
      <c r="H2336" s="4">
        <v>20339380</v>
      </c>
      <c r="I2336" s="4">
        <v>10045635.255097456</v>
      </c>
      <c r="J2336" s="3">
        <v>0.5060992392542223</v>
      </c>
      <c r="K2336" s="3">
        <v>1.0246982379416165</v>
      </c>
      <c r="L2336" t="s">
        <v>54</v>
      </c>
    </row>
    <row r="2337" spans="1:12" x14ac:dyDescent="0.25">
      <c r="A2337" t="s">
        <v>487</v>
      </c>
      <c r="B2337" t="s">
        <v>461</v>
      </c>
      <c r="C2337" t="s">
        <v>462</v>
      </c>
      <c r="D2337" t="s">
        <v>310</v>
      </c>
      <c r="E2337" t="s">
        <v>314</v>
      </c>
      <c r="F2337">
        <v>2</v>
      </c>
      <c r="G2337" t="s">
        <v>498</v>
      </c>
      <c r="H2337" s="4">
        <v>20339380</v>
      </c>
      <c r="I2337" s="4">
        <v>13533384</v>
      </c>
      <c r="J2337" s="3">
        <v>0.3346216059683235</v>
      </c>
      <c r="K2337" s="3">
        <v>0.5029042255802392</v>
      </c>
      <c r="L2337" t="s">
        <v>54</v>
      </c>
    </row>
    <row r="2338" spans="1:12" x14ac:dyDescent="0.25">
      <c r="A2338" t="s">
        <v>487</v>
      </c>
      <c r="B2338" t="s">
        <v>461</v>
      </c>
      <c r="C2338" t="s">
        <v>462</v>
      </c>
      <c r="D2338" t="s">
        <v>310</v>
      </c>
      <c r="E2338" t="s">
        <v>314</v>
      </c>
      <c r="F2338">
        <v>2</v>
      </c>
      <c r="G2338" t="s">
        <v>499</v>
      </c>
      <c r="H2338" s="4">
        <v>20339380</v>
      </c>
      <c r="I2338" s="4">
        <v>28047148</v>
      </c>
      <c r="J2338" s="3">
        <v>0.3789578640056875</v>
      </c>
      <c r="K2338" s="3">
        <v>-0.2748146799097006</v>
      </c>
      <c r="L2338" t="s">
        <v>54</v>
      </c>
    </row>
    <row r="2339" spans="1:12" x14ac:dyDescent="0.25">
      <c r="A2339" t="s">
        <v>487</v>
      </c>
      <c r="B2339" t="s">
        <v>461</v>
      </c>
      <c r="C2339" t="s">
        <v>462</v>
      </c>
      <c r="D2339" t="s">
        <v>310</v>
      </c>
      <c r="E2339" t="s">
        <v>316</v>
      </c>
      <c r="F2339">
        <v>3</v>
      </c>
      <c r="G2339" t="s">
        <v>488</v>
      </c>
      <c r="H2339" s="4">
        <v>19442903</v>
      </c>
      <c r="I2339" s="4">
        <v>9761017.741221914</v>
      </c>
      <c r="J2339" s="3">
        <v>0.4979650034142579</v>
      </c>
      <c r="K2339" s="3">
        <v>0.9918930090548199</v>
      </c>
      <c r="L2339" t="s">
        <v>54</v>
      </c>
    </row>
    <row r="2340" spans="1:12" x14ac:dyDescent="0.25">
      <c r="A2340" t="s">
        <v>487</v>
      </c>
      <c r="B2340" t="s">
        <v>461</v>
      </c>
      <c r="C2340" t="s">
        <v>462</v>
      </c>
      <c r="D2340" t="s">
        <v>310</v>
      </c>
      <c r="E2340" t="s">
        <v>316</v>
      </c>
      <c r="F2340">
        <v>3</v>
      </c>
      <c r="G2340" t="s">
        <v>498</v>
      </c>
      <c r="H2340" s="4">
        <v>19442903</v>
      </c>
      <c r="I2340" s="4">
        <v>13149950</v>
      </c>
      <c r="J2340" s="3">
        <v>0.3236632410293874</v>
      </c>
      <c r="K2340" s="3">
        <v>0.4785533785299564</v>
      </c>
      <c r="L2340" t="s">
        <v>54</v>
      </c>
    </row>
    <row r="2341" spans="1:12" x14ac:dyDescent="0.25">
      <c r="A2341" t="s">
        <v>487</v>
      </c>
      <c r="B2341" t="s">
        <v>461</v>
      </c>
      <c r="C2341" t="s">
        <v>462</v>
      </c>
      <c r="D2341" t="s">
        <v>310</v>
      </c>
      <c r="E2341" t="s">
        <v>316</v>
      </c>
      <c r="F2341">
        <v>3</v>
      </c>
      <c r="G2341" t="s">
        <v>499</v>
      </c>
      <c r="H2341" s="4">
        <v>19442903</v>
      </c>
      <c r="I2341" s="4">
        <v>28047148</v>
      </c>
      <c r="J2341" s="3">
        <v>0.4425391105433175</v>
      </c>
      <c r="K2341" s="3">
        <v>-0.30677789413740036</v>
      </c>
      <c r="L2341" t="s">
        <v>54</v>
      </c>
    </row>
    <row r="2342" spans="1:12" x14ac:dyDescent="0.25">
      <c r="A2342" t="s">
        <v>487</v>
      </c>
      <c r="B2342" t="s">
        <v>461</v>
      </c>
      <c r="C2342" t="s">
        <v>462</v>
      </c>
      <c r="D2342" t="s">
        <v>312</v>
      </c>
      <c r="E2342" t="s">
        <v>314</v>
      </c>
      <c r="F2342">
        <v>1</v>
      </c>
      <c r="G2342" t="s">
        <v>488</v>
      </c>
      <c r="H2342" s="4">
        <v>20339380</v>
      </c>
      <c r="I2342" s="4">
        <v>11169088.201577349</v>
      </c>
      <c r="J2342" s="3">
        <v>0.4508638807290415</v>
      </c>
      <c r="K2342" s="3">
        <v>0.8210421148905943</v>
      </c>
      <c r="L2342" t="s">
        <v>54</v>
      </c>
    </row>
    <row r="2343" spans="1:12" x14ac:dyDescent="0.25">
      <c r="A2343" t="s">
        <v>487</v>
      </c>
      <c r="B2343" t="s">
        <v>461</v>
      </c>
      <c r="C2343" t="s">
        <v>462</v>
      </c>
      <c r="D2343" t="s">
        <v>312</v>
      </c>
      <c r="E2343" t="s">
        <v>314</v>
      </c>
      <c r="F2343">
        <v>1</v>
      </c>
      <c r="G2343" t="s">
        <v>498</v>
      </c>
      <c r="H2343" s="4">
        <v>20339380</v>
      </c>
      <c r="I2343" s="4">
        <v>13533384</v>
      </c>
      <c r="J2343" s="3">
        <v>0.3346216059683235</v>
      </c>
      <c r="K2343" s="3">
        <v>0.5029042255802392</v>
      </c>
      <c r="L2343" t="s">
        <v>54</v>
      </c>
    </row>
    <row r="2344" spans="1:12" x14ac:dyDescent="0.25">
      <c r="A2344" t="s">
        <v>487</v>
      </c>
      <c r="B2344" t="s">
        <v>461</v>
      </c>
      <c r="C2344" t="s">
        <v>462</v>
      </c>
      <c r="D2344" t="s">
        <v>312</v>
      </c>
      <c r="E2344" t="s">
        <v>314</v>
      </c>
      <c r="F2344">
        <v>1</v>
      </c>
      <c r="G2344" t="s">
        <v>499</v>
      </c>
      <c r="H2344" s="4">
        <v>20339380</v>
      </c>
      <c r="I2344" s="4">
        <v>28244842</v>
      </c>
      <c r="J2344" s="3">
        <v>0.388677629308268</v>
      </c>
      <c r="K2344" s="3">
        <v>-0.27989046637258586</v>
      </c>
      <c r="L2344" t="s">
        <v>54</v>
      </c>
    </row>
    <row r="2345" spans="1:12" x14ac:dyDescent="0.25">
      <c r="A2345" t="s">
        <v>487</v>
      </c>
      <c r="B2345" t="s">
        <v>461</v>
      </c>
      <c r="C2345" t="s">
        <v>462</v>
      </c>
      <c r="D2345" t="s">
        <v>312</v>
      </c>
      <c r="E2345" t="s">
        <v>316</v>
      </c>
      <c r="F2345">
        <v>2</v>
      </c>
      <c r="G2345" t="s">
        <v>488</v>
      </c>
      <c r="H2345" s="4">
        <v>19442903</v>
      </c>
      <c r="I2345" s="4">
        <v>10852640.507084707</v>
      </c>
      <c r="J2345" s="3">
        <v>0.44181995316827394</v>
      </c>
      <c r="K2345" s="3">
        <v>0.7915366299388142</v>
      </c>
      <c r="L2345" t="s">
        <v>54</v>
      </c>
    </row>
    <row r="2346" spans="1:12" x14ac:dyDescent="0.25">
      <c r="A2346" t="s">
        <v>487</v>
      </c>
      <c r="B2346" t="s">
        <v>461</v>
      </c>
      <c r="C2346" t="s">
        <v>462</v>
      </c>
      <c r="D2346" t="s">
        <v>312</v>
      </c>
      <c r="E2346" t="s">
        <v>316</v>
      </c>
      <c r="F2346">
        <v>2</v>
      </c>
      <c r="G2346" t="s">
        <v>498</v>
      </c>
      <c r="H2346" s="4">
        <v>19442903</v>
      </c>
      <c r="I2346" s="4">
        <v>13149950</v>
      </c>
      <c r="J2346" s="3">
        <v>0.3236632410293874</v>
      </c>
      <c r="K2346" s="3">
        <v>0.4785533785299564</v>
      </c>
      <c r="L2346" t="s">
        <v>54</v>
      </c>
    </row>
    <row r="2347" spans="1:12" x14ac:dyDescent="0.25">
      <c r="A2347" t="s">
        <v>487</v>
      </c>
      <c r="B2347" t="s">
        <v>461</v>
      </c>
      <c r="C2347" t="s">
        <v>462</v>
      </c>
      <c r="D2347" t="s">
        <v>312</v>
      </c>
      <c r="E2347" t="s">
        <v>316</v>
      </c>
      <c r="F2347">
        <v>2</v>
      </c>
      <c r="G2347" t="s">
        <v>499</v>
      </c>
      <c r="H2347" s="4">
        <v>19442903</v>
      </c>
      <c r="I2347" s="4">
        <v>28244842</v>
      </c>
      <c r="J2347" s="3">
        <v>0.45270703659839273</v>
      </c>
      <c r="K2347" s="3">
        <v>-0.31162996061369364</v>
      </c>
      <c r="L2347" t="s">
        <v>54</v>
      </c>
    </row>
    <row r="2348" spans="1:12" x14ac:dyDescent="0.25">
      <c r="A2348" t="s">
        <v>487</v>
      </c>
      <c r="B2348" t="s">
        <v>461</v>
      </c>
      <c r="C2348" t="s">
        <v>462</v>
      </c>
      <c r="D2348" t="s">
        <v>312</v>
      </c>
      <c r="E2348" t="s">
        <v>318</v>
      </c>
      <c r="F2348">
        <v>3</v>
      </c>
      <c r="G2348" t="s">
        <v>488</v>
      </c>
      <c r="H2348" s="4">
        <v>25309403</v>
      </c>
      <c r="I2348" s="4">
        <v>15131583.882325808</v>
      </c>
      <c r="J2348" s="3">
        <v>0.40213588276555523</v>
      </c>
      <c r="K2348" s="3">
        <v>0.6726208701497682</v>
      </c>
      <c r="L2348" t="s">
        <v>54</v>
      </c>
    </row>
    <row r="2349" spans="1:12" x14ac:dyDescent="0.25">
      <c r="A2349" t="s">
        <v>487</v>
      </c>
      <c r="B2349" t="s">
        <v>461</v>
      </c>
      <c r="C2349" t="s">
        <v>462</v>
      </c>
      <c r="D2349" t="s">
        <v>312</v>
      </c>
      <c r="E2349" t="s">
        <v>318</v>
      </c>
      <c r="F2349">
        <v>3</v>
      </c>
      <c r="G2349" t="s">
        <v>498</v>
      </c>
      <c r="H2349" s="4">
        <v>25309403</v>
      </c>
      <c r="I2349" s="4">
        <v>18334669</v>
      </c>
      <c r="J2349" s="3">
        <v>0.27557876414548377</v>
      </c>
      <c r="K2349" s="3">
        <v>0.3804123215968611</v>
      </c>
      <c r="L2349" t="s">
        <v>54</v>
      </c>
    </row>
    <row r="2350" spans="1:12" x14ac:dyDescent="0.25">
      <c r="A2350" t="s">
        <v>487</v>
      </c>
      <c r="B2350" t="s">
        <v>461</v>
      </c>
      <c r="C2350" t="s">
        <v>462</v>
      </c>
      <c r="D2350" t="s">
        <v>312</v>
      </c>
      <c r="E2350" t="s">
        <v>318</v>
      </c>
      <c r="F2350">
        <v>3</v>
      </c>
      <c r="G2350" t="s">
        <v>499</v>
      </c>
      <c r="H2350" s="4">
        <v>25309403</v>
      </c>
      <c r="I2350" s="4">
        <v>28244842</v>
      </c>
      <c r="J2350" s="3">
        <v>0.11598215098159367</v>
      </c>
      <c r="K2350" s="3">
        <v>-0.10392832078862399</v>
      </c>
      <c r="L2350" t="s">
        <v>54</v>
      </c>
    </row>
    <row r="2351" spans="1:12" x14ac:dyDescent="0.25">
      <c r="A2351" t="s">
        <v>487</v>
      </c>
      <c r="B2351" t="s">
        <v>461</v>
      </c>
      <c r="C2351" t="s">
        <v>462</v>
      </c>
      <c r="D2351" t="s">
        <v>314</v>
      </c>
      <c r="E2351" t="s">
        <v>316</v>
      </c>
      <c r="F2351">
        <v>1</v>
      </c>
      <c r="G2351" t="s">
        <v>488</v>
      </c>
      <c r="H2351" s="4">
        <v>19442903</v>
      </c>
      <c r="I2351" s="4">
        <v>12014127.254334837</v>
      </c>
      <c r="J2351" s="3">
        <v>0.3820816133097595</v>
      </c>
      <c r="K2351" s="3">
        <v>0.6183366954919488</v>
      </c>
      <c r="L2351" t="s">
        <v>54</v>
      </c>
    </row>
    <row r="2352" spans="1:12" x14ac:dyDescent="0.25">
      <c r="A2352" t="s">
        <v>487</v>
      </c>
      <c r="B2352" t="s">
        <v>461</v>
      </c>
      <c r="C2352" t="s">
        <v>462</v>
      </c>
      <c r="D2352" t="s">
        <v>314</v>
      </c>
      <c r="E2352" t="s">
        <v>316</v>
      </c>
      <c r="F2352">
        <v>1</v>
      </c>
      <c r="G2352" t="s">
        <v>498</v>
      </c>
      <c r="H2352" s="4">
        <v>19442903</v>
      </c>
      <c r="I2352" s="4">
        <v>13149950</v>
      </c>
      <c r="J2352" s="3">
        <v>0.3236632410293874</v>
      </c>
      <c r="K2352" s="3">
        <v>0.4785533785299564</v>
      </c>
      <c r="L2352" t="s">
        <v>54</v>
      </c>
    </row>
    <row r="2353" spans="1:12" x14ac:dyDescent="0.25">
      <c r="A2353" t="s">
        <v>487</v>
      </c>
      <c r="B2353" t="s">
        <v>461</v>
      </c>
      <c r="C2353" t="s">
        <v>462</v>
      </c>
      <c r="D2353" t="s">
        <v>314</v>
      </c>
      <c r="E2353" t="s">
        <v>316</v>
      </c>
      <c r="F2353">
        <v>1</v>
      </c>
      <c r="G2353" t="s">
        <v>499</v>
      </c>
      <c r="H2353" s="4">
        <v>19442903</v>
      </c>
      <c r="I2353" s="4">
        <v>20339380</v>
      </c>
      <c r="J2353" s="3">
        <v>0.04610818662213148</v>
      </c>
      <c r="K2353" s="3">
        <v>-0.04407592561818502</v>
      </c>
      <c r="L2353" t="s">
        <v>54</v>
      </c>
    </row>
    <row r="2354" spans="1:12" x14ac:dyDescent="0.25">
      <c r="A2354" t="s">
        <v>487</v>
      </c>
      <c r="B2354" t="s">
        <v>461</v>
      </c>
      <c r="C2354" t="s">
        <v>462</v>
      </c>
      <c r="D2354" t="s">
        <v>314</v>
      </c>
      <c r="E2354" t="s">
        <v>318</v>
      </c>
      <c r="F2354">
        <v>2</v>
      </c>
      <c r="G2354" t="s">
        <v>488</v>
      </c>
      <c r="H2354" s="4">
        <v>25309403</v>
      </c>
      <c r="I2354" s="4">
        <v>16751017.800988447</v>
      </c>
      <c r="J2354" s="3">
        <v>0.3381504178115759</v>
      </c>
      <c r="K2354" s="3">
        <v>0.510917324588273</v>
      </c>
      <c r="L2354" t="s">
        <v>54</v>
      </c>
    </row>
    <row r="2355" spans="1:12" x14ac:dyDescent="0.25">
      <c r="A2355" t="s">
        <v>487</v>
      </c>
      <c r="B2355" t="s">
        <v>461</v>
      </c>
      <c r="C2355" t="s">
        <v>462</v>
      </c>
      <c r="D2355" t="s">
        <v>314</v>
      </c>
      <c r="E2355" t="s">
        <v>318</v>
      </c>
      <c r="F2355">
        <v>2</v>
      </c>
      <c r="G2355" t="s">
        <v>498</v>
      </c>
      <c r="H2355" s="4">
        <v>25309403</v>
      </c>
      <c r="I2355" s="4">
        <v>18334669</v>
      </c>
      <c r="J2355" s="3">
        <v>0.27557876414548377</v>
      </c>
      <c r="K2355" s="3">
        <v>0.3804123215968611</v>
      </c>
      <c r="L2355" t="s">
        <v>54</v>
      </c>
    </row>
    <row r="2356" spans="1:12" x14ac:dyDescent="0.25">
      <c r="A2356" t="s">
        <v>487</v>
      </c>
      <c r="B2356" t="s">
        <v>461</v>
      </c>
      <c r="C2356" t="s">
        <v>462</v>
      </c>
      <c r="D2356" t="s">
        <v>314</v>
      </c>
      <c r="E2356" t="s">
        <v>318</v>
      </c>
      <c r="F2356">
        <v>2</v>
      </c>
      <c r="G2356" t="s">
        <v>499</v>
      </c>
      <c r="H2356" s="4">
        <v>25309403</v>
      </c>
      <c r="I2356" s="4">
        <v>20339380</v>
      </c>
      <c r="J2356" s="3">
        <v>0.19637061372012607</v>
      </c>
      <c r="K2356" s="3">
        <v>0.24435469517753244</v>
      </c>
      <c r="L2356" t="s">
        <v>54</v>
      </c>
    </row>
    <row r="2357" spans="1:12" x14ac:dyDescent="0.25">
      <c r="A2357" t="s">
        <v>487</v>
      </c>
      <c r="B2357" t="s">
        <v>461</v>
      </c>
      <c r="C2357" t="s">
        <v>462</v>
      </c>
      <c r="D2357" t="s">
        <v>314</v>
      </c>
      <c r="E2357" t="s">
        <v>320</v>
      </c>
      <c r="F2357">
        <v>3</v>
      </c>
      <c r="G2357" t="s">
        <v>488</v>
      </c>
      <c r="H2357" s="4">
        <v>25629940</v>
      </c>
      <c r="I2357" s="4">
        <v>21972624.951261792</v>
      </c>
      <c r="J2357" s="3">
        <v>0.14269698051334523</v>
      </c>
      <c r="K2357" s="3">
        <v>0.1664487086477205</v>
      </c>
      <c r="L2357" t="s">
        <v>54</v>
      </c>
    </row>
    <row r="2358" spans="1:12" x14ac:dyDescent="0.25">
      <c r="A2358" t="s">
        <v>487</v>
      </c>
      <c r="B2358" t="s">
        <v>461</v>
      </c>
      <c r="C2358" t="s">
        <v>462</v>
      </c>
      <c r="D2358" t="s">
        <v>314</v>
      </c>
      <c r="E2358" t="s">
        <v>320</v>
      </c>
      <c r="F2358">
        <v>3</v>
      </c>
      <c r="G2358" t="s">
        <v>498</v>
      </c>
      <c r="H2358" s="4">
        <v>25629940</v>
      </c>
      <c r="I2358" s="4">
        <v>24049930</v>
      </c>
      <c r="J2358" s="3">
        <v>0.061647042482346814</v>
      </c>
      <c r="K2358" s="3">
        <v>0.06569707271497256</v>
      </c>
      <c r="L2358" t="s">
        <v>54</v>
      </c>
    </row>
    <row r="2359" spans="1:12" x14ac:dyDescent="0.25">
      <c r="A2359" t="s">
        <v>487</v>
      </c>
      <c r="B2359" t="s">
        <v>461</v>
      </c>
      <c r="C2359" t="s">
        <v>462</v>
      </c>
      <c r="D2359" t="s">
        <v>314</v>
      </c>
      <c r="E2359" t="s">
        <v>320</v>
      </c>
      <c r="F2359">
        <v>3</v>
      </c>
      <c r="G2359" t="s">
        <v>499</v>
      </c>
      <c r="H2359" s="4">
        <v>25629940</v>
      </c>
      <c r="I2359" s="4">
        <v>20339380</v>
      </c>
      <c r="J2359" s="3">
        <v>0.20642108409149612</v>
      </c>
      <c r="K2359" s="3">
        <v>0.2601141234393575</v>
      </c>
      <c r="L2359" t="s">
        <v>54</v>
      </c>
    </row>
    <row r="2360" spans="1:12" x14ac:dyDescent="0.25">
      <c r="A2360" t="s">
        <v>487</v>
      </c>
      <c r="B2360" t="s">
        <v>461</v>
      </c>
      <c r="C2360" t="s">
        <v>462</v>
      </c>
      <c r="D2360" t="s">
        <v>316</v>
      </c>
      <c r="E2360" t="s">
        <v>318</v>
      </c>
      <c r="F2360">
        <v>1</v>
      </c>
      <c r="G2360" t="s">
        <v>488</v>
      </c>
      <c r="H2360" s="4">
        <v>25309403</v>
      </c>
      <c r="I2360" s="4">
        <v>18291786.15850906</v>
      </c>
      <c r="J2360" s="3">
        <v>0.2772731083973391</v>
      </c>
      <c r="K2360" s="3">
        <v>0.38364852839843916</v>
      </c>
      <c r="L2360" t="s">
        <v>54</v>
      </c>
    </row>
    <row r="2361" spans="1:12" x14ac:dyDescent="0.25">
      <c r="A2361" t="s">
        <v>487</v>
      </c>
      <c r="B2361" t="s">
        <v>461</v>
      </c>
      <c r="C2361" t="s">
        <v>462</v>
      </c>
      <c r="D2361" t="s">
        <v>316</v>
      </c>
      <c r="E2361" t="s">
        <v>318</v>
      </c>
      <c r="F2361">
        <v>1</v>
      </c>
      <c r="G2361" t="s">
        <v>498</v>
      </c>
      <c r="H2361" s="4">
        <v>25309403</v>
      </c>
      <c r="I2361" s="4">
        <v>18334669</v>
      </c>
      <c r="J2361" s="3">
        <v>0.27557876414548377</v>
      </c>
      <c r="K2361" s="3">
        <v>0.3804123215968611</v>
      </c>
      <c r="L2361" t="s">
        <v>54</v>
      </c>
    </row>
    <row r="2362" spans="1:12" x14ac:dyDescent="0.25">
      <c r="A2362" t="s">
        <v>487</v>
      </c>
      <c r="B2362" t="s">
        <v>461</v>
      </c>
      <c r="C2362" t="s">
        <v>462</v>
      </c>
      <c r="D2362" t="s">
        <v>316</v>
      </c>
      <c r="E2362" t="s">
        <v>318</v>
      </c>
      <c r="F2362">
        <v>1</v>
      </c>
      <c r="G2362" t="s">
        <v>499</v>
      </c>
      <c r="H2362" s="4">
        <v>25309403</v>
      </c>
      <c r="I2362" s="4">
        <v>19442903</v>
      </c>
      <c r="J2362" s="3">
        <v>0.23179132277438547</v>
      </c>
      <c r="K2362" s="3">
        <v>0.30172963368690364</v>
      </c>
      <c r="L2362" t="s">
        <v>54</v>
      </c>
    </row>
    <row r="2363" spans="1:12" x14ac:dyDescent="0.25">
      <c r="A2363" t="s">
        <v>487</v>
      </c>
      <c r="B2363" t="s">
        <v>461</v>
      </c>
      <c r="C2363" t="s">
        <v>462</v>
      </c>
      <c r="D2363" t="s">
        <v>316</v>
      </c>
      <c r="E2363" t="s">
        <v>320</v>
      </c>
      <c r="F2363">
        <v>2</v>
      </c>
      <c r="G2363" t="s">
        <v>488</v>
      </c>
      <c r="H2363" s="4">
        <v>25629940</v>
      </c>
      <c r="I2363" s="4">
        <v>23993679.770663537</v>
      </c>
      <c r="J2363" s="3">
        <v>0.06384175028644089</v>
      </c>
      <c r="K2363" s="3">
        <v>0.06819546834733857</v>
      </c>
      <c r="L2363" t="s">
        <v>54</v>
      </c>
    </row>
    <row r="2364" spans="1:12" x14ac:dyDescent="0.25">
      <c r="A2364" t="s">
        <v>487</v>
      </c>
      <c r="B2364" t="s">
        <v>461</v>
      </c>
      <c r="C2364" t="s">
        <v>462</v>
      </c>
      <c r="D2364" t="s">
        <v>316</v>
      </c>
      <c r="E2364" t="s">
        <v>320</v>
      </c>
      <c r="F2364">
        <v>2</v>
      </c>
      <c r="G2364" t="s">
        <v>498</v>
      </c>
      <c r="H2364" s="4">
        <v>25629940</v>
      </c>
      <c r="I2364" s="4">
        <v>24049930</v>
      </c>
      <c r="J2364" s="3">
        <v>0.061647042482346814</v>
      </c>
      <c r="K2364" s="3">
        <v>0.06569707271497256</v>
      </c>
      <c r="L2364" t="s">
        <v>54</v>
      </c>
    </row>
    <row r="2365" spans="1:12" x14ac:dyDescent="0.25">
      <c r="A2365" t="s">
        <v>487</v>
      </c>
      <c r="B2365" t="s">
        <v>461</v>
      </c>
      <c r="C2365" t="s">
        <v>462</v>
      </c>
      <c r="D2365" t="s">
        <v>316</v>
      </c>
      <c r="E2365" t="s">
        <v>320</v>
      </c>
      <c r="F2365">
        <v>2</v>
      </c>
      <c r="G2365" t="s">
        <v>499</v>
      </c>
      <c r="H2365" s="4">
        <v>25629940</v>
      </c>
      <c r="I2365" s="4">
        <v>19442903</v>
      </c>
      <c r="J2365" s="3">
        <v>0.24139880936123922</v>
      </c>
      <c r="K2365" s="3">
        <v>0.3182157006080831</v>
      </c>
      <c r="L2365" t="s">
        <v>54</v>
      </c>
    </row>
    <row r="2366" spans="1:12" x14ac:dyDescent="0.25">
      <c r="A2366" t="s">
        <v>487</v>
      </c>
      <c r="B2366" t="s">
        <v>461</v>
      </c>
      <c r="C2366" t="s">
        <v>462</v>
      </c>
      <c r="D2366" t="s">
        <v>316</v>
      </c>
      <c r="E2366" t="s">
        <v>322</v>
      </c>
      <c r="F2366">
        <v>3</v>
      </c>
      <c r="G2366" t="s">
        <v>488</v>
      </c>
      <c r="H2366" s="4">
        <v>23473722</v>
      </c>
      <c r="I2366" s="4">
        <v>24327468.24466536</v>
      </c>
      <c r="J2366" s="3">
        <v>0.03637029716315794</v>
      </c>
      <c r="K2366" s="3">
        <v>-0.03509392083381187</v>
      </c>
      <c r="L2366" t="s">
        <v>54</v>
      </c>
    </row>
    <row r="2367" spans="1:12" x14ac:dyDescent="0.25">
      <c r="A2367" t="s">
        <v>487</v>
      </c>
      <c r="B2367" t="s">
        <v>461</v>
      </c>
      <c r="C2367" t="s">
        <v>462</v>
      </c>
      <c r="D2367" t="s">
        <v>316</v>
      </c>
      <c r="E2367" t="s">
        <v>322</v>
      </c>
      <c r="F2367">
        <v>3</v>
      </c>
      <c r="G2367" t="s">
        <v>498</v>
      </c>
      <c r="H2367" s="4">
        <v>23473722</v>
      </c>
      <c r="I2367" s="4">
        <v>24384501</v>
      </c>
      <c r="J2367" s="3">
        <v>0.03879993977946915</v>
      </c>
      <c r="K2367" s="3">
        <v>-0.037350733566374805</v>
      </c>
      <c r="L2367" t="s">
        <v>54</v>
      </c>
    </row>
    <row r="2368" spans="1:12" x14ac:dyDescent="0.25">
      <c r="A2368" t="s">
        <v>487</v>
      </c>
      <c r="B2368" t="s">
        <v>461</v>
      </c>
      <c r="C2368" t="s">
        <v>462</v>
      </c>
      <c r="D2368" t="s">
        <v>316</v>
      </c>
      <c r="E2368" t="s">
        <v>322</v>
      </c>
      <c r="F2368">
        <v>3</v>
      </c>
      <c r="G2368" t="s">
        <v>499</v>
      </c>
      <c r="H2368" s="4">
        <v>23473722</v>
      </c>
      <c r="I2368" s="4">
        <v>19442903</v>
      </c>
      <c r="J2368" s="3">
        <v>0.1717162280442786</v>
      </c>
      <c r="K2368" s="3">
        <v>0.20731569766099228</v>
      </c>
      <c r="L2368" t="s">
        <v>54</v>
      </c>
    </row>
    <row r="2369" spans="1:12" x14ac:dyDescent="0.25">
      <c r="A2369" t="s">
        <v>487</v>
      </c>
      <c r="B2369" t="s">
        <v>461</v>
      </c>
      <c r="C2369" t="s">
        <v>462</v>
      </c>
      <c r="D2369" t="s">
        <v>318</v>
      </c>
      <c r="E2369" t="s">
        <v>320</v>
      </c>
      <c r="F2369">
        <v>1</v>
      </c>
      <c r="G2369" t="s">
        <v>488</v>
      </c>
      <c r="H2369" s="4">
        <v>25629940</v>
      </c>
      <c r="I2369" s="4">
        <v>25736133.268682584</v>
      </c>
      <c r="J2369" s="3">
        <v>0.004143328805396507</v>
      </c>
      <c r="K2369" s="3">
        <v>-0.004126232467555921</v>
      </c>
      <c r="L2369" t="s">
        <v>54</v>
      </c>
    </row>
    <row r="2370" spans="1:12" x14ac:dyDescent="0.25">
      <c r="A2370" t="s">
        <v>487</v>
      </c>
      <c r="B2370" t="s">
        <v>461</v>
      </c>
      <c r="C2370" t="s">
        <v>462</v>
      </c>
      <c r="D2370" t="s">
        <v>318</v>
      </c>
      <c r="E2370" t="s">
        <v>320</v>
      </c>
      <c r="F2370">
        <v>1</v>
      </c>
      <c r="G2370" t="s">
        <v>498</v>
      </c>
      <c r="H2370" s="4">
        <v>25629940</v>
      </c>
      <c r="I2370" s="4">
        <v>24049930</v>
      </c>
      <c r="J2370" s="3">
        <v>0.061647042482346814</v>
      </c>
      <c r="K2370" s="3">
        <v>0.06569707271497256</v>
      </c>
      <c r="L2370" t="s">
        <v>54</v>
      </c>
    </row>
    <row r="2371" spans="1:12" x14ac:dyDescent="0.25">
      <c r="A2371" t="s">
        <v>487</v>
      </c>
      <c r="B2371" t="s">
        <v>461</v>
      </c>
      <c r="C2371" t="s">
        <v>462</v>
      </c>
      <c r="D2371" t="s">
        <v>318</v>
      </c>
      <c r="E2371" t="s">
        <v>320</v>
      </c>
      <c r="F2371">
        <v>1</v>
      </c>
      <c r="G2371" t="s">
        <v>499</v>
      </c>
      <c r="H2371" s="4">
        <v>25629940</v>
      </c>
      <c r="I2371" s="4">
        <v>25309403</v>
      </c>
      <c r="J2371" s="3">
        <v>0.012506349995356993</v>
      </c>
      <c r="K2371" s="3">
        <v>0.012664739662172197</v>
      </c>
      <c r="L2371" t="s">
        <v>54</v>
      </c>
    </row>
    <row r="2372" spans="1:12" x14ac:dyDescent="0.25">
      <c r="A2372" t="s">
        <v>487</v>
      </c>
      <c r="B2372" t="s">
        <v>461</v>
      </c>
      <c r="C2372" t="s">
        <v>462</v>
      </c>
      <c r="D2372" t="s">
        <v>318</v>
      </c>
      <c r="E2372" t="s">
        <v>322</v>
      </c>
      <c r="F2372">
        <v>2</v>
      </c>
      <c r="G2372" t="s">
        <v>488</v>
      </c>
      <c r="H2372" s="4">
        <v>23473722</v>
      </c>
      <c r="I2372" s="4">
        <v>26094161.91341612</v>
      </c>
      <c r="J2372" s="3">
        <v>0.11163291076788424</v>
      </c>
      <c r="K2372" s="3">
        <v>-0.1004224593267677</v>
      </c>
      <c r="L2372" t="s">
        <v>54</v>
      </c>
    </row>
    <row r="2373" spans="1:12" x14ac:dyDescent="0.25">
      <c r="A2373" t="s">
        <v>487</v>
      </c>
      <c r="B2373" t="s">
        <v>461</v>
      </c>
      <c r="C2373" t="s">
        <v>462</v>
      </c>
      <c r="D2373" t="s">
        <v>318</v>
      </c>
      <c r="E2373" t="s">
        <v>322</v>
      </c>
      <c r="F2373">
        <v>2</v>
      </c>
      <c r="G2373" t="s">
        <v>498</v>
      </c>
      <c r="H2373" s="4">
        <v>23473722</v>
      </c>
      <c r="I2373" s="4">
        <v>24384501</v>
      </c>
      <c r="J2373" s="3">
        <v>0.03879993977946915</v>
      </c>
      <c r="K2373" s="3">
        <v>-0.037350733566374805</v>
      </c>
      <c r="L2373" t="s">
        <v>54</v>
      </c>
    </row>
    <row r="2374" spans="1:12" x14ac:dyDescent="0.25">
      <c r="A2374" t="s">
        <v>487</v>
      </c>
      <c r="B2374" t="s">
        <v>461</v>
      </c>
      <c r="C2374" t="s">
        <v>462</v>
      </c>
      <c r="D2374" t="s">
        <v>318</v>
      </c>
      <c r="E2374" t="s">
        <v>322</v>
      </c>
      <c r="F2374">
        <v>2</v>
      </c>
      <c r="G2374" t="s">
        <v>499</v>
      </c>
      <c r="H2374" s="4">
        <v>23473722</v>
      </c>
      <c r="I2374" s="4">
        <v>25309403</v>
      </c>
      <c r="J2374" s="3">
        <v>0.07820153105672803</v>
      </c>
      <c r="K2374" s="3">
        <v>-0.07252960490612916</v>
      </c>
      <c r="L2374" t="s">
        <v>54</v>
      </c>
    </row>
    <row r="2375" spans="1:12" x14ac:dyDescent="0.25">
      <c r="A2375" t="s">
        <v>487</v>
      </c>
      <c r="B2375" t="s">
        <v>461</v>
      </c>
      <c r="C2375" t="s">
        <v>462</v>
      </c>
      <c r="D2375" t="s">
        <v>318</v>
      </c>
      <c r="E2375" t="s">
        <v>324</v>
      </c>
      <c r="F2375">
        <v>3</v>
      </c>
      <c r="G2375" t="s">
        <v>488</v>
      </c>
      <c r="H2375" s="4">
        <v>24750908</v>
      </c>
      <c r="I2375" s="4">
        <v>22343204.276647408</v>
      </c>
      <c r="J2375" s="3">
        <v>0.09727738971647393</v>
      </c>
      <c r="K2375" s="3">
        <v>0.1077600013651161</v>
      </c>
      <c r="L2375" t="s">
        <v>54</v>
      </c>
    </row>
    <row r="2376" spans="1:12" x14ac:dyDescent="0.25">
      <c r="A2376" t="s">
        <v>487</v>
      </c>
      <c r="B2376" t="s">
        <v>461</v>
      </c>
      <c r="C2376" t="s">
        <v>462</v>
      </c>
      <c r="D2376" t="s">
        <v>318</v>
      </c>
      <c r="E2376" t="s">
        <v>324</v>
      </c>
      <c r="F2376">
        <v>3</v>
      </c>
      <c r="G2376" t="s">
        <v>498</v>
      </c>
      <c r="H2376" s="4">
        <v>24750908</v>
      </c>
      <c r="I2376" s="4">
        <v>20879302</v>
      </c>
      <c r="J2376" s="3">
        <v>0.156422786590294</v>
      </c>
      <c r="K2376" s="3">
        <v>0.18542794198771587</v>
      </c>
      <c r="L2376" t="s">
        <v>54</v>
      </c>
    </row>
    <row r="2377" spans="1:12" x14ac:dyDescent="0.25">
      <c r="A2377" t="s">
        <v>487</v>
      </c>
      <c r="B2377" t="s">
        <v>461</v>
      </c>
      <c r="C2377" t="s">
        <v>462</v>
      </c>
      <c r="D2377" t="s">
        <v>318</v>
      </c>
      <c r="E2377" t="s">
        <v>324</v>
      </c>
      <c r="F2377">
        <v>3</v>
      </c>
      <c r="G2377" t="s">
        <v>499</v>
      </c>
      <c r="H2377" s="4">
        <v>24750908</v>
      </c>
      <c r="I2377" s="4">
        <v>25309403</v>
      </c>
      <c r="J2377" s="3">
        <v>0.0225646267199571</v>
      </c>
      <c r="K2377" s="3">
        <v>-0.022066699874351045</v>
      </c>
      <c r="L2377" t="s">
        <v>54</v>
      </c>
    </row>
    <row r="2378" spans="1:12" x14ac:dyDescent="0.25">
      <c r="A2378" t="s">
        <v>487</v>
      </c>
      <c r="B2378" t="s">
        <v>461</v>
      </c>
      <c r="C2378" t="s">
        <v>462</v>
      </c>
      <c r="D2378" t="s">
        <v>320</v>
      </c>
      <c r="E2378" t="s">
        <v>322</v>
      </c>
      <c r="F2378">
        <v>1</v>
      </c>
      <c r="G2378" t="s">
        <v>488</v>
      </c>
      <c r="H2378" s="4">
        <v>23473722</v>
      </c>
      <c r="I2378" s="4">
        <v>26951880.695737436</v>
      </c>
      <c r="J2378" s="3">
        <v>0.14817244132555699</v>
      </c>
      <c r="K2378" s="3">
        <v>-0.12905068610991302</v>
      </c>
      <c r="L2378" t="s">
        <v>54</v>
      </c>
    </row>
    <row r="2379" spans="1:12" x14ac:dyDescent="0.25">
      <c r="A2379" t="s">
        <v>487</v>
      </c>
      <c r="B2379" t="s">
        <v>461</v>
      </c>
      <c r="C2379" t="s">
        <v>462</v>
      </c>
      <c r="D2379" t="s">
        <v>320</v>
      </c>
      <c r="E2379" t="s">
        <v>322</v>
      </c>
      <c r="F2379">
        <v>1</v>
      </c>
      <c r="G2379" t="s">
        <v>498</v>
      </c>
      <c r="H2379" s="4">
        <v>23473722</v>
      </c>
      <c r="I2379" s="4">
        <v>24384501</v>
      </c>
      <c r="J2379" s="3">
        <v>0.03879993977946915</v>
      </c>
      <c r="K2379" s="3">
        <v>-0.037350733566374805</v>
      </c>
      <c r="L2379" t="s">
        <v>54</v>
      </c>
    </row>
    <row r="2380" spans="1:12" x14ac:dyDescent="0.25">
      <c r="A2380" t="s">
        <v>487</v>
      </c>
      <c r="B2380" t="s">
        <v>461</v>
      </c>
      <c r="C2380" t="s">
        <v>462</v>
      </c>
      <c r="D2380" t="s">
        <v>320</v>
      </c>
      <c r="E2380" t="s">
        <v>322</v>
      </c>
      <c r="F2380">
        <v>1</v>
      </c>
      <c r="G2380" t="s">
        <v>499</v>
      </c>
      <c r="H2380" s="4">
        <v>23473722</v>
      </c>
      <c r="I2380" s="4">
        <v>25629940</v>
      </c>
      <c r="J2380" s="3">
        <v>0.09185667275091697</v>
      </c>
      <c r="K2380" s="3">
        <v>-0.08412887427750514</v>
      </c>
      <c r="L2380" t="s">
        <v>54</v>
      </c>
    </row>
    <row r="2381" spans="1:12" x14ac:dyDescent="0.25">
      <c r="A2381" t="s">
        <v>487</v>
      </c>
      <c r="B2381" t="s">
        <v>461</v>
      </c>
      <c r="C2381" t="s">
        <v>462</v>
      </c>
      <c r="D2381" t="s">
        <v>320</v>
      </c>
      <c r="E2381" t="s">
        <v>324</v>
      </c>
      <c r="F2381">
        <v>2</v>
      </c>
      <c r="G2381" t="s">
        <v>488</v>
      </c>
      <c r="H2381" s="4">
        <v>24750908</v>
      </c>
      <c r="I2381" s="4">
        <v>23077628.55242648</v>
      </c>
      <c r="J2381" s="3">
        <v>0.067604770199684</v>
      </c>
      <c r="K2381" s="3">
        <v>0.07250655949211837</v>
      </c>
      <c r="L2381" t="s">
        <v>54</v>
      </c>
    </row>
    <row r="2382" spans="1:12" x14ac:dyDescent="0.25">
      <c r="A2382" t="s">
        <v>487</v>
      </c>
      <c r="B2382" t="s">
        <v>461</v>
      </c>
      <c r="C2382" t="s">
        <v>462</v>
      </c>
      <c r="D2382" t="s">
        <v>320</v>
      </c>
      <c r="E2382" t="s">
        <v>324</v>
      </c>
      <c r="F2382">
        <v>2</v>
      </c>
      <c r="G2382" t="s">
        <v>498</v>
      </c>
      <c r="H2382" s="4">
        <v>24750908</v>
      </c>
      <c r="I2382" s="4">
        <v>20879302</v>
      </c>
      <c r="J2382" s="3">
        <v>0.156422786590294</v>
      </c>
      <c r="K2382" s="3">
        <v>0.18542794198771587</v>
      </c>
      <c r="L2382" t="s">
        <v>54</v>
      </c>
    </row>
    <row r="2383" spans="1:12" x14ac:dyDescent="0.25">
      <c r="A2383" t="s">
        <v>487</v>
      </c>
      <c r="B2383" t="s">
        <v>461</v>
      </c>
      <c r="C2383" t="s">
        <v>462</v>
      </c>
      <c r="D2383" t="s">
        <v>320</v>
      </c>
      <c r="E2383" t="s">
        <v>324</v>
      </c>
      <c r="F2383">
        <v>2</v>
      </c>
      <c r="G2383" t="s">
        <v>499</v>
      </c>
      <c r="H2383" s="4">
        <v>24750908</v>
      </c>
      <c r="I2383" s="4">
        <v>25629940</v>
      </c>
      <c r="J2383" s="3">
        <v>0.035515141505111654</v>
      </c>
      <c r="K2383" s="3">
        <v>-0.03429707599783691</v>
      </c>
      <c r="L2383" t="s">
        <v>54</v>
      </c>
    </row>
    <row r="2384" spans="1:12" x14ac:dyDescent="0.25">
      <c r="A2384" t="s">
        <v>487</v>
      </c>
      <c r="B2384" t="s">
        <v>461</v>
      </c>
      <c r="C2384" t="s">
        <v>462</v>
      </c>
      <c r="D2384" t="s">
        <v>320</v>
      </c>
      <c r="E2384" t="s">
        <v>326</v>
      </c>
      <c r="F2384">
        <v>3</v>
      </c>
      <c r="G2384" t="s">
        <v>488</v>
      </c>
      <c r="H2384" s="4">
        <v>21246373</v>
      </c>
      <c r="I2384" s="4">
        <v>19311271.245178636</v>
      </c>
      <c r="J2384" s="3">
        <v>0.09107915759651607</v>
      </c>
      <c r="K2384" s="3">
        <v>0.10020581919507203</v>
      </c>
      <c r="L2384" t="s">
        <v>54</v>
      </c>
    </row>
    <row r="2385" spans="1:12" x14ac:dyDescent="0.25">
      <c r="A2385" t="s">
        <v>487</v>
      </c>
      <c r="B2385" t="s">
        <v>461</v>
      </c>
      <c r="C2385" t="s">
        <v>462</v>
      </c>
      <c r="D2385" t="s">
        <v>320</v>
      </c>
      <c r="E2385" t="s">
        <v>326</v>
      </c>
      <c r="F2385">
        <v>3</v>
      </c>
      <c r="G2385" t="s">
        <v>498</v>
      </c>
      <c r="H2385" s="4">
        <v>21246373</v>
      </c>
      <c r="I2385" s="4">
        <v>17471720</v>
      </c>
      <c r="J2385" s="3">
        <v>0.1776610530183199</v>
      </c>
      <c r="K2385" s="3">
        <v>0.2160435835739126</v>
      </c>
      <c r="L2385" t="s">
        <v>54</v>
      </c>
    </row>
    <row r="2386" spans="1:12" x14ac:dyDescent="0.25">
      <c r="A2386" t="s">
        <v>487</v>
      </c>
      <c r="B2386" t="s">
        <v>461</v>
      </c>
      <c r="C2386" t="s">
        <v>462</v>
      </c>
      <c r="D2386" t="s">
        <v>320</v>
      </c>
      <c r="E2386" t="s">
        <v>326</v>
      </c>
      <c r="F2386">
        <v>3</v>
      </c>
      <c r="G2386" t="s">
        <v>499</v>
      </c>
      <c r="H2386" s="4">
        <v>21246373</v>
      </c>
      <c r="I2386" s="4">
        <v>25629940</v>
      </c>
      <c r="J2386" s="3">
        <v>0.20632072118850592</v>
      </c>
      <c r="K2386" s="3">
        <v>-0.17103305743205016</v>
      </c>
      <c r="L2386" t="s">
        <v>54</v>
      </c>
    </row>
    <row r="2387" spans="1:12" x14ac:dyDescent="0.25">
      <c r="A2387" t="s">
        <v>487</v>
      </c>
      <c r="B2387" t="s">
        <v>461</v>
      </c>
      <c r="C2387" t="s">
        <v>462</v>
      </c>
      <c r="D2387" t="s">
        <v>322</v>
      </c>
      <c r="E2387" t="s">
        <v>324</v>
      </c>
      <c r="F2387">
        <v>1</v>
      </c>
      <c r="G2387" t="s">
        <v>488</v>
      </c>
      <c r="H2387" s="4">
        <v>24750908</v>
      </c>
      <c r="I2387" s="4">
        <v>23161383.662616335</v>
      </c>
      <c r="J2387" s="3">
        <v>0.06422084948898299</v>
      </c>
      <c r="K2387" s="3">
        <v>0.06862821153251043</v>
      </c>
      <c r="L2387" t="s">
        <v>54</v>
      </c>
    </row>
    <row r="2388" spans="1:12" x14ac:dyDescent="0.25">
      <c r="A2388" t="s">
        <v>487</v>
      </c>
      <c r="B2388" t="s">
        <v>461</v>
      </c>
      <c r="C2388" t="s">
        <v>462</v>
      </c>
      <c r="D2388" t="s">
        <v>322</v>
      </c>
      <c r="E2388" t="s">
        <v>324</v>
      </c>
      <c r="F2388">
        <v>1</v>
      </c>
      <c r="G2388" t="s">
        <v>498</v>
      </c>
      <c r="H2388" s="4">
        <v>24750908</v>
      </c>
      <c r="I2388" s="4">
        <v>20879302</v>
      </c>
      <c r="J2388" s="3">
        <v>0.156422786590294</v>
      </c>
      <c r="K2388" s="3">
        <v>0.18542794198771587</v>
      </c>
      <c r="L2388" t="s">
        <v>54</v>
      </c>
    </row>
    <row r="2389" spans="1:12" x14ac:dyDescent="0.25">
      <c r="A2389" t="s">
        <v>487</v>
      </c>
      <c r="B2389" t="s">
        <v>461</v>
      </c>
      <c r="C2389" t="s">
        <v>462</v>
      </c>
      <c r="D2389" t="s">
        <v>322</v>
      </c>
      <c r="E2389" t="s">
        <v>324</v>
      </c>
      <c r="F2389">
        <v>1</v>
      </c>
      <c r="G2389" t="s">
        <v>499</v>
      </c>
      <c r="H2389" s="4">
        <v>24750908</v>
      </c>
      <c r="I2389" s="4">
        <v>23473722</v>
      </c>
      <c r="J2389" s="3">
        <v>0.05160158164702483</v>
      </c>
      <c r="K2389" s="3">
        <v>0.05440918146683342</v>
      </c>
      <c r="L2389" t="s">
        <v>54</v>
      </c>
    </row>
    <row r="2390" spans="1:12" x14ac:dyDescent="0.25">
      <c r="A2390" t="s">
        <v>487</v>
      </c>
      <c r="B2390" t="s">
        <v>461</v>
      </c>
      <c r="C2390" t="s">
        <v>462</v>
      </c>
      <c r="D2390" t="s">
        <v>322</v>
      </c>
      <c r="E2390" t="s">
        <v>326</v>
      </c>
      <c r="F2390">
        <v>2</v>
      </c>
      <c r="G2390" t="s">
        <v>488</v>
      </c>
      <c r="H2390" s="4">
        <v>21246373</v>
      </c>
      <c r="I2390" s="4">
        <v>19381357.200820558</v>
      </c>
      <c r="J2390" s="3">
        <v>0.08778043194381659</v>
      </c>
      <c r="K2390" s="3">
        <v>0.09622730647059548</v>
      </c>
      <c r="L2390" t="s">
        <v>54</v>
      </c>
    </row>
    <row r="2391" spans="1:12" x14ac:dyDescent="0.25">
      <c r="A2391" t="s">
        <v>487</v>
      </c>
      <c r="B2391" t="s">
        <v>461</v>
      </c>
      <c r="C2391" t="s">
        <v>462</v>
      </c>
      <c r="D2391" t="s">
        <v>322</v>
      </c>
      <c r="E2391" t="s">
        <v>326</v>
      </c>
      <c r="F2391">
        <v>2</v>
      </c>
      <c r="G2391" t="s">
        <v>498</v>
      </c>
      <c r="H2391" s="4">
        <v>21246373</v>
      </c>
      <c r="I2391" s="4">
        <v>17471720</v>
      </c>
      <c r="J2391" s="3">
        <v>0.1776610530183199</v>
      </c>
      <c r="K2391" s="3">
        <v>0.2160435835739126</v>
      </c>
      <c r="L2391" t="s">
        <v>54</v>
      </c>
    </row>
    <row r="2392" spans="1:12" x14ac:dyDescent="0.25">
      <c r="A2392" t="s">
        <v>487</v>
      </c>
      <c r="B2392" t="s">
        <v>461</v>
      </c>
      <c r="C2392" t="s">
        <v>462</v>
      </c>
      <c r="D2392" t="s">
        <v>322</v>
      </c>
      <c r="E2392" t="s">
        <v>326</v>
      </c>
      <c r="F2392">
        <v>2</v>
      </c>
      <c r="G2392" t="s">
        <v>499</v>
      </c>
      <c r="H2392" s="4">
        <v>21246373</v>
      </c>
      <c r="I2392" s="4">
        <v>23473722</v>
      </c>
      <c r="J2392" s="3">
        <v>0.10483431689728878</v>
      </c>
      <c r="K2392" s="3">
        <v>-0.09488691226725783</v>
      </c>
      <c r="L2392" t="s">
        <v>54</v>
      </c>
    </row>
    <row r="2393" spans="1:12" x14ac:dyDescent="0.25">
      <c r="A2393" t="s">
        <v>487</v>
      </c>
      <c r="B2393" t="s">
        <v>461</v>
      </c>
      <c r="C2393" t="s">
        <v>462</v>
      </c>
      <c r="D2393" t="s">
        <v>322</v>
      </c>
      <c r="E2393" t="s">
        <v>328</v>
      </c>
      <c r="F2393">
        <v>3</v>
      </c>
      <c r="G2393" t="s">
        <v>488</v>
      </c>
      <c r="H2393" s="4">
        <v>18540323</v>
      </c>
      <c r="I2393" s="4">
        <v>15589964.864006203</v>
      </c>
      <c r="J2393" s="3">
        <v>0.15913197067784618</v>
      </c>
      <c r="K2393" s="3">
        <v>0.18924726012728385</v>
      </c>
      <c r="L2393" t="s">
        <v>54</v>
      </c>
    </row>
    <row r="2394" spans="1:12" x14ac:dyDescent="0.25">
      <c r="A2394" t="s">
        <v>487</v>
      </c>
      <c r="B2394" t="s">
        <v>461</v>
      </c>
      <c r="C2394" t="s">
        <v>462</v>
      </c>
      <c r="D2394" t="s">
        <v>322</v>
      </c>
      <c r="E2394" t="s">
        <v>328</v>
      </c>
      <c r="F2394">
        <v>3</v>
      </c>
      <c r="G2394" t="s">
        <v>498</v>
      </c>
      <c r="H2394" s="4">
        <v>18540323</v>
      </c>
      <c r="I2394" s="4">
        <v>14053892</v>
      </c>
      <c r="J2394" s="3">
        <v>0.24198235381336128</v>
      </c>
      <c r="K2394" s="3">
        <v>0.3192305021270976</v>
      </c>
      <c r="L2394" t="s">
        <v>54</v>
      </c>
    </row>
    <row r="2395" spans="1:12" x14ac:dyDescent="0.25">
      <c r="A2395" t="s">
        <v>487</v>
      </c>
      <c r="B2395" t="s">
        <v>461</v>
      </c>
      <c r="C2395" t="s">
        <v>462</v>
      </c>
      <c r="D2395" t="s">
        <v>322</v>
      </c>
      <c r="E2395" t="s">
        <v>328</v>
      </c>
      <c r="F2395">
        <v>3</v>
      </c>
      <c r="G2395" t="s">
        <v>499</v>
      </c>
      <c r="H2395" s="4">
        <v>18540323</v>
      </c>
      <c r="I2395" s="4">
        <v>23473722</v>
      </c>
      <c r="J2395" s="3">
        <v>0.2660902401754274</v>
      </c>
      <c r="K2395" s="3">
        <v>-0.2101668836326851</v>
      </c>
      <c r="L2395" t="s">
        <v>54</v>
      </c>
    </row>
    <row r="2396" spans="1:12" x14ac:dyDescent="0.25">
      <c r="A2396" t="s">
        <v>487</v>
      </c>
      <c r="B2396" t="s">
        <v>461</v>
      </c>
      <c r="C2396" t="s">
        <v>462</v>
      </c>
      <c r="D2396" t="s">
        <v>324</v>
      </c>
      <c r="E2396" t="s">
        <v>326</v>
      </c>
      <c r="F2396">
        <v>1</v>
      </c>
      <c r="G2396" t="s">
        <v>488</v>
      </c>
      <c r="H2396" s="4">
        <v>21246373</v>
      </c>
      <c r="I2396" s="4">
        <v>19636785.919515155</v>
      </c>
      <c r="J2396" s="3">
        <v>0.07575820496443533</v>
      </c>
      <c r="K2396" s="3">
        <v>0.08196794969818495</v>
      </c>
      <c r="L2396" t="s">
        <v>54</v>
      </c>
    </row>
    <row r="2397" spans="1:12" x14ac:dyDescent="0.25">
      <c r="A2397" t="s">
        <v>487</v>
      </c>
      <c r="B2397" t="s">
        <v>461</v>
      </c>
      <c r="C2397" t="s">
        <v>462</v>
      </c>
      <c r="D2397" t="s">
        <v>324</v>
      </c>
      <c r="E2397" t="s">
        <v>326</v>
      </c>
      <c r="F2397">
        <v>1</v>
      </c>
      <c r="G2397" t="s">
        <v>498</v>
      </c>
      <c r="H2397" s="4">
        <v>21246373</v>
      </c>
      <c r="I2397" s="4">
        <v>17471720</v>
      </c>
      <c r="J2397" s="3">
        <v>0.1776610530183199</v>
      </c>
      <c r="K2397" s="3">
        <v>0.2160435835739126</v>
      </c>
      <c r="L2397" t="s">
        <v>54</v>
      </c>
    </row>
    <row r="2398" spans="1:12" x14ac:dyDescent="0.25">
      <c r="A2398" t="s">
        <v>487</v>
      </c>
      <c r="B2398" t="s">
        <v>461</v>
      </c>
      <c r="C2398" t="s">
        <v>462</v>
      </c>
      <c r="D2398" t="s">
        <v>324</v>
      </c>
      <c r="E2398" t="s">
        <v>326</v>
      </c>
      <c r="F2398">
        <v>1</v>
      </c>
      <c r="G2398" t="s">
        <v>499</v>
      </c>
      <c r="H2398" s="4">
        <v>21246373</v>
      </c>
      <c r="I2398" s="4">
        <v>24750908</v>
      </c>
      <c r="J2398" s="3">
        <v>0.16494744773613831</v>
      </c>
      <c r="K2398" s="3">
        <v>-0.14159217916368969</v>
      </c>
      <c r="L2398" t="s">
        <v>54</v>
      </c>
    </row>
    <row r="2399" spans="1:12" x14ac:dyDescent="0.25">
      <c r="A2399" t="s">
        <v>487</v>
      </c>
      <c r="B2399" t="s">
        <v>461</v>
      </c>
      <c r="C2399" t="s">
        <v>462</v>
      </c>
      <c r="D2399" t="s">
        <v>324</v>
      </c>
      <c r="E2399" t="s">
        <v>328</v>
      </c>
      <c r="F2399">
        <v>2</v>
      </c>
      <c r="G2399" t="s">
        <v>488</v>
      </c>
      <c r="H2399" s="4">
        <v>18540323</v>
      </c>
      <c r="I2399" s="4">
        <v>15795426.46860107</v>
      </c>
      <c r="J2399" s="3">
        <v>0.14805009229876576</v>
      </c>
      <c r="K2399" s="3">
        <v>0.1737779310267672</v>
      </c>
      <c r="L2399" t="s">
        <v>54</v>
      </c>
    </row>
    <row r="2400" spans="1:12" x14ac:dyDescent="0.25">
      <c r="A2400" t="s">
        <v>487</v>
      </c>
      <c r="B2400" t="s">
        <v>461</v>
      </c>
      <c r="C2400" t="s">
        <v>462</v>
      </c>
      <c r="D2400" t="s">
        <v>324</v>
      </c>
      <c r="E2400" t="s">
        <v>328</v>
      </c>
      <c r="F2400">
        <v>2</v>
      </c>
      <c r="G2400" t="s">
        <v>498</v>
      </c>
      <c r="H2400" s="4">
        <v>18540323</v>
      </c>
      <c r="I2400" s="4">
        <v>14053892</v>
      </c>
      <c r="J2400" s="3">
        <v>0.24198235381336128</v>
      </c>
      <c r="K2400" s="3">
        <v>0.3192305021270976</v>
      </c>
      <c r="L2400" t="s">
        <v>54</v>
      </c>
    </row>
    <row r="2401" spans="1:12" x14ac:dyDescent="0.25">
      <c r="A2401" t="s">
        <v>487</v>
      </c>
      <c r="B2401" t="s">
        <v>461</v>
      </c>
      <c r="C2401" t="s">
        <v>462</v>
      </c>
      <c r="D2401" t="s">
        <v>324</v>
      </c>
      <c r="E2401" t="s">
        <v>328</v>
      </c>
      <c r="F2401">
        <v>2</v>
      </c>
      <c r="G2401" t="s">
        <v>499</v>
      </c>
      <c r="H2401" s="4">
        <v>18540323</v>
      </c>
      <c r="I2401" s="4">
        <v>24750908</v>
      </c>
      <c r="J2401" s="3">
        <v>0.3349771738065189</v>
      </c>
      <c r="K2401" s="3">
        <v>-0.25092352167443716</v>
      </c>
      <c r="L2401" t="s">
        <v>54</v>
      </c>
    </row>
    <row r="2402" spans="1:12" x14ac:dyDescent="0.25">
      <c r="A2402" t="s">
        <v>487</v>
      </c>
      <c r="B2402" t="s">
        <v>461</v>
      </c>
      <c r="C2402" t="s">
        <v>462</v>
      </c>
      <c r="D2402" t="s">
        <v>324</v>
      </c>
      <c r="E2402" t="s">
        <v>330</v>
      </c>
      <c r="F2402">
        <v>3</v>
      </c>
      <c r="G2402" t="s">
        <v>488</v>
      </c>
      <c r="H2402" s="4">
        <v>26351435</v>
      </c>
      <c r="I2402" s="4">
        <v>19071503.34082676</v>
      </c>
      <c r="J2402" s="3">
        <v>0.2762631962613512</v>
      </c>
      <c r="K2402" s="3">
        <v>0.38171776650605926</v>
      </c>
      <c r="L2402" t="s">
        <v>54</v>
      </c>
    </row>
    <row r="2403" spans="1:12" x14ac:dyDescent="0.25">
      <c r="A2403" t="s">
        <v>487</v>
      </c>
      <c r="B2403" t="s">
        <v>461</v>
      </c>
      <c r="C2403" t="s">
        <v>462</v>
      </c>
      <c r="D2403" t="s">
        <v>324</v>
      </c>
      <c r="E2403" t="s">
        <v>330</v>
      </c>
      <c r="F2403">
        <v>3</v>
      </c>
      <c r="G2403" t="s">
        <v>498</v>
      </c>
      <c r="H2403" s="4">
        <v>26351435</v>
      </c>
      <c r="I2403" s="4">
        <v>16968763</v>
      </c>
      <c r="J2403" s="3">
        <v>0.3560592430734797</v>
      </c>
      <c r="K2403" s="3">
        <v>0.5529378894619484</v>
      </c>
      <c r="L2403" t="s">
        <v>54</v>
      </c>
    </row>
    <row r="2404" spans="1:12" x14ac:dyDescent="0.25">
      <c r="A2404" t="s">
        <v>487</v>
      </c>
      <c r="B2404" t="s">
        <v>461</v>
      </c>
      <c r="C2404" t="s">
        <v>462</v>
      </c>
      <c r="D2404" t="s">
        <v>324</v>
      </c>
      <c r="E2404" t="s">
        <v>330</v>
      </c>
      <c r="F2404">
        <v>3</v>
      </c>
      <c r="G2404" t="s">
        <v>499</v>
      </c>
      <c r="H2404" s="4">
        <v>26351435</v>
      </c>
      <c r="I2404" s="4">
        <v>24750908</v>
      </c>
      <c r="J2404" s="3">
        <v>0.06073775488887038</v>
      </c>
      <c r="K2404" s="3">
        <v>0.06466538520526197</v>
      </c>
      <c r="L2404" t="s">
        <v>54</v>
      </c>
    </row>
    <row r="2405" spans="1:12" x14ac:dyDescent="0.25">
      <c r="A2405" t="s">
        <v>487</v>
      </c>
      <c r="B2405" t="s">
        <v>461</v>
      </c>
      <c r="C2405" t="s">
        <v>462</v>
      </c>
      <c r="D2405" t="s">
        <v>326</v>
      </c>
      <c r="E2405" t="s">
        <v>328</v>
      </c>
      <c r="F2405">
        <v>1</v>
      </c>
      <c r="G2405" t="s">
        <v>488</v>
      </c>
      <c r="H2405" s="4">
        <v>18540323</v>
      </c>
      <c r="I2405" s="4">
        <v>16023786.2812794</v>
      </c>
      <c r="J2405" s="3">
        <v>0.13573316488178766</v>
      </c>
      <c r="K2405" s="3">
        <v>0.15705006760235385</v>
      </c>
      <c r="L2405" t="s">
        <v>54</v>
      </c>
    </row>
    <row r="2406" spans="1:12" x14ac:dyDescent="0.25">
      <c r="A2406" t="s">
        <v>487</v>
      </c>
      <c r="B2406" t="s">
        <v>461</v>
      </c>
      <c r="C2406" t="s">
        <v>462</v>
      </c>
      <c r="D2406" t="s">
        <v>326</v>
      </c>
      <c r="E2406" t="s">
        <v>328</v>
      </c>
      <c r="F2406">
        <v>1</v>
      </c>
      <c r="G2406" t="s">
        <v>498</v>
      </c>
      <c r="H2406" s="4">
        <v>18540323</v>
      </c>
      <c r="I2406" s="4">
        <v>14053892</v>
      </c>
      <c r="J2406" s="3">
        <v>0.24198235381336128</v>
      </c>
      <c r="K2406" s="3">
        <v>0.3192305021270976</v>
      </c>
      <c r="L2406" t="s">
        <v>54</v>
      </c>
    </row>
    <row r="2407" spans="1:12" x14ac:dyDescent="0.25">
      <c r="A2407" t="s">
        <v>487</v>
      </c>
      <c r="B2407" t="s">
        <v>461</v>
      </c>
      <c r="C2407" t="s">
        <v>462</v>
      </c>
      <c r="D2407" t="s">
        <v>326</v>
      </c>
      <c r="E2407" t="s">
        <v>328</v>
      </c>
      <c r="F2407">
        <v>1</v>
      </c>
      <c r="G2407" t="s">
        <v>499</v>
      </c>
      <c r="H2407" s="4">
        <v>18540323</v>
      </c>
      <c r="I2407" s="4">
        <v>21246373</v>
      </c>
      <c r="J2407" s="3">
        <v>0.1459548466334702</v>
      </c>
      <c r="K2407" s="3">
        <v>-0.12736526841546084</v>
      </c>
      <c r="L2407" t="s">
        <v>54</v>
      </c>
    </row>
    <row r="2408" spans="1:12" x14ac:dyDescent="0.25">
      <c r="A2408" t="s">
        <v>487</v>
      </c>
      <c r="B2408" t="s">
        <v>461</v>
      </c>
      <c r="C2408" t="s">
        <v>462</v>
      </c>
      <c r="D2408" t="s">
        <v>326</v>
      </c>
      <c r="E2408" t="s">
        <v>330</v>
      </c>
      <c r="F2408">
        <v>2</v>
      </c>
      <c r="G2408" t="s">
        <v>488</v>
      </c>
      <c r="H2408" s="4">
        <v>26351435</v>
      </c>
      <c r="I2408" s="4">
        <v>19347226.50278524</v>
      </c>
      <c r="J2408" s="3">
        <v>0.2657998889705536</v>
      </c>
      <c r="K2408" s="3">
        <v>0.36202648975068497</v>
      </c>
      <c r="L2408" t="s">
        <v>54</v>
      </c>
    </row>
    <row r="2409" spans="1:12" x14ac:dyDescent="0.25">
      <c r="A2409" t="s">
        <v>487</v>
      </c>
      <c r="B2409" t="s">
        <v>461</v>
      </c>
      <c r="C2409" t="s">
        <v>462</v>
      </c>
      <c r="D2409" t="s">
        <v>326</v>
      </c>
      <c r="E2409" t="s">
        <v>330</v>
      </c>
      <c r="F2409">
        <v>2</v>
      </c>
      <c r="G2409" t="s">
        <v>498</v>
      </c>
      <c r="H2409" s="4">
        <v>26351435</v>
      </c>
      <c r="I2409" s="4">
        <v>16968763</v>
      </c>
      <c r="J2409" s="3">
        <v>0.3560592430734797</v>
      </c>
      <c r="K2409" s="3">
        <v>0.5529378894619484</v>
      </c>
      <c r="L2409" t="s">
        <v>54</v>
      </c>
    </row>
    <row r="2410" spans="1:12" x14ac:dyDescent="0.25">
      <c r="A2410" t="s">
        <v>487</v>
      </c>
      <c r="B2410" t="s">
        <v>461</v>
      </c>
      <c r="C2410" t="s">
        <v>462</v>
      </c>
      <c r="D2410" t="s">
        <v>326</v>
      </c>
      <c r="E2410" t="s">
        <v>330</v>
      </c>
      <c r="F2410">
        <v>2</v>
      </c>
      <c r="G2410" t="s">
        <v>499</v>
      </c>
      <c r="H2410" s="4">
        <v>26351435</v>
      </c>
      <c r="I2410" s="4">
        <v>21246373</v>
      </c>
      <c r="J2410" s="3">
        <v>0.19372994298033486</v>
      </c>
      <c r="K2410" s="3">
        <v>0.24027922318788247</v>
      </c>
      <c r="L2410" t="s">
        <v>54</v>
      </c>
    </row>
    <row r="2411" spans="1:12" x14ac:dyDescent="0.25">
      <c r="A2411" t="s">
        <v>487</v>
      </c>
      <c r="B2411" t="s">
        <v>461</v>
      </c>
      <c r="C2411" t="s">
        <v>462</v>
      </c>
      <c r="D2411" t="s">
        <v>326</v>
      </c>
      <c r="E2411" t="s">
        <v>332</v>
      </c>
      <c r="F2411">
        <v>3</v>
      </c>
      <c r="G2411" t="s">
        <v>488</v>
      </c>
      <c r="H2411" s="4">
        <v>33354052</v>
      </c>
      <c r="I2411" s="4">
        <v>24982905.223795813</v>
      </c>
      <c r="J2411" s="3">
        <v>0.25097840514862146</v>
      </c>
      <c r="K2411" s="3">
        <v>0.33507499232838645</v>
      </c>
      <c r="L2411" t="s">
        <v>54</v>
      </c>
    </row>
    <row r="2412" spans="1:12" x14ac:dyDescent="0.25">
      <c r="A2412" t="s">
        <v>487</v>
      </c>
      <c r="B2412" t="s">
        <v>461</v>
      </c>
      <c r="C2412" t="s">
        <v>462</v>
      </c>
      <c r="D2412" t="s">
        <v>326</v>
      </c>
      <c r="E2412" t="s">
        <v>332</v>
      </c>
      <c r="F2412">
        <v>3</v>
      </c>
      <c r="G2412" t="s">
        <v>498</v>
      </c>
      <c r="H2412" s="4">
        <v>33354052</v>
      </c>
      <c r="I2412" s="4">
        <v>21911616</v>
      </c>
      <c r="J2412" s="3">
        <v>0.3430598477210505</v>
      </c>
      <c r="K2412" s="3">
        <v>0.5222086768953965</v>
      </c>
      <c r="L2412" t="s">
        <v>54</v>
      </c>
    </row>
    <row r="2413" spans="1:12" x14ac:dyDescent="0.25">
      <c r="A2413" t="s">
        <v>487</v>
      </c>
      <c r="B2413" t="s">
        <v>461</v>
      </c>
      <c r="C2413" t="s">
        <v>462</v>
      </c>
      <c r="D2413" t="s">
        <v>326</v>
      </c>
      <c r="E2413" t="s">
        <v>332</v>
      </c>
      <c r="F2413">
        <v>3</v>
      </c>
      <c r="G2413" t="s">
        <v>499</v>
      </c>
      <c r="H2413" s="4">
        <v>33354052</v>
      </c>
      <c r="I2413" s="4">
        <v>21246373</v>
      </c>
      <c r="J2413" s="3">
        <v>0.36300474077332495</v>
      </c>
      <c r="K2413" s="3">
        <v>0.5698703962318651</v>
      </c>
      <c r="L2413" t="s">
        <v>54</v>
      </c>
    </row>
    <row r="2414" spans="1:12" x14ac:dyDescent="0.25">
      <c r="A2414" t="s">
        <v>487</v>
      </c>
      <c r="B2414" t="s">
        <v>461</v>
      </c>
      <c r="C2414" t="s">
        <v>462</v>
      </c>
      <c r="D2414" t="s">
        <v>328</v>
      </c>
      <c r="E2414" t="s">
        <v>330</v>
      </c>
      <c r="F2414">
        <v>1</v>
      </c>
      <c r="G2414" t="s">
        <v>488</v>
      </c>
      <c r="H2414" s="4">
        <v>26351435</v>
      </c>
      <c r="I2414" s="4">
        <v>20146683.67258792</v>
      </c>
      <c r="J2414" s="3">
        <v>0.2354616106262175</v>
      </c>
      <c r="K2414" s="3">
        <v>0.30797879334624284</v>
      </c>
      <c r="L2414" t="s">
        <v>54</v>
      </c>
    </row>
    <row r="2415" spans="1:12" x14ac:dyDescent="0.25">
      <c r="A2415" t="s">
        <v>487</v>
      </c>
      <c r="B2415" t="s">
        <v>461</v>
      </c>
      <c r="C2415" t="s">
        <v>462</v>
      </c>
      <c r="D2415" t="s">
        <v>328</v>
      </c>
      <c r="E2415" t="s">
        <v>330</v>
      </c>
      <c r="F2415">
        <v>1</v>
      </c>
      <c r="G2415" t="s">
        <v>498</v>
      </c>
      <c r="H2415" s="4">
        <v>26351435</v>
      </c>
      <c r="I2415" s="4">
        <v>16968763</v>
      </c>
      <c r="J2415" s="3">
        <v>0.3560592430734797</v>
      </c>
      <c r="K2415" s="3">
        <v>0.5529378894619484</v>
      </c>
      <c r="L2415" t="s">
        <v>54</v>
      </c>
    </row>
    <row r="2416" spans="1:12" x14ac:dyDescent="0.25">
      <c r="A2416" t="s">
        <v>487</v>
      </c>
      <c r="B2416" t="s">
        <v>461</v>
      </c>
      <c r="C2416" t="s">
        <v>462</v>
      </c>
      <c r="D2416" t="s">
        <v>328</v>
      </c>
      <c r="E2416" t="s">
        <v>330</v>
      </c>
      <c r="F2416">
        <v>1</v>
      </c>
      <c r="G2416" t="s">
        <v>499</v>
      </c>
      <c r="H2416" s="4">
        <v>26351435</v>
      </c>
      <c r="I2416" s="4">
        <v>18540323</v>
      </c>
      <c r="J2416" s="3">
        <v>0.29642074520799344</v>
      </c>
      <c r="K2416" s="3">
        <v>0.4213039869909494</v>
      </c>
      <c r="L2416" t="s">
        <v>54</v>
      </c>
    </row>
    <row r="2417" spans="1:12" x14ac:dyDescent="0.25">
      <c r="A2417" t="s">
        <v>487</v>
      </c>
      <c r="B2417" t="s">
        <v>461</v>
      </c>
      <c r="C2417" t="s">
        <v>462</v>
      </c>
      <c r="D2417" t="s">
        <v>328</v>
      </c>
      <c r="E2417" t="s">
        <v>332</v>
      </c>
      <c r="F2417">
        <v>2</v>
      </c>
      <c r="G2417" t="s">
        <v>488</v>
      </c>
      <c r="H2417" s="4">
        <v>33354052</v>
      </c>
      <c r="I2417" s="4">
        <v>26015237.310298707</v>
      </c>
      <c r="J2417" s="3">
        <v>0.22002768028608016</v>
      </c>
      <c r="K2417" s="3">
        <v>0.28209678052008624</v>
      </c>
      <c r="L2417" t="s">
        <v>54</v>
      </c>
    </row>
    <row r="2418" spans="1:12" x14ac:dyDescent="0.25">
      <c r="A2418" t="s">
        <v>487</v>
      </c>
      <c r="B2418" t="s">
        <v>461</v>
      </c>
      <c r="C2418" t="s">
        <v>462</v>
      </c>
      <c r="D2418" t="s">
        <v>328</v>
      </c>
      <c r="E2418" t="s">
        <v>332</v>
      </c>
      <c r="F2418">
        <v>2</v>
      </c>
      <c r="G2418" t="s">
        <v>498</v>
      </c>
      <c r="H2418" s="4">
        <v>33354052</v>
      </c>
      <c r="I2418" s="4">
        <v>21911616</v>
      </c>
      <c r="J2418" s="3">
        <v>0.3430598477210505</v>
      </c>
      <c r="K2418" s="3">
        <v>0.5222086768953965</v>
      </c>
      <c r="L2418" t="s">
        <v>54</v>
      </c>
    </row>
    <row r="2419" spans="1:12" x14ac:dyDescent="0.25">
      <c r="A2419" t="s">
        <v>487</v>
      </c>
      <c r="B2419" t="s">
        <v>461</v>
      </c>
      <c r="C2419" t="s">
        <v>462</v>
      </c>
      <c r="D2419" t="s">
        <v>328</v>
      </c>
      <c r="E2419" t="s">
        <v>332</v>
      </c>
      <c r="F2419">
        <v>2</v>
      </c>
      <c r="G2419" t="s">
        <v>499</v>
      </c>
      <c r="H2419" s="4">
        <v>33354052</v>
      </c>
      <c r="I2419" s="4">
        <v>18540323</v>
      </c>
      <c r="J2419" s="3">
        <v>0.4441358129441065</v>
      </c>
      <c r="K2419" s="3">
        <v>0.7990005891483121</v>
      </c>
      <c r="L2419" t="s">
        <v>54</v>
      </c>
    </row>
    <row r="2420" spans="1:12" x14ac:dyDescent="0.25">
      <c r="A2420" t="s">
        <v>487</v>
      </c>
      <c r="B2420" t="s">
        <v>461</v>
      </c>
      <c r="C2420" t="s">
        <v>462</v>
      </c>
      <c r="D2420" t="s">
        <v>328</v>
      </c>
      <c r="E2420" t="s">
        <v>334</v>
      </c>
      <c r="F2420">
        <v>3</v>
      </c>
      <c r="G2420" t="s">
        <v>488</v>
      </c>
      <c r="H2420" s="4">
        <v>25653379</v>
      </c>
      <c r="I2420" s="4">
        <v>33299835.62586483</v>
      </c>
      <c r="J2420" s="3">
        <v>0.29806820481094637</v>
      </c>
      <c r="K2420" s="3">
        <v>-0.22962445556114494</v>
      </c>
      <c r="L2420" t="s">
        <v>54</v>
      </c>
    </row>
    <row r="2421" spans="1:12" x14ac:dyDescent="0.25">
      <c r="A2421" t="s">
        <v>487</v>
      </c>
      <c r="B2421" t="s">
        <v>461</v>
      </c>
      <c r="C2421" t="s">
        <v>462</v>
      </c>
      <c r="D2421" t="s">
        <v>328</v>
      </c>
      <c r="E2421" t="s">
        <v>334</v>
      </c>
      <c r="F2421">
        <v>3</v>
      </c>
      <c r="G2421" t="s">
        <v>498</v>
      </c>
      <c r="H2421" s="4">
        <v>25653379</v>
      </c>
      <c r="I2421" s="4">
        <v>28047148</v>
      </c>
      <c r="J2421" s="3">
        <v>0.09331203503444907</v>
      </c>
      <c r="K2421" s="3">
        <v>-0.08534803609978454</v>
      </c>
      <c r="L2421" t="s">
        <v>54</v>
      </c>
    </row>
    <row r="2422" spans="1:12" x14ac:dyDescent="0.25">
      <c r="A2422" t="s">
        <v>487</v>
      </c>
      <c r="B2422" t="s">
        <v>461</v>
      </c>
      <c r="C2422" t="s">
        <v>462</v>
      </c>
      <c r="D2422" t="s">
        <v>328</v>
      </c>
      <c r="E2422" t="s">
        <v>334</v>
      </c>
      <c r="F2422">
        <v>3</v>
      </c>
      <c r="G2422" t="s">
        <v>499</v>
      </c>
      <c r="H2422" s="4">
        <v>25653379</v>
      </c>
      <c r="I2422" s="4">
        <v>18540323</v>
      </c>
      <c r="J2422" s="3">
        <v>0.2772755978851753</v>
      </c>
      <c r="K2422" s="3">
        <v>0.38365329449762015</v>
      </c>
      <c r="L2422" t="s">
        <v>54</v>
      </c>
    </row>
    <row r="2423" spans="1:12" x14ac:dyDescent="0.25">
      <c r="A2423" t="s">
        <v>487</v>
      </c>
      <c r="B2423" t="s">
        <v>461</v>
      </c>
      <c r="C2423" t="s">
        <v>462</v>
      </c>
      <c r="D2423" t="s">
        <v>330</v>
      </c>
      <c r="E2423" t="s">
        <v>332</v>
      </c>
      <c r="F2423">
        <v>1</v>
      </c>
      <c r="G2423" t="s">
        <v>488</v>
      </c>
      <c r="H2423" s="4">
        <v>33354052</v>
      </c>
      <c r="I2423" s="4">
        <v>27553400.38796682</v>
      </c>
      <c r="J2423" s="3">
        <v>0.17391145195891583</v>
      </c>
      <c r="K2423" s="3">
        <v>0.2105239836229598</v>
      </c>
      <c r="L2423" t="s">
        <v>54</v>
      </c>
    </row>
    <row r="2424" spans="1:12" x14ac:dyDescent="0.25">
      <c r="A2424" t="s">
        <v>487</v>
      </c>
      <c r="B2424" t="s">
        <v>461</v>
      </c>
      <c r="C2424" t="s">
        <v>462</v>
      </c>
      <c r="D2424" t="s">
        <v>330</v>
      </c>
      <c r="E2424" t="s">
        <v>332</v>
      </c>
      <c r="F2424">
        <v>1</v>
      </c>
      <c r="G2424" t="s">
        <v>498</v>
      </c>
      <c r="H2424" s="4">
        <v>33354052</v>
      </c>
      <c r="I2424" s="4">
        <v>21911616</v>
      </c>
      <c r="J2424" s="3">
        <v>0.3430598477210505</v>
      </c>
      <c r="K2424" s="3">
        <v>0.5222086768953965</v>
      </c>
      <c r="L2424" t="s">
        <v>54</v>
      </c>
    </row>
    <row r="2425" spans="1:12" x14ac:dyDescent="0.25">
      <c r="A2425" t="s">
        <v>487</v>
      </c>
      <c r="B2425" t="s">
        <v>461</v>
      </c>
      <c r="C2425" t="s">
        <v>462</v>
      </c>
      <c r="D2425" t="s">
        <v>330</v>
      </c>
      <c r="E2425" t="s">
        <v>332</v>
      </c>
      <c r="F2425">
        <v>1</v>
      </c>
      <c r="G2425" t="s">
        <v>499</v>
      </c>
      <c r="H2425" s="4">
        <v>33354052</v>
      </c>
      <c r="I2425" s="4">
        <v>26351435</v>
      </c>
      <c r="J2425" s="3">
        <v>0.20994801471197563</v>
      </c>
      <c r="K2425" s="3">
        <v>0.26573949388335016</v>
      </c>
      <c r="L2425" t="s">
        <v>54</v>
      </c>
    </row>
    <row r="2426" spans="1:12" x14ac:dyDescent="0.25">
      <c r="A2426" t="s">
        <v>487</v>
      </c>
      <c r="B2426" t="s">
        <v>461</v>
      </c>
      <c r="C2426" t="s">
        <v>462</v>
      </c>
      <c r="D2426" t="s">
        <v>330</v>
      </c>
      <c r="E2426" t="s">
        <v>334</v>
      </c>
      <c r="F2426">
        <v>2</v>
      </c>
      <c r="G2426" t="s">
        <v>488</v>
      </c>
      <c r="H2426" s="4">
        <v>25653379</v>
      </c>
      <c r="I2426" s="4">
        <v>35268703.987171136</v>
      </c>
      <c r="J2426" s="3">
        <v>0.374817094744951</v>
      </c>
      <c r="K2426" s="3">
        <v>-0.2726305165811785</v>
      </c>
      <c r="L2426" t="s">
        <v>54</v>
      </c>
    </row>
    <row r="2427" spans="1:12" x14ac:dyDescent="0.25">
      <c r="A2427" t="s">
        <v>487</v>
      </c>
      <c r="B2427" t="s">
        <v>461</v>
      </c>
      <c r="C2427" t="s">
        <v>462</v>
      </c>
      <c r="D2427" t="s">
        <v>330</v>
      </c>
      <c r="E2427" t="s">
        <v>334</v>
      </c>
      <c r="F2427">
        <v>2</v>
      </c>
      <c r="G2427" t="s">
        <v>498</v>
      </c>
      <c r="H2427" s="4">
        <v>25653379</v>
      </c>
      <c r="I2427" s="4">
        <v>28047148</v>
      </c>
      <c r="J2427" s="3">
        <v>0.09331203503444907</v>
      </c>
      <c r="K2427" s="3">
        <v>-0.08534803609978454</v>
      </c>
      <c r="L2427" t="s">
        <v>54</v>
      </c>
    </row>
    <row r="2428" spans="1:12" x14ac:dyDescent="0.25">
      <c r="A2428" t="s">
        <v>487</v>
      </c>
      <c r="B2428" t="s">
        <v>461</v>
      </c>
      <c r="C2428" t="s">
        <v>462</v>
      </c>
      <c r="D2428" t="s">
        <v>330</v>
      </c>
      <c r="E2428" t="s">
        <v>334</v>
      </c>
      <c r="F2428">
        <v>2</v>
      </c>
      <c r="G2428" t="s">
        <v>499</v>
      </c>
      <c r="H2428" s="4">
        <v>25653379</v>
      </c>
      <c r="I2428" s="4">
        <v>26351435</v>
      </c>
      <c r="J2428" s="3">
        <v>0.027211074221450516</v>
      </c>
      <c r="K2428" s="3">
        <v>-0.026490246166859605</v>
      </c>
      <c r="L2428" t="s">
        <v>54</v>
      </c>
    </row>
    <row r="2429" spans="1:12" x14ac:dyDescent="0.25">
      <c r="A2429" t="s">
        <v>487</v>
      </c>
      <c r="B2429" t="s">
        <v>461</v>
      </c>
      <c r="C2429" t="s">
        <v>462</v>
      </c>
      <c r="D2429" t="s">
        <v>330</v>
      </c>
      <c r="E2429" t="s">
        <v>336</v>
      </c>
      <c r="F2429">
        <v>3</v>
      </c>
      <c r="G2429" t="s">
        <v>488</v>
      </c>
      <c r="H2429" s="4">
        <v>31519521</v>
      </c>
      <c r="I2429" s="4">
        <v>35517300.07138047</v>
      </c>
      <c r="J2429" s="3">
        <v>0.12683501983994216</v>
      </c>
      <c r="K2429" s="3">
        <v>-0.11255864222072016</v>
      </c>
      <c r="L2429" t="s">
        <v>54</v>
      </c>
    </row>
    <row r="2430" spans="1:12" x14ac:dyDescent="0.25">
      <c r="A2430" t="s">
        <v>487</v>
      </c>
      <c r="B2430" t="s">
        <v>461</v>
      </c>
      <c r="C2430" t="s">
        <v>462</v>
      </c>
      <c r="D2430" t="s">
        <v>330</v>
      </c>
      <c r="E2430" t="s">
        <v>336</v>
      </c>
      <c r="F2430">
        <v>3</v>
      </c>
      <c r="G2430" t="s">
        <v>498</v>
      </c>
      <c r="H2430" s="4">
        <v>31519521</v>
      </c>
      <c r="I2430" s="4">
        <v>28244842</v>
      </c>
      <c r="J2430" s="3">
        <v>0.10389367909493295</v>
      </c>
      <c r="K2430" s="3">
        <v>0.11593900932425114</v>
      </c>
      <c r="L2430" t="s">
        <v>54</v>
      </c>
    </row>
    <row r="2431" spans="1:12" x14ac:dyDescent="0.25">
      <c r="A2431" t="s">
        <v>487</v>
      </c>
      <c r="B2431" t="s">
        <v>461</v>
      </c>
      <c r="C2431" t="s">
        <v>462</v>
      </c>
      <c r="D2431" t="s">
        <v>330</v>
      </c>
      <c r="E2431" t="s">
        <v>336</v>
      </c>
      <c r="F2431">
        <v>3</v>
      </c>
      <c r="G2431" t="s">
        <v>499</v>
      </c>
      <c r="H2431" s="4">
        <v>31519521</v>
      </c>
      <c r="I2431" s="4">
        <v>26351435</v>
      </c>
      <c r="J2431" s="3">
        <v>0.16396461101042747</v>
      </c>
      <c r="K2431" s="3">
        <v>0.19612161538830808</v>
      </c>
      <c r="L2431" t="s">
        <v>54</v>
      </c>
    </row>
    <row r="2432" spans="1:12" x14ac:dyDescent="0.25">
      <c r="A2432" t="s">
        <v>487</v>
      </c>
      <c r="B2432" t="s">
        <v>461</v>
      </c>
      <c r="C2432" t="s">
        <v>462</v>
      </c>
      <c r="D2432" t="s">
        <v>332</v>
      </c>
      <c r="E2432" t="s">
        <v>334</v>
      </c>
      <c r="F2432">
        <v>1</v>
      </c>
      <c r="G2432" t="s">
        <v>488</v>
      </c>
      <c r="H2432" s="4">
        <v>25653379</v>
      </c>
      <c r="I2432" s="4">
        <v>36874466.39148151</v>
      </c>
      <c r="J2432" s="3">
        <v>0.43741167163520683</v>
      </c>
      <c r="K2432" s="3">
        <v>-0.3043050785427428</v>
      </c>
      <c r="L2432" t="s">
        <v>54</v>
      </c>
    </row>
    <row r="2433" spans="1:12" x14ac:dyDescent="0.25">
      <c r="A2433" t="s">
        <v>487</v>
      </c>
      <c r="B2433" t="s">
        <v>461</v>
      </c>
      <c r="C2433" t="s">
        <v>462</v>
      </c>
      <c r="D2433" t="s">
        <v>332</v>
      </c>
      <c r="E2433" t="s">
        <v>334</v>
      </c>
      <c r="F2433">
        <v>1</v>
      </c>
      <c r="G2433" t="s">
        <v>498</v>
      </c>
      <c r="H2433" s="4">
        <v>25653379</v>
      </c>
      <c r="I2433" s="4">
        <v>28047148</v>
      </c>
      <c r="J2433" s="3">
        <v>0.09331203503444907</v>
      </c>
      <c r="K2433" s="3">
        <v>-0.08534803609978454</v>
      </c>
      <c r="L2433" t="s">
        <v>54</v>
      </c>
    </row>
    <row r="2434" spans="1:12" x14ac:dyDescent="0.25">
      <c r="A2434" t="s">
        <v>487</v>
      </c>
      <c r="B2434" t="s">
        <v>461</v>
      </c>
      <c r="C2434" t="s">
        <v>462</v>
      </c>
      <c r="D2434" t="s">
        <v>332</v>
      </c>
      <c r="E2434" t="s">
        <v>334</v>
      </c>
      <c r="F2434">
        <v>1</v>
      </c>
      <c r="G2434" t="s">
        <v>499</v>
      </c>
      <c r="H2434" s="4">
        <v>25653379</v>
      </c>
      <c r="I2434" s="4">
        <v>33354052</v>
      </c>
      <c r="J2434" s="3">
        <v>0.3001816251964312</v>
      </c>
      <c r="K2434" s="3">
        <v>-0.23087668628687152</v>
      </c>
      <c r="L2434" t="s">
        <v>54</v>
      </c>
    </row>
    <row r="2435" spans="1:12" x14ac:dyDescent="0.25">
      <c r="A2435" t="s">
        <v>487</v>
      </c>
      <c r="B2435" t="s">
        <v>461</v>
      </c>
      <c r="C2435" t="s">
        <v>462</v>
      </c>
      <c r="D2435" t="s">
        <v>332</v>
      </c>
      <c r="E2435" t="s">
        <v>336</v>
      </c>
      <c r="F2435">
        <v>2</v>
      </c>
      <c r="G2435" t="s">
        <v>488</v>
      </c>
      <c r="H2435" s="4">
        <v>31519521</v>
      </c>
      <c r="I2435" s="4">
        <v>37134380.9025326</v>
      </c>
      <c r="J2435" s="3">
        <v>0.1781391253544938</v>
      </c>
      <c r="K2435" s="3">
        <v>-0.15120381075613035</v>
      </c>
      <c r="L2435" t="s">
        <v>54</v>
      </c>
    </row>
    <row r="2436" spans="1:12" x14ac:dyDescent="0.25">
      <c r="A2436" t="s">
        <v>487</v>
      </c>
      <c r="B2436" t="s">
        <v>461</v>
      </c>
      <c r="C2436" t="s">
        <v>462</v>
      </c>
      <c r="D2436" t="s">
        <v>332</v>
      </c>
      <c r="E2436" t="s">
        <v>336</v>
      </c>
      <c r="F2436">
        <v>2</v>
      </c>
      <c r="G2436" t="s">
        <v>498</v>
      </c>
      <c r="H2436" s="4">
        <v>31519521</v>
      </c>
      <c r="I2436" s="4">
        <v>28244842</v>
      </c>
      <c r="J2436" s="3">
        <v>0.10389367909493295</v>
      </c>
      <c r="K2436" s="3">
        <v>0.11593900932425114</v>
      </c>
      <c r="L2436" t="s">
        <v>54</v>
      </c>
    </row>
    <row r="2437" spans="1:12" x14ac:dyDescent="0.25">
      <c r="A2437" t="s">
        <v>487</v>
      </c>
      <c r="B2437" t="s">
        <v>461</v>
      </c>
      <c r="C2437" t="s">
        <v>462</v>
      </c>
      <c r="D2437" t="s">
        <v>332</v>
      </c>
      <c r="E2437" t="s">
        <v>336</v>
      </c>
      <c r="F2437">
        <v>2</v>
      </c>
      <c r="G2437" t="s">
        <v>499</v>
      </c>
      <c r="H2437" s="4">
        <v>31519521</v>
      </c>
      <c r="I2437" s="4">
        <v>33354052</v>
      </c>
      <c r="J2437" s="3">
        <v>0.05820301012823133</v>
      </c>
      <c r="K2437" s="3">
        <v>-0.05500174311654848</v>
      </c>
      <c r="L2437" t="s">
        <v>54</v>
      </c>
    </row>
    <row r="2438" spans="1:12" x14ac:dyDescent="0.25">
      <c r="A2438" t="s">
        <v>487</v>
      </c>
      <c r="B2438" t="s">
        <v>461</v>
      </c>
      <c r="C2438" t="s">
        <v>462</v>
      </c>
      <c r="D2438" t="s">
        <v>332</v>
      </c>
      <c r="E2438" t="s">
        <v>338</v>
      </c>
      <c r="F2438">
        <v>3</v>
      </c>
      <c r="G2438" t="s">
        <v>488</v>
      </c>
      <c r="H2438" s="4">
        <v>29188664</v>
      </c>
      <c r="I2438" s="4">
        <v>26740821.71326551</v>
      </c>
      <c r="J2438" s="3">
        <v>0.0838627724357131</v>
      </c>
      <c r="K2438" s="3">
        <v>0.09153953131964428</v>
      </c>
      <c r="L2438" t="s">
        <v>54</v>
      </c>
    </row>
    <row r="2439" spans="1:12" x14ac:dyDescent="0.25">
      <c r="A2439" t="s">
        <v>487</v>
      </c>
      <c r="B2439" t="s">
        <v>461</v>
      </c>
      <c r="C2439" t="s">
        <v>462</v>
      </c>
      <c r="D2439" t="s">
        <v>332</v>
      </c>
      <c r="E2439" t="s">
        <v>338</v>
      </c>
      <c r="F2439">
        <v>3</v>
      </c>
      <c r="G2439" t="s">
        <v>498</v>
      </c>
      <c r="H2439" s="4">
        <v>29188664</v>
      </c>
      <c r="I2439" s="4">
        <v>20339380</v>
      </c>
      <c r="J2439" s="3">
        <v>0.3031753697257264</v>
      </c>
      <c r="K2439" s="3">
        <v>0.43508130532985767</v>
      </c>
      <c r="L2439" t="s">
        <v>54</v>
      </c>
    </row>
    <row r="2440" spans="1:12" x14ac:dyDescent="0.25">
      <c r="A2440" t="s">
        <v>487</v>
      </c>
      <c r="B2440" t="s">
        <v>461</v>
      </c>
      <c r="C2440" t="s">
        <v>462</v>
      </c>
      <c r="D2440" t="s">
        <v>332</v>
      </c>
      <c r="E2440" t="s">
        <v>338</v>
      </c>
      <c r="F2440">
        <v>3</v>
      </c>
      <c r="G2440" t="s">
        <v>499</v>
      </c>
      <c r="H2440" s="4">
        <v>29188664</v>
      </c>
      <c r="I2440" s="4">
        <v>33354052</v>
      </c>
      <c r="J2440" s="3">
        <v>0.14270567505247927</v>
      </c>
      <c r="K2440" s="3">
        <v>-0.12488401709033733</v>
      </c>
      <c r="L2440" t="s">
        <v>54</v>
      </c>
    </row>
    <row r="2441" spans="1:12" x14ac:dyDescent="0.25">
      <c r="A2441" t="s">
        <v>487</v>
      </c>
      <c r="B2441" t="s">
        <v>461</v>
      </c>
      <c r="C2441" t="s">
        <v>462</v>
      </c>
      <c r="D2441" t="s">
        <v>334</v>
      </c>
      <c r="E2441" t="s">
        <v>336</v>
      </c>
      <c r="F2441">
        <v>1</v>
      </c>
      <c r="G2441" t="s">
        <v>488</v>
      </c>
      <c r="H2441" s="4">
        <v>31519521</v>
      </c>
      <c r="I2441" s="4">
        <v>36949008.29124316</v>
      </c>
      <c r="J2441" s="3">
        <v>0.17225792521539773</v>
      </c>
      <c r="K2441" s="3">
        <v>-0.14694541321505336</v>
      </c>
      <c r="L2441" t="s">
        <v>54</v>
      </c>
    </row>
    <row r="2442" spans="1:12" x14ac:dyDescent="0.25">
      <c r="A2442" t="s">
        <v>487</v>
      </c>
      <c r="B2442" t="s">
        <v>461</v>
      </c>
      <c r="C2442" t="s">
        <v>462</v>
      </c>
      <c r="D2442" t="s">
        <v>334</v>
      </c>
      <c r="E2442" t="s">
        <v>336</v>
      </c>
      <c r="F2442">
        <v>1</v>
      </c>
      <c r="G2442" t="s">
        <v>498</v>
      </c>
      <c r="H2442" s="4">
        <v>31519521</v>
      </c>
      <c r="I2442" s="4">
        <v>28244842</v>
      </c>
      <c r="J2442" s="3">
        <v>0.10389367909493295</v>
      </c>
      <c r="K2442" s="3">
        <v>0.11593900932425114</v>
      </c>
      <c r="L2442" t="s">
        <v>54</v>
      </c>
    </row>
    <row r="2443" spans="1:12" x14ac:dyDescent="0.25">
      <c r="A2443" t="s">
        <v>487</v>
      </c>
      <c r="B2443" t="s">
        <v>461</v>
      </c>
      <c r="C2443" t="s">
        <v>462</v>
      </c>
      <c r="D2443" t="s">
        <v>334</v>
      </c>
      <c r="E2443" t="s">
        <v>336</v>
      </c>
      <c r="F2443">
        <v>1</v>
      </c>
      <c r="G2443" t="s">
        <v>499</v>
      </c>
      <c r="H2443" s="4">
        <v>31519521</v>
      </c>
      <c r="I2443" s="4">
        <v>25653379</v>
      </c>
      <c r="J2443" s="3">
        <v>0.18611139426896747</v>
      </c>
      <c r="K2443" s="3">
        <v>0.22866936944252061</v>
      </c>
      <c r="L2443" t="s">
        <v>54</v>
      </c>
    </row>
    <row r="2444" spans="1:12" x14ac:dyDescent="0.25">
      <c r="A2444" t="s">
        <v>487</v>
      </c>
      <c r="B2444" t="s">
        <v>461</v>
      </c>
      <c r="C2444" t="s">
        <v>462</v>
      </c>
      <c r="D2444" t="s">
        <v>334</v>
      </c>
      <c r="E2444" t="s">
        <v>338</v>
      </c>
      <c r="F2444">
        <v>2</v>
      </c>
      <c r="G2444" t="s">
        <v>488</v>
      </c>
      <c r="H2444" s="4">
        <v>29188664</v>
      </c>
      <c r="I2444" s="4">
        <v>26607333.128602568</v>
      </c>
      <c r="J2444" s="3">
        <v>0.08843607475139774</v>
      </c>
      <c r="K2444" s="3">
        <v>0.09701576850716136</v>
      </c>
      <c r="L2444" t="s">
        <v>54</v>
      </c>
    </row>
    <row r="2445" spans="1:12" x14ac:dyDescent="0.25">
      <c r="A2445" t="s">
        <v>487</v>
      </c>
      <c r="B2445" t="s">
        <v>461</v>
      </c>
      <c r="C2445" t="s">
        <v>462</v>
      </c>
      <c r="D2445" t="s">
        <v>334</v>
      </c>
      <c r="E2445" t="s">
        <v>338</v>
      </c>
      <c r="F2445">
        <v>2</v>
      </c>
      <c r="G2445" t="s">
        <v>498</v>
      </c>
      <c r="H2445" s="4">
        <v>29188664</v>
      </c>
      <c r="I2445" s="4">
        <v>20339380</v>
      </c>
      <c r="J2445" s="3">
        <v>0.3031753697257264</v>
      </c>
      <c r="K2445" s="3">
        <v>0.43508130532985767</v>
      </c>
      <c r="L2445" t="s">
        <v>54</v>
      </c>
    </row>
    <row r="2446" spans="1:12" x14ac:dyDescent="0.25">
      <c r="A2446" t="s">
        <v>487</v>
      </c>
      <c r="B2446" t="s">
        <v>461</v>
      </c>
      <c r="C2446" t="s">
        <v>462</v>
      </c>
      <c r="D2446" t="s">
        <v>334</v>
      </c>
      <c r="E2446" t="s">
        <v>338</v>
      </c>
      <c r="F2446">
        <v>2</v>
      </c>
      <c r="G2446" t="s">
        <v>499</v>
      </c>
      <c r="H2446" s="4">
        <v>29188664</v>
      </c>
      <c r="I2446" s="4">
        <v>25653379</v>
      </c>
      <c r="J2446" s="3">
        <v>0.12111842460483974</v>
      </c>
      <c r="K2446" s="3">
        <v>0.13780972089485755</v>
      </c>
      <c r="L2446" t="s">
        <v>54</v>
      </c>
    </row>
    <row r="2447" spans="1:12" x14ac:dyDescent="0.25">
      <c r="A2447" t="s">
        <v>487</v>
      </c>
      <c r="B2447" t="s">
        <v>461</v>
      </c>
      <c r="C2447" t="s">
        <v>462</v>
      </c>
      <c r="D2447" t="s">
        <v>334</v>
      </c>
      <c r="E2447" t="s">
        <v>340</v>
      </c>
      <c r="F2447">
        <v>3</v>
      </c>
      <c r="G2447" t="s">
        <v>488</v>
      </c>
      <c r="H2447" s="4">
        <v>28008482</v>
      </c>
      <c r="I2447" s="4">
        <v>25434590.29272801</v>
      </c>
      <c r="J2447" s="3">
        <v>0.09189686564491391</v>
      </c>
      <c r="K2447" s="3">
        <v>0.10119650749821157</v>
      </c>
      <c r="L2447" t="s">
        <v>54</v>
      </c>
    </row>
    <row r="2448" spans="1:12" x14ac:dyDescent="0.25">
      <c r="A2448" t="s">
        <v>487</v>
      </c>
      <c r="B2448" t="s">
        <v>461</v>
      </c>
      <c r="C2448" t="s">
        <v>462</v>
      </c>
      <c r="D2448" t="s">
        <v>334</v>
      </c>
      <c r="E2448" t="s">
        <v>340</v>
      </c>
      <c r="F2448">
        <v>3</v>
      </c>
      <c r="G2448" t="s">
        <v>498</v>
      </c>
      <c r="H2448" s="4">
        <v>28008482</v>
      </c>
      <c r="I2448" s="4">
        <v>19442903</v>
      </c>
      <c r="J2448" s="3">
        <v>0.3058208938278055</v>
      </c>
      <c r="K2448" s="3">
        <v>0.440550415748101</v>
      </c>
      <c r="L2448" t="s">
        <v>54</v>
      </c>
    </row>
    <row r="2449" spans="1:12" x14ac:dyDescent="0.25">
      <c r="A2449" t="s">
        <v>487</v>
      </c>
      <c r="B2449" t="s">
        <v>461</v>
      </c>
      <c r="C2449" t="s">
        <v>462</v>
      </c>
      <c r="D2449" t="s">
        <v>334</v>
      </c>
      <c r="E2449" t="s">
        <v>340</v>
      </c>
      <c r="F2449">
        <v>3</v>
      </c>
      <c r="G2449" t="s">
        <v>499</v>
      </c>
      <c r="H2449" s="4">
        <v>28008482</v>
      </c>
      <c r="I2449" s="4">
        <v>25653379</v>
      </c>
      <c r="J2449" s="3">
        <v>0.08408534957374698</v>
      </c>
      <c r="K2449" s="3">
        <v>0.09180478719781905</v>
      </c>
      <c r="L2449" t="s">
        <v>54</v>
      </c>
    </row>
    <row r="2450" spans="1:12" x14ac:dyDescent="0.25">
      <c r="A2450" t="s">
        <v>487</v>
      </c>
      <c r="B2450" t="s">
        <v>461</v>
      </c>
      <c r="C2450" t="s">
        <v>462</v>
      </c>
      <c r="D2450" t="s">
        <v>336</v>
      </c>
      <c r="E2450" t="s">
        <v>338</v>
      </c>
      <c r="F2450">
        <v>1</v>
      </c>
      <c r="G2450" t="s">
        <v>488</v>
      </c>
      <c r="H2450" s="4">
        <v>29188664</v>
      </c>
      <c r="I2450" s="4">
        <v>25791445.44156923</v>
      </c>
      <c r="J2450" s="3">
        <v>0.1163882854806499</v>
      </c>
      <c r="K2450" s="3">
        <v>0.13171881219791268</v>
      </c>
      <c r="L2450" t="s">
        <v>54</v>
      </c>
    </row>
    <row r="2451" spans="1:12" x14ac:dyDescent="0.25">
      <c r="A2451" t="s">
        <v>487</v>
      </c>
      <c r="B2451" t="s">
        <v>461</v>
      </c>
      <c r="C2451" t="s">
        <v>462</v>
      </c>
      <c r="D2451" t="s">
        <v>336</v>
      </c>
      <c r="E2451" t="s">
        <v>338</v>
      </c>
      <c r="F2451">
        <v>1</v>
      </c>
      <c r="G2451" t="s">
        <v>498</v>
      </c>
      <c r="H2451" s="4">
        <v>29188664</v>
      </c>
      <c r="I2451" s="4">
        <v>20339380</v>
      </c>
      <c r="J2451" s="3">
        <v>0.3031753697257264</v>
      </c>
      <c r="K2451" s="3">
        <v>0.43508130532985767</v>
      </c>
      <c r="L2451" t="s">
        <v>54</v>
      </c>
    </row>
    <row r="2452" spans="1:12" x14ac:dyDescent="0.25">
      <c r="A2452" t="s">
        <v>487</v>
      </c>
      <c r="B2452" t="s">
        <v>461</v>
      </c>
      <c r="C2452" t="s">
        <v>462</v>
      </c>
      <c r="D2452" t="s">
        <v>336</v>
      </c>
      <c r="E2452" t="s">
        <v>338</v>
      </c>
      <c r="F2452">
        <v>1</v>
      </c>
      <c r="G2452" t="s">
        <v>499</v>
      </c>
      <c r="H2452" s="4">
        <v>29188664</v>
      </c>
      <c r="I2452" s="4">
        <v>31519521</v>
      </c>
      <c r="J2452" s="3">
        <v>0.07985487105542069</v>
      </c>
      <c r="K2452" s="3">
        <v>-0.07394963267366912</v>
      </c>
      <c r="L2452" t="s">
        <v>54</v>
      </c>
    </row>
    <row r="2453" spans="1:12" x14ac:dyDescent="0.25">
      <c r="A2453" t="s">
        <v>487</v>
      </c>
      <c r="B2453" t="s">
        <v>461</v>
      </c>
      <c r="C2453" t="s">
        <v>462</v>
      </c>
      <c r="D2453" t="s">
        <v>336</v>
      </c>
      <c r="E2453" t="s">
        <v>340</v>
      </c>
      <c r="F2453">
        <v>2</v>
      </c>
      <c r="G2453" t="s">
        <v>488</v>
      </c>
      <c r="H2453" s="4">
        <v>28008482</v>
      </c>
      <c r="I2453" s="4">
        <v>24654663.61070115</v>
      </c>
      <c r="J2453" s="3">
        <v>0.11974295462706079</v>
      </c>
      <c r="K2453" s="3">
        <v>0.13603180486482694</v>
      </c>
      <c r="L2453" t="s">
        <v>54</v>
      </c>
    </row>
    <row r="2454" spans="1:12" x14ac:dyDescent="0.25">
      <c r="A2454" t="s">
        <v>487</v>
      </c>
      <c r="B2454" t="s">
        <v>461</v>
      </c>
      <c r="C2454" t="s">
        <v>462</v>
      </c>
      <c r="D2454" t="s">
        <v>336</v>
      </c>
      <c r="E2454" t="s">
        <v>340</v>
      </c>
      <c r="F2454">
        <v>2</v>
      </c>
      <c r="G2454" t="s">
        <v>498</v>
      </c>
      <c r="H2454" s="4">
        <v>28008482</v>
      </c>
      <c r="I2454" s="4">
        <v>19442903</v>
      </c>
      <c r="J2454" s="3">
        <v>0.3058208938278055</v>
      </c>
      <c r="K2454" s="3">
        <v>0.440550415748101</v>
      </c>
      <c r="L2454" t="s">
        <v>54</v>
      </c>
    </row>
    <row r="2455" spans="1:12" x14ac:dyDescent="0.25">
      <c r="A2455" t="s">
        <v>487</v>
      </c>
      <c r="B2455" t="s">
        <v>461</v>
      </c>
      <c r="C2455" t="s">
        <v>462</v>
      </c>
      <c r="D2455" t="s">
        <v>336</v>
      </c>
      <c r="E2455" t="s">
        <v>340</v>
      </c>
      <c r="F2455">
        <v>2</v>
      </c>
      <c r="G2455" t="s">
        <v>499</v>
      </c>
      <c r="H2455" s="4">
        <v>28008482</v>
      </c>
      <c r="I2455" s="4">
        <v>31519521</v>
      </c>
      <c r="J2455" s="3">
        <v>0.125356276002391</v>
      </c>
      <c r="K2455" s="3">
        <v>-0.11139252401710038</v>
      </c>
      <c r="L2455" t="s">
        <v>54</v>
      </c>
    </row>
    <row r="2456" spans="1:12" x14ac:dyDescent="0.25">
      <c r="A2456" t="s">
        <v>487</v>
      </c>
      <c r="B2456" t="s">
        <v>461</v>
      </c>
      <c r="C2456" t="s">
        <v>462</v>
      </c>
      <c r="D2456" t="s">
        <v>336</v>
      </c>
      <c r="E2456" t="s">
        <v>342</v>
      </c>
      <c r="F2456">
        <v>3</v>
      </c>
      <c r="G2456" t="s">
        <v>488</v>
      </c>
      <c r="H2456" s="4">
        <v>38344169</v>
      </c>
      <c r="I2456" s="4">
        <v>32093706.230631843</v>
      </c>
      <c r="J2456" s="3">
        <v>0.1630094726884851</v>
      </c>
      <c r="K2456" s="3">
        <v>0.19475665180116847</v>
      </c>
      <c r="L2456" t="s">
        <v>54</v>
      </c>
    </row>
    <row r="2457" spans="1:12" x14ac:dyDescent="0.25">
      <c r="A2457" t="s">
        <v>487</v>
      </c>
      <c r="B2457" t="s">
        <v>461</v>
      </c>
      <c r="C2457" t="s">
        <v>462</v>
      </c>
      <c r="D2457" t="s">
        <v>336</v>
      </c>
      <c r="E2457" t="s">
        <v>342</v>
      </c>
      <c r="F2457">
        <v>3</v>
      </c>
      <c r="G2457" t="s">
        <v>498</v>
      </c>
      <c r="H2457" s="4">
        <v>38344169</v>
      </c>
      <c r="I2457" s="4">
        <v>25309403</v>
      </c>
      <c r="J2457" s="3">
        <v>0.33994128285841846</v>
      </c>
      <c r="K2457" s="3">
        <v>0.5150167311334842</v>
      </c>
      <c r="L2457" t="s">
        <v>54</v>
      </c>
    </row>
    <row r="2458" spans="1:12" x14ac:dyDescent="0.25">
      <c r="A2458" t="s">
        <v>487</v>
      </c>
      <c r="B2458" t="s">
        <v>461</v>
      </c>
      <c r="C2458" t="s">
        <v>462</v>
      </c>
      <c r="D2458" t="s">
        <v>336</v>
      </c>
      <c r="E2458" t="s">
        <v>342</v>
      </c>
      <c r="F2458">
        <v>3</v>
      </c>
      <c r="G2458" t="s">
        <v>499</v>
      </c>
      <c r="H2458" s="4">
        <v>38344169</v>
      </c>
      <c r="I2458" s="4">
        <v>31519521</v>
      </c>
      <c r="J2458" s="3">
        <v>0.1779839849965193</v>
      </c>
      <c r="K2458" s="3">
        <v>0.21652131071408096</v>
      </c>
      <c r="L2458" t="s">
        <v>54</v>
      </c>
    </row>
    <row r="2459" spans="1:12" x14ac:dyDescent="0.25">
      <c r="A2459" t="s">
        <v>487</v>
      </c>
      <c r="B2459" t="s">
        <v>461</v>
      </c>
      <c r="C2459" t="s">
        <v>462</v>
      </c>
      <c r="D2459" t="s">
        <v>338</v>
      </c>
      <c r="E2459" t="s">
        <v>340</v>
      </c>
      <c r="F2459">
        <v>1</v>
      </c>
      <c r="G2459" t="s">
        <v>488</v>
      </c>
      <c r="H2459" s="4">
        <v>28008482</v>
      </c>
      <c r="I2459" s="4">
        <v>24544774.072400745</v>
      </c>
      <c r="J2459" s="3">
        <v>0.12366639247351052</v>
      </c>
      <c r="K2459" s="3">
        <v>0.14111793888924018</v>
      </c>
      <c r="L2459" t="s">
        <v>54</v>
      </c>
    </row>
    <row r="2460" spans="1:12" x14ac:dyDescent="0.25">
      <c r="A2460" t="s">
        <v>487</v>
      </c>
      <c r="B2460" t="s">
        <v>461</v>
      </c>
      <c r="C2460" t="s">
        <v>462</v>
      </c>
      <c r="D2460" t="s">
        <v>338</v>
      </c>
      <c r="E2460" t="s">
        <v>340</v>
      </c>
      <c r="F2460">
        <v>1</v>
      </c>
      <c r="G2460" t="s">
        <v>498</v>
      </c>
      <c r="H2460" s="4">
        <v>28008482</v>
      </c>
      <c r="I2460" s="4">
        <v>19442903</v>
      </c>
      <c r="J2460" s="3">
        <v>0.3058208938278055</v>
      </c>
      <c r="K2460" s="3">
        <v>0.440550415748101</v>
      </c>
      <c r="L2460" t="s">
        <v>54</v>
      </c>
    </row>
    <row r="2461" spans="1:12" x14ac:dyDescent="0.25">
      <c r="A2461" t="s">
        <v>487</v>
      </c>
      <c r="B2461" t="s">
        <v>461</v>
      </c>
      <c r="C2461" t="s">
        <v>462</v>
      </c>
      <c r="D2461" t="s">
        <v>338</v>
      </c>
      <c r="E2461" t="s">
        <v>340</v>
      </c>
      <c r="F2461">
        <v>1</v>
      </c>
      <c r="G2461" t="s">
        <v>499</v>
      </c>
      <c r="H2461" s="4">
        <v>28008482</v>
      </c>
      <c r="I2461" s="4">
        <v>29188664</v>
      </c>
      <c r="J2461" s="3">
        <v>0.04213659276500597</v>
      </c>
      <c r="K2461" s="3">
        <v>-0.0404328886036031</v>
      </c>
      <c r="L2461" t="s">
        <v>54</v>
      </c>
    </row>
    <row r="2462" spans="1:12" x14ac:dyDescent="0.25">
      <c r="A2462" t="s">
        <v>487</v>
      </c>
      <c r="B2462" t="s">
        <v>461</v>
      </c>
      <c r="C2462" t="s">
        <v>462</v>
      </c>
      <c r="D2462" t="s">
        <v>338</v>
      </c>
      <c r="E2462" t="s">
        <v>342</v>
      </c>
      <c r="F2462">
        <v>2</v>
      </c>
      <c r="G2462" t="s">
        <v>488</v>
      </c>
      <c r="H2462" s="4">
        <v>38344169</v>
      </c>
      <c r="I2462" s="4">
        <v>31950659.762194034</v>
      </c>
      <c r="J2462" s="3">
        <v>0.16674006516625686</v>
      </c>
      <c r="K2462" s="3">
        <v>0.20010570314955298</v>
      </c>
      <c r="L2462" t="s">
        <v>54</v>
      </c>
    </row>
    <row r="2463" spans="1:12" x14ac:dyDescent="0.25">
      <c r="A2463" t="s">
        <v>487</v>
      </c>
      <c r="B2463" t="s">
        <v>461</v>
      </c>
      <c r="C2463" t="s">
        <v>462</v>
      </c>
      <c r="D2463" t="s">
        <v>338</v>
      </c>
      <c r="E2463" t="s">
        <v>342</v>
      </c>
      <c r="F2463">
        <v>2</v>
      </c>
      <c r="G2463" t="s">
        <v>498</v>
      </c>
      <c r="H2463" s="4">
        <v>38344169</v>
      </c>
      <c r="I2463" s="4">
        <v>25309403</v>
      </c>
      <c r="J2463" s="3">
        <v>0.33994128285841846</v>
      </c>
      <c r="K2463" s="3">
        <v>0.5150167311334842</v>
      </c>
      <c r="L2463" t="s">
        <v>54</v>
      </c>
    </row>
    <row r="2464" spans="1:12" x14ac:dyDescent="0.25">
      <c r="A2464" t="s">
        <v>487</v>
      </c>
      <c r="B2464" t="s">
        <v>461</v>
      </c>
      <c r="C2464" t="s">
        <v>462</v>
      </c>
      <c r="D2464" t="s">
        <v>338</v>
      </c>
      <c r="E2464" t="s">
        <v>342</v>
      </c>
      <c r="F2464">
        <v>2</v>
      </c>
      <c r="G2464" t="s">
        <v>499</v>
      </c>
      <c r="H2464" s="4">
        <v>38344169</v>
      </c>
      <c r="I2464" s="4">
        <v>29188664</v>
      </c>
      <c r="J2464" s="3">
        <v>0.23877176735789998</v>
      </c>
      <c r="K2464" s="3">
        <v>0.31366646311732527</v>
      </c>
      <c r="L2464" t="s">
        <v>54</v>
      </c>
    </row>
    <row r="2465" spans="1:12" x14ac:dyDescent="0.25">
      <c r="A2465" t="s">
        <v>487</v>
      </c>
      <c r="B2465" t="s">
        <v>461</v>
      </c>
      <c r="C2465" t="s">
        <v>462</v>
      </c>
      <c r="D2465" t="s">
        <v>338</v>
      </c>
      <c r="E2465" t="s">
        <v>344</v>
      </c>
      <c r="F2465">
        <v>3</v>
      </c>
      <c r="G2465" t="s">
        <v>488</v>
      </c>
      <c r="H2465" s="4">
        <v>32510049</v>
      </c>
      <c r="I2465" s="4">
        <v>32355306.55011686</v>
      </c>
      <c r="J2465" s="3">
        <v>0.004759834409451078</v>
      </c>
      <c r="K2465" s="3">
        <v>0.004782598787727503</v>
      </c>
      <c r="L2465" t="s">
        <v>54</v>
      </c>
    </row>
    <row r="2466" spans="1:12" x14ac:dyDescent="0.25">
      <c r="A2466" t="s">
        <v>487</v>
      </c>
      <c r="B2466" t="s">
        <v>461</v>
      </c>
      <c r="C2466" t="s">
        <v>462</v>
      </c>
      <c r="D2466" t="s">
        <v>338</v>
      </c>
      <c r="E2466" t="s">
        <v>344</v>
      </c>
      <c r="F2466">
        <v>3</v>
      </c>
      <c r="G2466" t="s">
        <v>498</v>
      </c>
      <c r="H2466" s="4">
        <v>32510049</v>
      </c>
      <c r="I2466" s="4">
        <v>25629940</v>
      </c>
      <c r="J2466" s="3">
        <v>0.21163022547274538</v>
      </c>
      <c r="K2466" s="3">
        <v>0.2684403084829695</v>
      </c>
      <c r="L2466" t="s">
        <v>54</v>
      </c>
    </row>
    <row r="2467" spans="1:12" x14ac:dyDescent="0.25">
      <c r="A2467" t="s">
        <v>487</v>
      </c>
      <c r="B2467" t="s">
        <v>461</v>
      </c>
      <c r="C2467" t="s">
        <v>462</v>
      </c>
      <c r="D2467" t="s">
        <v>338</v>
      </c>
      <c r="E2467" t="s">
        <v>344</v>
      </c>
      <c r="F2467">
        <v>3</v>
      </c>
      <c r="G2467" t="s">
        <v>499</v>
      </c>
      <c r="H2467" s="4">
        <v>32510049</v>
      </c>
      <c r="I2467" s="4">
        <v>29188664</v>
      </c>
      <c r="J2467" s="3">
        <v>0.10216487215998966</v>
      </c>
      <c r="K2467" s="3">
        <v>0.1137902371961937</v>
      </c>
      <c r="L2467" t="s">
        <v>54</v>
      </c>
    </row>
    <row r="2468" spans="1:12" x14ac:dyDescent="0.25">
      <c r="A2468" t="s">
        <v>487</v>
      </c>
      <c r="B2468" t="s">
        <v>461</v>
      </c>
      <c r="C2468" t="s">
        <v>462</v>
      </c>
      <c r="D2468" t="s">
        <v>340</v>
      </c>
      <c r="E2468" t="s">
        <v>342</v>
      </c>
      <c r="F2468">
        <v>1</v>
      </c>
      <c r="G2468" t="s">
        <v>488</v>
      </c>
      <c r="H2468" s="4">
        <v>38344169</v>
      </c>
      <c r="I2468" s="4">
        <v>31870507.070507366</v>
      </c>
      <c r="J2468" s="3">
        <v>0.16883041407137117</v>
      </c>
      <c r="K2468" s="3">
        <v>0.20312390747881426</v>
      </c>
      <c r="L2468" t="s">
        <v>54</v>
      </c>
    </row>
    <row r="2469" spans="1:12" x14ac:dyDescent="0.25">
      <c r="A2469" t="s">
        <v>487</v>
      </c>
      <c r="B2469" t="s">
        <v>461</v>
      </c>
      <c r="C2469" t="s">
        <v>462</v>
      </c>
      <c r="D2469" t="s">
        <v>340</v>
      </c>
      <c r="E2469" t="s">
        <v>342</v>
      </c>
      <c r="F2469">
        <v>1</v>
      </c>
      <c r="G2469" t="s">
        <v>498</v>
      </c>
      <c r="H2469" s="4">
        <v>38344169</v>
      </c>
      <c r="I2469" s="4">
        <v>25309403</v>
      </c>
      <c r="J2469" s="3">
        <v>0.33994128285841846</v>
      </c>
      <c r="K2469" s="3">
        <v>0.5150167311334842</v>
      </c>
      <c r="L2469" t="s">
        <v>54</v>
      </c>
    </row>
    <row r="2470" spans="1:12" x14ac:dyDescent="0.25">
      <c r="A2470" t="s">
        <v>487</v>
      </c>
      <c r="B2470" t="s">
        <v>461</v>
      </c>
      <c r="C2470" t="s">
        <v>462</v>
      </c>
      <c r="D2470" t="s">
        <v>340</v>
      </c>
      <c r="E2470" t="s">
        <v>342</v>
      </c>
      <c r="F2470">
        <v>1</v>
      </c>
      <c r="G2470" t="s">
        <v>499</v>
      </c>
      <c r="H2470" s="4">
        <v>38344169</v>
      </c>
      <c r="I2470" s="4">
        <v>28008482</v>
      </c>
      <c r="J2470" s="3">
        <v>0.2695504236902357</v>
      </c>
      <c r="K2470" s="3">
        <v>0.36901989190274576</v>
      </c>
      <c r="L2470" t="s">
        <v>54</v>
      </c>
    </row>
    <row r="2471" spans="1:12" x14ac:dyDescent="0.25">
      <c r="A2471" t="s">
        <v>487</v>
      </c>
      <c r="B2471" t="s">
        <v>461</v>
      </c>
      <c r="C2471" t="s">
        <v>462</v>
      </c>
      <c r="D2471" t="s">
        <v>340</v>
      </c>
      <c r="E2471" t="s">
        <v>344</v>
      </c>
      <c r="F2471">
        <v>2</v>
      </c>
      <c r="G2471" t="s">
        <v>488</v>
      </c>
      <c r="H2471" s="4">
        <v>32510049</v>
      </c>
      <c r="I2471" s="4">
        <v>32274138.74545676</v>
      </c>
      <c r="J2471" s="3">
        <v>0.007256533342759376</v>
      </c>
      <c r="K2471" s="3">
        <v>0.00730957552125075</v>
      </c>
      <c r="L2471" t="s">
        <v>54</v>
      </c>
    </row>
    <row r="2472" spans="1:12" x14ac:dyDescent="0.25">
      <c r="A2472" t="s">
        <v>487</v>
      </c>
      <c r="B2472" t="s">
        <v>461</v>
      </c>
      <c r="C2472" t="s">
        <v>462</v>
      </c>
      <c r="D2472" t="s">
        <v>340</v>
      </c>
      <c r="E2472" t="s">
        <v>344</v>
      </c>
      <c r="F2472">
        <v>2</v>
      </c>
      <c r="G2472" t="s">
        <v>498</v>
      </c>
      <c r="H2472" s="4">
        <v>32510049</v>
      </c>
      <c r="I2472" s="4">
        <v>25629940</v>
      </c>
      <c r="J2472" s="3">
        <v>0.21163022547274538</v>
      </c>
      <c r="K2472" s="3">
        <v>0.2684403084829695</v>
      </c>
      <c r="L2472" t="s">
        <v>54</v>
      </c>
    </row>
    <row r="2473" spans="1:12" x14ac:dyDescent="0.25">
      <c r="A2473" t="s">
        <v>487</v>
      </c>
      <c r="B2473" t="s">
        <v>461</v>
      </c>
      <c r="C2473" t="s">
        <v>462</v>
      </c>
      <c r="D2473" t="s">
        <v>340</v>
      </c>
      <c r="E2473" t="s">
        <v>344</v>
      </c>
      <c r="F2473">
        <v>2</v>
      </c>
      <c r="G2473" t="s">
        <v>499</v>
      </c>
      <c r="H2473" s="4">
        <v>32510049</v>
      </c>
      <c r="I2473" s="4">
        <v>28008482</v>
      </c>
      <c r="J2473" s="3">
        <v>0.13846693986834654</v>
      </c>
      <c r="K2473" s="3">
        <v>0.16072156284656913</v>
      </c>
      <c r="L2473" t="s">
        <v>54</v>
      </c>
    </row>
    <row r="2474" spans="1:12" x14ac:dyDescent="0.25">
      <c r="A2474" t="s">
        <v>487</v>
      </c>
      <c r="B2474" t="s">
        <v>461</v>
      </c>
      <c r="C2474" t="s">
        <v>462</v>
      </c>
      <c r="D2474" t="s">
        <v>340</v>
      </c>
      <c r="E2474" t="s">
        <v>346</v>
      </c>
      <c r="F2474">
        <v>3</v>
      </c>
      <c r="G2474" t="s">
        <v>488</v>
      </c>
      <c r="H2474" s="4">
        <v>31999541</v>
      </c>
      <c r="I2474" s="4">
        <v>29558951.784525473</v>
      </c>
      <c r="J2474" s="3">
        <v>0.07626950697431964</v>
      </c>
      <c r="K2474" s="3">
        <v>0.08256683908365824</v>
      </c>
      <c r="L2474" t="s">
        <v>54</v>
      </c>
    </row>
    <row r="2475" spans="1:12" x14ac:dyDescent="0.25">
      <c r="A2475" t="s">
        <v>487</v>
      </c>
      <c r="B2475" t="s">
        <v>461</v>
      </c>
      <c r="C2475" t="s">
        <v>462</v>
      </c>
      <c r="D2475" t="s">
        <v>340</v>
      </c>
      <c r="E2475" t="s">
        <v>346</v>
      </c>
      <c r="F2475">
        <v>3</v>
      </c>
      <c r="G2475" t="s">
        <v>498</v>
      </c>
      <c r="H2475" s="4">
        <v>31999541</v>
      </c>
      <c r="I2475" s="4">
        <v>23473722</v>
      </c>
      <c r="J2475" s="3">
        <v>0.2664356654365761</v>
      </c>
      <c r="K2475" s="3">
        <v>0.36320695116011004</v>
      </c>
      <c r="L2475" t="s">
        <v>54</v>
      </c>
    </row>
    <row r="2476" spans="1:12" x14ac:dyDescent="0.25">
      <c r="A2476" t="s">
        <v>487</v>
      </c>
      <c r="B2476" t="s">
        <v>461</v>
      </c>
      <c r="C2476" t="s">
        <v>462</v>
      </c>
      <c r="D2476" t="s">
        <v>340</v>
      </c>
      <c r="E2476" t="s">
        <v>346</v>
      </c>
      <c r="F2476">
        <v>3</v>
      </c>
      <c r="G2476" t="s">
        <v>499</v>
      </c>
      <c r="H2476" s="4">
        <v>31999541</v>
      </c>
      <c r="I2476" s="4">
        <v>28008482</v>
      </c>
      <c r="J2476" s="3">
        <v>0.12472238273667738</v>
      </c>
      <c r="K2476" s="3">
        <v>0.1424946557260761</v>
      </c>
      <c r="L2476" t="s">
        <v>54</v>
      </c>
    </row>
    <row r="2477" spans="1:12" x14ac:dyDescent="0.25">
      <c r="A2477" t="s">
        <v>487</v>
      </c>
      <c r="B2477" t="s">
        <v>461</v>
      </c>
      <c r="C2477" t="s">
        <v>462</v>
      </c>
      <c r="D2477" t="s">
        <v>342</v>
      </c>
      <c r="E2477" t="s">
        <v>344</v>
      </c>
      <c r="F2477">
        <v>1</v>
      </c>
      <c r="G2477" t="s">
        <v>488</v>
      </c>
      <c r="H2477" s="4">
        <v>32510049</v>
      </c>
      <c r="I2477" s="4">
        <v>32561630.657136686</v>
      </c>
      <c r="J2477" s="3">
        <v>0.0015866373236375665</v>
      </c>
      <c r="K2477" s="3">
        <v>-0.0015841238935428055</v>
      </c>
      <c r="L2477" t="s">
        <v>54</v>
      </c>
    </row>
    <row r="2478" spans="1:12" x14ac:dyDescent="0.25">
      <c r="A2478" t="s">
        <v>487</v>
      </c>
      <c r="B2478" t="s">
        <v>461</v>
      </c>
      <c r="C2478" t="s">
        <v>462</v>
      </c>
      <c r="D2478" t="s">
        <v>342</v>
      </c>
      <c r="E2478" t="s">
        <v>344</v>
      </c>
      <c r="F2478">
        <v>1</v>
      </c>
      <c r="G2478" t="s">
        <v>498</v>
      </c>
      <c r="H2478" s="4">
        <v>32510049</v>
      </c>
      <c r="I2478" s="4">
        <v>25629940</v>
      </c>
      <c r="J2478" s="3">
        <v>0.21163022547274538</v>
      </c>
      <c r="K2478" s="3">
        <v>0.2684403084829695</v>
      </c>
      <c r="L2478" t="s">
        <v>54</v>
      </c>
    </row>
    <row r="2479" spans="1:12" x14ac:dyDescent="0.25">
      <c r="A2479" t="s">
        <v>487</v>
      </c>
      <c r="B2479" t="s">
        <v>461</v>
      </c>
      <c r="C2479" t="s">
        <v>462</v>
      </c>
      <c r="D2479" t="s">
        <v>342</v>
      </c>
      <c r="E2479" t="s">
        <v>344</v>
      </c>
      <c r="F2479">
        <v>1</v>
      </c>
      <c r="G2479" t="s">
        <v>499</v>
      </c>
      <c r="H2479" s="4">
        <v>32510049</v>
      </c>
      <c r="I2479" s="4">
        <v>38344169</v>
      </c>
      <c r="J2479" s="3">
        <v>0.17945589685207794</v>
      </c>
      <c r="K2479" s="3">
        <v>-0.1521514262051161</v>
      </c>
      <c r="L2479" t="s">
        <v>54</v>
      </c>
    </row>
    <row r="2480" spans="1:12" x14ac:dyDescent="0.25">
      <c r="A2480" t="s">
        <v>487</v>
      </c>
      <c r="B2480" t="s">
        <v>461</v>
      </c>
      <c r="C2480" t="s">
        <v>462</v>
      </c>
      <c r="D2480" t="s">
        <v>342</v>
      </c>
      <c r="E2480" t="s">
        <v>346</v>
      </c>
      <c r="F2480">
        <v>2</v>
      </c>
      <c r="G2480" t="s">
        <v>488</v>
      </c>
      <c r="H2480" s="4">
        <v>31999541</v>
      </c>
      <c r="I2480" s="4">
        <v>29822257.325311877</v>
      </c>
      <c r="J2480" s="3">
        <v>0.06804109079839998</v>
      </c>
      <c r="K2480" s="3">
        <v>0.07300868109806485</v>
      </c>
      <c r="L2480" t="s">
        <v>54</v>
      </c>
    </row>
    <row r="2481" spans="1:12" x14ac:dyDescent="0.25">
      <c r="A2481" t="s">
        <v>487</v>
      </c>
      <c r="B2481" t="s">
        <v>461</v>
      </c>
      <c r="C2481" t="s">
        <v>462</v>
      </c>
      <c r="D2481" t="s">
        <v>342</v>
      </c>
      <c r="E2481" t="s">
        <v>346</v>
      </c>
      <c r="F2481">
        <v>2</v>
      </c>
      <c r="G2481" t="s">
        <v>498</v>
      </c>
      <c r="H2481" s="4">
        <v>31999541</v>
      </c>
      <c r="I2481" s="4">
        <v>23473722</v>
      </c>
      <c r="J2481" s="3">
        <v>0.2664356654365761</v>
      </c>
      <c r="K2481" s="3">
        <v>0.36320695116011004</v>
      </c>
      <c r="L2481" t="s">
        <v>54</v>
      </c>
    </row>
    <row r="2482" spans="1:12" x14ac:dyDescent="0.25">
      <c r="A2482" t="s">
        <v>487</v>
      </c>
      <c r="B2482" t="s">
        <v>461</v>
      </c>
      <c r="C2482" t="s">
        <v>462</v>
      </c>
      <c r="D2482" t="s">
        <v>342</v>
      </c>
      <c r="E2482" t="s">
        <v>346</v>
      </c>
      <c r="F2482">
        <v>2</v>
      </c>
      <c r="G2482" t="s">
        <v>499</v>
      </c>
      <c r="H2482" s="4">
        <v>31999541</v>
      </c>
      <c r="I2482" s="4">
        <v>38344169</v>
      </c>
      <c r="J2482" s="3">
        <v>0.1982724689707268</v>
      </c>
      <c r="K2482" s="3">
        <v>-0.16546526278871762</v>
      </c>
      <c r="L2482" t="s">
        <v>54</v>
      </c>
    </row>
    <row r="2483" spans="1:12" x14ac:dyDescent="0.25">
      <c r="A2483" t="s">
        <v>487</v>
      </c>
      <c r="B2483" t="s">
        <v>461</v>
      </c>
      <c r="C2483" t="s">
        <v>462</v>
      </c>
      <c r="D2483" t="s">
        <v>342</v>
      </c>
      <c r="E2483" t="s">
        <v>348</v>
      </c>
      <c r="F2483">
        <v>3</v>
      </c>
      <c r="G2483" t="s">
        <v>488</v>
      </c>
      <c r="H2483" s="4">
        <v>21628639</v>
      </c>
      <c r="I2483" s="4">
        <v>31444861.93587537</v>
      </c>
      <c r="J2483" s="3">
        <v>0.45385301108753867</v>
      </c>
      <c r="K2483" s="3">
        <v>-0.3121725563907172</v>
      </c>
      <c r="L2483" t="s">
        <v>54</v>
      </c>
    </row>
    <row r="2484" spans="1:12" x14ac:dyDescent="0.25">
      <c r="A2484" t="s">
        <v>487</v>
      </c>
      <c r="B2484" t="s">
        <v>461</v>
      </c>
      <c r="C2484" t="s">
        <v>462</v>
      </c>
      <c r="D2484" t="s">
        <v>342</v>
      </c>
      <c r="E2484" t="s">
        <v>348</v>
      </c>
      <c r="F2484">
        <v>3</v>
      </c>
      <c r="G2484" t="s">
        <v>498</v>
      </c>
      <c r="H2484" s="4">
        <v>21628639</v>
      </c>
      <c r="I2484" s="4">
        <v>24750908</v>
      </c>
      <c r="J2484" s="3">
        <v>0.14435808929077784</v>
      </c>
      <c r="K2484" s="3">
        <v>-0.1261476548658336</v>
      </c>
      <c r="L2484" t="s">
        <v>54</v>
      </c>
    </row>
    <row r="2485" spans="1:12" x14ac:dyDescent="0.25">
      <c r="A2485" t="s">
        <v>487</v>
      </c>
      <c r="B2485" t="s">
        <v>461</v>
      </c>
      <c r="C2485" t="s">
        <v>462</v>
      </c>
      <c r="D2485" t="s">
        <v>342</v>
      </c>
      <c r="E2485" t="s">
        <v>348</v>
      </c>
      <c r="F2485">
        <v>3</v>
      </c>
      <c r="G2485" t="s">
        <v>499</v>
      </c>
      <c r="H2485" s="4">
        <v>21628639</v>
      </c>
      <c r="I2485" s="4">
        <v>38344169</v>
      </c>
      <c r="J2485" s="3">
        <v>0.7728424335900193</v>
      </c>
      <c r="K2485" s="3">
        <v>-0.4359340790512372</v>
      </c>
      <c r="L2485" t="s">
        <v>54</v>
      </c>
    </row>
    <row r="2486" spans="1:12" x14ac:dyDescent="0.25">
      <c r="A2486" t="s">
        <v>487</v>
      </c>
      <c r="B2486" t="s">
        <v>461</v>
      </c>
      <c r="C2486" t="s">
        <v>462</v>
      </c>
      <c r="D2486" t="s">
        <v>344</v>
      </c>
      <c r="E2486" t="s">
        <v>346</v>
      </c>
      <c r="F2486">
        <v>1</v>
      </c>
      <c r="G2486" t="s">
        <v>488</v>
      </c>
      <c r="H2486" s="4">
        <v>31999541</v>
      </c>
      <c r="I2486" s="4">
        <v>30218852.188128408</v>
      </c>
      <c r="J2486" s="3">
        <v>0.05564732356228459</v>
      </c>
      <c r="K2486" s="3">
        <v>0.0589264211885302</v>
      </c>
      <c r="L2486" t="s">
        <v>54</v>
      </c>
    </row>
    <row r="2487" spans="1:12" x14ac:dyDescent="0.25">
      <c r="A2487" t="s">
        <v>487</v>
      </c>
      <c r="B2487" t="s">
        <v>461</v>
      </c>
      <c r="C2487" t="s">
        <v>462</v>
      </c>
      <c r="D2487" t="s">
        <v>344</v>
      </c>
      <c r="E2487" t="s">
        <v>346</v>
      </c>
      <c r="F2487">
        <v>1</v>
      </c>
      <c r="G2487" t="s">
        <v>498</v>
      </c>
      <c r="H2487" s="4">
        <v>31999541</v>
      </c>
      <c r="I2487" s="4">
        <v>23473722</v>
      </c>
      <c r="J2487" s="3">
        <v>0.2664356654365761</v>
      </c>
      <c r="K2487" s="3">
        <v>0.36320695116011004</v>
      </c>
      <c r="L2487" t="s">
        <v>54</v>
      </c>
    </row>
    <row r="2488" spans="1:12" x14ac:dyDescent="0.25">
      <c r="A2488" t="s">
        <v>487</v>
      </c>
      <c r="B2488" t="s">
        <v>461</v>
      </c>
      <c r="C2488" t="s">
        <v>462</v>
      </c>
      <c r="D2488" t="s">
        <v>344</v>
      </c>
      <c r="E2488" t="s">
        <v>346</v>
      </c>
      <c r="F2488">
        <v>1</v>
      </c>
      <c r="G2488" t="s">
        <v>499</v>
      </c>
      <c r="H2488" s="4">
        <v>31999541</v>
      </c>
      <c r="I2488" s="4">
        <v>32510049</v>
      </c>
      <c r="J2488" s="3">
        <v>0.015953603834505</v>
      </c>
      <c r="K2488" s="3">
        <v>-0.015703083068253756</v>
      </c>
      <c r="L2488" t="s">
        <v>54</v>
      </c>
    </row>
    <row r="2489" spans="1:12" x14ac:dyDescent="0.25">
      <c r="A2489" t="s">
        <v>487</v>
      </c>
      <c r="B2489" t="s">
        <v>461</v>
      </c>
      <c r="C2489" t="s">
        <v>462</v>
      </c>
      <c r="D2489" t="s">
        <v>344</v>
      </c>
      <c r="E2489" t="s">
        <v>348</v>
      </c>
      <c r="F2489">
        <v>2</v>
      </c>
      <c r="G2489" t="s">
        <v>488</v>
      </c>
      <c r="H2489" s="4">
        <v>21628639</v>
      </c>
      <c r="I2489" s="4">
        <v>31863035.200551704</v>
      </c>
      <c r="J2489" s="3">
        <v>0.47318724957921315</v>
      </c>
      <c r="K2489" s="3">
        <v>-0.32119966400358796</v>
      </c>
      <c r="L2489" t="s">
        <v>54</v>
      </c>
    </row>
    <row r="2490" spans="1:12" x14ac:dyDescent="0.25">
      <c r="A2490" t="s">
        <v>487</v>
      </c>
      <c r="B2490" t="s">
        <v>461</v>
      </c>
      <c r="C2490" t="s">
        <v>462</v>
      </c>
      <c r="D2490" t="s">
        <v>344</v>
      </c>
      <c r="E2490" t="s">
        <v>348</v>
      </c>
      <c r="F2490">
        <v>2</v>
      </c>
      <c r="G2490" t="s">
        <v>498</v>
      </c>
      <c r="H2490" s="4">
        <v>21628639</v>
      </c>
      <c r="I2490" s="4">
        <v>24750908</v>
      </c>
      <c r="J2490" s="3">
        <v>0.14435808929077784</v>
      </c>
      <c r="K2490" s="3">
        <v>-0.1261476548658336</v>
      </c>
      <c r="L2490" t="s">
        <v>54</v>
      </c>
    </row>
    <row r="2491" spans="1:12" x14ac:dyDescent="0.25">
      <c r="A2491" t="s">
        <v>487</v>
      </c>
      <c r="B2491" t="s">
        <v>461</v>
      </c>
      <c r="C2491" t="s">
        <v>462</v>
      </c>
      <c r="D2491" t="s">
        <v>344</v>
      </c>
      <c r="E2491" t="s">
        <v>348</v>
      </c>
      <c r="F2491">
        <v>2</v>
      </c>
      <c r="G2491" t="s">
        <v>499</v>
      </c>
      <c r="H2491" s="4">
        <v>21628639</v>
      </c>
      <c r="I2491" s="4">
        <v>32510049</v>
      </c>
      <c r="J2491" s="3">
        <v>0.503101928882349</v>
      </c>
      <c r="K2491" s="3">
        <v>-0.3347091233236837</v>
      </c>
      <c r="L2491" t="s">
        <v>54</v>
      </c>
    </row>
    <row r="2492" spans="1:12" x14ac:dyDescent="0.25">
      <c r="A2492" t="s">
        <v>487</v>
      </c>
      <c r="B2492" t="s">
        <v>461</v>
      </c>
      <c r="C2492" t="s">
        <v>462</v>
      </c>
      <c r="D2492" t="s">
        <v>344</v>
      </c>
      <c r="E2492" t="s">
        <v>350</v>
      </c>
      <c r="F2492">
        <v>3</v>
      </c>
      <c r="G2492" t="s">
        <v>488</v>
      </c>
      <c r="H2492" s="4">
        <v>21748696</v>
      </c>
      <c r="I2492" s="4">
        <v>27351478.611736238</v>
      </c>
      <c r="J2492" s="3">
        <v>0.25761464557398006</v>
      </c>
      <c r="K2492" s="3">
        <v>-0.20484386571087027</v>
      </c>
      <c r="L2492" t="s">
        <v>54</v>
      </c>
    </row>
    <row r="2493" spans="1:12" x14ac:dyDescent="0.25">
      <c r="A2493" t="s">
        <v>487</v>
      </c>
      <c r="B2493" t="s">
        <v>461</v>
      </c>
      <c r="C2493" t="s">
        <v>462</v>
      </c>
      <c r="D2493" t="s">
        <v>344</v>
      </c>
      <c r="E2493" t="s">
        <v>350</v>
      </c>
      <c r="F2493">
        <v>3</v>
      </c>
      <c r="G2493" t="s">
        <v>498</v>
      </c>
      <c r="H2493" s="4">
        <v>21748696</v>
      </c>
      <c r="I2493" s="4">
        <v>21246373</v>
      </c>
      <c r="J2493" s="3">
        <v>0.023096695084615648</v>
      </c>
      <c r="K2493" s="3">
        <v>0.02364276481449328</v>
      </c>
      <c r="L2493" t="s">
        <v>54</v>
      </c>
    </row>
    <row r="2494" spans="1:12" x14ac:dyDescent="0.25">
      <c r="A2494" t="s">
        <v>487</v>
      </c>
      <c r="B2494" t="s">
        <v>461</v>
      </c>
      <c r="C2494" t="s">
        <v>462</v>
      </c>
      <c r="D2494" t="s">
        <v>344</v>
      </c>
      <c r="E2494" t="s">
        <v>350</v>
      </c>
      <c r="F2494">
        <v>3</v>
      </c>
      <c r="G2494" t="s">
        <v>499</v>
      </c>
      <c r="H2494" s="4">
        <v>21748696</v>
      </c>
      <c r="I2494" s="4">
        <v>32510049</v>
      </c>
      <c r="J2494" s="3">
        <v>0.4948045160960455</v>
      </c>
      <c r="K2494" s="3">
        <v>-0.3310162036359896</v>
      </c>
      <c r="L2494" t="s">
        <v>54</v>
      </c>
    </row>
    <row r="2495" spans="1:12" x14ac:dyDescent="0.25">
      <c r="A2495" t="s">
        <v>487</v>
      </c>
      <c r="B2495" t="s">
        <v>461</v>
      </c>
      <c r="C2495" t="s">
        <v>462</v>
      </c>
      <c r="D2495" t="s">
        <v>346</v>
      </c>
      <c r="E2495" t="s">
        <v>348</v>
      </c>
      <c r="F2495">
        <v>1</v>
      </c>
      <c r="G2495" t="s">
        <v>488</v>
      </c>
      <c r="H2495" s="4">
        <v>21628639</v>
      </c>
      <c r="I2495" s="4">
        <v>32689215.73416489</v>
      </c>
      <c r="J2495" s="3">
        <v>0.511385701807908</v>
      </c>
      <c r="K2495" s="3">
        <v>-0.33835552446750844</v>
      </c>
      <c r="L2495" t="s">
        <v>54</v>
      </c>
    </row>
    <row r="2496" spans="1:12" x14ac:dyDescent="0.25">
      <c r="A2496" t="s">
        <v>487</v>
      </c>
      <c r="B2496" t="s">
        <v>461</v>
      </c>
      <c r="C2496" t="s">
        <v>462</v>
      </c>
      <c r="D2496" t="s">
        <v>346</v>
      </c>
      <c r="E2496" t="s">
        <v>348</v>
      </c>
      <c r="F2496">
        <v>1</v>
      </c>
      <c r="G2496" t="s">
        <v>498</v>
      </c>
      <c r="H2496" s="4">
        <v>21628639</v>
      </c>
      <c r="I2496" s="4">
        <v>24750908</v>
      </c>
      <c r="J2496" s="3">
        <v>0.14435808929077784</v>
      </c>
      <c r="K2496" s="3">
        <v>-0.1261476548658336</v>
      </c>
      <c r="L2496" t="s">
        <v>54</v>
      </c>
    </row>
    <row r="2497" spans="1:12" x14ac:dyDescent="0.25">
      <c r="A2497" t="s">
        <v>487</v>
      </c>
      <c r="B2497" t="s">
        <v>461</v>
      </c>
      <c r="C2497" t="s">
        <v>462</v>
      </c>
      <c r="D2497" t="s">
        <v>346</v>
      </c>
      <c r="E2497" t="s">
        <v>348</v>
      </c>
      <c r="F2497">
        <v>1</v>
      </c>
      <c r="G2497" t="s">
        <v>499</v>
      </c>
      <c r="H2497" s="4">
        <v>21628639</v>
      </c>
      <c r="I2497" s="4">
        <v>31999541</v>
      </c>
      <c r="J2497" s="3">
        <v>0.47949859443305703</v>
      </c>
      <c r="K2497" s="3">
        <v>-0.3240953362424792</v>
      </c>
      <c r="L2497" t="s">
        <v>54</v>
      </c>
    </row>
    <row r="2498" spans="1:12" x14ac:dyDescent="0.25">
      <c r="A2498" t="s">
        <v>487</v>
      </c>
      <c r="B2498" t="s">
        <v>461</v>
      </c>
      <c r="C2498" t="s">
        <v>462</v>
      </c>
      <c r="D2498" t="s">
        <v>346</v>
      </c>
      <c r="E2498" t="s">
        <v>350</v>
      </c>
      <c r="F2498">
        <v>2</v>
      </c>
      <c r="G2498" t="s">
        <v>488</v>
      </c>
      <c r="H2498" s="4">
        <v>21748696</v>
      </c>
      <c r="I2498" s="4">
        <v>28060678.443212513</v>
      </c>
      <c r="J2498" s="3">
        <v>0.29022348940885984</v>
      </c>
      <c r="K2498" s="3">
        <v>-0.2249404787552203</v>
      </c>
      <c r="L2498" t="s">
        <v>54</v>
      </c>
    </row>
    <row r="2499" spans="1:12" x14ac:dyDescent="0.25">
      <c r="A2499" t="s">
        <v>487</v>
      </c>
      <c r="B2499" t="s">
        <v>461</v>
      </c>
      <c r="C2499" t="s">
        <v>462</v>
      </c>
      <c r="D2499" t="s">
        <v>346</v>
      </c>
      <c r="E2499" t="s">
        <v>350</v>
      </c>
      <c r="F2499">
        <v>2</v>
      </c>
      <c r="G2499" t="s">
        <v>498</v>
      </c>
      <c r="H2499" s="4">
        <v>21748696</v>
      </c>
      <c r="I2499" s="4">
        <v>21246373</v>
      </c>
      <c r="J2499" s="3">
        <v>0.023096695084615648</v>
      </c>
      <c r="K2499" s="3">
        <v>0.02364276481449328</v>
      </c>
      <c r="L2499" t="s">
        <v>54</v>
      </c>
    </row>
    <row r="2500" spans="1:12" x14ac:dyDescent="0.25">
      <c r="A2500" t="s">
        <v>487</v>
      </c>
      <c r="B2500" t="s">
        <v>461</v>
      </c>
      <c r="C2500" t="s">
        <v>462</v>
      </c>
      <c r="D2500" t="s">
        <v>346</v>
      </c>
      <c r="E2500" t="s">
        <v>350</v>
      </c>
      <c r="F2500">
        <v>2</v>
      </c>
      <c r="G2500" t="s">
        <v>499</v>
      </c>
      <c r="H2500" s="4">
        <v>21748696</v>
      </c>
      <c r="I2500" s="4">
        <v>31999541</v>
      </c>
      <c r="J2500" s="3">
        <v>0.47133147660898844</v>
      </c>
      <c r="K2500" s="3">
        <v>-0.32034350117709504</v>
      </c>
      <c r="L2500" t="s">
        <v>54</v>
      </c>
    </row>
    <row r="2501" spans="1:12" x14ac:dyDescent="0.25">
      <c r="A2501" t="s">
        <v>487</v>
      </c>
      <c r="B2501" t="s">
        <v>461</v>
      </c>
      <c r="C2501" t="s">
        <v>462</v>
      </c>
      <c r="D2501" t="s">
        <v>346</v>
      </c>
      <c r="E2501" t="s">
        <v>352</v>
      </c>
      <c r="F2501">
        <v>3</v>
      </c>
      <c r="G2501" t="s">
        <v>488</v>
      </c>
      <c r="H2501" s="4">
        <v>21905886</v>
      </c>
      <c r="I2501" s="4">
        <v>24486722.601372816</v>
      </c>
      <c r="J2501" s="3">
        <v>0.11781475542111447</v>
      </c>
      <c r="K2501" s="3">
        <v>-0.10539738793905087</v>
      </c>
      <c r="L2501" t="s">
        <v>54</v>
      </c>
    </row>
    <row r="2502" spans="1:12" x14ac:dyDescent="0.25">
      <c r="A2502" t="s">
        <v>487</v>
      </c>
      <c r="B2502" t="s">
        <v>461</v>
      </c>
      <c r="C2502" t="s">
        <v>462</v>
      </c>
      <c r="D2502" t="s">
        <v>346</v>
      </c>
      <c r="E2502" t="s">
        <v>352</v>
      </c>
      <c r="F2502">
        <v>3</v>
      </c>
      <c r="G2502" t="s">
        <v>498</v>
      </c>
      <c r="H2502" s="4">
        <v>21905886</v>
      </c>
      <c r="I2502" s="4">
        <v>18540323</v>
      </c>
      <c r="J2502" s="3">
        <v>0.15363738312159572</v>
      </c>
      <c r="K2502" s="3">
        <v>0.18152666488064959</v>
      </c>
      <c r="L2502" t="s">
        <v>54</v>
      </c>
    </row>
    <row r="2503" spans="1:12" x14ac:dyDescent="0.25">
      <c r="A2503" t="s">
        <v>487</v>
      </c>
      <c r="B2503" t="s">
        <v>461</v>
      </c>
      <c r="C2503" t="s">
        <v>462</v>
      </c>
      <c r="D2503" t="s">
        <v>346</v>
      </c>
      <c r="E2503" t="s">
        <v>352</v>
      </c>
      <c r="F2503">
        <v>3</v>
      </c>
      <c r="G2503" t="s">
        <v>499</v>
      </c>
      <c r="H2503" s="4">
        <v>21905886</v>
      </c>
      <c r="I2503" s="4">
        <v>31999541</v>
      </c>
      <c r="J2503" s="3">
        <v>0.4607736477766752</v>
      </c>
      <c r="K2503" s="3">
        <v>-0.3154312432168949</v>
      </c>
      <c r="L2503" t="s">
        <v>54</v>
      </c>
    </row>
    <row r="2504" spans="1:12" x14ac:dyDescent="0.25">
      <c r="A2504" t="s">
        <v>487</v>
      </c>
      <c r="B2504" t="s">
        <v>461</v>
      </c>
      <c r="C2504" t="s">
        <v>462</v>
      </c>
      <c r="D2504" t="s">
        <v>348</v>
      </c>
      <c r="E2504" t="s">
        <v>350</v>
      </c>
      <c r="F2504">
        <v>1</v>
      </c>
      <c r="G2504" t="s">
        <v>488</v>
      </c>
      <c r="H2504" s="4">
        <v>21748696</v>
      </c>
      <c r="I2504" s="4">
        <v>27509024.164175168</v>
      </c>
      <c r="J2504" s="3">
        <v>0.26485855355075855</v>
      </c>
      <c r="K2504" s="3">
        <v>-0.20939776452255285</v>
      </c>
      <c r="L2504" t="s">
        <v>54</v>
      </c>
    </row>
    <row r="2505" spans="1:12" x14ac:dyDescent="0.25">
      <c r="A2505" t="s">
        <v>487</v>
      </c>
      <c r="B2505" t="s">
        <v>461</v>
      </c>
      <c r="C2505" t="s">
        <v>462</v>
      </c>
      <c r="D2505" t="s">
        <v>348</v>
      </c>
      <c r="E2505" t="s">
        <v>350</v>
      </c>
      <c r="F2505">
        <v>1</v>
      </c>
      <c r="G2505" t="s">
        <v>498</v>
      </c>
      <c r="H2505" s="4">
        <v>21748696</v>
      </c>
      <c r="I2505" s="4">
        <v>21246373</v>
      </c>
      <c r="J2505" s="3">
        <v>0.023096695084615648</v>
      </c>
      <c r="K2505" s="3">
        <v>0.02364276481449328</v>
      </c>
      <c r="L2505" t="s">
        <v>54</v>
      </c>
    </row>
    <row r="2506" spans="1:12" x14ac:dyDescent="0.25">
      <c r="A2506" t="s">
        <v>487</v>
      </c>
      <c r="B2506" t="s">
        <v>461</v>
      </c>
      <c r="C2506" t="s">
        <v>462</v>
      </c>
      <c r="D2506" t="s">
        <v>348</v>
      </c>
      <c r="E2506" t="s">
        <v>350</v>
      </c>
      <c r="F2506">
        <v>1</v>
      </c>
      <c r="G2506" t="s">
        <v>499</v>
      </c>
      <c r="H2506" s="4">
        <v>21748696</v>
      </c>
      <c r="I2506" s="4">
        <v>21628639</v>
      </c>
      <c r="J2506" s="3">
        <v>0.005520193026745144</v>
      </c>
      <c r="K2506" s="3">
        <v>0.005550834705780609</v>
      </c>
      <c r="L2506" t="s">
        <v>54</v>
      </c>
    </row>
    <row r="2507" spans="1:12" x14ac:dyDescent="0.25">
      <c r="A2507" t="s">
        <v>487</v>
      </c>
      <c r="B2507" t="s">
        <v>461</v>
      </c>
      <c r="C2507" t="s">
        <v>462</v>
      </c>
      <c r="D2507" t="s">
        <v>348</v>
      </c>
      <c r="E2507" t="s">
        <v>352</v>
      </c>
      <c r="F2507">
        <v>2</v>
      </c>
      <c r="G2507" t="s">
        <v>488</v>
      </c>
      <c r="H2507" s="4">
        <v>21905886</v>
      </c>
      <c r="I2507" s="4">
        <v>24005329.9176576</v>
      </c>
      <c r="J2507" s="3">
        <v>0.09583926062874602</v>
      </c>
      <c r="K2507" s="3">
        <v>-0.08745740736990709</v>
      </c>
      <c r="L2507" t="s">
        <v>54</v>
      </c>
    </row>
    <row r="2508" spans="1:12" x14ac:dyDescent="0.25">
      <c r="A2508" t="s">
        <v>487</v>
      </c>
      <c r="B2508" t="s">
        <v>461</v>
      </c>
      <c r="C2508" t="s">
        <v>462</v>
      </c>
      <c r="D2508" t="s">
        <v>348</v>
      </c>
      <c r="E2508" t="s">
        <v>352</v>
      </c>
      <c r="F2508">
        <v>2</v>
      </c>
      <c r="G2508" t="s">
        <v>498</v>
      </c>
      <c r="H2508" s="4">
        <v>21905886</v>
      </c>
      <c r="I2508" s="4">
        <v>18540323</v>
      </c>
      <c r="J2508" s="3">
        <v>0.15363738312159572</v>
      </c>
      <c r="K2508" s="3">
        <v>0.18152666488064959</v>
      </c>
      <c r="L2508" t="s">
        <v>54</v>
      </c>
    </row>
    <row r="2509" spans="1:12" x14ac:dyDescent="0.25">
      <c r="A2509" t="s">
        <v>487</v>
      </c>
      <c r="B2509" t="s">
        <v>461</v>
      </c>
      <c r="C2509" t="s">
        <v>462</v>
      </c>
      <c r="D2509" t="s">
        <v>348</v>
      </c>
      <c r="E2509" t="s">
        <v>352</v>
      </c>
      <c r="F2509">
        <v>2</v>
      </c>
      <c r="G2509" t="s">
        <v>499</v>
      </c>
      <c r="H2509" s="4">
        <v>21905886</v>
      </c>
      <c r="I2509" s="4">
        <v>21628639</v>
      </c>
      <c r="J2509" s="3">
        <v>0.01265627877365928</v>
      </c>
      <c r="K2509" s="3">
        <v>0.012818513453389278</v>
      </c>
      <c r="L2509" t="s">
        <v>54</v>
      </c>
    </row>
    <row r="2510" spans="1:12" x14ac:dyDescent="0.25">
      <c r="A2510" t="s">
        <v>487</v>
      </c>
      <c r="B2510" t="s">
        <v>461</v>
      </c>
      <c r="C2510" t="s">
        <v>462</v>
      </c>
      <c r="D2510" t="s">
        <v>348</v>
      </c>
      <c r="E2510" t="s">
        <v>354</v>
      </c>
      <c r="F2510">
        <v>3</v>
      </c>
      <c r="G2510" t="s">
        <v>488</v>
      </c>
      <c r="H2510" s="4">
        <v>30570663</v>
      </c>
      <c r="I2510" s="4">
        <v>34118871.120999865</v>
      </c>
      <c r="J2510" s="3">
        <v>0.11606578898860863</v>
      </c>
      <c r="K2510" s="3">
        <v>-0.10399547242980071</v>
      </c>
      <c r="L2510" t="s">
        <v>54</v>
      </c>
    </row>
    <row r="2511" spans="1:12" x14ac:dyDescent="0.25">
      <c r="A2511" t="s">
        <v>487</v>
      </c>
      <c r="B2511" t="s">
        <v>461</v>
      </c>
      <c r="C2511" t="s">
        <v>462</v>
      </c>
      <c r="D2511" t="s">
        <v>348</v>
      </c>
      <c r="E2511" t="s">
        <v>354</v>
      </c>
      <c r="F2511">
        <v>3</v>
      </c>
      <c r="G2511" t="s">
        <v>498</v>
      </c>
      <c r="H2511" s="4">
        <v>30570663</v>
      </c>
      <c r="I2511" s="4">
        <v>26351435</v>
      </c>
      <c r="J2511" s="3">
        <v>0.13801558703519123</v>
      </c>
      <c r="K2511" s="3">
        <v>0.16011378507470275</v>
      </c>
      <c r="L2511" t="s">
        <v>54</v>
      </c>
    </row>
    <row r="2512" spans="1:12" x14ac:dyDescent="0.25">
      <c r="A2512" t="s">
        <v>487</v>
      </c>
      <c r="B2512" t="s">
        <v>461</v>
      </c>
      <c r="C2512" t="s">
        <v>462</v>
      </c>
      <c r="D2512" t="s">
        <v>348</v>
      </c>
      <c r="E2512" t="s">
        <v>354</v>
      </c>
      <c r="F2512">
        <v>3</v>
      </c>
      <c r="G2512" t="s">
        <v>499</v>
      </c>
      <c r="H2512" s="4">
        <v>30570663</v>
      </c>
      <c r="I2512" s="4">
        <v>21628639</v>
      </c>
      <c r="J2512" s="3">
        <v>0.29250343703700504</v>
      </c>
      <c r="K2512" s="3">
        <v>0.4134344283059142</v>
      </c>
      <c r="L2512" t="s">
        <v>54</v>
      </c>
    </row>
    <row r="2513" spans="1:12" x14ac:dyDescent="0.25">
      <c r="A2513" t="s">
        <v>487</v>
      </c>
      <c r="B2513" t="s">
        <v>461</v>
      </c>
      <c r="C2513" t="s">
        <v>462</v>
      </c>
      <c r="D2513" t="s">
        <v>350</v>
      </c>
      <c r="E2513" t="s">
        <v>352</v>
      </c>
      <c r="F2513">
        <v>1</v>
      </c>
      <c r="G2513" t="s">
        <v>488</v>
      </c>
      <c r="H2513" s="4">
        <v>21905886</v>
      </c>
      <c r="I2513" s="4">
        <v>23708065.47388559</v>
      </c>
      <c r="J2513" s="3">
        <v>0.08226918892418177</v>
      </c>
      <c r="K2513" s="3">
        <v>-0.076015458784298</v>
      </c>
      <c r="L2513" t="s">
        <v>54</v>
      </c>
    </row>
    <row r="2514" spans="1:12" x14ac:dyDescent="0.25">
      <c r="A2514" t="s">
        <v>487</v>
      </c>
      <c r="B2514" t="s">
        <v>461</v>
      </c>
      <c r="C2514" t="s">
        <v>462</v>
      </c>
      <c r="D2514" t="s">
        <v>350</v>
      </c>
      <c r="E2514" t="s">
        <v>352</v>
      </c>
      <c r="F2514">
        <v>1</v>
      </c>
      <c r="G2514" t="s">
        <v>498</v>
      </c>
      <c r="H2514" s="4">
        <v>21905886</v>
      </c>
      <c r="I2514" s="4">
        <v>18540323</v>
      </c>
      <c r="J2514" s="3">
        <v>0.15363738312159572</v>
      </c>
      <c r="K2514" s="3">
        <v>0.18152666488064959</v>
      </c>
      <c r="L2514" t="s">
        <v>54</v>
      </c>
    </row>
    <row r="2515" spans="1:12" x14ac:dyDescent="0.25">
      <c r="A2515" t="s">
        <v>487</v>
      </c>
      <c r="B2515" t="s">
        <v>461</v>
      </c>
      <c r="C2515" t="s">
        <v>462</v>
      </c>
      <c r="D2515" t="s">
        <v>350</v>
      </c>
      <c r="E2515" t="s">
        <v>352</v>
      </c>
      <c r="F2515">
        <v>1</v>
      </c>
      <c r="G2515" t="s">
        <v>499</v>
      </c>
      <c r="H2515" s="4">
        <v>21905886</v>
      </c>
      <c r="I2515" s="4">
        <v>21748696</v>
      </c>
      <c r="J2515" s="3">
        <v>0.007175696979341534</v>
      </c>
      <c r="K2515" s="3">
        <v>0.007227559758065495</v>
      </c>
      <c r="L2515" t="s">
        <v>54</v>
      </c>
    </row>
    <row r="2516" spans="1:12" x14ac:dyDescent="0.25">
      <c r="A2516" t="s">
        <v>487</v>
      </c>
      <c r="B2516" t="s">
        <v>461</v>
      </c>
      <c r="C2516" t="s">
        <v>462</v>
      </c>
      <c r="D2516" t="s">
        <v>350</v>
      </c>
      <c r="E2516" t="s">
        <v>354</v>
      </c>
      <c r="F2516">
        <v>2</v>
      </c>
      <c r="G2516" t="s">
        <v>488</v>
      </c>
      <c r="H2516" s="4">
        <v>30570663</v>
      </c>
      <c r="I2516" s="4">
        <v>33696367.98187606</v>
      </c>
      <c r="J2516" s="3">
        <v>0.1022452467542513</v>
      </c>
      <c r="K2516" s="3">
        <v>-0.09276088697622406</v>
      </c>
      <c r="L2516" t="s">
        <v>54</v>
      </c>
    </row>
    <row r="2517" spans="1:12" x14ac:dyDescent="0.25">
      <c r="A2517" t="s">
        <v>487</v>
      </c>
      <c r="B2517" t="s">
        <v>461</v>
      </c>
      <c r="C2517" t="s">
        <v>462</v>
      </c>
      <c r="D2517" t="s">
        <v>350</v>
      </c>
      <c r="E2517" t="s">
        <v>354</v>
      </c>
      <c r="F2517">
        <v>2</v>
      </c>
      <c r="G2517" t="s">
        <v>498</v>
      </c>
      <c r="H2517" s="4">
        <v>30570663</v>
      </c>
      <c r="I2517" s="4">
        <v>26351435</v>
      </c>
      <c r="J2517" s="3">
        <v>0.13801558703519123</v>
      </c>
      <c r="K2517" s="3">
        <v>0.16011378507470275</v>
      </c>
      <c r="L2517" t="s">
        <v>54</v>
      </c>
    </row>
    <row r="2518" spans="1:12" x14ac:dyDescent="0.25">
      <c r="A2518" t="s">
        <v>487</v>
      </c>
      <c r="B2518" t="s">
        <v>461</v>
      </c>
      <c r="C2518" t="s">
        <v>462</v>
      </c>
      <c r="D2518" t="s">
        <v>350</v>
      </c>
      <c r="E2518" t="s">
        <v>354</v>
      </c>
      <c r="F2518">
        <v>2</v>
      </c>
      <c r="G2518" t="s">
        <v>499</v>
      </c>
      <c r="H2518" s="4">
        <v>30570663</v>
      </c>
      <c r="I2518" s="4">
        <v>21748696</v>
      </c>
      <c r="J2518" s="3">
        <v>0.28857624056108955</v>
      </c>
      <c r="K2518" s="3">
        <v>0.4056319974310184</v>
      </c>
      <c r="L2518" t="s">
        <v>54</v>
      </c>
    </row>
    <row r="2519" spans="1:12" x14ac:dyDescent="0.25">
      <c r="A2519" t="s">
        <v>487</v>
      </c>
      <c r="B2519" t="s">
        <v>461</v>
      </c>
      <c r="C2519" t="s">
        <v>462</v>
      </c>
      <c r="D2519" t="s">
        <v>350</v>
      </c>
      <c r="E2519" t="s">
        <v>356</v>
      </c>
      <c r="F2519">
        <v>3</v>
      </c>
      <c r="G2519" t="s">
        <v>488</v>
      </c>
      <c r="H2519" s="4">
        <v>29750831</v>
      </c>
      <c r="I2519" s="4">
        <v>42650823.75508693</v>
      </c>
      <c r="J2519" s="3">
        <v>0.4336010901707898</v>
      </c>
      <c r="K2519" s="3">
        <v>-0.3024558875852511</v>
      </c>
      <c r="L2519" t="s">
        <v>54</v>
      </c>
    </row>
    <row r="2520" spans="1:12" x14ac:dyDescent="0.25">
      <c r="A2520" t="s">
        <v>487</v>
      </c>
      <c r="B2520" t="s">
        <v>461</v>
      </c>
      <c r="C2520" t="s">
        <v>462</v>
      </c>
      <c r="D2520" t="s">
        <v>350</v>
      </c>
      <c r="E2520" t="s">
        <v>356</v>
      </c>
      <c r="F2520">
        <v>3</v>
      </c>
      <c r="G2520" t="s">
        <v>498</v>
      </c>
      <c r="H2520" s="4">
        <v>29750831</v>
      </c>
      <c r="I2520" s="4">
        <v>33354052</v>
      </c>
      <c r="J2520" s="3">
        <v>0.12111328923887874</v>
      </c>
      <c r="K2520" s="3">
        <v>-0.10802948319442568</v>
      </c>
      <c r="L2520" t="s">
        <v>54</v>
      </c>
    </row>
    <row r="2521" spans="1:12" x14ac:dyDescent="0.25">
      <c r="A2521" t="s">
        <v>487</v>
      </c>
      <c r="B2521" t="s">
        <v>461</v>
      </c>
      <c r="C2521" t="s">
        <v>462</v>
      </c>
      <c r="D2521" t="s">
        <v>350</v>
      </c>
      <c r="E2521" t="s">
        <v>356</v>
      </c>
      <c r="F2521">
        <v>3</v>
      </c>
      <c r="G2521" t="s">
        <v>499</v>
      </c>
      <c r="H2521" s="4">
        <v>29750831</v>
      </c>
      <c r="I2521" s="4">
        <v>21748696</v>
      </c>
      <c r="J2521" s="3">
        <v>0.26897181460242237</v>
      </c>
      <c r="K2521" s="3">
        <v>0.3679363121356793</v>
      </c>
      <c r="L2521" t="s">
        <v>54</v>
      </c>
    </row>
    <row r="2522" spans="1:12" x14ac:dyDescent="0.25">
      <c r="A2522" t="s">
        <v>487</v>
      </c>
      <c r="B2522" t="s">
        <v>461</v>
      </c>
      <c r="C2522" t="s">
        <v>462</v>
      </c>
      <c r="D2522" t="s">
        <v>352</v>
      </c>
      <c r="E2522" t="s">
        <v>354</v>
      </c>
      <c r="F2522">
        <v>1</v>
      </c>
      <c r="G2522" t="s">
        <v>488</v>
      </c>
      <c r="H2522" s="4">
        <v>30570663</v>
      </c>
      <c r="I2522" s="4">
        <v>33393976.838838533</v>
      </c>
      <c r="J2522" s="3">
        <v>0.09235369997826127</v>
      </c>
      <c r="K2522" s="3">
        <v>-0.08454560091671698</v>
      </c>
      <c r="L2522" t="s">
        <v>54</v>
      </c>
    </row>
    <row r="2523" spans="1:12" x14ac:dyDescent="0.25">
      <c r="A2523" t="s">
        <v>487</v>
      </c>
      <c r="B2523" t="s">
        <v>461</v>
      </c>
      <c r="C2523" t="s">
        <v>462</v>
      </c>
      <c r="D2523" t="s">
        <v>352</v>
      </c>
      <c r="E2523" t="s">
        <v>354</v>
      </c>
      <c r="F2523">
        <v>1</v>
      </c>
      <c r="G2523" t="s">
        <v>498</v>
      </c>
      <c r="H2523" s="4">
        <v>30570663</v>
      </c>
      <c r="I2523" s="4">
        <v>26351435</v>
      </c>
      <c r="J2523" s="3">
        <v>0.13801558703519123</v>
      </c>
      <c r="K2523" s="3">
        <v>0.16011378507470275</v>
      </c>
      <c r="L2523" t="s">
        <v>54</v>
      </c>
    </row>
    <row r="2524" spans="1:12" x14ac:dyDescent="0.25">
      <c r="A2524" t="s">
        <v>487</v>
      </c>
      <c r="B2524" t="s">
        <v>461</v>
      </c>
      <c r="C2524" t="s">
        <v>462</v>
      </c>
      <c r="D2524" t="s">
        <v>352</v>
      </c>
      <c r="E2524" t="s">
        <v>354</v>
      </c>
      <c r="F2524">
        <v>1</v>
      </c>
      <c r="G2524" t="s">
        <v>499</v>
      </c>
      <c r="H2524" s="4">
        <v>30570663</v>
      </c>
      <c r="I2524" s="4">
        <v>21905886</v>
      </c>
      <c r="J2524" s="3">
        <v>0.28343438282643724</v>
      </c>
      <c r="K2524" s="3">
        <v>0.39554560815298684</v>
      </c>
      <c r="L2524" t="s">
        <v>54</v>
      </c>
    </row>
    <row r="2525" spans="1:12" x14ac:dyDescent="0.25">
      <c r="A2525" t="s">
        <v>487</v>
      </c>
      <c r="B2525" t="s">
        <v>461</v>
      </c>
      <c r="C2525" t="s">
        <v>462</v>
      </c>
      <c r="D2525" t="s">
        <v>352</v>
      </c>
      <c r="E2525" t="s">
        <v>356</v>
      </c>
      <c r="F2525">
        <v>2</v>
      </c>
      <c r="G2525" t="s">
        <v>488</v>
      </c>
      <c r="H2525" s="4">
        <v>29750831</v>
      </c>
      <c r="I2525" s="4">
        <v>42268075.3427438</v>
      </c>
      <c r="J2525" s="3">
        <v>0.4207359566777748</v>
      </c>
      <c r="K2525" s="3">
        <v>-0.29613944427901767</v>
      </c>
      <c r="L2525" t="s">
        <v>54</v>
      </c>
    </row>
    <row r="2526" spans="1:12" x14ac:dyDescent="0.25">
      <c r="A2526" t="s">
        <v>487</v>
      </c>
      <c r="B2526" t="s">
        <v>461</v>
      </c>
      <c r="C2526" t="s">
        <v>462</v>
      </c>
      <c r="D2526" t="s">
        <v>352</v>
      </c>
      <c r="E2526" t="s">
        <v>356</v>
      </c>
      <c r="F2526">
        <v>2</v>
      </c>
      <c r="G2526" t="s">
        <v>498</v>
      </c>
      <c r="H2526" s="4">
        <v>29750831</v>
      </c>
      <c r="I2526" s="4">
        <v>33354052</v>
      </c>
      <c r="J2526" s="3">
        <v>0.12111328923887874</v>
      </c>
      <c r="K2526" s="3">
        <v>-0.10802948319442568</v>
      </c>
      <c r="L2526" t="s">
        <v>54</v>
      </c>
    </row>
    <row r="2527" spans="1:12" x14ac:dyDescent="0.25">
      <c r="A2527" t="s">
        <v>487</v>
      </c>
      <c r="B2527" t="s">
        <v>461</v>
      </c>
      <c r="C2527" t="s">
        <v>462</v>
      </c>
      <c r="D2527" t="s">
        <v>352</v>
      </c>
      <c r="E2527" t="s">
        <v>356</v>
      </c>
      <c r="F2527">
        <v>2</v>
      </c>
      <c r="G2527" t="s">
        <v>499</v>
      </c>
      <c r="H2527" s="4">
        <v>29750831</v>
      </c>
      <c r="I2527" s="4">
        <v>21905886</v>
      </c>
      <c r="J2527" s="3">
        <v>0.2636882647076312</v>
      </c>
      <c r="K2527" s="3">
        <v>0.3581204156727557</v>
      </c>
      <c r="L2527" t="s">
        <v>54</v>
      </c>
    </row>
    <row r="2528" spans="1:12" x14ac:dyDescent="0.25">
      <c r="A2528" t="s">
        <v>487</v>
      </c>
      <c r="B2528" t="s">
        <v>461</v>
      </c>
      <c r="C2528" t="s">
        <v>462</v>
      </c>
      <c r="D2528" t="s">
        <v>352</v>
      </c>
      <c r="E2528" t="s">
        <v>358</v>
      </c>
      <c r="F2528">
        <v>3</v>
      </c>
      <c r="G2528" t="s">
        <v>488</v>
      </c>
      <c r="H2528" s="4">
        <v>29604104</v>
      </c>
      <c r="I2528" s="4">
        <v>32509362.17188729</v>
      </c>
      <c r="J2528" s="3">
        <v>0.09813700735165941</v>
      </c>
      <c r="K2528" s="3">
        <v>-0.08936681551998067</v>
      </c>
      <c r="L2528" t="s">
        <v>54</v>
      </c>
    </row>
    <row r="2529" spans="1:12" x14ac:dyDescent="0.25">
      <c r="A2529" t="s">
        <v>487</v>
      </c>
      <c r="B2529" t="s">
        <v>461</v>
      </c>
      <c r="C2529" t="s">
        <v>462</v>
      </c>
      <c r="D2529" t="s">
        <v>352</v>
      </c>
      <c r="E2529" t="s">
        <v>358</v>
      </c>
      <c r="F2529">
        <v>3</v>
      </c>
      <c r="G2529" t="s">
        <v>498</v>
      </c>
      <c r="H2529" s="4">
        <v>29604104</v>
      </c>
      <c r="I2529" s="4">
        <v>25653379</v>
      </c>
      <c r="J2529" s="3">
        <v>0.13345193625856738</v>
      </c>
      <c r="K2529" s="3">
        <v>0.15400407876093047</v>
      </c>
      <c r="L2529" t="s">
        <v>54</v>
      </c>
    </row>
    <row r="2530" spans="1:12" x14ac:dyDescent="0.25">
      <c r="A2530" t="s">
        <v>487</v>
      </c>
      <c r="B2530" t="s">
        <v>461</v>
      </c>
      <c r="C2530" t="s">
        <v>462</v>
      </c>
      <c r="D2530" t="s">
        <v>352</v>
      </c>
      <c r="E2530" t="s">
        <v>358</v>
      </c>
      <c r="F2530">
        <v>3</v>
      </c>
      <c r="G2530" t="s">
        <v>499</v>
      </c>
      <c r="H2530" s="4">
        <v>29604104</v>
      </c>
      <c r="I2530" s="4">
        <v>21905886</v>
      </c>
      <c r="J2530" s="3">
        <v>0.2600388783933471</v>
      </c>
      <c r="K2530" s="3">
        <v>0.351422352878126</v>
      </c>
      <c r="L2530" t="s">
        <v>54</v>
      </c>
    </row>
    <row r="2531" spans="1:12" x14ac:dyDescent="0.25">
      <c r="A2531" t="s">
        <v>487</v>
      </c>
      <c r="B2531" t="s">
        <v>461</v>
      </c>
      <c r="C2531" t="s">
        <v>462</v>
      </c>
      <c r="D2531" t="s">
        <v>354</v>
      </c>
      <c r="E2531" t="s">
        <v>356</v>
      </c>
      <c r="F2531">
        <v>1</v>
      </c>
      <c r="G2531" t="s">
        <v>488</v>
      </c>
      <c r="H2531" s="4">
        <v>29750831</v>
      </c>
      <c r="I2531" s="4">
        <v>41176219.04236167</v>
      </c>
      <c r="J2531" s="3">
        <v>0.38403592969761646</v>
      </c>
      <c r="K2531" s="3">
        <v>-0.2774754046894725</v>
      </c>
      <c r="L2531" t="s">
        <v>54</v>
      </c>
    </row>
    <row r="2532" spans="1:12" x14ac:dyDescent="0.25">
      <c r="A2532" t="s">
        <v>487</v>
      </c>
      <c r="B2532" t="s">
        <v>461</v>
      </c>
      <c r="C2532" t="s">
        <v>462</v>
      </c>
      <c r="D2532" t="s">
        <v>354</v>
      </c>
      <c r="E2532" t="s">
        <v>356</v>
      </c>
      <c r="F2532">
        <v>1</v>
      </c>
      <c r="G2532" t="s">
        <v>498</v>
      </c>
      <c r="H2532" s="4">
        <v>29750831</v>
      </c>
      <c r="I2532" s="4">
        <v>33354052</v>
      </c>
      <c r="J2532" s="3">
        <v>0.12111328923887874</v>
      </c>
      <c r="K2532" s="3">
        <v>-0.10802948319442568</v>
      </c>
      <c r="L2532" t="s">
        <v>54</v>
      </c>
    </row>
    <row r="2533" spans="1:12" x14ac:dyDescent="0.25">
      <c r="A2533" t="s">
        <v>487</v>
      </c>
      <c r="B2533" t="s">
        <v>461</v>
      </c>
      <c r="C2533" t="s">
        <v>462</v>
      </c>
      <c r="D2533" t="s">
        <v>354</v>
      </c>
      <c r="E2533" t="s">
        <v>356</v>
      </c>
      <c r="F2533">
        <v>1</v>
      </c>
      <c r="G2533" t="s">
        <v>499</v>
      </c>
      <c r="H2533" s="4">
        <v>29750831</v>
      </c>
      <c r="I2533" s="4">
        <v>30570663</v>
      </c>
      <c r="J2533" s="3">
        <v>0.027556608418769883</v>
      </c>
      <c r="K2533" s="3">
        <v>-0.02681760614743619</v>
      </c>
      <c r="L2533" t="s">
        <v>54</v>
      </c>
    </row>
    <row r="2534" spans="1:12" x14ac:dyDescent="0.25">
      <c r="A2534" t="s">
        <v>487</v>
      </c>
      <c r="B2534" t="s">
        <v>461</v>
      </c>
      <c r="C2534" t="s">
        <v>462</v>
      </c>
      <c r="D2534" t="s">
        <v>354</v>
      </c>
      <c r="E2534" t="s">
        <v>358</v>
      </c>
      <c r="F2534">
        <v>2</v>
      </c>
      <c r="G2534" t="s">
        <v>488</v>
      </c>
      <c r="H2534" s="4">
        <v>29604104</v>
      </c>
      <c r="I2534" s="4">
        <v>31669590.036038827</v>
      </c>
      <c r="J2534" s="3">
        <v>0.06977026009768197</v>
      </c>
      <c r="K2534" s="3">
        <v>-0.0652198539257496</v>
      </c>
      <c r="L2534" t="s">
        <v>54</v>
      </c>
    </row>
    <row r="2535" spans="1:12" x14ac:dyDescent="0.25">
      <c r="A2535" t="s">
        <v>487</v>
      </c>
      <c r="B2535" t="s">
        <v>461</v>
      </c>
      <c r="C2535" t="s">
        <v>462</v>
      </c>
      <c r="D2535" t="s">
        <v>354</v>
      </c>
      <c r="E2535" t="s">
        <v>358</v>
      </c>
      <c r="F2535">
        <v>2</v>
      </c>
      <c r="G2535" t="s">
        <v>498</v>
      </c>
      <c r="H2535" s="4">
        <v>29604104</v>
      </c>
      <c r="I2535" s="4">
        <v>25653379</v>
      </c>
      <c r="J2535" s="3">
        <v>0.13345193625856738</v>
      </c>
      <c r="K2535" s="3">
        <v>0.15400407876093047</v>
      </c>
      <c r="L2535" t="s">
        <v>54</v>
      </c>
    </row>
    <row r="2536" spans="1:12" x14ac:dyDescent="0.25">
      <c r="A2536" t="s">
        <v>487</v>
      </c>
      <c r="B2536" t="s">
        <v>461</v>
      </c>
      <c r="C2536" t="s">
        <v>462</v>
      </c>
      <c r="D2536" t="s">
        <v>354</v>
      </c>
      <c r="E2536" t="s">
        <v>358</v>
      </c>
      <c r="F2536">
        <v>2</v>
      </c>
      <c r="G2536" t="s">
        <v>499</v>
      </c>
      <c r="H2536" s="4">
        <v>29604104</v>
      </c>
      <c r="I2536" s="4">
        <v>30570663</v>
      </c>
      <c r="J2536" s="3">
        <v>0.03264949346212268</v>
      </c>
      <c r="K2536" s="3">
        <v>-0.03161720764773731</v>
      </c>
      <c r="L2536" t="s">
        <v>54</v>
      </c>
    </row>
    <row r="2537" spans="1:12" x14ac:dyDescent="0.25">
      <c r="A2537" t="s">
        <v>487</v>
      </c>
      <c r="B2537" t="s">
        <v>461</v>
      </c>
      <c r="C2537" t="s">
        <v>462</v>
      </c>
      <c r="D2537" t="s">
        <v>354</v>
      </c>
      <c r="E2537" t="s">
        <v>360</v>
      </c>
      <c r="F2537">
        <v>3</v>
      </c>
      <c r="G2537" t="s">
        <v>488</v>
      </c>
      <c r="H2537" s="4">
        <v>26060990</v>
      </c>
      <c r="I2537" s="4">
        <v>38911455.22008296</v>
      </c>
      <c r="J2537" s="3">
        <v>0.49309198231083934</v>
      </c>
      <c r="K2537" s="3">
        <v>-0.3302488983616985</v>
      </c>
      <c r="L2537" t="s">
        <v>54</v>
      </c>
    </row>
    <row r="2538" spans="1:12" x14ac:dyDescent="0.25">
      <c r="A2538" t="s">
        <v>487</v>
      </c>
      <c r="B2538" t="s">
        <v>461</v>
      </c>
      <c r="C2538" t="s">
        <v>462</v>
      </c>
      <c r="D2538" t="s">
        <v>354</v>
      </c>
      <c r="E2538" t="s">
        <v>360</v>
      </c>
      <c r="F2538">
        <v>3</v>
      </c>
      <c r="G2538" t="s">
        <v>498</v>
      </c>
      <c r="H2538" s="4">
        <v>26060990</v>
      </c>
      <c r="I2538" s="4">
        <v>31519521</v>
      </c>
      <c r="J2538" s="3">
        <v>0.2094521735360015</v>
      </c>
      <c r="K2538" s="3">
        <v>-0.17317937667897934</v>
      </c>
      <c r="L2538" t="s">
        <v>54</v>
      </c>
    </row>
    <row r="2539" spans="1:12" x14ac:dyDescent="0.25">
      <c r="A2539" t="s">
        <v>487</v>
      </c>
      <c r="B2539" t="s">
        <v>461</v>
      </c>
      <c r="C2539" t="s">
        <v>462</v>
      </c>
      <c r="D2539" t="s">
        <v>354</v>
      </c>
      <c r="E2539" t="s">
        <v>360</v>
      </c>
      <c r="F2539">
        <v>3</v>
      </c>
      <c r="G2539" t="s">
        <v>499</v>
      </c>
      <c r="H2539" s="4">
        <v>26060990</v>
      </c>
      <c r="I2539" s="4">
        <v>30570663</v>
      </c>
      <c r="J2539" s="3">
        <v>0.17304304249378094</v>
      </c>
      <c r="K2539" s="3">
        <v>-0.14751636233731666</v>
      </c>
      <c r="L2539" t="s">
        <v>54</v>
      </c>
    </row>
    <row r="2540" spans="1:12" x14ac:dyDescent="0.25">
      <c r="A2540" t="s">
        <v>487</v>
      </c>
      <c r="B2540" t="s">
        <v>461</v>
      </c>
      <c r="C2540" t="s">
        <v>462</v>
      </c>
      <c r="D2540" t="s">
        <v>356</v>
      </c>
      <c r="E2540" t="s">
        <v>358</v>
      </c>
      <c r="F2540">
        <v>1</v>
      </c>
      <c r="G2540" t="s">
        <v>488</v>
      </c>
      <c r="H2540" s="4">
        <v>29604104</v>
      </c>
      <c r="I2540" s="4">
        <v>30322278.50428492</v>
      </c>
      <c r="J2540" s="3">
        <v>0.0242592886541987</v>
      </c>
      <c r="K2540" s="3">
        <v>-0.023684714332514005</v>
      </c>
      <c r="L2540" t="s">
        <v>54</v>
      </c>
    </row>
    <row r="2541" spans="1:12" x14ac:dyDescent="0.25">
      <c r="A2541" t="s">
        <v>487</v>
      </c>
      <c r="B2541" t="s">
        <v>461</v>
      </c>
      <c r="C2541" t="s">
        <v>462</v>
      </c>
      <c r="D2541" t="s">
        <v>356</v>
      </c>
      <c r="E2541" t="s">
        <v>358</v>
      </c>
      <c r="F2541">
        <v>1</v>
      </c>
      <c r="G2541" t="s">
        <v>498</v>
      </c>
      <c r="H2541" s="4">
        <v>29604104</v>
      </c>
      <c r="I2541" s="4">
        <v>25653379</v>
      </c>
      <c r="J2541" s="3">
        <v>0.13345193625856738</v>
      </c>
      <c r="K2541" s="3">
        <v>0.15400407876093047</v>
      </c>
      <c r="L2541" t="s">
        <v>54</v>
      </c>
    </row>
    <row r="2542" spans="1:12" x14ac:dyDescent="0.25">
      <c r="A2542" t="s">
        <v>487</v>
      </c>
      <c r="B2542" t="s">
        <v>461</v>
      </c>
      <c r="C2542" t="s">
        <v>462</v>
      </c>
      <c r="D2542" t="s">
        <v>356</v>
      </c>
      <c r="E2542" t="s">
        <v>358</v>
      </c>
      <c r="F2542">
        <v>1</v>
      </c>
      <c r="G2542" t="s">
        <v>499</v>
      </c>
      <c r="H2542" s="4">
        <v>29604104</v>
      </c>
      <c r="I2542" s="4">
        <v>29750831</v>
      </c>
      <c r="J2542" s="3">
        <v>0.004956306058105998</v>
      </c>
      <c r="K2542" s="3">
        <v>-0.004931862239411061</v>
      </c>
      <c r="L2542" t="s">
        <v>54</v>
      </c>
    </row>
    <row r="2543" spans="1:12" x14ac:dyDescent="0.25">
      <c r="A2543" t="s">
        <v>487</v>
      </c>
      <c r="B2543" t="s">
        <v>461</v>
      </c>
      <c r="C2543" t="s">
        <v>462</v>
      </c>
      <c r="D2543" t="s">
        <v>356</v>
      </c>
      <c r="E2543" t="s">
        <v>360</v>
      </c>
      <c r="F2543">
        <v>2</v>
      </c>
      <c r="G2543" t="s">
        <v>488</v>
      </c>
      <c r="H2543" s="4">
        <v>26060990</v>
      </c>
      <c r="I2543" s="4">
        <v>37256054.809920244</v>
      </c>
      <c r="J2543" s="3">
        <v>0.42957173959700856</v>
      </c>
      <c r="K2543" s="3">
        <v>-0.3004898094292934</v>
      </c>
      <c r="L2543" t="s">
        <v>54</v>
      </c>
    </row>
    <row r="2544" spans="1:12" x14ac:dyDescent="0.25">
      <c r="A2544" t="s">
        <v>487</v>
      </c>
      <c r="B2544" t="s">
        <v>461</v>
      </c>
      <c r="C2544" t="s">
        <v>462</v>
      </c>
      <c r="D2544" t="s">
        <v>356</v>
      </c>
      <c r="E2544" t="s">
        <v>360</v>
      </c>
      <c r="F2544">
        <v>2</v>
      </c>
      <c r="G2544" t="s">
        <v>498</v>
      </c>
      <c r="H2544" s="4">
        <v>26060990</v>
      </c>
      <c r="I2544" s="4">
        <v>31519521</v>
      </c>
      <c r="J2544" s="3">
        <v>0.2094521735360015</v>
      </c>
      <c r="K2544" s="3">
        <v>-0.17317937667897934</v>
      </c>
      <c r="L2544" t="s">
        <v>54</v>
      </c>
    </row>
    <row r="2545" spans="1:12" x14ac:dyDescent="0.25">
      <c r="A2545" t="s">
        <v>487</v>
      </c>
      <c r="B2545" t="s">
        <v>461</v>
      </c>
      <c r="C2545" t="s">
        <v>462</v>
      </c>
      <c r="D2545" t="s">
        <v>356</v>
      </c>
      <c r="E2545" t="s">
        <v>360</v>
      </c>
      <c r="F2545">
        <v>2</v>
      </c>
      <c r="G2545" t="s">
        <v>499</v>
      </c>
      <c r="H2545" s="4">
        <v>26060990</v>
      </c>
      <c r="I2545" s="4">
        <v>29750831</v>
      </c>
      <c r="J2545" s="3">
        <v>0.14158483618619247</v>
      </c>
      <c r="K2545" s="3">
        <v>-0.12402480455083759</v>
      </c>
      <c r="L2545" t="s">
        <v>54</v>
      </c>
    </row>
    <row r="2546" spans="1:12" x14ac:dyDescent="0.25">
      <c r="A2546" t="s">
        <v>487</v>
      </c>
      <c r="B2546" t="s">
        <v>461</v>
      </c>
      <c r="C2546" t="s">
        <v>462</v>
      </c>
      <c r="D2546" t="s">
        <v>356</v>
      </c>
      <c r="E2546" t="s">
        <v>362</v>
      </c>
      <c r="F2546">
        <v>3</v>
      </c>
      <c r="G2546" t="s">
        <v>488</v>
      </c>
      <c r="H2546" s="4">
        <v>22852674</v>
      </c>
      <c r="I2546" s="4">
        <v>34500983.24185656</v>
      </c>
      <c r="J2546" s="3">
        <v>0.5097131846302345</v>
      </c>
      <c r="K2546" s="3">
        <v>-0.3376225297754657</v>
      </c>
      <c r="L2546" t="s">
        <v>54</v>
      </c>
    </row>
    <row r="2547" spans="1:12" x14ac:dyDescent="0.25">
      <c r="A2547" t="s">
        <v>487</v>
      </c>
      <c r="B2547" t="s">
        <v>461</v>
      </c>
      <c r="C2547" t="s">
        <v>462</v>
      </c>
      <c r="D2547" t="s">
        <v>356</v>
      </c>
      <c r="E2547" t="s">
        <v>362</v>
      </c>
      <c r="F2547">
        <v>3</v>
      </c>
      <c r="G2547" t="s">
        <v>498</v>
      </c>
      <c r="H2547" s="4">
        <v>22852674</v>
      </c>
      <c r="I2547" s="4">
        <v>29188664</v>
      </c>
      <c r="J2547" s="3">
        <v>0.27725376907752675</v>
      </c>
      <c r="K2547" s="3">
        <v>-0.2170702297302816</v>
      </c>
      <c r="L2547" t="s">
        <v>54</v>
      </c>
    </row>
    <row r="2548" spans="1:12" x14ac:dyDescent="0.25">
      <c r="A2548" t="s">
        <v>487</v>
      </c>
      <c r="B2548" t="s">
        <v>461</v>
      </c>
      <c r="C2548" t="s">
        <v>462</v>
      </c>
      <c r="D2548" t="s">
        <v>356</v>
      </c>
      <c r="E2548" t="s">
        <v>362</v>
      </c>
      <c r="F2548">
        <v>3</v>
      </c>
      <c r="G2548" t="s">
        <v>499</v>
      </c>
      <c r="H2548" s="4">
        <v>22852674</v>
      </c>
      <c r="I2548" s="4">
        <v>29750831</v>
      </c>
      <c r="J2548" s="3">
        <v>0.3018533848599074</v>
      </c>
      <c r="K2548" s="3">
        <v>-0.23186434691521726</v>
      </c>
      <c r="L2548" t="s">
        <v>54</v>
      </c>
    </row>
    <row r="2549" spans="1:12" x14ac:dyDescent="0.25">
      <c r="A2549" t="s">
        <v>487</v>
      </c>
      <c r="B2549" t="s">
        <v>461</v>
      </c>
      <c r="C2549" t="s">
        <v>462</v>
      </c>
      <c r="D2549" t="s">
        <v>358</v>
      </c>
      <c r="E2549" t="s">
        <v>360</v>
      </c>
      <c r="F2549">
        <v>1</v>
      </c>
      <c r="G2549" t="s">
        <v>488</v>
      </c>
      <c r="H2549" s="4">
        <v>26060990</v>
      </c>
      <c r="I2549" s="4">
        <v>37884743.477482475</v>
      </c>
      <c r="J2549" s="3">
        <v>0.4536954842269029</v>
      </c>
      <c r="K2549" s="3">
        <v>-0.31209802131853287</v>
      </c>
      <c r="L2549" t="s">
        <v>54</v>
      </c>
    </row>
    <row r="2550" spans="1:12" x14ac:dyDescent="0.25">
      <c r="A2550" t="s">
        <v>487</v>
      </c>
      <c r="B2550" t="s">
        <v>461</v>
      </c>
      <c r="C2550" t="s">
        <v>462</v>
      </c>
      <c r="D2550" t="s">
        <v>358</v>
      </c>
      <c r="E2550" t="s">
        <v>360</v>
      </c>
      <c r="F2550">
        <v>1</v>
      </c>
      <c r="G2550" t="s">
        <v>498</v>
      </c>
      <c r="H2550" s="4">
        <v>26060990</v>
      </c>
      <c r="I2550" s="4">
        <v>31519521</v>
      </c>
      <c r="J2550" s="3">
        <v>0.2094521735360015</v>
      </c>
      <c r="K2550" s="3">
        <v>-0.17317937667897934</v>
      </c>
      <c r="L2550" t="s">
        <v>54</v>
      </c>
    </row>
    <row r="2551" spans="1:12" x14ac:dyDescent="0.25">
      <c r="A2551" t="s">
        <v>487</v>
      </c>
      <c r="B2551" t="s">
        <v>461</v>
      </c>
      <c r="C2551" t="s">
        <v>462</v>
      </c>
      <c r="D2551" t="s">
        <v>358</v>
      </c>
      <c r="E2551" t="s">
        <v>360</v>
      </c>
      <c r="F2551">
        <v>1</v>
      </c>
      <c r="G2551" t="s">
        <v>499</v>
      </c>
      <c r="H2551" s="4">
        <v>26060990</v>
      </c>
      <c r="I2551" s="4">
        <v>29604104</v>
      </c>
      <c r="J2551" s="3">
        <v>0.1359546970395215</v>
      </c>
      <c r="K2551" s="3">
        <v>-0.11968320338288232</v>
      </c>
      <c r="L2551" t="s">
        <v>54</v>
      </c>
    </row>
    <row r="2552" spans="1:12" x14ac:dyDescent="0.25">
      <c r="A2552" t="s">
        <v>487</v>
      </c>
      <c r="B2552" t="s">
        <v>461</v>
      </c>
      <c r="C2552" t="s">
        <v>462</v>
      </c>
      <c r="D2552" t="s">
        <v>358</v>
      </c>
      <c r="E2552" t="s">
        <v>362</v>
      </c>
      <c r="F2552">
        <v>2</v>
      </c>
      <c r="G2552" t="s">
        <v>488</v>
      </c>
      <c r="H2552" s="4">
        <v>22852674</v>
      </c>
      <c r="I2552" s="4">
        <v>35083180.61338647</v>
      </c>
      <c r="J2552" s="3">
        <v>0.5351893005337786</v>
      </c>
      <c r="K2552" s="3">
        <v>-0.3486145326492932</v>
      </c>
      <c r="L2552" t="s">
        <v>54</v>
      </c>
    </row>
    <row r="2553" spans="1:12" x14ac:dyDescent="0.25">
      <c r="A2553" t="s">
        <v>487</v>
      </c>
      <c r="B2553" t="s">
        <v>461</v>
      </c>
      <c r="C2553" t="s">
        <v>462</v>
      </c>
      <c r="D2553" t="s">
        <v>358</v>
      </c>
      <c r="E2553" t="s">
        <v>362</v>
      </c>
      <c r="F2553">
        <v>2</v>
      </c>
      <c r="G2553" t="s">
        <v>498</v>
      </c>
      <c r="H2553" s="4">
        <v>22852674</v>
      </c>
      <c r="I2553" s="4">
        <v>29188664</v>
      </c>
      <c r="J2553" s="3">
        <v>0.27725376907752675</v>
      </c>
      <c r="K2553" s="3">
        <v>-0.2170702297302816</v>
      </c>
      <c r="L2553" t="s">
        <v>54</v>
      </c>
    </row>
    <row r="2554" spans="1:12" x14ac:dyDescent="0.25">
      <c r="A2554" t="s">
        <v>487</v>
      </c>
      <c r="B2554" t="s">
        <v>461</v>
      </c>
      <c r="C2554" t="s">
        <v>462</v>
      </c>
      <c r="D2554" t="s">
        <v>358</v>
      </c>
      <c r="E2554" t="s">
        <v>362</v>
      </c>
      <c r="F2554">
        <v>2</v>
      </c>
      <c r="G2554" t="s">
        <v>499</v>
      </c>
      <c r="H2554" s="4">
        <v>22852674</v>
      </c>
      <c r="I2554" s="4">
        <v>29604104</v>
      </c>
      <c r="J2554" s="3">
        <v>0.29543282330986737</v>
      </c>
      <c r="K2554" s="3">
        <v>-0.22805723152438595</v>
      </c>
      <c r="L2554" t="s">
        <v>54</v>
      </c>
    </row>
    <row r="2555" spans="1:12" x14ac:dyDescent="0.25">
      <c r="A2555" t="s">
        <v>487</v>
      </c>
      <c r="B2555" t="s">
        <v>461</v>
      </c>
      <c r="C2555" t="s">
        <v>462</v>
      </c>
      <c r="D2555" t="s">
        <v>358</v>
      </c>
      <c r="E2555" t="s">
        <v>364</v>
      </c>
      <c r="F2555">
        <v>3</v>
      </c>
      <c r="G2555" t="s">
        <v>488</v>
      </c>
      <c r="H2555" s="4">
        <v>31088175</v>
      </c>
      <c r="I2555" s="4">
        <v>33664666.27978532</v>
      </c>
      <c r="J2555" s="3">
        <v>0.08287689064363926</v>
      </c>
      <c r="K2555" s="3">
        <v>-0.07653399140725867</v>
      </c>
      <c r="L2555" t="s">
        <v>54</v>
      </c>
    </row>
    <row r="2556" spans="1:12" x14ac:dyDescent="0.25">
      <c r="A2556" t="s">
        <v>487</v>
      </c>
      <c r="B2556" t="s">
        <v>461</v>
      </c>
      <c r="C2556" t="s">
        <v>462</v>
      </c>
      <c r="D2556" t="s">
        <v>358</v>
      </c>
      <c r="E2556" t="s">
        <v>364</v>
      </c>
      <c r="F2556">
        <v>3</v>
      </c>
      <c r="G2556" t="s">
        <v>498</v>
      </c>
      <c r="H2556" s="4">
        <v>31088175</v>
      </c>
      <c r="I2556" s="4">
        <v>28008482</v>
      </c>
      <c r="J2556" s="3">
        <v>0.09906316469204127</v>
      </c>
      <c r="K2556" s="3">
        <v>0.10995572698299037</v>
      </c>
      <c r="L2556" t="s">
        <v>54</v>
      </c>
    </row>
    <row r="2557" spans="1:12" x14ac:dyDescent="0.25">
      <c r="A2557" t="s">
        <v>487</v>
      </c>
      <c r="B2557" t="s">
        <v>461</v>
      </c>
      <c r="C2557" t="s">
        <v>462</v>
      </c>
      <c r="D2557" t="s">
        <v>358</v>
      </c>
      <c r="E2557" t="s">
        <v>364</v>
      </c>
      <c r="F2557">
        <v>3</v>
      </c>
      <c r="G2557" t="s">
        <v>499</v>
      </c>
      <c r="H2557" s="4">
        <v>31088175</v>
      </c>
      <c r="I2557" s="4">
        <v>29604104</v>
      </c>
      <c r="J2557" s="3">
        <v>0.047737475744394776</v>
      </c>
      <c r="K2557" s="3">
        <v>0.05013058324616074</v>
      </c>
      <c r="L2557" t="s">
        <v>54</v>
      </c>
    </row>
    <row r="2558" spans="1:12" x14ac:dyDescent="0.25">
      <c r="A2558" t="s">
        <v>487</v>
      </c>
      <c r="B2558" t="s">
        <v>461</v>
      </c>
      <c r="C2558" t="s">
        <v>462</v>
      </c>
      <c r="D2558" t="s">
        <v>360</v>
      </c>
      <c r="E2558" t="s">
        <v>362</v>
      </c>
      <c r="F2558">
        <v>1</v>
      </c>
      <c r="G2558" t="s">
        <v>488</v>
      </c>
      <c r="H2558" s="4">
        <v>22852674</v>
      </c>
      <c r="I2558" s="4">
        <v>34379932.327947244</v>
      </c>
      <c r="J2558" s="3">
        <v>0.5044161715144252</v>
      </c>
      <c r="K2558" s="3">
        <v>-0.3352903146518646</v>
      </c>
      <c r="L2558" t="s">
        <v>54</v>
      </c>
    </row>
    <row r="2559" spans="1:12" x14ac:dyDescent="0.25">
      <c r="A2559" t="s">
        <v>487</v>
      </c>
      <c r="B2559" t="s">
        <v>461</v>
      </c>
      <c r="C2559" t="s">
        <v>462</v>
      </c>
      <c r="D2559" t="s">
        <v>360</v>
      </c>
      <c r="E2559" t="s">
        <v>362</v>
      </c>
      <c r="F2559">
        <v>1</v>
      </c>
      <c r="G2559" t="s">
        <v>498</v>
      </c>
      <c r="H2559" s="4">
        <v>22852674</v>
      </c>
      <c r="I2559" s="4">
        <v>29188664</v>
      </c>
      <c r="J2559" s="3">
        <v>0.27725376907752675</v>
      </c>
      <c r="K2559" s="3">
        <v>-0.2170702297302816</v>
      </c>
      <c r="L2559" t="s">
        <v>54</v>
      </c>
    </row>
    <row r="2560" spans="1:12" x14ac:dyDescent="0.25">
      <c r="A2560" t="s">
        <v>487</v>
      </c>
      <c r="B2560" t="s">
        <v>461</v>
      </c>
      <c r="C2560" t="s">
        <v>462</v>
      </c>
      <c r="D2560" t="s">
        <v>360</v>
      </c>
      <c r="E2560" t="s">
        <v>362</v>
      </c>
      <c r="F2560">
        <v>1</v>
      </c>
      <c r="G2560" t="s">
        <v>499</v>
      </c>
      <c r="H2560" s="4">
        <v>22852674</v>
      </c>
      <c r="I2560" s="4">
        <v>26060990</v>
      </c>
      <c r="J2560" s="3">
        <v>0.14039127324881107</v>
      </c>
      <c r="K2560" s="3">
        <v>-0.12310798630443433</v>
      </c>
      <c r="L2560" t="s">
        <v>54</v>
      </c>
    </row>
    <row r="2561" spans="1:12" x14ac:dyDescent="0.25">
      <c r="A2561" t="s">
        <v>487</v>
      </c>
      <c r="B2561" t="s">
        <v>461</v>
      </c>
      <c r="C2561" t="s">
        <v>462</v>
      </c>
      <c r="D2561" t="s">
        <v>360</v>
      </c>
      <c r="E2561" t="s">
        <v>364</v>
      </c>
      <c r="F2561">
        <v>2</v>
      </c>
      <c r="G2561" t="s">
        <v>488</v>
      </c>
      <c r="H2561" s="4">
        <v>31088175</v>
      </c>
      <c r="I2561" s="4">
        <v>32989852.35393194</v>
      </c>
      <c r="J2561" s="3">
        <v>0.06117044033404795</v>
      </c>
      <c r="K2561" s="3">
        <v>-0.05764431236398932</v>
      </c>
      <c r="L2561" t="s">
        <v>54</v>
      </c>
    </row>
    <row r="2562" spans="1:12" x14ac:dyDescent="0.25">
      <c r="A2562" t="s">
        <v>487</v>
      </c>
      <c r="B2562" t="s">
        <v>461</v>
      </c>
      <c r="C2562" t="s">
        <v>462</v>
      </c>
      <c r="D2562" t="s">
        <v>360</v>
      </c>
      <c r="E2562" t="s">
        <v>364</v>
      </c>
      <c r="F2562">
        <v>2</v>
      </c>
      <c r="G2562" t="s">
        <v>498</v>
      </c>
      <c r="H2562" s="4">
        <v>31088175</v>
      </c>
      <c r="I2562" s="4">
        <v>28008482</v>
      </c>
      <c r="J2562" s="3">
        <v>0.09906316469204127</v>
      </c>
      <c r="K2562" s="3">
        <v>0.10995572698299037</v>
      </c>
      <c r="L2562" t="s">
        <v>54</v>
      </c>
    </row>
    <row r="2563" spans="1:12" x14ac:dyDescent="0.25">
      <c r="A2563" t="s">
        <v>487</v>
      </c>
      <c r="B2563" t="s">
        <v>461</v>
      </c>
      <c r="C2563" t="s">
        <v>462</v>
      </c>
      <c r="D2563" t="s">
        <v>360</v>
      </c>
      <c r="E2563" t="s">
        <v>364</v>
      </c>
      <c r="F2563">
        <v>2</v>
      </c>
      <c r="G2563" t="s">
        <v>499</v>
      </c>
      <c r="H2563" s="4">
        <v>31088175</v>
      </c>
      <c r="I2563" s="4">
        <v>26060990</v>
      </c>
      <c r="J2563" s="3">
        <v>0.1617073051087753</v>
      </c>
      <c r="K2563" s="3">
        <v>0.19290076854332855</v>
      </c>
      <c r="L2563" t="s">
        <v>54</v>
      </c>
    </row>
    <row r="2564" spans="1:12" x14ac:dyDescent="0.25">
      <c r="A2564" t="s">
        <v>487</v>
      </c>
      <c r="B2564" t="s">
        <v>461</v>
      </c>
      <c r="C2564" t="s">
        <v>462</v>
      </c>
      <c r="D2564" t="s">
        <v>360</v>
      </c>
      <c r="E2564" t="s">
        <v>366</v>
      </c>
      <c r="F2564">
        <v>3</v>
      </c>
      <c r="G2564" t="s">
        <v>488</v>
      </c>
      <c r="H2564" s="4">
        <v>32549153</v>
      </c>
      <c r="I2564" s="4">
        <v>45163764.10346745</v>
      </c>
      <c r="J2564" s="3">
        <v>0.38755574080429833</v>
      </c>
      <c r="K2564" s="3">
        <v>-0.2793082320279625</v>
      </c>
      <c r="L2564" t="s">
        <v>54</v>
      </c>
    </row>
    <row r="2565" spans="1:12" x14ac:dyDescent="0.25">
      <c r="A2565" t="s">
        <v>487</v>
      </c>
      <c r="B2565" t="s">
        <v>461</v>
      </c>
      <c r="C2565" t="s">
        <v>462</v>
      </c>
      <c r="D2565" t="s">
        <v>360</v>
      </c>
      <c r="E2565" t="s">
        <v>366</v>
      </c>
      <c r="F2565">
        <v>3</v>
      </c>
      <c r="G2565" t="s">
        <v>498</v>
      </c>
      <c r="H2565" s="4">
        <v>32549153</v>
      </c>
      <c r="I2565" s="4">
        <v>38344169</v>
      </c>
      <c r="J2565" s="3">
        <v>0.1780389185549621</v>
      </c>
      <c r="K2565" s="3">
        <v>-0.15113161012825704</v>
      </c>
      <c r="L2565" t="s">
        <v>54</v>
      </c>
    </row>
    <row r="2566" spans="1:12" x14ac:dyDescent="0.25">
      <c r="A2566" t="s">
        <v>487</v>
      </c>
      <c r="B2566" t="s">
        <v>461</v>
      </c>
      <c r="C2566" t="s">
        <v>462</v>
      </c>
      <c r="D2566" t="s">
        <v>360</v>
      </c>
      <c r="E2566" t="s">
        <v>366</v>
      </c>
      <c r="F2566">
        <v>3</v>
      </c>
      <c r="G2566" t="s">
        <v>499</v>
      </c>
      <c r="H2566" s="4">
        <v>32549153</v>
      </c>
      <c r="I2566" s="4">
        <v>26060990</v>
      </c>
      <c r="J2566" s="3">
        <v>0.199334311402819</v>
      </c>
      <c r="K2566" s="3">
        <v>0.248960726357671</v>
      </c>
      <c r="L2566" t="s">
        <v>54</v>
      </c>
    </row>
    <row r="2567" spans="1:12" x14ac:dyDescent="0.25">
      <c r="A2567" t="s">
        <v>487</v>
      </c>
      <c r="B2567" t="s">
        <v>461</v>
      </c>
      <c r="C2567" t="s">
        <v>462</v>
      </c>
      <c r="D2567" t="s">
        <v>362</v>
      </c>
      <c r="E2567" t="s">
        <v>364</v>
      </c>
      <c r="F2567">
        <v>1</v>
      </c>
      <c r="G2567" t="s">
        <v>488</v>
      </c>
      <c r="H2567" s="4">
        <v>31088175</v>
      </c>
      <c r="I2567" s="4">
        <v>31467704.476348255</v>
      </c>
      <c r="J2567" s="3">
        <v>0.01220816198918897</v>
      </c>
      <c r="K2567" s="3">
        <v>-0.012060920320181493</v>
      </c>
      <c r="L2567" t="s">
        <v>54</v>
      </c>
    </row>
    <row r="2568" spans="1:12" x14ac:dyDescent="0.25">
      <c r="A2568" t="s">
        <v>487</v>
      </c>
      <c r="B2568" t="s">
        <v>461</v>
      </c>
      <c r="C2568" t="s">
        <v>462</v>
      </c>
      <c r="D2568" t="s">
        <v>362</v>
      </c>
      <c r="E2568" t="s">
        <v>364</v>
      </c>
      <c r="F2568">
        <v>1</v>
      </c>
      <c r="G2568" t="s">
        <v>498</v>
      </c>
      <c r="H2568" s="4">
        <v>31088175</v>
      </c>
      <c r="I2568" s="4">
        <v>28008482</v>
      </c>
      <c r="J2568" s="3">
        <v>0.09906316469204127</v>
      </c>
      <c r="K2568" s="3">
        <v>0.10995572698299037</v>
      </c>
      <c r="L2568" t="s">
        <v>54</v>
      </c>
    </row>
    <row r="2569" spans="1:12" x14ac:dyDescent="0.25">
      <c r="A2569" t="s">
        <v>487</v>
      </c>
      <c r="B2569" t="s">
        <v>461</v>
      </c>
      <c r="C2569" t="s">
        <v>462</v>
      </c>
      <c r="D2569" t="s">
        <v>362</v>
      </c>
      <c r="E2569" t="s">
        <v>364</v>
      </c>
      <c r="F2569">
        <v>1</v>
      </c>
      <c r="G2569" t="s">
        <v>499</v>
      </c>
      <c r="H2569" s="4">
        <v>31088175</v>
      </c>
      <c r="I2569" s="4">
        <v>22852674</v>
      </c>
      <c r="J2569" s="3">
        <v>0.2649078307105515</v>
      </c>
      <c r="K2569" s="3">
        <v>0.3603736262986117</v>
      </c>
      <c r="L2569" t="s">
        <v>54</v>
      </c>
    </row>
    <row r="2570" spans="1:12" x14ac:dyDescent="0.25">
      <c r="A2570" t="s">
        <v>487</v>
      </c>
      <c r="B2570" t="s">
        <v>461</v>
      </c>
      <c r="C2570" t="s">
        <v>462</v>
      </c>
      <c r="D2570" t="s">
        <v>362</v>
      </c>
      <c r="E2570" t="s">
        <v>366</v>
      </c>
      <c r="F2570">
        <v>2</v>
      </c>
      <c r="G2570" t="s">
        <v>488</v>
      </c>
      <c r="H2570" s="4">
        <v>32549153</v>
      </c>
      <c r="I2570" s="4">
        <v>43079913.38063784</v>
      </c>
      <c r="J2570" s="3">
        <v>0.3235340833796148</v>
      </c>
      <c r="K2570" s="3">
        <v>-0.24444711129272753</v>
      </c>
      <c r="L2570" t="s">
        <v>54</v>
      </c>
    </row>
    <row r="2571" spans="1:12" x14ac:dyDescent="0.25">
      <c r="A2571" t="s">
        <v>487</v>
      </c>
      <c r="B2571" t="s">
        <v>461</v>
      </c>
      <c r="C2571" t="s">
        <v>462</v>
      </c>
      <c r="D2571" t="s">
        <v>362</v>
      </c>
      <c r="E2571" t="s">
        <v>366</v>
      </c>
      <c r="F2571">
        <v>2</v>
      </c>
      <c r="G2571" t="s">
        <v>498</v>
      </c>
      <c r="H2571" s="4">
        <v>32549153</v>
      </c>
      <c r="I2571" s="4">
        <v>38344169</v>
      </c>
      <c r="J2571" s="3">
        <v>0.1780389185549621</v>
      </c>
      <c r="K2571" s="3">
        <v>-0.15113161012825704</v>
      </c>
      <c r="L2571" t="s">
        <v>54</v>
      </c>
    </row>
    <row r="2572" spans="1:12" x14ac:dyDescent="0.25">
      <c r="A2572" t="s">
        <v>487</v>
      </c>
      <c r="B2572" t="s">
        <v>461</v>
      </c>
      <c r="C2572" t="s">
        <v>462</v>
      </c>
      <c r="D2572" t="s">
        <v>362</v>
      </c>
      <c r="E2572" t="s">
        <v>366</v>
      </c>
      <c r="F2572">
        <v>2</v>
      </c>
      <c r="G2572" t="s">
        <v>499</v>
      </c>
      <c r="H2572" s="4">
        <v>32549153</v>
      </c>
      <c r="I2572" s="4">
        <v>22852674</v>
      </c>
      <c r="J2572" s="3">
        <v>0.29790265202907124</v>
      </c>
      <c r="K2572" s="3">
        <v>0.42430391296878434</v>
      </c>
      <c r="L2572" t="s">
        <v>54</v>
      </c>
    </row>
    <row r="2573" spans="1:12" x14ac:dyDescent="0.25">
      <c r="A2573" t="s">
        <v>487</v>
      </c>
      <c r="B2573" t="s">
        <v>461</v>
      </c>
      <c r="C2573" t="s">
        <v>462</v>
      </c>
      <c r="D2573" t="s">
        <v>362</v>
      </c>
      <c r="E2573" t="s">
        <v>368</v>
      </c>
      <c r="F2573">
        <v>3</v>
      </c>
      <c r="G2573" t="s">
        <v>488</v>
      </c>
      <c r="H2573" s="4">
        <v>30423394</v>
      </c>
      <c r="I2573" s="4">
        <v>36525243.11898093</v>
      </c>
      <c r="J2573" s="3">
        <v>0.20056437881259825</v>
      </c>
      <c r="K2573" s="3">
        <v>-0.16705841215359374</v>
      </c>
      <c r="L2573" t="s">
        <v>54</v>
      </c>
    </row>
    <row r="2574" spans="1:12" x14ac:dyDescent="0.25">
      <c r="A2574" t="s">
        <v>487</v>
      </c>
      <c r="B2574" t="s">
        <v>461</v>
      </c>
      <c r="C2574" t="s">
        <v>462</v>
      </c>
      <c r="D2574" t="s">
        <v>362</v>
      </c>
      <c r="E2574" t="s">
        <v>368</v>
      </c>
      <c r="F2574">
        <v>3</v>
      </c>
      <c r="G2574" t="s">
        <v>498</v>
      </c>
      <c r="H2574" s="4">
        <v>30423394</v>
      </c>
      <c r="I2574" s="4">
        <v>32510049</v>
      </c>
      <c r="J2574" s="3">
        <v>0.06858718655781798</v>
      </c>
      <c r="K2574" s="3">
        <v>-0.06418492325249955</v>
      </c>
      <c r="L2574" t="s">
        <v>54</v>
      </c>
    </row>
    <row r="2575" spans="1:12" x14ac:dyDescent="0.25">
      <c r="A2575" t="s">
        <v>487</v>
      </c>
      <c r="B2575" t="s">
        <v>461</v>
      </c>
      <c r="C2575" t="s">
        <v>462</v>
      </c>
      <c r="D2575" t="s">
        <v>362</v>
      </c>
      <c r="E2575" t="s">
        <v>368</v>
      </c>
      <c r="F2575">
        <v>3</v>
      </c>
      <c r="G2575" t="s">
        <v>499</v>
      </c>
      <c r="H2575" s="4">
        <v>30423394</v>
      </c>
      <c r="I2575" s="4">
        <v>22852674</v>
      </c>
      <c r="J2575" s="3">
        <v>0.24884534578883605</v>
      </c>
      <c r="K2575" s="3">
        <v>0.3312837701181052</v>
      </c>
      <c r="L2575" t="s">
        <v>54</v>
      </c>
    </row>
    <row r="2576" spans="1:12" x14ac:dyDescent="0.25">
      <c r="A2576" t="s">
        <v>487</v>
      </c>
      <c r="B2576" t="s">
        <v>461</v>
      </c>
      <c r="C2576" t="s">
        <v>462</v>
      </c>
      <c r="D2576" t="s">
        <v>364</v>
      </c>
      <c r="E2576" t="s">
        <v>366</v>
      </c>
      <c r="F2576">
        <v>1</v>
      </c>
      <c r="G2576" t="s">
        <v>488</v>
      </c>
      <c r="H2576" s="4">
        <v>32549153</v>
      </c>
      <c r="I2576" s="4">
        <v>42023548.495928526</v>
      </c>
      <c r="J2576" s="3">
        <v>0.29107963257687614</v>
      </c>
      <c r="K2576" s="3">
        <v>-0.2254544376909641</v>
      </c>
      <c r="L2576" t="s">
        <v>54</v>
      </c>
    </row>
    <row r="2577" spans="1:12" x14ac:dyDescent="0.25">
      <c r="A2577" t="s">
        <v>487</v>
      </c>
      <c r="B2577" t="s">
        <v>461</v>
      </c>
      <c r="C2577" t="s">
        <v>462</v>
      </c>
      <c r="D2577" t="s">
        <v>364</v>
      </c>
      <c r="E2577" t="s">
        <v>366</v>
      </c>
      <c r="F2577">
        <v>1</v>
      </c>
      <c r="G2577" t="s">
        <v>498</v>
      </c>
      <c r="H2577" s="4">
        <v>32549153</v>
      </c>
      <c r="I2577" s="4">
        <v>38344169</v>
      </c>
      <c r="J2577" s="3">
        <v>0.1780389185549621</v>
      </c>
      <c r="K2577" s="3">
        <v>-0.15113161012825704</v>
      </c>
      <c r="L2577" t="s">
        <v>54</v>
      </c>
    </row>
    <row r="2578" spans="1:12" x14ac:dyDescent="0.25">
      <c r="A2578" t="s">
        <v>487</v>
      </c>
      <c r="B2578" t="s">
        <v>461</v>
      </c>
      <c r="C2578" t="s">
        <v>462</v>
      </c>
      <c r="D2578" t="s">
        <v>364</v>
      </c>
      <c r="E2578" t="s">
        <v>366</v>
      </c>
      <c r="F2578">
        <v>1</v>
      </c>
      <c r="G2578" t="s">
        <v>499</v>
      </c>
      <c r="H2578" s="4">
        <v>32549153</v>
      </c>
      <c r="I2578" s="4">
        <v>31088175</v>
      </c>
      <c r="J2578" s="3">
        <v>0.0448852847261494</v>
      </c>
      <c r="K2578" s="3">
        <v>0.04699465311167349</v>
      </c>
      <c r="L2578" t="s">
        <v>54</v>
      </c>
    </row>
    <row r="2579" spans="1:12" x14ac:dyDescent="0.25">
      <c r="A2579" t="s">
        <v>487</v>
      </c>
      <c r="B2579" t="s">
        <v>461</v>
      </c>
      <c r="C2579" t="s">
        <v>462</v>
      </c>
      <c r="D2579" t="s">
        <v>364</v>
      </c>
      <c r="E2579" t="s">
        <v>368</v>
      </c>
      <c r="F2579">
        <v>2</v>
      </c>
      <c r="G2579" t="s">
        <v>488</v>
      </c>
      <c r="H2579" s="4">
        <v>30423394</v>
      </c>
      <c r="I2579" s="4">
        <v>35629605.658073135</v>
      </c>
      <c r="J2579" s="3">
        <v>0.1711252747827259</v>
      </c>
      <c r="K2579" s="3">
        <v>-0.1461203839311504</v>
      </c>
      <c r="L2579" t="s">
        <v>54</v>
      </c>
    </row>
    <row r="2580" spans="1:12" x14ac:dyDescent="0.25">
      <c r="A2580" t="s">
        <v>487</v>
      </c>
      <c r="B2580" t="s">
        <v>461</v>
      </c>
      <c r="C2580" t="s">
        <v>462</v>
      </c>
      <c r="D2580" t="s">
        <v>364</v>
      </c>
      <c r="E2580" t="s">
        <v>368</v>
      </c>
      <c r="F2580">
        <v>2</v>
      </c>
      <c r="G2580" t="s">
        <v>498</v>
      </c>
      <c r="H2580" s="4">
        <v>30423394</v>
      </c>
      <c r="I2580" s="4">
        <v>32510049</v>
      </c>
      <c r="J2580" s="3">
        <v>0.06858718655781798</v>
      </c>
      <c r="K2580" s="3">
        <v>-0.06418492325249955</v>
      </c>
      <c r="L2580" t="s">
        <v>54</v>
      </c>
    </row>
    <row r="2581" spans="1:12" x14ac:dyDescent="0.25">
      <c r="A2581" t="s">
        <v>487</v>
      </c>
      <c r="B2581" t="s">
        <v>461</v>
      </c>
      <c r="C2581" t="s">
        <v>462</v>
      </c>
      <c r="D2581" t="s">
        <v>364</v>
      </c>
      <c r="E2581" t="s">
        <v>368</v>
      </c>
      <c r="F2581">
        <v>2</v>
      </c>
      <c r="G2581" t="s">
        <v>499</v>
      </c>
      <c r="H2581" s="4">
        <v>30423394</v>
      </c>
      <c r="I2581" s="4">
        <v>31088175</v>
      </c>
      <c r="J2581" s="3">
        <v>0.021850980860320845</v>
      </c>
      <c r="K2581" s="3">
        <v>-0.021383725484046587</v>
      </c>
      <c r="L2581" t="s">
        <v>54</v>
      </c>
    </row>
    <row r="2582" spans="1:12" x14ac:dyDescent="0.25">
      <c r="A2582" t="s">
        <v>487</v>
      </c>
      <c r="B2582" t="s">
        <v>461</v>
      </c>
      <c r="C2582" t="s">
        <v>462</v>
      </c>
      <c r="D2582" t="s">
        <v>364</v>
      </c>
      <c r="E2582" t="s">
        <v>370</v>
      </c>
      <c r="F2582">
        <v>3</v>
      </c>
      <c r="G2582" t="s">
        <v>488</v>
      </c>
      <c r="H2582" s="4">
        <v>29445544</v>
      </c>
      <c r="I2582" s="4">
        <v>35070111.00073529</v>
      </c>
      <c r="J2582" s="3">
        <v>0.191015897031323</v>
      </c>
      <c r="K2582" s="3">
        <v>-0.1603806443788377</v>
      </c>
      <c r="L2582" t="s">
        <v>54</v>
      </c>
    </row>
    <row r="2583" spans="1:12" x14ac:dyDescent="0.25">
      <c r="A2583" t="s">
        <v>487</v>
      </c>
      <c r="B2583" t="s">
        <v>461</v>
      </c>
      <c r="C2583" t="s">
        <v>462</v>
      </c>
      <c r="D2583" t="s">
        <v>364</v>
      </c>
      <c r="E2583" t="s">
        <v>370</v>
      </c>
      <c r="F2583">
        <v>3</v>
      </c>
      <c r="G2583" t="s">
        <v>498</v>
      </c>
      <c r="H2583" s="4">
        <v>29445544</v>
      </c>
      <c r="I2583" s="4">
        <v>31999541</v>
      </c>
      <c r="J2583" s="3">
        <v>0.08673628172738122</v>
      </c>
      <c r="K2583" s="3">
        <v>-0.07981355107562324</v>
      </c>
      <c r="L2583" t="s">
        <v>54</v>
      </c>
    </row>
    <row r="2584" spans="1:12" x14ac:dyDescent="0.25">
      <c r="A2584" t="s">
        <v>487</v>
      </c>
      <c r="B2584" t="s">
        <v>461</v>
      </c>
      <c r="C2584" t="s">
        <v>462</v>
      </c>
      <c r="D2584" t="s">
        <v>364</v>
      </c>
      <c r="E2584" t="s">
        <v>370</v>
      </c>
      <c r="F2584">
        <v>3</v>
      </c>
      <c r="G2584" t="s">
        <v>499</v>
      </c>
      <c r="H2584" s="4">
        <v>29445544</v>
      </c>
      <c r="I2584" s="4">
        <v>31088175</v>
      </c>
      <c r="J2584" s="3">
        <v>0.055785384708803475</v>
      </c>
      <c r="K2584" s="3">
        <v>-0.052837807301329205</v>
      </c>
      <c r="L2584" t="s">
        <v>54</v>
      </c>
    </row>
    <row r="2585" spans="1:12" x14ac:dyDescent="0.25">
      <c r="A2585" t="s">
        <v>487</v>
      </c>
      <c r="B2585" t="s">
        <v>461</v>
      </c>
      <c r="C2585" t="s">
        <v>462</v>
      </c>
      <c r="D2585" t="s">
        <v>366</v>
      </c>
      <c r="E2585" t="s">
        <v>368</v>
      </c>
      <c r="F2585">
        <v>1</v>
      </c>
      <c r="G2585" t="s">
        <v>488</v>
      </c>
      <c r="H2585" s="4">
        <v>30423394</v>
      </c>
      <c r="I2585" s="4">
        <v>33824896.05676581</v>
      </c>
      <c r="J2585" s="3">
        <v>0.11180547629780588</v>
      </c>
      <c r="K2585" s="3">
        <v>-0.10056208453848081</v>
      </c>
      <c r="L2585" t="s">
        <v>54</v>
      </c>
    </row>
    <row r="2586" spans="1:12" x14ac:dyDescent="0.25">
      <c r="A2586" t="s">
        <v>487</v>
      </c>
      <c r="B2586" t="s">
        <v>461</v>
      </c>
      <c r="C2586" t="s">
        <v>462</v>
      </c>
      <c r="D2586" t="s">
        <v>366</v>
      </c>
      <c r="E2586" t="s">
        <v>368</v>
      </c>
      <c r="F2586">
        <v>1</v>
      </c>
      <c r="G2586" t="s">
        <v>498</v>
      </c>
      <c r="H2586" s="4">
        <v>30423394</v>
      </c>
      <c r="I2586" s="4">
        <v>32510049</v>
      </c>
      <c r="J2586" s="3">
        <v>0.06858718655781798</v>
      </c>
      <c r="K2586" s="3">
        <v>-0.06418492325249955</v>
      </c>
      <c r="L2586" t="s">
        <v>54</v>
      </c>
    </row>
    <row r="2587" spans="1:12" x14ac:dyDescent="0.25">
      <c r="A2587" t="s">
        <v>487</v>
      </c>
      <c r="B2587" t="s">
        <v>461</v>
      </c>
      <c r="C2587" t="s">
        <v>462</v>
      </c>
      <c r="D2587" t="s">
        <v>366</v>
      </c>
      <c r="E2587" t="s">
        <v>368</v>
      </c>
      <c r="F2587">
        <v>1</v>
      </c>
      <c r="G2587" t="s">
        <v>499</v>
      </c>
      <c r="H2587" s="4">
        <v>30423394</v>
      </c>
      <c r="I2587" s="4">
        <v>32549153</v>
      </c>
      <c r="J2587" s="3">
        <v>0.06987251323767493</v>
      </c>
      <c r="K2587" s="3">
        <v>-0.06530919560333874</v>
      </c>
      <c r="L2587" t="s">
        <v>54</v>
      </c>
    </row>
    <row r="2588" spans="1:12" x14ac:dyDescent="0.25">
      <c r="A2588" t="s">
        <v>487</v>
      </c>
      <c r="B2588" t="s">
        <v>461</v>
      </c>
      <c r="C2588" t="s">
        <v>462</v>
      </c>
      <c r="D2588" t="s">
        <v>366</v>
      </c>
      <c r="E2588" t="s">
        <v>370</v>
      </c>
      <c r="F2588">
        <v>2</v>
      </c>
      <c r="G2588" t="s">
        <v>488</v>
      </c>
      <c r="H2588" s="4">
        <v>29445544</v>
      </c>
      <c r="I2588" s="4">
        <v>33293740.904211365</v>
      </c>
      <c r="J2588" s="3">
        <v>0.13068859940951896</v>
      </c>
      <c r="K2588" s="3">
        <v>-0.11558319370847875</v>
      </c>
      <c r="L2588" t="s">
        <v>54</v>
      </c>
    </row>
    <row r="2589" spans="1:12" x14ac:dyDescent="0.25">
      <c r="A2589" t="s">
        <v>487</v>
      </c>
      <c r="B2589" t="s">
        <v>461</v>
      </c>
      <c r="C2589" t="s">
        <v>462</v>
      </c>
      <c r="D2589" t="s">
        <v>366</v>
      </c>
      <c r="E2589" t="s">
        <v>370</v>
      </c>
      <c r="F2589">
        <v>2</v>
      </c>
      <c r="G2589" t="s">
        <v>498</v>
      </c>
      <c r="H2589" s="4">
        <v>29445544</v>
      </c>
      <c r="I2589" s="4">
        <v>31999541</v>
      </c>
      <c r="J2589" s="3">
        <v>0.08673628172738122</v>
      </c>
      <c r="K2589" s="3">
        <v>-0.07981355107562324</v>
      </c>
      <c r="L2589" t="s">
        <v>54</v>
      </c>
    </row>
    <row r="2590" spans="1:12" x14ac:dyDescent="0.25">
      <c r="A2590" t="s">
        <v>487</v>
      </c>
      <c r="B2590" t="s">
        <v>461</v>
      </c>
      <c r="C2590" t="s">
        <v>462</v>
      </c>
      <c r="D2590" t="s">
        <v>366</v>
      </c>
      <c r="E2590" t="s">
        <v>370</v>
      </c>
      <c r="F2590">
        <v>2</v>
      </c>
      <c r="G2590" t="s">
        <v>499</v>
      </c>
      <c r="H2590" s="4">
        <v>29445544</v>
      </c>
      <c r="I2590" s="4">
        <v>32549153</v>
      </c>
      <c r="J2590" s="3">
        <v>0.10540165262356845</v>
      </c>
      <c r="K2590" s="3">
        <v>-0.09535145200245303</v>
      </c>
      <c r="L2590" t="s">
        <v>54</v>
      </c>
    </row>
    <row r="2591" spans="1:12" x14ac:dyDescent="0.25">
      <c r="A2591" t="s">
        <v>487</v>
      </c>
      <c r="B2591" t="s">
        <v>461</v>
      </c>
      <c r="C2591" t="s">
        <v>462</v>
      </c>
      <c r="D2591" t="s">
        <v>366</v>
      </c>
      <c r="E2591" t="s">
        <v>372</v>
      </c>
      <c r="F2591">
        <v>3</v>
      </c>
      <c r="G2591" t="s">
        <v>488</v>
      </c>
      <c r="H2591" s="4">
        <v>20592349</v>
      </c>
      <c r="I2591" s="4">
        <v>22503394.751091</v>
      </c>
      <c r="J2591" s="3">
        <v>0.09280367922527924</v>
      </c>
      <c r="K2591" s="3">
        <v>-0.08492255378483947</v>
      </c>
      <c r="L2591" t="s">
        <v>54</v>
      </c>
    </row>
    <row r="2592" spans="1:12" x14ac:dyDescent="0.25">
      <c r="A2592" t="s">
        <v>487</v>
      </c>
      <c r="B2592" t="s">
        <v>461</v>
      </c>
      <c r="C2592" t="s">
        <v>462</v>
      </c>
      <c r="D2592" t="s">
        <v>366</v>
      </c>
      <c r="E2592" t="s">
        <v>372</v>
      </c>
      <c r="F2592">
        <v>3</v>
      </c>
      <c r="G2592" t="s">
        <v>498</v>
      </c>
      <c r="H2592" s="4">
        <v>20592349</v>
      </c>
      <c r="I2592" s="4">
        <v>21628639</v>
      </c>
      <c r="J2592" s="3">
        <v>0.05032403054163466</v>
      </c>
      <c r="K2592" s="3">
        <v>-0.047912862200899464</v>
      </c>
      <c r="L2592" t="s">
        <v>54</v>
      </c>
    </row>
    <row r="2593" spans="1:12" x14ac:dyDescent="0.25">
      <c r="A2593" t="s">
        <v>487</v>
      </c>
      <c r="B2593" t="s">
        <v>461</v>
      </c>
      <c r="C2593" t="s">
        <v>462</v>
      </c>
      <c r="D2593" t="s">
        <v>366</v>
      </c>
      <c r="E2593" t="s">
        <v>372</v>
      </c>
      <c r="F2593">
        <v>3</v>
      </c>
      <c r="G2593" t="s">
        <v>499</v>
      </c>
      <c r="H2593" s="4">
        <v>20592349</v>
      </c>
      <c r="I2593" s="4">
        <v>32549153</v>
      </c>
      <c r="J2593" s="3">
        <v>0.5806430339734432</v>
      </c>
      <c r="K2593" s="3">
        <v>-0.3673460873160048</v>
      </c>
      <c r="L2593" t="s">
        <v>54</v>
      </c>
    </row>
    <row r="2594" spans="1:12" x14ac:dyDescent="0.25">
      <c r="A2594" t="s">
        <v>487</v>
      </c>
      <c r="B2594" t="s">
        <v>461</v>
      </c>
      <c r="C2594" t="s">
        <v>462</v>
      </c>
      <c r="D2594" t="s">
        <v>368</v>
      </c>
      <c r="E2594" t="s">
        <v>370</v>
      </c>
      <c r="F2594">
        <v>1</v>
      </c>
      <c r="G2594" t="s">
        <v>488</v>
      </c>
      <c r="H2594" s="4">
        <v>29445544</v>
      </c>
      <c r="I2594" s="4">
        <v>32406753.00916523</v>
      </c>
      <c r="J2594" s="3">
        <v>0.10056560711410974</v>
      </c>
      <c r="K2594" s="3">
        <v>-0.09137629457439769</v>
      </c>
      <c r="L2594" t="s">
        <v>54</v>
      </c>
    </row>
    <row r="2595" spans="1:12" x14ac:dyDescent="0.25">
      <c r="A2595" t="s">
        <v>487</v>
      </c>
      <c r="B2595" t="s">
        <v>461</v>
      </c>
      <c r="C2595" t="s">
        <v>462</v>
      </c>
      <c r="D2595" t="s">
        <v>368</v>
      </c>
      <c r="E2595" t="s">
        <v>370</v>
      </c>
      <c r="F2595">
        <v>1</v>
      </c>
      <c r="G2595" t="s">
        <v>498</v>
      </c>
      <c r="H2595" s="4">
        <v>29445544</v>
      </c>
      <c r="I2595" s="4">
        <v>31999541</v>
      </c>
      <c r="J2595" s="3">
        <v>0.08673628172738122</v>
      </c>
      <c r="K2595" s="3">
        <v>-0.07981355107562324</v>
      </c>
      <c r="L2595" t="s">
        <v>54</v>
      </c>
    </row>
    <row r="2596" spans="1:12" x14ac:dyDescent="0.25">
      <c r="A2596" t="s">
        <v>487</v>
      </c>
      <c r="B2596" t="s">
        <v>461</v>
      </c>
      <c r="C2596" t="s">
        <v>462</v>
      </c>
      <c r="D2596" t="s">
        <v>368</v>
      </c>
      <c r="E2596" t="s">
        <v>370</v>
      </c>
      <c r="F2596">
        <v>1</v>
      </c>
      <c r="G2596" t="s">
        <v>499</v>
      </c>
      <c r="H2596" s="4">
        <v>29445544</v>
      </c>
      <c r="I2596" s="4">
        <v>30423394</v>
      </c>
      <c r="J2596" s="3">
        <v>0.03320875987212191</v>
      </c>
      <c r="K2596" s="3">
        <v>-0.03214138435705102</v>
      </c>
      <c r="L2596" t="s">
        <v>54</v>
      </c>
    </row>
    <row r="2597" spans="1:12" x14ac:dyDescent="0.25">
      <c r="A2597" t="s">
        <v>487</v>
      </c>
      <c r="B2597" t="s">
        <v>461</v>
      </c>
      <c r="C2597" t="s">
        <v>462</v>
      </c>
      <c r="D2597" t="s">
        <v>368</v>
      </c>
      <c r="E2597" t="s">
        <v>372</v>
      </c>
      <c r="F2597">
        <v>2</v>
      </c>
      <c r="G2597" t="s">
        <v>488</v>
      </c>
      <c r="H2597" s="4">
        <v>20592349</v>
      </c>
      <c r="I2597" s="4">
        <v>21903875.49613285</v>
      </c>
      <c r="J2597" s="3">
        <v>0.06368998972059238</v>
      </c>
      <c r="K2597" s="3">
        <v>-0.05987645868259258</v>
      </c>
      <c r="L2597" t="s">
        <v>54</v>
      </c>
    </row>
    <row r="2598" spans="1:12" x14ac:dyDescent="0.25">
      <c r="A2598" t="s">
        <v>487</v>
      </c>
      <c r="B2598" t="s">
        <v>461</v>
      </c>
      <c r="C2598" t="s">
        <v>462</v>
      </c>
      <c r="D2598" t="s">
        <v>368</v>
      </c>
      <c r="E2598" t="s">
        <v>372</v>
      </c>
      <c r="F2598">
        <v>2</v>
      </c>
      <c r="G2598" t="s">
        <v>498</v>
      </c>
      <c r="H2598" s="4">
        <v>20592349</v>
      </c>
      <c r="I2598" s="4">
        <v>21628639</v>
      </c>
      <c r="J2598" s="3">
        <v>0.05032403054163466</v>
      </c>
      <c r="K2598" s="3">
        <v>-0.047912862200899464</v>
      </c>
      <c r="L2598" t="s">
        <v>54</v>
      </c>
    </row>
    <row r="2599" spans="1:12" x14ac:dyDescent="0.25">
      <c r="A2599" t="s">
        <v>487</v>
      </c>
      <c r="B2599" t="s">
        <v>461</v>
      </c>
      <c r="C2599" t="s">
        <v>462</v>
      </c>
      <c r="D2599" t="s">
        <v>368</v>
      </c>
      <c r="E2599" t="s">
        <v>372</v>
      </c>
      <c r="F2599">
        <v>2</v>
      </c>
      <c r="G2599" t="s">
        <v>499</v>
      </c>
      <c r="H2599" s="4">
        <v>20592349</v>
      </c>
      <c r="I2599" s="4">
        <v>30423394</v>
      </c>
      <c r="J2599" s="3">
        <v>0.47741250888861686</v>
      </c>
      <c r="K2599" s="3">
        <v>-0.32314096842712553</v>
      </c>
      <c r="L2599" t="s">
        <v>54</v>
      </c>
    </row>
    <row r="2600" spans="1:12" x14ac:dyDescent="0.25">
      <c r="A2600" t="s">
        <v>487</v>
      </c>
      <c r="B2600" t="s">
        <v>461</v>
      </c>
      <c r="C2600" t="s">
        <v>462</v>
      </c>
      <c r="D2600" t="s">
        <v>368</v>
      </c>
      <c r="E2600" t="s">
        <v>374</v>
      </c>
      <c r="F2600">
        <v>3</v>
      </c>
      <c r="G2600" t="s">
        <v>488</v>
      </c>
      <c r="H2600" s="4">
        <v>21765149</v>
      </c>
      <c r="I2600" s="4">
        <v>22025460.288427882</v>
      </c>
      <c r="J2600" s="3">
        <v>0.011960004887992355</v>
      </c>
      <c r="K2600" s="3">
        <v>-0.011818653731593012</v>
      </c>
      <c r="L2600" t="s">
        <v>54</v>
      </c>
    </row>
    <row r="2601" spans="1:12" x14ac:dyDescent="0.25">
      <c r="A2601" t="s">
        <v>487</v>
      </c>
      <c r="B2601" t="s">
        <v>461</v>
      </c>
      <c r="C2601" t="s">
        <v>462</v>
      </c>
      <c r="D2601" t="s">
        <v>368</v>
      </c>
      <c r="E2601" t="s">
        <v>374</v>
      </c>
      <c r="F2601">
        <v>3</v>
      </c>
      <c r="G2601" t="s">
        <v>498</v>
      </c>
      <c r="H2601" s="4">
        <v>21765149</v>
      </c>
      <c r="I2601" s="4">
        <v>21748696</v>
      </c>
      <c r="J2601" s="3">
        <v>0.0007559332582561232</v>
      </c>
      <c r="K2601" s="3">
        <v>0.0007565051256406361</v>
      </c>
      <c r="L2601" t="s">
        <v>54</v>
      </c>
    </row>
    <row r="2602" spans="1:12" x14ac:dyDescent="0.25">
      <c r="A2602" t="s">
        <v>487</v>
      </c>
      <c r="B2602" t="s">
        <v>461</v>
      </c>
      <c r="C2602" t="s">
        <v>462</v>
      </c>
      <c r="D2602" t="s">
        <v>368</v>
      </c>
      <c r="E2602" t="s">
        <v>374</v>
      </c>
      <c r="F2602">
        <v>3</v>
      </c>
      <c r="G2602" t="s">
        <v>499</v>
      </c>
      <c r="H2602" s="4">
        <v>21765149</v>
      </c>
      <c r="I2602" s="4">
        <v>30423394</v>
      </c>
      <c r="J2602" s="3">
        <v>0.3978031576994947</v>
      </c>
      <c r="K2602" s="3">
        <v>-0.2845916862530196</v>
      </c>
      <c r="L2602" t="s">
        <v>54</v>
      </c>
    </row>
    <row r="2603" spans="1:12" x14ac:dyDescent="0.25">
      <c r="A2603" t="s">
        <v>487</v>
      </c>
      <c r="B2603" t="s">
        <v>461</v>
      </c>
      <c r="C2603" t="s">
        <v>462</v>
      </c>
      <c r="D2603" t="s">
        <v>370</v>
      </c>
      <c r="E2603" t="s">
        <v>372</v>
      </c>
      <c r="F2603">
        <v>1</v>
      </c>
      <c r="G2603" t="s">
        <v>488</v>
      </c>
      <c r="H2603" s="4">
        <v>20592349</v>
      </c>
      <c r="I2603" s="4">
        <v>21105381.286761567</v>
      </c>
      <c r="J2603" s="3">
        <v>0.024913733093857676</v>
      </c>
      <c r="K2603" s="3">
        <v>-0.02430812690805868</v>
      </c>
      <c r="L2603" t="s">
        <v>54</v>
      </c>
    </row>
    <row r="2604" spans="1:12" x14ac:dyDescent="0.25">
      <c r="A2604" t="s">
        <v>487</v>
      </c>
      <c r="B2604" t="s">
        <v>461</v>
      </c>
      <c r="C2604" t="s">
        <v>462</v>
      </c>
      <c r="D2604" t="s">
        <v>370</v>
      </c>
      <c r="E2604" t="s">
        <v>372</v>
      </c>
      <c r="F2604">
        <v>1</v>
      </c>
      <c r="G2604" t="s">
        <v>498</v>
      </c>
      <c r="H2604" s="4">
        <v>20592349</v>
      </c>
      <c r="I2604" s="4">
        <v>21628639</v>
      </c>
      <c r="J2604" s="3">
        <v>0.05032403054163466</v>
      </c>
      <c r="K2604" s="3">
        <v>-0.047912862200899464</v>
      </c>
      <c r="L2604" t="s">
        <v>54</v>
      </c>
    </row>
    <row r="2605" spans="1:12" x14ac:dyDescent="0.25">
      <c r="A2605" t="s">
        <v>487</v>
      </c>
      <c r="B2605" t="s">
        <v>461</v>
      </c>
      <c r="C2605" t="s">
        <v>462</v>
      </c>
      <c r="D2605" t="s">
        <v>370</v>
      </c>
      <c r="E2605" t="s">
        <v>372</v>
      </c>
      <c r="F2605">
        <v>1</v>
      </c>
      <c r="G2605" t="s">
        <v>499</v>
      </c>
      <c r="H2605" s="4">
        <v>20592349</v>
      </c>
      <c r="I2605" s="4">
        <v>29445544</v>
      </c>
      <c r="J2605" s="3">
        <v>0.42992642558651273</v>
      </c>
      <c r="K2605" s="3">
        <v>-0.30066331938034496</v>
      </c>
      <c r="L2605" t="s">
        <v>54</v>
      </c>
    </row>
    <row r="2606" spans="1:12" x14ac:dyDescent="0.25">
      <c r="A2606" t="s">
        <v>487</v>
      </c>
      <c r="B2606" t="s">
        <v>461</v>
      </c>
      <c r="C2606" t="s">
        <v>462</v>
      </c>
      <c r="D2606" t="s">
        <v>370</v>
      </c>
      <c r="E2606" t="s">
        <v>374</v>
      </c>
      <c r="F2606">
        <v>2</v>
      </c>
      <c r="G2606" t="s">
        <v>488</v>
      </c>
      <c r="H2606" s="4">
        <v>21765149</v>
      </c>
      <c r="I2606" s="4">
        <v>21222533.769686855</v>
      </c>
      <c r="J2606" s="3">
        <v>0.024930462470674777</v>
      </c>
      <c r="K2606" s="3">
        <v>0.025567881582932737</v>
      </c>
      <c r="L2606" t="s">
        <v>54</v>
      </c>
    </row>
    <row r="2607" spans="1:12" x14ac:dyDescent="0.25">
      <c r="A2607" t="s">
        <v>487</v>
      </c>
      <c r="B2607" t="s">
        <v>461</v>
      </c>
      <c r="C2607" t="s">
        <v>462</v>
      </c>
      <c r="D2607" t="s">
        <v>370</v>
      </c>
      <c r="E2607" t="s">
        <v>374</v>
      </c>
      <c r="F2607">
        <v>2</v>
      </c>
      <c r="G2607" t="s">
        <v>498</v>
      </c>
      <c r="H2607" s="4">
        <v>21765149</v>
      </c>
      <c r="I2607" s="4">
        <v>21748696</v>
      </c>
      <c r="J2607" s="3">
        <v>0.0007559332582561232</v>
      </c>
      <c r="K2607" s="3">
        <v>0.0007565051256406361</v>
      </c>
      <c r="L2607" t="s">
        <v>54</v>
      </c>
    </row>
    <row r="2608" spans="1:12" x14ac:dyDescent="0.25">
      <c r="A2608" t="s">
        <v>487</v>
      </c>
      <c r="B2608" t="s">
        <v>461</v>
      </c>
      <c r="C2608" t="s">
        <v>462</v>
      </c>
      <c r="D2608" t="s">
        <v>370</v>
      </c>
      <c r="E2608" t="s">
        <v>374</v>
      </c>
      <c r="F2608">
        <v>2</v>
      </c>
      <c r="G2608" t="s">
        <v>499</v>
      </c>
      <c r="H2608" s="4">
        <v>21765149</v>
      </c>
      <c r="I2608" s="4">
        <v>29445544</v>
      </c>
      <c r="J2608" s="3">
        <v>0.35287582915237564</v>
      </c>
      <c r="K2608" s="3">
        <v>-0.2608338633512765</v>
      </c>
      <c r="L2608" t="s">
        <v>54</v>
      </c>
    </row>
    <row r="2609" spans="1:12" x14ac:dyDescent="0.25">
      <c r="A2609" t="s">
        <v>487</v>
      </c>
      <c r="B2609" t="s">
        <v>461</v>
      </c>
      <c r="C2609" t="s">
        <v>462</v>
      </c>
      <c r="D2609" t="s">
        <v>370</v>
      </c>
      <c r="E2609" t="s">
        <v>376</v>
      </c>
      <c r="F2609">
        <v>3</v>
      </c>
      <c r="G2609" t="s">
        <v>488</v>
      </c>
      <c r="H2609" s="4">
        <v>25195025</v>
      </c>
      <c r="I2609" s="4">
        <v>21375920.900724832</v>
      </c>
      <c r="J2609" s="3">
        <v>0.1515816753218212</v>
      </c>
      <c r="K2609" s="3">
        <v>0.17866383942062897</v>
      </c>
      <c r="L2609" t="s">
        <v>377</v>
      </c>
    </row>
    <row r="2610" spans="1:12" x14ac:dyDescent="0.25">
      <c r="A2610" t="s">
        <v>487</v>
      </c>
      <c r="B2610" t="s">
        <v>461</v>
      </c>
      <c r="C2610" t="s">
        <v>462</v>
      </c>
      <c r="D2610" t="s">
        <v>370</v>
      </c>
      <c r="E2610" t="s">
        <v>376</v>
      </c>
      <c r="F2610">
        <v>3</v>
      </c>
      <c r="G2610" t="s">
        <v>498</v>
      </c>
      <c r="H2610" s="4">
        <v>25195025</v>
      </c>
      <c r="I2610" s="4">
        <v>21905886</v>
      </c>
      <c r="J2610" s="3">
        <v>0.13054716159241755</v>
      </c>
      <c r="K2610" s="3">
        <v>0.15014864041563988</v>
      </c>
      <c r="L2610" t="s">
        <v>377</v>
      </c>
    </row>
    <row r="2611" spans="1:12" x14ac:dyDescent="0.25">
      <c r="A2611" t="s">
        <v>487</v>
      </c>
      <c r="B2611" t="s">
        <v>461</v>
      </c>
      <c r="C2611" t="s">
        <v>462</v>
      </c>
      <c r="D2611" t="s">
        <v>370</v>
      </c>
      <c r="E2611" t="s">
        <v>376</v>
      </c>
      <c r="F2611">
        <v>3</v>
      </c>
      <c r="G2611" t="s">
        <v>499</v>
      </c>
      <c r="H2611" s="4">
        <v>25195025</v>
      </c>
      <c r="I2611" s="4">
        <v>29445544</v>
      </c>
      <c r="J2611" s="3">
        <v>0.16870469467682608</v>
      </c>
      <c r="K2611" s="3">
        <v>-0.14435185846795698</v>
      </c>
      <c r="L2611" t="s">
        <v>377</v>
      </c>
    </row>
    <row r="2612" spans="1:12" x14ac:dyDescent="0.25">
      <c r="A2612" t="s">
        <v>487</v>
      </c>
      <c r="B2612" t="s">
        <v>461</v>
      </c>
      <c r="C2612" t="s">
        <v>462</v>
      </c>
      <c r="D2612" t="s">
        <v>372</v>
      </c>
      <c r="E2612" t="s">
        <v>374</v>
      </c>
      <c r="F2612">
        <v>1</v>
      </c>
      <c r="G2612" t="s">
        <v>488</v>
      </c>
      <c r="H2612" s="4">
        <v>21765149</v>
      </c>
      <c r="I2612" s="4">
        <v>21364325.829877913</v>
      </c>
      <c r="J2612" s="3">
        <v>0.018415824772074246</v>
      </c>
      <c r="K2612" s="3">
        <v>0.018761330140431468</v>
      </c>
      <c r="L2612" t="s">
        <v>54</v>
      </c>
    </row>
    <row r="2613" spans="1:12" x14ac:dyDescent="0.25">
      <c r="A2613" t="s">
        <v>487</v>
      </c>
      <c r="B2613" t="s">
        <v>461</v>
      </c>
      <c r="C2613" t="s">
        <v>462</v>
      </c>
      <c r="D2613" t="s">
        <v>372</v>
      </c>
      <c r="E2613" t="s">
        <v>374</v>
      </c>
      <c r="F2613">
        <v>1</v>
      </c>
      <c r="G2613" t="s">
        <v>498</v>
      </c>
      <c r="H2613" s="4">
        <v>21765149</v>
      </c>
      <c r="I2613" s="4">
        <v>21748696</v>
      </c>
      <c r="J2613" s="3">
        <v>0.0007559332582561232</v>
      </c>
      <c r="K2613" s="3">
        <v>0.0007565051256406361</v>
      </c>
      <c r="L2613" t="s">
        <v>54</v>
      </c>
    </row>
    <row r="2614" spans="1:12" x14ac:dyDescent="0.25">
      <c r="A2614" t="s">
        <v>487</v>
      </c>
      <c r="B2614" t="s">
        <v>461</v>
      </c>
      <c r="C2614" t="s">
        <v>462</v>
      </c>
      <c r="D2614" t="s">
        <v>372</v>
      </c>
      <c r="E2614" t="s">
        <v>374</v>
      </c>
      <c r="F2614">
        <v>1</v>
      </c>
      <c r="G2614" t="s">
        <v>499</v>
      </c>
      <c r="H2614" s="4">
        <v>21765149</v>
      </c>
      <c r="I2614" s="4">
        <v>20592349</v>
      </c>
      <c r="J2614" s="3">
        <v>0.05388430835001405</v>
      </c>
      <c r="K2614" s="3">
        <v>0.056953191692701015</v>
      </c>
      <c r="L2614" t="s">
        <v>54</v>
      </c>
    </row>
    <row r="2615" spans="1:12" x14ac:dyDescent="0.25">
      <c r="A2615" t="s">
        <v>487</v>
      </c>
      <c r="B2615" t="s">
        <v>461</v>
      </c>
      <c r="C2615" t="s">
        <v>462</v>
      </c>
      <c r="D2615" t="s">
        <v>372</v>
      </c>
      <c r="E2615" t="s">
        <v>376</v>
      </c>
      <c r="F2615">
        <v>2</v>
      </c>
      <c r="G2615" t="s">
        <v>488</v>
      </c>
      <c r="H2615" s="4">
        <v>25195025</v>
      </c>
      <c r="I2615" s="4">
        <v>21518737.771504138</v>
      </c>
      <c r="J2615" s="3">
        <v>0.14591322010975827</v>
      </c>
      <c r="K2615" s="3">
        <v>0.17084121139131728</v>
      </c>
      <c r="L2615" t="s">
        <v>377</v>
      </c>
    </row>
    <row r="2616" spans="1:12" x14ac:dyDescent="0.25">
      <c r="A2616" t="s">
        <v>487</v>
      </c>
      <c r="B2616" t="s">
        <v>461</v>
      </c>
      <c r="C2616" t="s">
        <v>462</v>
      </c>
      <c r="D2616" t="s">
        <v>372</v>
      </c>
      <c r="E2616" t="s">
        <v>376</v>
      </c>
      <c r="F2616">
        <v>2</v>
      </c>
      <c r="G2616" t="s">
        <v>498</v>
      </c>
      <c r="H2616" s="4">
        <v>25195025</v>
      </c>
      <c r="I2616" s="4">
        <v>21905886</v>
      </c>
      <c r="J2616" s="3">
        <v>0.13054716159241755</v>
      </c>
      <c r="K2616" s="3">
        <v>0.15014864041563988</v>
      </c>
      <c r="L2616" t="s">
        <v>377</v>
      </c>
    </row>
    <row r="2617" spans="1:12" x14ac:dyDescent="0.25">
      <c r="A2617" t="s">
        <v>487</v>
      </c>
      <c r="B2617" t="s">
        <v>461</v>
      </c>
      <c r="C2617" t="s">
        <v>462</v>
      </c>
      <c r="D2617" t="s">
        <v>372</v>
      </c>
      <c r="E2617" t="s">
        <v>376</v>
      </c>
      <c r="F2617">
        <v>2</v>
      </c>
      <c r="G2617" t="s">
        <v>499</v>
      </c>
      <c r="H2617" s="4">
        <v>25195025</v>
      </c>
      <c r="I2617" s="4">
        <v>20592349</v>
      </c>
      <c r="J2617" s="3">
        <v>0.182681938200101</v>
      </c>
      <c r="K2617" s="3">
        <v>0.22351388858065682</v>
      </c>
      <c r="L2617" t="s">
        <v>377</v>
      </c>
    </row>
    <row r="2618" spans="1:12" x14ac:dyDescent="0.25">
      <c r="A2618" t="s">
        <v>487</v>
      </c>
      <c r="B2618" t="s">
        <v>461</v>
      </c>
      <c r="C2618" t="s">
        <v>462</v>
      </c>
      <c r="D2618" t="s">
        <v>372</v>
      </c>
      <c r="E2618" t="s">
        <v>379</v>
      </c>
      <c r="F2618">
        <v>3</v>
      </c>
      <c r="G2618" t="s">
        <v>488</v>
      </c>
      <c r="H2618" s="4">
        <v>23658607</v>
      </c>
      <c r="I2618" s="4">
        <v>30030379.99001839</v>
      </c>
      <c r="J2618" s="3">
        <v>0.2693215619169121</v>
      </c>
      <c r="K2618" s="3">
        <v>-0.21217756792076103</v>
      </c>
      <c r="L2618" t="s">
        <v>377</v>
      </c>
    </row>
    <row r="2619" spans="1:12" x14ac:dyDescent="0.25">
      <c r="A2619" t="s">
        <v>487</v>
      </c>
      <c r="B2619" t="s">
        <v>461</v>
      </c>
      <c r="C2619" t="s">
        <v>462</v>
      </c>
      <c r="D2619" t="s">
        <v>372</v>
      </c>
      <c r="E2619" t="s">
        <v>379</v>
      </c>
      <c r="F2619">
        <v>3</v>
      </c>
      <c r="G2619" t="s">
        <v>498</v>
      </c>
      <c r="H2619" s="4">
        <v>23658607</v>
      </c>
      <c r="I2619" s="4">
        <v>30570663</v>
      </c>
      <c r="J2619" s="3">
        <v>0.29215819849410407</v>
      </c>
      <c r="K2619" s="3">
        <v>-0.22610095175233852</v>
      </c>
      <c r="L2619" t="s">
        <v>377</v>
      </c>
    </row>
    <row r="2620" spans="1:12" x14ac:dyDescent="0.25">
      <c r="A2620" t="s">
        <v>487</v>
      </c>
      <c r="B2620" t="s">
        <v>461</v>
      </c>
      <c r="C2620" t="s">
        <v>462</v>
      </c>
      <c r="D2620" t="s">
        <v>372</v>
      </c>
      <c r="E2620" t="s">
        <v>379</v>
      </c>
      <c r="F2620">
        <v>3</v>
      </c>
      <c r="G2620" t="s">
        <v>499</v>
      </c>
      <c r="H2620" s="4">
        <v>23658607</v>
      </c>
      <c r="I2620" s="4">
        <v>20592349</v>
      </c>
      <c r="J2620" s="3">
        <v>0.12960433384771977</v>
      </c>
      <c r="K2620" s="3">
        <v>0.14890277937694238</v>
      </c>
      <c r="L2620" t="s">
        <v>377</v>
      </c>
    </row>
    <row r="2621" spans="1:12" x14ac:dyDescent="0.25">
      <c r="A2621" t="s">
        <v>487</v>
      </c>
      <c r="B2621" t="s">
        <v>461</v>
      </c>
      <c r="C2621" t="s">
        <v>462</v>
      </c>
      <c r="D2621" t="s">
        <v>374</v>
      </c>
      <c r="E2621" t="s">
        <v>376</v>
      </c>
      <c r="F2621">
        <v>1</v>
      </c>
      <c r="G2621" t="s">
        <v>488</v>
      </c>
      <c r="H2621" s="4">
        <v>25195025</v>
      </c>
      <c r="I2621" s="4">
        <v>21476959.121861603</v>
      </c>
      <c r="J2621" s="3">
        <v>0.14757143039700882</v>
      </c>
      <c r="K2621" s="3">
        <v>0.1731188226900214</v>
      </c>
      <c r="L2621" t="s">
        <v>377</v>
      </c>
    </row>
    <row r="2622" spans="1:12" x14ac:dyDescent="0.25">
      <c r="A2622" t="s">
        <v>487</v>
      </c>
      <c r="B2622" t="s">
        <v>461</v>
      </c>
      <c r="C2622" t="s">
        <v>462</v>
      </c>
      <c r="D2622" t="s">
        <v>374</v>
      </c>
      <c r="E2622" t="s">
        <v>376</v>
      </c>
      <c r="F2622">
        <v>1</v>
      </c>
      <c r="G2622" t="s">
        <v>498</v>
      </c>
      <c r="H2622" s="4">
        <v>25195025</v>
      </c>
      <c r="I2622" s="4">
        <v>21905886</v>
      </c>
      <c r="J2622" s="3">
        <v>0.13054716159241755</v>
      </c>
      <c r="K2622" s="3">
        <v>0.15014864041563988</v>
      </c>
      <c r="L2622" t="s">
        <v>377</v>
      </c>
    </row>
    <row r="2623" spans="1:12" x14ac:dyDescent="0.25">
      <c r="A2623" t="s">
        <v>487</v>
      </c>
      <c r="B2623" t="s">
        <v>461</v>
      </c>
      <c r="C2623" t="s">
        <v>462</v>
      </c>
      <c r="D2623" t="s">
        <v>374</v>
      </c>
      <c r="E2623" t="s">
        <v>376</v>
      </c>
      <c r="F2623">
        <v>1</v>
      </c>
      <c r="G2623" t="s">
        <v>499</v>
      </c>
      <c r="H2623" s="4">
        <v>25195025</v>
      </c>
      <c r="I2623" s="4">
        <v>21765149</v>
      </c>
      <c r="J2623" s="3">
        <v>0.13613306595250452</v>
      </c>
      <c r="K2623" s="3">
        <v>0.15758568893785196</v>
      </c>
      <c r="L2623" t="s">
        <v>377</v>
      </c>
    </row>
    <row r="2624" spans="1:12" x14ac:dyDescent="0.25">
      <c r="A2624" t="s">
        <v>487</v>
      </c>
      <c r="B2624" t="s">
        <v>461</v>
      </c>
      <c r="C2624" t="s">
        <v>462</v>
      </c>
      <c r="D2624" t="s">
        <v>374</v>
      </c>
      <c r="E2624" t="s">
        <v>379</v>
      </c>
      <c r="F2624">
        <v>2</v>
      </c>
      <c r="G2624" t="s">
        <v>488</v>
      </c>
      <c r="H2624" s="4">
        <v>23658607</v>
      </c>
      <c r="I2624" s="4">
        <v>29972075.97899519</v>
      </c>
      <c r="J2624" s="3">
        <v>0.2668571729094274</v>
      </c>
      <c r="K2624" s="3">
        <v>-0.21064503451211547</v>
      </c>
      <c r="L2624" t="s">
        <v>377</v>
      </c>
    </row>
    <row r="2625" spans="1:12" x14ac:dyDescent="0.25">
      <c r="A2625" t="s">
        <v>487</v>
      </c>
      <c r="B2625" t="s">
        <v>461</v>
      </c>
      <c r="C2625" t="s">
        <v>462</v>
      </c>
      <c r="D2625" t="s">
        <v>374</v>
      </c>
      <c r="E2625" t="s">
        <v>379</v>
      </c>
      <c r="F2625">
        <v>2</v>
      </c>
      <c r="G2625" t="s">
        <v>498</v>
      </c>
      <c r="H2625" s="4">
        <v>23658607</v>
      </c>
      <c r="I2625" s="4">
        <v>30570663</v>
      </c>
      <c r="J2625" s="3">
        <v>0.29215819849410407</v>
      </c>
      <c r="K2625" s="3">
        <v>-0.22610095175233852</v>
      </c>
      <c r="L2625" t="s">
        <v>377</v>
      </c>
    </row>
    <row r="2626" spans="1:12" x14ac:dyDescent="0.25">
      <c r="A2626" t="s">
        <v>487</v>
      </c>
      <c r="B2626" t="s">
        <v>461</v>
      </c>
      <c r="C2626" t="s">
        <v>462</v>
      </c>
      <c r="D2626" t="s">
        <v>374</v>
      </c>
      <c r="E2626" t="s">
        <v>379</v>
      </c>
      <c r="F2626">
        <v>2</v>
      </c>
      <c r="G2626" t="s">
        <v>499</v>
      </c>
      <c r="H2626" s="4">
        <v>23658607</v>
      </c>
      <c r="I2626" s="4">
        <v>21765149</v>
      </c>
      <c r="J2626" s="3">
        <v>0.08003252262485276</v>
      </c>
      <c r="K2626" s="3">
        <v>0.08699494774880705</v>
      </c>
      <c r="L2626" t="s">
        <v>377</v>
      </c>
    </row>
    <row r="2627" spans="1:12" x14ac:dyDescent="0.25">
      <c r="A2627" t="s">
        <v>487</v>
      </c>
      <c r="B2627" t="s">
        <v>461</v>
      </c>
      <c r="C2627" t="s">
        <v>462</v>
      </c>
      <c r="D2627" t="s">
        <v>374</v>
      </c>
      <c r="E2627" t="s">
        <v>381</v>
      </c>
      <c r="F2627">
        <v>3</v>
      </c>
      <c r="G2627" t="s">
        <v>488</v>
      </c>
      <c r="H2627" s="4">
        <v>21873972</v>
      </c>
      <c r="I2627" s="4">
        <v>29168296.649969462</v>
      </c>
      <c r="J2627" s="3">
        <v>0.3334705123499958</v>
      </c>
      <c r="K2627" s="3">
        <v>-0.25007715525881075</v>
      </c>
      <c r="L2627" t="s">
        <v>377</v>
      </c>
    </row>
    <row r="2628" spans="1:12" x14ac:dyDescent="0.25">
      <c r="A2628" t="s">
        <v>487</v>
      </c>
      <c r="B2628" t="s">
        <v>461</v>
      </c>
      <c r="C2628" t="s">
        <v>462</v>
      </c>
      <c r="D2628" t="s">
        <v>374</v>
      </c>
      <c r="E2628" t="s">
        <v>381</v>
      </c>
      <c r="F2628">
        <v>3</v>
      </c>
      <c r="G2628" t="s">
        <v>498</v>
      </c>
      <c r="H2628" s="4">
        <v>21873972</v>
      </c>
      <c r="I2628" s="4">
        <v>29750831</v>
      </c>
      <c r="J2628" s="3">
        <v>0.36010190558898036</v>
      </c>
      <c r="K2628" s="3">
        <v>-0.26476097423967754</v>
      </c>
      <c r="L2628" t="s">
        <v>377</v>
      </c>
    </row>
    <row r="2629" spans="1:12" x14ac:dyDescent="0.25">
      <c r="A2629" t="s">
        <v>487</v>
      </c>
      <c r="B2629" t="s">
        <v>461</v>
      </c>
      <c r="C2629" t="s">
        <v>462</v>
      </c>
      <c r="D2629" t="s">
        <v>374</v>
      </c>
      <c r="E2629" t="s">
        <v>381</v>
      </c>
      <c r="F2629">
        <v>3</v>
      </c>
      <c r="G2629" t="s">
        <v>499</v>
      </c>
      <c r="H2629" s="4">
        <v>21873972</v>
      </c>
      <c r="I2629" s="4">
        <v>21765149</v>
      </c>
      <c r="J2629" s="3">
        <v>0.004974999510834155</v>
      </c>
      <c r="K2629" s="3">
        <v>0.004999873880946094</v>
      </c>
      <c r="L2629" t="s">
        <v>377</v>
      </c>
    </row>
    <row r="2630" spans="1:12" x14ac:dyDescent="0.25">
      <c r="A2630" t="s">
        <v>487</v>
      </c>
      <c r="B2630" t="s">
        <v>461</v>
      </c>
      <c r="C2630" t="s">
        <v>462</v>
      </c>
      <c r="D2630" t="s">
        <v>376</v>
      </c>
      <c r="E2630" t="s">
        <v>379</v>
      </c>
      <c r="F2630">
        <v>1</v>
      </c>
      <c r="G2630" t="s">
        <v>488</v>
      </c>
      <c r="H2630" s="4">
        <v>23658607</v>
      </c>
      <c r="I2630" s="4">
        <v>29892138.728034727</v>
      </c>
      <c r="J2630" s="3">
        <v>0.26347839194567657</v>
      </c>
      <c r="K2630" s="3">
        <v>-0.20853414955513133</v>
      </c>
      <c r="L2630" t="s">
        <v>377</v>
      </c>
    </row>
    <row r="2631" spans="1:12" x14ac:dyDescent="0.25">
      <c r="A2631" t="s">
        <v>487</v>
      </c>
      <c r="B2631" t="s">
        <v>461</v>
      </c>
      <c r="C2631" t="s">
        <v>462</v>
      </c>
      <c r="D2631" t="s">
        <v>376</v>
      </c>
      <c r="E2631" t="s">
        <v>379</v>
      </c>
      <c r="F2631">
        <v>1</v>
      </c>
      <c r="G2631" t="s">
        <v>498</v>
      </c>
      <c r="H2631" s="4">
        <v>23658607</v>
      </c>
      <c r="I2631" s="4">
        <v>30570663</v>
      </c>
      <c r="J2631" s="3">
        <v>0.29215819849410407</v>
      </c>
      <c r="K2631" s="3">
        <v>-0.22610095175233852</v>
      </c>
      <c r="L2631" t="s">
        <v>377</v>
      </c>
    </row>
    <row r="2632" spans="1:12" x14ac:dyDescent="0.25">
      <c r="A2632" t="s">
        <v>487</v>
      </c>
      <c r="B2632" t="s">
        <v>461</v>
      </c>
      <c r="C2632" t="s">
        <v>462</v>
      </c>
      <c r="D2632" t="s">
        <v>376</v>
      </c>
      <c r="E2632" t="s">
        <v>379</v>
      </c>
      <c r="F2632">
        <v>1</v>
      </c>
      <c r="G2632" t="s">
        <v>499</v>
      </c>
      <c r="H2632" s="4">
        <v>23658607</v>
      </c>
      <c r="I2632" s="4">
        <v>25195025</v>
      </c>
      <c r="J2632" s="3">
        <v>0.06494118609772756</v>
      </c>
      <c r="K2632" s="3">
        <v>-0.0609810071631205</v>
      </c>
      <c r="L2632" t="s">
        <v>377</v>
      </c>
    </row>
    <row r="2633" spans="1:12" x14ac:dyDescent="0.25">
      <c r="A2633" t="s">
        <v>487</v>
      </c>
      <c r="B2633" t="s">
        <v>461</v>
      </c>
      <c r="C2633" t="s">
        <v>462</v>
      </c>
      <c r="D2633" t="s">
        <v>376</v>
      </c>
      <c r="E2633" t="s">
        <v>381</v>
      </c>
      <c r="F2633">
        <v>2</v>
      </c>
      <c r="G2633" t="s">
        <v>488</v>
      </c>
      <c r="H2633" s="4">
        <v>21873972</v>
      </c>
      <c r="I2633" s="4">
        <v>29090503.124721766</v>
      </c>
      <c r="J2633" s="3">
        <v>0.3299140697776227</v>
      </c>
      <c r="K2633" s="3">
        <v>-0.2480717192749064</v>
      </c>
      <c r="L2633" t="s">
        <v>377</v>
      </c>
    </row>
    <row r="2634" spans="1:12" x14ac:dyDescent="0.25">
      <c r="A2634" t="s">
        <v>487</v>
      </c>
      <c r="B2634" t="s">
        <v>461</v>
      </c>
      <c r="C2634" t="s">
        <v>462</v>
      </c>
      <c r="D2634" t="s">
        <v>376</v>
      </c>
      <c r="E2634" t="s">
        <v>381</v>
      </c>
      <c r="F2634">
        <v>2</v>
      </c>
      <c r="G2634" t="s">
        <v>498</v>
      </c>
      <c r="H2634" s="4">
        <v>21873972</v>
      </c>
      <c r="I2634" s="4">
        <v>29750831</v>
      </c>
      <c r="J2634" s="3">
        <v>0.36010190558898036</v>
      </c>
      <c r="K2634" s="3">
        <v>-0.26476097423967754</v>
      </c>
      <c r="L2634" t="s">
        <v>377</v>
      </c>
    </row>
    <row r="2635" spans="1:12" x14ac:dyDescent="0.25">
      <c r="A2635" t="s">
        <v>487</v>
      </c>
      <c r="B2635" t="s">
        <v>461</v>
      </c>
      <c r="C2635" t="s">
        <v>462</v>
      </c>
      <c r="D2635" t="s">
        <v>376</v>
      </c>
      <c r="E2635" t="s">
        <v>381</v>
      </c>
      <c r="F2635">
        <v>2</v>
      </c>
      <c r="G2635" t="s">
        <v>499</v>
      </c>
      <c r="H2635" s="4">
        <v>21873972</v>
      </c>
      <c r="I2635" s="4">
        <v>25195025</v>
      </c>
      <c r="J2635" s="3">
        <v>0.15182670070163753</v>
      </c>
      <c r="K2635" s="3">
        <v>-0.13181384023234746</v>
      </c>
      <c r="L2635" t="s">
        <v>377</v>
      </c>
    </row>
    <row r="2636" spans="1:12" x14ac:dyDescent="0.25">
      <c r="A2636" t="s">
        <v>487</v>
      </c>
      <c r="B2636" t="s">
        <v>461</v>
      </c>
      <c r="C2636" t="s">
        <v>462</v>
      </c>
      <c r="D2636" t="s">
        <v>376</v>
      </c>
      <c r="E2636" t="s">
        <v>383</v>
      </c>
      <c r="F2636">
        <v>3</v>
      </c>
      <c r="G2636" t="s">
        <v>488</v>
      </c>
      <c r="H2636" s="4">
        <v>28246751</v>
      </c>
      <c r="I2636" s="4">
        <v>28947032.77083548</v>
      </c>
      <c r="J2636" s="3">
        <v>0.024791586502655883</v>
      </c>
      <c r="K2636" s="3">
        <v>-0.024191832592286446</v>
      </c>
      <c r="L2636" t="s">
        <v>377</v>
      </c>
    </row>
    <row r="2637" spans="1:12" x14ac:dyDescent="0.25">
      <c r="A2637" t="s">
        <v>487</v>
      </c>
      <c r="B2637" t="s">
        <v>461</v>
      </c>
      <c r="C2637" t="s">
        <v>462</v>
      </c>
      <c r="D2637" t="s">
        <v>376</v>
      </c>
      <c r="E2637" t="s">
        <v>383</v>
      </c>
      <c r="F2637">
        <v>3</v>
      </c>
      <c r="G2637" t="s">
        <v>498</v>
      </c>
      <c r="H2637" s="4">
        <v>28246751</v>
      </c>
      <c r="I2637" s="4">
        <v>29604104</v>
      </c>
      <c r="J2637" s="3">
        <v>0.04805342037390424</v>
      </c>
      <c r="K2637" s="3">
        <v>-0.04585016320710129</v>
      </c>
      <c r="L2637" t="s">
        <v>377</v>
      </c>
    </row>
    <row r="2638" spans="1:12" x14ac:dyDescent="0.25">
      <c r="A2638" t="s">
        <v>487</v>
      </c>
      <c r="B2638" t="s">
        <v>461</v>
      </c>
      <c r="C2638" t="s">
        <v>462</v>
      </c>
      <c r="D2638" t="s">
        <v>376</v>
      </c>
      <c r="E2638" t="s">
        <v>383</v>
      </c>
      <c r="F2638">
        <v>3</v>
      </c>
      <c r="G2638" t="s">
        <v>499</v>
      </c>
      <c r="H2638" s="4">
        <v>28246751</v>
      </c>
      <c r="I2638" s="4">
        <v>25195025</v>
      </c>
      <c r="J2638" s="3">
        <v>0.10803812445544622</v>
      </c>
      <c r="K2638" s="3">
        <v>0.12112415050193441</v>
      </c>
      <c r="L2638" t="s">
        <v>377</v>
      </c>
    </row>
    <row r="2639" spans="1:12" x14ac:dyDescent="0.25">
      <c r="A2639" t="s">
        <v>487</v>
      </c>
      <c r="B2639" t="s">
        <v>461</v>
      </c>
      <c r="C2639" t="s">
        <v>462</v>
      </c>
      <c r="D2639" t="s">
        <v>379</v>
      </c>
      <c r="E2639" t="s">
        <v>381</v>
      </c>
      <c r="F2639">
        <v>1</v>
      </c>
      <c r="G2639" t="s">
        <v>488</v>
      </c>
      <c r="H2639" s="4">
        <v>21873972</v>
      </c>
      <c r="I2639" s="4">
        <v>28132985.677634202</v>
      </c>
      <c r="J2639" s="3">
        <v>0.28613978648387234</v>
      </c>
      <c r="K2639" s="3">
        <v>-0.2224795387647083</v>
      </c>
      <c r="L2639" t="s">
        <v>377</v>
      </c>
    </row>
    <row r="2640" spans="1:12" x14ac:dyDescent="0.25">
      <c r="A2640" t="s">
        <v>487</v>
      </c>
      <c r="B2640" t="s">
        <v>461</v>
      </c>
      <c r="C2640" t="s">
        <v>462</v>
      </c>
      <c r="D2640" t="s">
        <v>379</v>
      </c>
      <c r="E2640" t="s">
        <v>381</v>
      </c>
      <c r="F2640">
        <v>1</v>
      </c>
      <c r="G2640" t="s">
        <v>498</v>
      </c>
      <c r="H2640" s="4">
        <v>21873972</v>
      </c>
      <c r="I2640" s="4">
        <v>29750831</v>
      </c>
      <c r="J2640" s="3">
        <v>0.36010190558898036</v>
      </c>
      <c r="K2640" s="3">
        <v>-0.26476097423967754</v>
      </c>
      <c r="L2640" t="s">
        <v>377</v>
      </c>
    </row>
    <row r="2641" spans="1:12" x14ac:dyDescent="0.25">
      <c r="A2641" t="s">
        <v>487</v>
      </c>
      <c r="B2641" t="s">
        <v>461</v>
      </c>
      <c r="C2641" t="s">
        <v>462</v>
      </c>
      <c r="D2641" t="s">
        <v>379</v>
      </c>
      <c r="E2641" t="s">
        <v>381</v>
      </c>
      <c r="F2641">
        <v>1</v>
      </c>
      <c r="G2641" t="s">
        <v>499</v>
      </c>
      <c r="H2641" s="4">
        <v>21873972</v>
      </c>
      <c r="I2641" s="4">
        <v>23658607</v>
      </c>
      <c r="J2641" s="3">
        <v>0.08158714841547754</v>
      </c>
      <c r="K2641" s="3">
        <v>-0.0754328012634049</v>
      </c>
      <c r="L2641" t="s">
        <v>377</v>
      </c>
    </row>
    <row r="2642" spans="1:12" x14ac:dyDescent="0.25">
      <c r="A2642" t="s">
        <v>487</v>
      </c>
      <c r="B2642" t="s">
        <v>461</v>
      </c>
      <c r="C2642" t="s">
        <v>462</v>
      </c>
      <c r="D2642" t="s">
        <v>379</v>
      </c>
      <c r="E2642" t="s">
        <v>383</v>
      </c>
      <c r="F2642">
        <v>2</v>
      </c>
      <c r="G2642" t="s">
        <v>488</v>
      </c>
      <c r="H2642" s="4">
        <v>28246751</v>
      </c>
      <c r="I2642" s="4">
        <v>27994237.667888787</v>
      </c>
      <c r="J2642" s="3">
        <v>0.008939553158209712</v>
      </c>
      <c r="K2642" s="3">
        <v>0.009020189622840225</v>
      </c>
      <c r="L2642" t="s">
        <v>377</v>
      </c>
    </row>
    <row r="2643" spans="1:12" x14ac:dyDescent="0.25">
      <c r="A2643" t="s">
        <v>487</v>
      </c>
      <c r="B2643" t="s">
        <v>461</v>
      </c>
      <c r="C2643" t="s">
        <v>462</v>
      </c>
      <c r="D2643" t="s">
        <v>379</v>
      </c>
      <c r="E2643" t="s">
        <v>383</v>
      </c>
      <c r="F2643">
        <v>2</v>
      </c>
      <c r="G2643" t="s">
        <v>498</v>
      </c>
      <c r="H2643" s="4">
        <v>28246751</v>
      </c>
      <c r="I2643" s="4">
        <v>29604104</v>
      </c>
      <c r="J2643" s="3">
        <v>0.04805342037390424</v>
      </c>
      <c r="K2643" s="3">
        <v>-0.04585016320710129</v>
      </c>
      <c r="L2643" t="s">
        <v>377</v>
      </c>
    </row>
    <row r="2644" spans="1:12" x14ac:dyDescent="0.25">
      <c r="A2644" t="s">
        <v>487</v>
      </c>
      <c r="B2644" t="s">
        <v>461</v>
      </c>
      <c r="C2644" t="s">
        <v>462</v>
      </c>
      <c r="D2644" t="s">
        <v>379</v>
      </c>
      <c r="E2644" t="s">
        <v>383</v>
      </c>
      <c r="F2644">
        <v>2</v>
      </c>
      <c r="G2644" t="s">
        <v>499</v>
      </c>
      <c r="H2644" s="4">
        <v>28246751</v>
      </c>
      <c r="I2644" s="4">
        <v>23658607</v>
      </c>
      <c r="J2644" s="3">
        <v>0.16243085797725904</v>
      </c>
      <c r="K2644" s="3">
        <v>0.19393128259833725</v>
      </c>
      <c r="L2644" t="s">
        <v>377</v>
      </c>
    </row>
    <row r="2645" spans="1:12" x14ac:dyDescent="0.25">
      <c r="A2645" t="s">
        <v>487</v>
      </c>
      <c r="B2645" t="s">
        <v>461</v>
      </c>
      <c r="C2645" t="s">
        <v>462</v>
      </c>
      <c r="D2645" t="s">
        <v>379</v>
      </c>
      <c r="E2645" t="s">
        <v>385</v>
      </c>
      <c r="F2645">
        <v>3</v>
      </c>
      <c r="G2645" t="s">
        <v>488</v>
      </c>
      <c r="H2645" s="4">
        <v>29422071</v>
      </c>
      <c r="I2645" s="4">
        <v>24643797.627534106</v>
      </c>
      <c r="J2645" s="3">
        <v>0.16240438589336195</v>
      </c>
      <c r="K2645" s="3">
        <v>0.1938935485790229</v>
      </c>
      <c r="L2645" t="s">
        <v>377</v>
      </c>
    </row>
    <row r="2646" spans="1:12" x14ac:dyDescent="0.25">
      <c r="A2646" t="s">
        <v>487</v>
      </c>
      <c r="B2646" t="s">
        <v>461</v>
      </c>
      <c r="C2646" t="s">
        <v>462</v>
      </c>
      <c r="D2646" t="s">
        <v>379</v>
      </c>
      <c r="E2646" t="s">
        <v>385</v>
      </c>
      <c r="F2646">
        <v>3</v>
      </c>
      <c r="G2646" t="s">
        <v>498</v>
      </c>
      <c r="H2646" s="4">
        <v>29422071</v>
      </c>
      <c r="I2646" s="4">
        <v>26060990</v>
      </c>
      <c r="J2646" s="3">
        <v>0.1142367238526479</v>
      </c>
      <c r="K2646" s="3">
        <v>0.12896981273543331</v>
      </c>
      <c r="L2646" t="s">
        <v>377</v>
      </c>
    </row>
    <row r="2647" spans="1:12" x14ac:dyDescent="0.25">
      <c r="A2647" t="s">
        <v>487</v>
      </c>
      <c r="B2647" t="s">
        <v>461</v>
      </c>
      <c r="C2647" t="s">
        <v>462</v>
      </c>
      <c r="D2647" t="s">
        <v>379</v>
      </c>
      <c r="E2647" t="s">
        <v>385</v>
      </c>
      <c r="F2647">
        <v>3</v>
      </c>
      <c r="G2647" t="s">
        <v>499</v>
      </c>
      <c r="H2647" s="4">
        <v>29422071</v>
      </c>
      <c r="I2647" s="4">
        <v>23658607</v>
      </c>
      <c r="J2647" s="3">
        <v>0.19588913370510186</v>
      </c>
      <c r="K2647" s="3">
        <v>0.24360960896810196</v>
      </c>
      <c r="L2647" t="s">
        <v>377</v>
      </c>
    </row>
    <row r="2648" spans="1:12" x14ac:dyDescent="0.25">
      <c r="A2648" t="s">
        <v>487</v>
      </c>
      <c r="B2648" t="s">
        <v>461</v>
      </c>
      <c r="C2648" t="s">
        <v>462</v>
      </c>
      <c r="D2648" t="s">
        <v>381</v>
      </c>
      <c r="E2648" t="s">
        <v>383</v>
      </c>
      <c r="F2648">
        <v>1</v>
      </c>
      <c r="G2648" t="s">
        <v>488</v>
      </c>
      <c r="H2648" s="4">
        <v>28246751</v>
      </c>
      <c r="I2648" s="4">
        <v>27607579.72114056</v>
      </c>
      <c r="J2648" s="3">
        <v>0.022628134430732944</v>
      </c>
      <c r="K2648" s="3">
        <v>0.02315202148524427</v>
      </c>
      <c r="L2648" t="s">
        <v>377</v>
      </c>
    </row>
    <row r="2649" spans="1:12" x14ac:dyDescent="0.25">
      <c r="A2649" t="s">
        <v>487</v>
      </c>
      <c r="B2649" t="s">
        <v>461</v>
      </c>
      <c r="C2649" t="s">
        <v>462</v>
      </c>
      <c r="D2649" t="s">
        <v>381</v>
      </c>
      <c r="E2649" t="s">
        <v>383</v>
      </c>
      <c r="F2649">
        <v>1</v>
      </c>
      <c r="G2649" t="s">
        <v>498</v>
      </c>
      <c r="H2649" s="4">
        <v>28246751</v>
      </c>
      <c r="I2649" s="4">
        <v>29604104</v>
      </c>
      <c r="J2649" s="3">
        <v>0.04805342037390424</v>
      </c>
      <c r="K2649" s="3">
        <v>-0.04585016320710129</v>
      </c>
      <c r="L2649" t="s">
        <v>377</v>
      </c>
    </row>
    <row r="2650" spans="1:12" x14ac:dyDescent="0.25">
      <c r="A2650" t="s">
        <v>487</v>
      </c>
      <c r="B2650" t="s">
        <v>461</v>
      </c>
      <c r="C2650" t="s">
        <v>462</v>
      </c>
      <c r="D2650" t="s">
        <v>381</v>
      </c>
      <c r="E2650" t="s">
        <v>383</v>
      </c>
      <c r="F2650">
        <v>1</v>
      </c>
      <c r="G2650" t="s">
        <v>499</v>
      </c>
      <c r="H2650" s="4">
        <v>28246751</v>
      </c>
      <c r="I2650" s="4">
        <v>21873972</v>
      </c>
      <c r="J2650" s="3">
        <v>0.22561104461182102</v>
      </c>
      <c r="K2650" s="3">
        <v>0.2913407313495692</v>
      </c>
      <c r="L2650" t="s">
        <v>377</v>
      </c>
    </row>
    <row r="2651" spans="1:12" x14ac:dyDescent="0.25">
      <c r="A2651" t="s">
        <v>487</v>
      </c>
      <c r="B2651" t="s">
        <v>461</v>
      </c>
      <c r="C2651" t="s">
        <v>462</v>
      </c>
      <c r="D2651" t="s">
        <v>381</v>
      </c>
      <c r="E2651" t="s">
        <v>385</v>
      </c>
      <c r="F2651">
        <v>2</v>
      </c>
      <c r="G2651" t="s">
        <v>488</v>
      </c>
      <c r="H2651" s="4">
        <v>29422071</v>
      </c>
      <c r="I2651" s="4">
        <v>24303416.142466158</v>
      </c>
      <c r="J2651" s="3">
        <v>0.17397330247533704</v>
      </c>
      <c r="K2651" s="3">
        <v>0.210614624196384</v>
      </c>
      <c r="L2651" t="s">
        <v>377</v>
      </c>
    </row>
    <row r="2652" spans="1:12" x14ac:dyDescent="0.25">
      <c r="A2652" t="s">
        <v>487</v>
      </c>
      <c r="B2652" t="s">
        <v>461</v>
      </c>
      <c r="C2652" t="s">
        <v>462</v>
      </c>
      <c r="D2652" t="s">
        <v>381</v>
      </c>
      <c r="E2652" t="s">
        <v>385</v>
      </c>
      <c r="F2652">
        <v>2</v>
      </c>
      <c r="G2652" t="s">
        <v>498</v>
      </c>
      <c r="H2652" s="4">
        <v>29422071</v>
      </c>
      <c r="I2652" s="4">
        <v>26060990</v>
      </c>
      <c r="J2652" s="3">
        <v>0.1142367238526479</v>
      </c>
      <c r="K2652" s="3">
        <v>0.12896981273543331</v>
      </c>
      <c r="L2652" t="s">
        <v>377</v>
      </c>
    </row>
    <row r="2653" spans="1:12" x14ac:dyDescent="0.25">
      <c r="A2653" t="s">
        <v>487</v>
      </c>
      <c r="B2653" t="s">
        <v>461</v>
      </c>
      <c r="C2653" t="s">
        <v>462</v>
      </c>
      <c r="D2653" t="s">
        <v>381</v>
      </c>
      <c r="E2653" t="s">
        <v>385</v>
      </c>
      <c r="F2653">
        <v>2</v>
      </c>
      <c r="G2653" t="s">
        <v>499</v>
      </c>
      <c r="H2653" s="4">
        <v>29422071</v>
      </c>
      <c r="I2653" s="4">
        <v>21873972</v>
      </c>
      <c r="J2653" s="3">
        <v>0.25654546887606927</v>
      </c>
      <c r="K2653" s="3">
        <v>0.34507217070589646</v>
      </c>
      <c r="L2653" t="s">
        <v>377</v>
      </c>
    </row>
    <row r="2654" spans="1:12" x14ac:dyDescent="0.25">
      <c r="A2654" t="s">
        <v>487</v>
      </c>
      <c r="B2654" t="s">
        <v>461</v>
      </c>
      <c r="C2654" t="s">
        <v>462</v>
      </c>
      <c r="D2654" t="s">
        <v>381</v>
      </c>
      <c r="E2654" t="s">
        <v>387</v>
      </c>
      <c r="F2654">
        <v>3</v>
      </c>
      <c r="G2654" t="s">
        <v>488</v>
      </c>
      <c r="H2654" s="4">
        <v>25058934</v>
      </c>
      <c r="I2654" s="4">
        <v>21311471.520848464</v>
      </c>
      <c r="J2654" s="3">
        <v>0.14954596548885662</v>
      </c>
      <c r="K2654" s="3">
        <v>0.1758425022638859</v>
      </c>
      <c r="L2654" t="s">
        <v>377</v>
      </c>
    </row>
    <row r="2655" spans="1:12" x14ac:dyDescent="0.25">
      <c r="A2655" t="s">
        <v>487</v>
      </c>
      <c r="B2655" t="s">
        <v>461</v>
      </c>
      <c r="C2655" t="s">
        <v>462</v>
      </c>
      <c r="D2655" t="s">
        <v>381</v>
      </c>
      <c r="E2655" t="s">
        <v>387</v>
      </c>
      <c r="F2655">
        <v>3</v>
      </c>
      <c r="G2655" t="s">
        <v>498</v>
      </c>
      <c r="H2655" s="4">
        <v>25058934</v>
      </c>
      <c r="I2655" s="4">
        <v>22852674</v>
      </c>
      <c r="J2655" s="3">
        <v>0.08804285130404989</v>
      </c>
      <c r="K2655" s="3">
        <v>0.09654275031447086</v>
      </c>
      <c r="L2655" t="s">
        <v>377</v>
      </c>
    </row>
    <row r="2656" spans="1:12" x14ac:dyDescent="0.25">
      <c r="A2656" t="s">
        <v>487</v>
      </c>
      <c r="B2656" t="s">
        <v>461</v>
      </c>
      <c r="C2656" t="s">
        <v>462</v>
      </c>
      <c r="D2656" t="s">
        <v>381</v>
      </c>
      <c r="E2656" t="s">
        <v>387</v>
      </c>
      <c r="F2656">
        <v>3</v>
      </c>
      <c r="G2656" t="s">
        <v>499</v>
      </c>
      <c r="H2656" s="4">
        <v>25058934</v>
      </c>
      <c r="I2656" s="4">
        <v>21873972</v>
      </c>
      <c r="J2656" s="3">
        <v>0.12709886222614258</v>
      </c>
      <c r="K2656" s="3">
        <v>0.14560510546507055</v>
      </c>
      <c r="L2656" t="s">
        <v>377</v>
      </c>
    </row>
    <row r="2657" spans="1:12" x14ac:dyDescent="0.25">
      <c r="A2657" t="s">
        <v>487</v>
      </c>
      <c r="B2657" t="s">
        <v>461</v>
      </c>
      <c r="C2657" t="s">
        <v>462</v>
      </c>
      <c r="D2657" t="s">
        <v>383</v>
      </c>
      <c r="E2657" t="s">
        <v>385</v>
      </c>
      <c r="F2657">
        <v>1</v>
      </c>
      <c r="G2657" t="s">
        <v>488</v>
      </c>
      <c r="H2657" s="4">
        <v>29422071</v>
      </c>
      <c r="I2657" s="4">
        <v>23869382.859017283</v>
      </c>
      <c r="J2657" s="3">
        <v>0.1887252648184663</v>
      </c>
      <c r="K2657" s="3">
        <v>0.23262805635902917</v>
      </c>
      <c r="L2657" t="s">
        <v>377</v>
      </c>
    </row>
    <row r="2658" spans="1:12" x14ac:dyDescent="0.25">
      <c r="A2658" t="s">
        <v>487</v>
      </c>
      <c r="B2658" t="s">
        <v>461</v>
      </c>
      <c r="C2658" t="s">
        <v>462</v>
      </c>
      <c r="D2658" t="s">
        <v>383</v>
      </c>
      <c r="E2658" t="s">
        <v>385</v>
      </c>
      <c r="F2658">
        <v>1</v>
      </c>
      <c r="G2658" t="s">
        <v>498</v>
      </c>
      <c r="H2658" s="4">
        <v>29422071</v>
      </c>
      <c r="I2658" s="4">
        <v>26060990</v>
      </c>
      <c r="J2658" s="3">
        <v>0.1142367238526479</v>
      </c>
      <c r="K2658" s="3">
        <v>0.12896981273543331</v>
      </c>
      <c r="L2658" t="s">
        <v>377</v>
      </c>
    </row>
    <row r="2659" spans="1:12" x14ac:dyDescent="0.25">
      <c r="A2659" t="s">
        <v>487</v>
      </c>
      <c r="B2659" t="s">
        <v>461</v>
      </c>
      <c r="C2659" t="s">
        <v>462</v>
      </c>
      <c r="D2659" t="s">
        <v>383</v>
      </c>
      <c r="E2659" t="s">
        <v>385</v>
      </c>
      <c r="F2659">
        <v>1</v>
      </c>
      <c r="G2659" t="s">
        <v>499</v>
      </c>
      <c r="H2659" s="4">
        <v>29422071</v>
      </c>
      <c r="I2659" s="4">
        <v>28246751</v>
      </c>
      <c r="J2659" s="3">
        <v>0.03994688205327218</v>
      </c>
      <c r="K2659" s="3">
        <v>0.041609033194649536</v>
      </c>
      <c r="L2659" t="s">
        <v>377</v>
      </c>
    </row>
    <row r="2660" spans="1:12" x14ac:dyDescent="0.25">
      <c r="A2660" t="s">
        <v>487</v>
      </c>
      <c r="B2660" t="s">
        <v>461</v>
      </c>
      <c r="C2660" t="s">
        <v>462</v>
      </c>
      <c r="D2660" t="s">
        <v>383</v>
      </c>
      <c r="E2660" t="s">
        <v>387</v>
      </c>
      <c r="F2660">
        <v>2</v>
      </c>
      <c r="G2660" t="s">
        <v>488</v>
      </c>
      <c r="H2660" s="4">
        <v>25058934</v>
      </c>
      <c r="I2660" s="4">
        <v>20930871.200914085</v>
      </c>
      <c r="J2660" s="3">
        <v>0.1647341742105197</v>
      </c>
      <c r="K2660" s="3">
        <v>0.19722364919553068</v>
      </c>
      <c r="L2660" t="s">
        <v>377</v>
      </c>
    </row>
    <row r="2661" spans="1:12" x14ac:dyDescent="0.25">
      <c r="A2661" t="s">
        <v>487</v>
      </c>
      <c r="B2661" t="s">
        <v>461</v>
      </c>
      <c r="C2661" t="s">
        <v>462</v>
      </c>
      <c r="D2661" t="s">
        <v>383</v>
      </c>
      <c r="E2661" t="s">
        <v>387</v>
      </c>
      <c r="F2661">
        <v>2</v>
      </c>
      <c r="G2661" t="s">
        <v>498</v>
      </c>
      <c r="H2661" s="4">
        <v>25058934</v>
      </c>
      <c r="I2661" s="4">
        <v>22852674</v>
      </c>
      <c r="J2661" s="3">
        <v>0.08804285130404989</v>
      </c>
      <c r="K2661" s="3">
        <v>0.09654275031447086</v>
      </c>
      <c r="L2661" t="s">
        <v>377</v>
      </c>
    </row>
    <row r="2662" spans="1:12" x14ac:dyDescent="0.25">
      <c r="A2662" t="s">
        <v>487</v>
      </c>
      <c r="B2662" t="s">
        <v>461</v>
      </c>
      <c r="C2662" t="s">
        <v>462</v>
      </c>
      <c r="D2662" t="s">
        <v>383</v>
      </c>
      <c r="E2662" t="s">
        <v>387</v>
      </c>
      <c r="F2662">
        <v>2</v>
      </c>
      <c r="G2662" t="s">
        <v>499</v>
      </c>
      <c r="H2662" s="4">
        <v>25058934</v>
      </c>
      <c r="I2662" s="4">
        <v>28246751</v>
      </c>
      <c r="J2662" s="3">
        <v>0.12721279364876414</v>
      </c>
      <c r="K2662" s="3">
        <v>-0.11285605909153941</v>
      </c>
      <c r="L2662" t="s">
        <v>377</v>
      </c>
    </row>
    <row r="2663" spans="1:12" x14ac:dyDescent="0.25">
      <c r="A2663" t="s">
        <v>487</v>
      </c>
      <c r="B2663" t="s">
        <v>461</v>
      </c>
      <c r="C2663" t="s">
        <v>462</v>
      </c>
      <c r="D2663" t="s">
        <v>383</v>
      </c>
      <c r="E2663" t="s">
        <v>389</v>
      </c>
      <c r="F2663">
        <v>3</v>
      </c>
      <c r="G2663" t="s">
        <v>488</v>
      </c>
      <c r="H2663" s="4">
        <v>30372529</v>
      </c>
      <c r="I2663" s="4">
        <v>28473805.15717667</v>
      </c>
      <c r="J2663" s="3">
        <v>0.06251451246695099</v>
      </c>
      <c r="K2663" s="3">
        <v>0.06668317888467279</v>
      </c>
      <c r="L2663" t="s">
        <v>377</v>
      </c>
    </row>
    <row r="2664" spans="1:12" x14ac:dyDescent="0.25">
      <c r="A2664" t="s">
        <v>487</v>
      </c>
      <c r="B2664" t="s">
        <v>461</v>
      </c>
      <c r="C2664" t="s">
        <v>462</v>
      </c>
      <c r="D2664" t="s">
        <v>383</v>
      </c>
      <c r="E2664" t="s">
        <v>389</v>
      </c>
      <c r="F2664">
        <v>3</v>
      </c>
      <c r="G2664" t="s">
        <v>498</v>
      </c>
      <c r="H2664" s="4">
        <v>30372529</v>
      </c>
      <c r="I2664" s="4">
        <v>31088175</v>
      </c>
      <c r="J2664" s="3">
        <v>0.023562278926460158</v>
      </c>
      <c r="K2664" s="3">
        <v>-0.023019878136944352</v>
      </c>
      <c r="L2664" t="s">
        <v>377</v>
      </c>
    </row>
    <row r="2665" spans="1:12" x14ac:dyDescent="0.25">
      <c r="A2665" t="s">
        <v>487</v>
      </c>
      <c r="B2665" t="s">
        <v>461</v>
      </c>
      <c r="C2665" t="s">
        <v>462</v>
      </c>
      <c r="D2665" t="s">
        <v>383</v>
      </c>
      <c r="E2665" t="s">
        <v>389</v>
      </c>
      <c r="F2665">
        <v>3</v>
      </c>
      <c r="G2665" t="s">
        <v>499</v>
      </c>
      <c r="H2665" s="4">
        <v>30372529</v>
      </c>
      <c r="I2665" s="4">
        <v>28246751</v>
      </c>
      <c r="J2665" s="3">
        <v>0.06999015459002443</v>
      </c>
      <c r="K2665" s="3">
        <v>0.07525743403197062</v>
      </c>
      <c r="L2665" t="s">
        <v>377</v>
      </c>
    </row>
    <row r="2666" spans="1:12" x14ac:dyDescent="0.25">
      <c r="A2666" t="s">
        <v>487</v>
      </c>
      <c r="B2666" t="s">
        <v>461</v>
      </c>
      <c r="C2666" t="s">
        <v>462</v>
      </c>
      <c r="D2666" t="s">
        <v>385</v>
      </c>
      <c r="E2666" t="s">
        <v>387</v>
      </c>
      <c r="F2666">
        <v>1</v>
      </c>
      <c r="G2666" t="s">
        <v>488</v>
      </c>
      <c r="H2666" s="4">
        <v>25058934</v>
      </c>
      <c r="I2666" s="4">
        <v>21506280.944668405</v>
      </c>
      <c r="J2666" s="3">
        <v>0.14177191477225629</v>
      </c>
      <c r="K2666" s="3">
        <v>0.16519141847313815</v>
      </c>
      <c r="L2666" t="s">
        <v>377</v>
      </c>
    </row>
    <row r="2667" spans="1:12" x14ac:dyDescent="0.25">
      <c r="A2667" t="s">
        <v>487</v>
      </c>
      <c r="B2667" t="s">
        <v>461</v>
      </c>
      <c r="C2667" t="s">
        <v>462</v>
      </c>
      <c r="D2667" t="s">
        <v>385</v>
      </c>
      <c r="E2667" t="s">
        <v>387</v>
      </c>
      <c r="F2667">
        <v>1</v>
      </c>
      <c r="G2667" t="s">
        <v>498</v>
      </c>
      <c r="H2667" s="4">
        <v>25058934</v>
      </c>
      <c r="I2667" s="4">
        <v>22852674</v>
      </c>
      <c r="J2667" s="3">
        <v>0.08804285130404989</v>
      </c>
      <c r="K2667" s="3">
        <v>0.09654275031447086</v>
      </c>
      <c r="L2667" t="s">
        <v>377</v>
      </c>
    </row>
    <row r="2668" spans="1:12" x14ac:dyDescent="0.25">
      <c r="A2668" t="s">
        <v>487</v>
      </c>
      <c r="B2668" t="s">
        <v>461</v>
      </c>
      <c r="C2668" t="s">
        <v>462</v>
      </c>
      <c r="D2668" t="s">
        <v>385</v>
      </c>
      <c r="E2668" t="s">
        <v>387</v>
      </c>
      <c r="F2668">
        <v>1</v>
      </c>
      <c r="G2668" t="s">
        <v>499</v>
      </c>
      <c r="H2668" s="4">
        <v>25058934</v>
      </c>
      <c r="I2668" s="4">
        <v>29422071</v>
      </c>
      <c r="J2668" s="3">
        <v>0.1741150281971292</v>
      </c>
      <c r="K2668" s="3">
        <v>-0.14829469346328475</v>
      </c>
      <c r="L2668" t="s">
        <v>377</v>
      </c>
    </row>
    <row r="2669" spans="1:12" x14ac:dyDescent="0.25">
      <c r="A2669" t="s">
        <v>487</v>
      </c>
      <c r="B2669" t="s">
        <v>461</v>
      </c>
      <c r="C2669" t="s">
        <v>462</v>
      </c>
      <c r="D2669" t="s">
        <v>385</v>
      </c>
      <c r="E2669" t="s">
        <v>389</v>
      </c>
      <c r="F2669">
        <v>2</v>
      </c>
      <c r="G2669" t="s">
        <v>488</v>
      </c>
      <c r="H2669" s="4">
        <v>30372529</v>
      </c>
      <c r="I2669" s="4">
        <v>29256577.39689529</v>
      </c>
      <c r="J2669" s="3">
        <v>0.036742136392551</v>
      </c>
      <c r="K2669" s="3">
        <v>0.03814361427058571</v>
      </c>
      <c r="L2669" t="s">
        <v>377</v>
      </c>
    </row>
    <row r="2670" spans="1:12" x14ac:dyDescent="0.25">
      <c r="A2670" t="s">
        <v>487</v>
      </c>
      <c r="B2670" t="s">
        <v>461</v>
      </c>
      <c r="C2670" t="s">
        <v>462</v>
      </c>
      <c r="D2670" t="s">
        <v>385</v>
      </c>
      <c r="E2670" t="s">
        <v>389</v>
      </c>
      <c r="F2670">
        <v>2</v>
      </c>
      <c r="G2670" t="s">
        <v>498</v>
      </c>
      <c r="H2670" s="4">
        <v>30372529</v>
      </c>
      <c r="I2670" s="4">
        <v>31088175</v>
      </c>
      <c r="J2670" s="3">
        <v>0.023562278926460158</v>
      </c>
      <c r="K2670" s="3">
        <v>-0.023019878136944352</v>
      </c>
      <c r="L2670" t="s">
        <v>377</v>
      </c>
    </row>
    <row r="2671" spans="1:12" x14ac:dyDescent="0.25">
      <c r="A2671" t="s">
        <v>487</v>
      </c>
      <c r="B2671" t="s">
        <v>461</v>
      </c>
      <c r="C2671" t="s">
        <v>462</v>
      </c>
      <c r="D2671" t="s">
        <v>385</v>
      </c>
      <c r="E2671" t="s">
        <v>389</v>
      </c>
      <c r="F2671">
        <v>2</v>
      </c>
      <c r="G2671" t="s">
        <v>499</v>
      </c>
      <c r="H2671" s="4">
        <v>30372529</v>
      </c>
      <c r="I2671" s="4">
        <v>29422071</v>
      </c>
      <c r="J2671" s="3">
        <v>0.03129334406100987</v>
      </c>
      <c r="K2671" s="3">
        <v>0.03230425213779139</v>
      </c>
      <c r="L2671" t="s">
        <v>377</v>
      </c>
    </row>
    <row r="2672" spans="1:12" x14ac:dyDescent="0.25">
      <c r="A2672" t="s">
        <v>487</v>
      </c>
      <c r="B2672" t="s">
        <v>461</v>
      </c>
      <c r="C2672" t="s">
        <v>462</v>
      </c>
      <c r="D2672" t="s">
        <v>385</v>
      </c>
      <c r="E2672" t="s">
        <v>391</v>
      </c>
      <c r="F2672">
        <v>3</v>
      </c>
      <c r="G2672" t="s">
        <v>488</v>
      </c>
      <c r="H2672" s="4">
        <v>29604828</v>
      </c>
      <c r="I2672" s="4">
        <v>30631480.102897212</v>
      </c>
      <c r="J2672" s="3">
        <v>0.03467853631499605</v>
      </c>
      <c r="K2672" s="3">
        <v>-0.033516242096316734</v>
      </c>
      <c r="L2672" t="s">
        <v>377</v>
      </c>
    </row>
    <row r="2673" spans="1:12" x14ac:dyDescent="0.25">
      <c r="A2673" t="s">
        <v>487</v>
      </c>
      <c r="B2673" t="s">
        <v>461</v>
      </c>
      <c r="C2673" t="s">
        <v>462</v>
      </c>
      <c r="D2673" t="s">
        <v>385</v>
      </c>
      <c r="E2673" t="s">
        <v>391</v>
      </c>
      <c r="F2673">
        <v>3</v>
      </c>
      <c r="G2673" t="s">
        <v>498</v>
      </c>
      <c r="H2673" s="4">
        <v>29604828</v>
      </c>
      <c r="I2673" s="4">
        <v>32549153</v>
      </c>
      <c r="J2673" s="3">
        <v>0.09945421739994571</v>
      </c>
      <c r="K2673" s="3">
        <v>-0.09045780699731265</v>
      </c>
      <c r="L2673" t="s">
        <v>377</v>
      </c>
    </row>
    <row r="2674" spans="1:12" x14ac:dyDescent="0.25">
      <c r="A2674" t="s">
        <v>487</v>
      </c>
      <c r="B2674" t="s">
        <v>461</v>
      </c>
      <c r="C2674" t="s">
        <v>462</v>
      </c>
      <c r="D2674" t="s">
        <v>385</v>
      </c>
      <c r="E2674" t="s">
        <v>391</v>
      </c>
      <c r="F2674">
        <v>3</v>
      </c>
      <c r="G2674" t="s">
        <v>499</v>
      </c>
      <c r="H2674" s="4">
        <v>29604828</v>
      </c>
      <c r="I2674" s="4">
        <v>29422071</v>
      </c>
      <c r="J2674" s="3">
        <v>0.0061732160713786274</v>
      </c>
      <c r="K2674" s="3">
        <v>0.006211561381929912</v>
      </c>
      <c r="L2674" t="s">
        <v>377</v>
      </c>
    </row>
    <row r="2675" spans="1:12" x14ac:dyDescent="0.25">
      <c r="A2675" t="s">
        <v>487</v>
      </c>
      <c r="B2675" t="s">
        <v>461</v>
      </c>
      <c r="C2675" t="s">
        <v>462</v>
      </c>
      <c r="D2675" t="s">
        <v>387</v>
      </c>
      <c r="E2675" t="s">
        <v>389</v>
      </c>
      <c r="F2675">
        <v>1</v>
      </c>
      <c r="G2675" t="s">
        <v>488</v>
      </c>
      <c r="H2675" s="4">
        <v>30372529</v>
      </c>
      <c r="I2675" s="4">
        <v>30069048.664053854</v>
      </c>
      <c r="J2675" s="3">
        <v>0.009991935012923895</v>
      </c>
      <c r="K2675" s="3">
        <v>0.010092781429062735</v>
      </c>
      <c r="L2675" t="s">
        <v>377</v>
      </c>
    </row>
    <row r="2676" spans="1:12" x14ac:dyDescent="0.25">
      <c r="A2676" t="s">
        <v>487</v>
      </c>
      <c r="B2676" t="s">
        <v>461</v>
      </c>
      <c r="C2676" t="s">
        <v>462</v>
      </c>
      <c r="D2676" t="s">
        <v>387</v>
      </c>
      <c r="E2676" t="s">
        <v>389</v>
      </c>
      <c r="F2676">
        <v>1</v>
      </c>
      <c r="G2676" t="s">
        <v>498</v>
      </c>
      <c r="H2676" s="4">
        <v>30372529</v>
      </c>
      <c r="I2676" s="4">
        <v>31088175</v>
      </c>
      <c r="J2676" s="3">
        <v>0.023562278926460158</v>
      </c>
      <c r="K2676" s="3">
        <v>-0.023019878136944352</v>
      </c>
      <c r="L2676" t="s">
        <v>377</v>
      </c>
    </row>
    <row r="2677" spans="1:12" x14ac:dyDescent="0.25">
      <c r="A2677" t="s">
        <v>487</v>
      </c>
      <c r="B2677" t="s">
        <v>461</v>
      </c>
      <c r="C2677" t="s">
        <v>462</v>
      </c>
      <c r="D2677" t="s">
        <v>387</v>
      </c>
      <c r="E2677" t="s">
        <v>389</v>
      </c>
      <c r="F2677">
        <v>1</v>
      </c>
      <c r="G2677" t="s">
        <v>499</v>
      </c>
      <c r="H2677" s="4">
        <v>30372529</v>
      </c>
      <c r="I2677" s="4">
        <v>25058934</v>
      </c>
      <c r="J2677" s="3">
        <v>0.17494740065932607</v>
      </c>
      <c r="K2677" s="3">
        <v>0.21204393610677932</v>
      </c>
      <c r="L2677" t="s">
        <v>377</v>
      </c>
    </row>
    <row r="2678" spans="1:12" x14ac:dyDescent="0.25">
      <c r="A2678" t="s">
        <v>487</v>
      </c>
      <c r="B2678" t="s">
        <v>461</v>
      </c>
      <c r="C2678" t="s">
        <v>462</v>
      </c>
      <c r="D2678" t="s">
        <v>387</v>
      </c>
      <c r="E2678" t="s">
        <v>391</v>
      </c>
      <c r="F2678">
        <v>2</v>
      </c>
      <c r="G2678" t="s">
        <v>488</v>
      </c>
      <c r="H2678" s="4">
        <v>29604828</v>
      </c>
      <c r="I2678" s="4">
        <v>31482133.175419092</v>
      </c>
      <c r="J2678" s="3">
        <v>0.06341212911012664</v>
      </c>
      <c r="K2678" s="3">
        <v>-0.059630812339135635</v>
      </c>
      <c r="L2678" t="s">
        <v>377</v>
      </c>
    </row>
    <row r="2679" spans="1:12" x14ac:dyDescent="0.25">
      <c r="A2679" t="s">
        <v>487</v>
      </c>
      <c r="B2679" t="s">
        <v>461</v>
      </c>
      <c r="C2679" t="s">
        <v>462</v>
      </c>
      <c r="D2679" t="s">
        <v>387</v>
      </c>
      <c r="E2679" t="s">
        <v>391</v>
      </c>
      <c r="F2679">
        <v>2</v>
      </c>
      <c r="G2679" t="s">
        <v>498</v>
      </c>
      <c r="H2679" s="4">
        <v>29604828</v>
      </c>
      <c r="I2679" s="4">
        <v>32549153</v>
      </c>
      <c r="J2679" s="3">
        <v>0.09945421739994571</v>
      </c>
      <c r="K2679" s="3">
        <v>-0.09045780699731265</v>
      </c>
      <c r="L2679" t="s">
        <v>377</v>
      </c>
    </row>
    <row r="2680" spans="1:12" x14ac:dyDescent="0.25">
      <c r="A2680" t="s">
        <v>487</v>
      </c>
      <c r="B2680" t="s">
        <v>461</v>
      </c>
      <c r="C2680" t="s">
        <v>462</v>
      </c>
      <c r="D2680" t="s">
        <v>387</v>
      </c>
      <c r="E2680" t="s">
        <v>391</v>
      </c>
      <c r="F2680">
        <v>2</v>
      </c>
      <c r="G2680" t="s">
        <v>499</v>
      </c>
      <c r="H2680" s="4">
        <v>29604828</v>
      </c>
      <c r="I2680" s="4">
        <v>25058934</v>
      </c>
      <c r="J2680" s="3">
        <v>0.15355245434967565</v>
      </c>
      <c r="K2680" s="3">
        <v>0.18140811576422206</v>
      </c>
      <c r="L2680" t="s">
        <v>377</v>
      </c>
    </row>
    <row r="2681" spans="1:12" x14ac:dyDescent="0.25">
      <c r="A2681" t="s">
        <v>487</v>
      </c>
      <c r="B2681" t="s">
        <v>461</v>
      </c>
      <c r="C2681" t="s">
        <v>462</v>
      </c>
      <c r="D2681" t="s">
        <v>387</v>
      </c>
      <c r="E2681" t="s">
        <v>393</v>
      </c>
      <c r="F2681">
        <v>3</v>
      </c>
      <c r="G2681" t="s">
        <v>488</v>
      </c>
      <c r="H2681" s="4">
        <v>33715304</v>
      </c>
      <c r="I2681" s="4">
        <v>29426060.381855287</v>
      </c>
      <c r="J2681" s="3">
        <v>0.12721948519712928</v>
      </c>
      <c r="K2681" s="3">
        <v>0.14576343426487187</v>
      </c>
      <c r="L2681" t="s">
        <v>377</v>
      </c>
    </row>
    <row r="2682" spans="1:12" x14ac:dyDescent="0.25">
      <c r="A2682" t="s">
        <v>487</v>
      </c>
      <c r="B2682" t="s">
        <v>461</v>
      </c>
      <c r="C2682" t="s">
        <v>462</v>
      </c>
      <c r="D2682" t="s">
        <v>387</v>
      </c>
      <c r="E2682" t="s">
        <v>393</v>
      </c>
      <c r="F2682">
        <v>3</v>
      </c>
      <c r="G2682" t="s">
        <v>498</v>
      </c>
      <c r="H2682" s="4">
        <v>33715304</v>
      </c>
      <c r="I2682" s="4">
        <v>30423394</v>
      </c>
      <c r="J2682" s="3">
        <v>0.0976384492929383</v>
      </c>
      <c r="K2682" s="3">
        <v>0.10820324648854102</v>
      </c>
      <c r="L2682" t="s">
        <v>377</v>
      </c>
    </row>
    <row r="2683" spans="1:12" x14ac:dyDescent="0.25">
      <c r="A2683" t="s">
        <v>487</v>
      </c>
      <c r="B2683" t="s">
        <v>461</v>
      </c>
      <c r="C2683" t="s">
        <v>462</v>
      </c>
      <c r="D2683" t="s">
        <v>387</v>
      </c>
      <c r="E2683" t="s">
        <v>393</v>
      </c>
      <c r="F2683">
        <v>3</v>
      </c>
      <c r="G2683" t="s">
        <v>499</v>
      </c>
      <c r="H2683" s="4">
        <v>33715304</v>
      </c>
      <c r="I2683" s="4">
        <v>25058934</v>
      </c>
      <c r="J2683" s="3">
        <v>0.2567489825985256</v>
      </c>
      <c r="K2683" s="3">
        <v>0.3454404724478703</v>
      </c>
      <c r="L2683" t="s">
        <v>377</v>
      </c>
    </row>
    <row r="2684" spans="1:12" x14ac:dyDescent="0.25">
      <c r="A2684" t="s">
        <v>487</v>
      </c>
      <c r="B2684" t="s">
        <v>461</v>
      </c>
      <c r="C2684" t="s">
        <v>462</v>
      </c>
      <c r="D2684" t="s">
        <v>389</v>
      </c>
      <c r="E2684" t="s">
        <v>391</v>
      </c>
      <c r="F2684">
        <v>1</v>
      </c>
      <c r="G2684" t="s">
        <v>488</v>
      </c>
      <c r="H2684" s="4">
        <v>29604828</v>
      </c>
      <c r="I2684" s="4">
        <v>31121446.232392732</v>
      </c>
      <c r="J2684" s="3">
        <v>0.051228746621758185</v>
      </c>
      <c r="K2684" s="3">
        <v>-0.04873225431323822</v>
      </c>
      <c r="L2684" t="s">
        <v>377</v>
      </c>
    </row>
    <row r="2685" spans="1:12" x14ac:dyDescent="0.25">
      <c r="A2685" t="s">
        <v>487</v>
      </c>
      <c r="B2685" t="s">
        <v>461</v>
      </c>
      <c r="C2685" t="s">
        <v>462</v>
      </c>
      <c r="D2685" t="s">
        <v>389</v>
      </c>
      <c r="E2685" t="s">
        <v>391</v>
      </c>
      <c r="F2685">
        <v>1</v>
      </c>
      <c r="G2685" t="s">
        <v>498</v>
      </c>
      <c r="H2685" s="4">
        <v>29604828</v>
      </c>
      <c r="I2685" s="4">
        <v>32549153</v>
      </c>
      <c r="J2685" s="3">
        <v>0.09945421739994571</v>
      </c>
      <c r="K2685" s="3">
        <v>-0.09045780699731265</v>
      </c>
      <c r="L2685" t="s">
        <v>377</v>
      </c>
    </row>
    <row r="2686" spans="1:12" x14ac:dyDescent="0.25">
      <c r="A2686" t="s">
        <v>487</v>
      </c>
      <c r="B2686" t="s">
        <v>461</v>
      </c>
      <c r="C2686" t="s">
        <v>462</v>
      </c>
      <c r="D2686" t="s">
        <v>389</v>
      </c>
      <c r="E2686" t="s">
        <v>391</v>
      </c>
      <c r="F2686">
        <v>1</v>
      </c>
      <c r="G2686" t="s">
        <v>499</v>
      </c>
      <c r="H2686" s="4">
        <v>29604828</v>
      </c>
      <c r="I2686" s="4">
        <v>30372529</v>
      </c>
      <c r="J2686" s="3">
        <v>0.02593161493794188</v>
      </c>
      <c r="K2686" s="3">
        <v>-0.02527616320656077</v>
      </c>
      <c r="L2686" t="s">
        <v>377</v>
      </c>
    </row>
    <row r="2687" spans="1:12" x14ac:dyDescent="0.25">
      <c r="A2687" t="s">
        <v>487</v>
      </c>
      <c r="B2687" t="s">
        <v>461</v>
      </c>
      <c r="C2687" t="s">
        <v>462</v>
      </c>
      <c r="D2687" t="s">
        <v>389</v>
      </c>
      <c r="E2687" t="s">
        <v>393</v>
      </c>
      <c r="F2687">
        <v>2</v>
      </c>
      <c r="G2687" t="s">
        <v>488</v>
      </c>
      <c r="H2687" s="4">
        <v>33715304</v>
      </c>
      <c r="I2687" s="4">
        <v>29088929.612942606</v>
      </c>
      <c r="J2687" s="3">
        <v>0.13721882463398205</v>
      </c>
      <c r="K2687" s="3">
        <v>0.15904244152727331</v>
      </c>
      <c r="L2687" t="s">
        <v>377</v>
      </c>
    </row>
    <row r="2688" spans="1:12" x14ac:dyDescent="0.25">
      <c r="A2688" t="s">
        <v>487</v>
      </c>
      <c r="B2688" t="s">
        <v>461</v>
      </c>
      <c r="C2688" t="s">
        <v>462</v>
      </c>
      <c r="D2688" t="s">
        <v>389</v>
      </c>
      <c r="E2688" t="s">
        <v>393</v>
      </c>
      <c r="F2688">
        <v>2</v>
      </c>
      <c r="G2688" t="s">
        <v>498</v>
      </c>
      <c r="H2688" s="4">
        <v>33715304</v>
      </c>
      <c r="I2688" s="4">
        <v>30423394</v>
      </c>
      <c r="J2688" s="3">
        <v>0.0976384492929383</v>
      </c>
      <c r="K2688" s="3">
        <v>0.10820324648854102</v>
      </c>
      <c r="L2688" t="s">
        <v>377</v>
      </c>
    </row>
    <row r="2689" spans="1:12" x14ac:dyDescent="0.25">
      <c r="A2689" t="s">
        <v>487</v>
      </c>
      <c r="B2689" t="s">
        <v>461</v>
      </c>
      <c r="C2689" t="s">
        <v>462</v>
      </c>
      <c r="D2689" t="s">
        <v>389</v>
      </c>
      <c r="E2689" t="s">
        <v>393</v>
      </c>
      <c r="F2689">
        <v>2</v>
      </c>
      <c r="G2689" t="s">
        <v>499</v>
      </c>
      <c r="H2689" s="4">
        <v>33715304</v>
      </c>
      <c r="I2689" s="4">
        <v>30372529</v>
      </c>
      <c r="J2689" s="3">
        <v>0.09914711135334861</v>
      </c>
      <c r="K2689" s="3">
        <v>0.11005915905125978</v>
      </c>
      <c r="L2689" t="s">
        <v>377</v>
      </c>
    </row>
    <row r="2690" spans="1:12" x14ac:dyDescent="0.25">
      <c r="A2690" t="s">
        <v>487</v>
      </c>
      <c r="B2690" t="s">
        <v>461</v>
      </c>
      <c r="C2690" t="s">
        <v>462</v>
      </c>
      <c r="D2690" t="s">
        <v>389</v>
      </c>
      <c r="E2690" t="s">
        <v>395</v>
      </c>
      <c r="F2690">
        <v>3</v>
      </c>
      <c r="G2690" t="s">
        <v>488</v>
      </c>
      <c r="H2690" s="4">
        <v>27150664</v>
      </c>
      <c r="I2690" s="4">
        <v>28153971.145717815</v>
      </c>
      <c r="J2690" s="3">
        <v>0.03695331892132784</v>
      </c>
      <c r="K2690" s="3">
        <v>-0.035636434395877985</v>
      </c>
      <c r="L2690" t="s">
        <v>377</v>
      </c>
    </row>
    <row r="2691" spans="1:12" x14ac:dyDescent="0.25">
      <c r="A2691" t="s">
        <v>487</v>
      </c>
      <c r="B2691" t="s">
        <v>461</v>
      </c>
      <c r="C2691" t="s">
        <v>462</v>
      </c>
      <c r="D2691" t="s">
        <v>389</v>
      </c>
      <c r="E2691" t="s">
        <v>395</v>
      </c>
      <c r="F2691">
        <v>3</v>
      </c>
      <c r="G2691" t="s">
        <v>498</v>
      </c>
      <c r="H2691" s="4">
        <v>27150664</v>
      </c>
      <c r="I2691" s="4">
        <v>29445544</v>
      </c>
      <c r="J2691" s="3">
        <v>0.08452389967331922</v>
      </c>
      <c r="K2691" s="3">
        <v>-0.07793641034446502</v>
      </c>
      <c r="L2691" t="s">
        <v>377</v>
      </c>
    </row>
    <row r="2692" spans="1:12" x14ac:dyDescent="0.25">
      <c r="A2692" t="s">
        <v>487</v>
      </c>
      <c r="B2692" t="s">
        <v>461</v>
      </c>
      <c r="C2692" t="s">
        <v>462</v>
      </c>
      <c r="D2692" t="s">
        <v>389</v>
      </c>
      <c r="E2692" t="s">
        <v>395</v>
      </c>
      <c r="F2692">
        <v>3</v>
      </c>
      <c r="G2692" t="s">
        <v>499</v>
      </c>
      <c r="H2692" s="4">
        <v>27150664</v>
      </c>
      <c r="I2692" s="4">
        <v>30372529</v>
      </c>
      <c r="J2692" s="3">
        <v>0.11866615858823931</v>
      </c>
      <c r="K2692" s="3">
        <v>-0.10607825907417852</v>
      </c>
      <c r="L2692" t="s">
        <v>377</v>
      </c>
    </row>
    <row r="2693" spans="1:12" x14ac:dyDescent="0.25">
      <c r="A2693" t="s">
        <v>487</v>
      </c>
      <c r="B2693" t="s">
        <v>461</v>
      </c>
      <c r="C2693" t="s">
        <v>462</v>
      </c>
      <c r="D2693" t="s">
        <v>391</v>
      </c>
      <c r="E2693" t="s">
        <v>393</v>
      </c>
      <c r="F2693">
        <v>1</v>
      </c>
      <c r="G2693" t="s">
        <v>488</v>
      </c>
      <c r="H2693" s="4">
        <v>33715304</v>
      </c>
      <c r="I2693" s="4">
        <v>29242754.86445353</v>
      </c>
      <c r="J2693" s="3">
        <v>0.13265634904393767</v>
      </c>
      <c r="K2693" s="3">
        <v>0.1529455468979478</v>
      </c>
      <c r="L2693" t="s">
        <v>377</v>
      </c>
    </row>
    <row r="2694" spans="1:12" x14ac:dyDescent="0.25">
      <c r="A2694" t="s">
        <v>487</v>
      </c>
      <c r="B2694" t="s">
        <v>461</v>
      </c>
      <c r="C2694" t="s">
        <v>462</v>
      </c>
      <c r="D2694" t="s">
        <v>391</v>
      </c>
      <c r="E2694" t="s">
        <v>393</v>
      </c>
      <c r="F2694">
        <v>1</v>
      </c>
      <c r="G2694" t="s">
        <v>498</v>
      </c>
      <c r="H2694" s="4">
        <v>33715304</v>
      </c>
      <c r="I2694" s="4">
        <v>30423394</v>
      </c>
      <c r="J2694" s="3">
        <v>0.0976384492929383</v>
      </c>
      <c r="K2694" s="3">
        <v>0.10820324648854102</v>
      </c>
      <c r="L2694" t="s">
        <v>377</v>
      </c>
    </row>
    <row r="2695" spans="1:12" x14ac:dyDescent="0.25">
      <c r="A2695" t="s">
        <v>487</v>
      </c>
      <c r="B2695" t="s">
        <v>461</v>
      </c>
      <c r="C2695" t="s">
        <v>462</v>
      </c>
      <c r="D2695" t="s">
        <v>391</v>
      </c>
      <c r="E2695" t="s">
        <v>393</v>
      </c>
      <c r="F2695">
        <v>1</v>
      </c>
      <c r="G2695" t="s">
        <v>499</v>
      </c>
      <c r="H2695" s="4">
        <v>33715304</v>
      </c>
      <c r="I2695" s="4">
        <v>29604828</v>
      </c>
      <c r="J2695" s="3">
        <v>0.1219172159918831</v>
      </c>
      <c r="K2695" s="3">
        <v>0.13884478572211262</v>
      </c>
      <c r="L2695" t="s">
        <v>377</v>
      </c>
    </row>
    <row r="2696" spans="1:12" x14ac:dyDescent="0.25">
      <c r="A2696" t="s">
        <v>487</v>
      </c>
      <c r="B2696" t="s">
        <v>461</v>
      </c>
      <c r="C2696" t="s">
        <v>462</v>
      </c>
      <c r="D2696" t="s">
        <v>391</v>
      </c>
      <c r="E2696" t="s">
        <v>395</v>
      </c>
      <c r="F2696">
        <v>2</v>
      </c>
      <c r="G2696" t="s">
        <v>488</v>
      </c>
      <c r="H2696" s="4">
        <v>27150664</v>
      </c>
      <c r="I2696" s="4">
        <v>28302852.24069611</v>
      </c>
      <c r="J2696" s="3">
        <v>0.04243683471962637</v>
      </c>
      <c r="K2696" s="3">
        <v>-0.040709262476359226</v>
      </c>
      <c r="L2696" t="s">
        <v>377</v>
      </c>
    </row>
    <row r="2697" spans="1:12" x14ac:dyDescent="0.25">
      <c r="A2697" t="s">
        <v>487</v>
      </c>
      <c r="B2697" t="s">
        <v>461</v>
      </c>
      <c r="C2697" t="s">
        <v>462</v>
      </c>
      <c r="D2697" t="s">
        <v>391</v>
      </c>
      <c r="E2697" t="s">
        <v>395</v>
      </c>
      <c r="F2697">
        <v>2</v>
      </c>
      <c r="G2697" t="s">
        <v>498</v>
      </c>
      <c r="H2697" s="4">
        <v>27150664</v>
      </c>
      <c r="I2697" s="4">
        <v>29445544</v>
      </c>
      <c r="J2697" s="3">
        <v>0.08452389967331922</v>
      </c>
      <c r="K2697" s="3">
        <v>-0.07793641034446502</v>
      </c>
      <c r="L2697" t="s">
        <v>377</v>
      </c>
    </row>
    <row r="2698" spans="1:12" x14ac:dyDescent="0.25">
      <c r="A2698" t="s">
        <v>487</v>
      </c>
      <c r="B2698" t="s">
        <v>461</v>
      </c>
      <c r="C2698" t="s">
        <v>462</v>
      </c>
      <c r="D2698" t="s">
        <v>391</v>
      </c>
      <c r="E2698" t="s">
        <v>395</v>
      </c>
      <c r="F2698">
        <v>2</v>
      </c>
      <c r="G2698" t="s">
        <v>499</v>
      </c>
      <c r="H2698" s="4">
        <v>27150664</v>
      </c>
      <c r="I2698" s="4">
        <v>29604828</v>
      </c>
      <c r="J2698" s="3">
        <v>0.09039057019010659</v>
      </c>
      <c r="K2698" s="3">
        <v>-0.08289742470383547</v>
      </c>
      <c r="L2698" t="s">
        <v>377</v>
      </c>
    </row>
    <row r="2699" spans="1:12" x14ac:dyDescent="0.25">
      <c r="A2699" t="s">
        <v>487</v>
      </c>
      <c r="B2699" t="s">
        <v>461</v>
      </c>
      <c r="C2699" t="s">
        <v>462</v>
      </c>
      <c r="D2699" t="s">
        <v>391</v>
      </c>
      <c r="E2699" t="s">
        <v>397</v>
      </c>
      <c r="F2699">
        <v>3</v>
      </c>
      <c r="G2699" t="s">
        <v>488</v>
      </c>
      <c r="H2699" s="4">
        <v>20788205</v>
      </c>
      <c r="I2699" s="4">
        <v>19793222.738076985</v>
      </c>
      <c r="J2699" s="3">
        <v>0.04786282711388574</v>
      </c>
      <c r="K2699" s="3">
        <v>0.05026883570652339</v>
      </c>
      <c r="L2699" t="s">
        <v>377</v>
      </c>
    </row>
    <row r="2700" spans="1:12" x14ac:dyDescent="0.25">
      <c r="A2700" t="s">
        <v>487</v>
      </c>
      <c r="B2700" t="s">
        <v>461</v>
      </c>
      <c r="C2700" t="s">
        <v>462</v>
      </c>
      <c r="D2700" t="s">
        <v>391</v>
      </c>
      <c r="E2700" t="s">
        <v>397</v>
      </c>
      <c r="F2700">
        <v>3</v>
      </c>
      <c r="G2700" t="s">
        <v>498</v>
      </c>
      <c r="H2700" s="4">
        <v>20788205</v>
      </c>
      <c r="I2700" s="4">
        <v>20592349</v>
      </c>
      <c r="J2700" s="3">
        <v>0.009421496468790836</v>
      </c>
      <c r="K2700" s="3">
        <v>0.009511105313920232</v>
      </c>
      <c r="L2700" t="s">
        <v>377</v>
      </c>
    </row>
    <row r="2701" spans="1:12" x14ac:dyDescent="0.25">
      <c r="A2701" t="s">
        <v>487</v>
      </c>
      <c r="B2701" t="s">
        <v>461</v>
      </c>
      <c r="C2701" t="s">
        <v>462</v>
      </c>
      <c r="D2701" t="s">
        <v>391</v>
      </c>
      <c r="E2701" t="s">
        <v>397</v>
      </c>
      <c r="F2701">
        <v>3</v>
      </c>
      <c r="G2701" t="s">
        <v>499</v>
      </c>
      <c r="H2701" s="4">
        <v>20788205</v>
      </c>
      <c r="I2701" s="4">
        <v>29604828</v>
      </c>
      <c r="J2701" s="3">
        <v>0.4241166084325222</v>
      </c>
      <c r="K2701" s="3">
        <v>-0.29781030985891893</v>
      </c>
      <c r="L2701" t="s">
        <v>377</v>
      </c>
    </row>
    <row r="2702" spans="1:12" x14ac:dyDescent="0.25">
      <c r="A2702" t="s">
        <v>487</v>
      </c>
      <c r="B2702" t="s">
        <v>461</v>
      </c>
      <c r="C2702" t="s">
        <v>462</v>
      </c>
      <c r="D2702" t="s">
        <v>393</v>
      </c>
      <c r="E2702" t="s">
        <v>395</v>
      </c>
      <c r="F2702">
        <v>1</v>
      </c>
      <c r="G2702" t="s">
        <v>488</v>
      </c>
      <c r="H2702" s="4">
        <v>27150664</v>
      </c>
      <c r="I2702" s="4">
        <v>28725857.527128547</v>
      </c>
      <c r="J2702" s="3">
        <v>0.058016758895051236</v>
      </c>
      <c r="K2702" s="3">
        <v>-0.054835387442861996</v>
      </c>
      <c r="L2702" t="s">
        <v>377</v>
      </c>
    </row>
    <row r="2703" spans="1:12" x14ac:dyDescent="0.25">
      <c r="A2703" t="s">
        <v>487</v>
      </c>
      <c r="B2703" t="s">
        <v>461</v>
      </c>
      <c r="C2703" t="s">
        <v>462</v>
      </c>
      <c r="D2703" t="s">
        <v>393</v>
      </c>
      <c r="E2703" t="s">
        <v>395</v>
      </c>
      <c r="F2703">
        <v>1</v>
      </c>
      <c r="G2703" t="s">
        <v>498</v>
      </c>
      <c r="H2703" s="4">
        <v>27150664</v>
      </c>
      <c r="I2703" s="4">
        <v>29445544</v>
      </c>
      <c r="J2703" s="3">
        <v>0.08452389967331922</v>
      </c>
      <c r="K2703" s="3">
        <v>-0.07793641034446502</v>
      </c>
      <c r="L2703" t="s">
        <v>377</v>
      </c>
    </row>
    <row r="2704" spans="1:12" x14ac:dyDescent="0.25">
      <c r="A2704" t="s">
        <v>487</v>
      </c>
      <c r="B2704" t="s">
        <v>461</v>
      </c>
      <c r="C2704" t="s">
        <v>462</v>
      </c>
      <c r="D2704" t="s">
        <v>393</v>
      </c>
      <c r="E2704" t="s">
        <v>395</v>
      </c>
      <c r="F2704">
        <v>1</v>
      </c>
      <c r="G2704" t="s">
        <v>499</v>
      </c>
      <c r="H2704" s="4">
        <v>27150664</v>
      </c>
      <c r="I2704" s="4">
        <v>33715304</v>
      </c>
      <c r="J2704" s="3">
        <v>0.24178561526156414</v>
      </c>
      <c r="K2704" s="3">
        <v>-0.19470801746293018</v>
      </c>
      <c r="L2704" t="s">
        <v>377</v>
      </c>
    </row>
    <row r="2705" spans="1:12" x14ac:dyDescent="0.25">
      <c r="A2705" t="s">
        <v>487</v>
      </c>
      <c r="B2705" t="s">
        <v>461</v>
      </c>
      <c r="C2705" t="s">
        <v>462</v>
      </c>
      <c r="D2705" t="s">
        <v>393</v>
      </c>
      <c r="E2705" t="s">
        <v>397</v>
      </c>
      <c r="F2705">
        <v>2</v>
      </c>
      <c r="G2705" t="s">
        <v>488</v>
      </c>
      <c r="H2705" s="4">
        <v>20788205</v>
      </c>
      <c r="I2705" s="4">
        <v>20089045.85097521</v>
      </c>
      <c r="J2705" s="3">
        <v>0.03363249251317217</v>
      </c>
      <c r="K2705" s="3">
        <v>0.03480300429454433</v>
      </c>
      <c r="L2705" t="s">
        <v>377</v>
      </c>
    </row>
    <row r="2706" spans="1:12" x14ac:dyDescent="0.25">
      <c r="A2706" t="s">
        <v>487</v>
      </c>
      <c r="B2706" t="s">
        <v>461</v>
      </c>
      <c r="C2706" t="s">
        <v>462</v>
      </c>
      <c r="D2706" t="s">
        <v>393</v>
      </c>
      <c r="E2706" t="s">
        <v>397</v>
      </c>
      <c r="F2706">
        <v>2</v>
      </c>
      <c r="G2706" t="s">
        <v>498</v>
      </c>
      <c r="H2706" s="4">
        <v>20788205</v>
      </c>
      <c r="I2706" s="4">
        <v>20592349</v>
      </c>
      <c r="J2706" s="3">
        <v>0.009421496468790836</v>
      </c>
      <c r="K2706" s="3">
        <v>0.009511105313920232</v>
      </c>
      <c r="L2706" t="s">
        <v>377</v>
      </c>
    </row>
    <row r="2707" spans="1:12" x14ac:dyDescent="0.25">
      <c r="A2707" t="s">
        <v>487</v>
      </c>
      <c r="B2707" t="s">
        <v>461</v>
      </c>
      <c r="C2707" t="s">
        <v>462</v>
      </c>
      <c r="D2707" t="s">
        <v>393</v>
      </c>
      <c r="E2707" t="s">
        <v>397</v>
      </c>
      <c r="F2707">
        <v>2</v>
      </c>
      <c r="G2707" t="s">
        <v>499</v>
      </c>
      <c r="H2707" s="4">
        <v>20788205</v>
      </c>
      <c r="I2707" s="4">
        <v>33715304</v>
      </c>
      <c r="J2707" s="3">
        <v>0.6218477737736375</v>
      </c>
      <c r="K2707" s="3">
        <v>-0.3834193219791226</v>
      </c>
      <c r="L2707" t="s">
        <v>377</v>
      </c>
    </row>
    <row r="2708" spans="1:12" x14ac:dyDescent="0.25">
      <c r="A2708" t="s">
        <v>487</v>
      </c>
      <c r="B2708" t="s">
        <v>461</v>
      </c>
      <c r="C2708" t="s">
        <v>462</v>
      </c>
      <c r="D2708" t="s">
        <v>393</v>
      </c>
      <c r="E2708" t="s">
        <v>399</v>
      </c>
      <c r="F2708">
        <v>3</v>
      </c>
      <c r="G2708" t="s">
        <v>488</v>
      </c>
      <c r="H2708" s="4">
        <v>19763479</v>
      </c>
      <c r="I2708" s="4">
        <v>21233181.13024926</v>
      </c>
      <c r="J2708" s="3">
        <v>0.07436454534392765</v>
      </c>
      <c r="K2708" s="3">
        <v>-0.06921723698553542</v>
      </c>
      <c r="L2708" t="s">
        <v>377</v>
      </c>
    </row>
    <row r="2709" spans="1:12" x14ac:dyDescent="0.25">
      <c r="A2709" t="s">
        <v>487</v>
      </c>
      <c r="B2709" t="s">
        <v>461</v>
      </c>
      <c r="C2709" t="s">
        <v>462</v>
      </c>
      <c r="D2709" t="s">
        <v>393</v>
      </c>
      <c r="E2709" t="s">
        <v>399</v>
      </c>
      <c r="F2709">
        <v>3</v>
      </c>
      <c r="G2709" t="s">
        <v>498</v>
      </c>
      <c r="H2709" s="4">
        <v>19763479</v>
      </c>
      <c r="I2709" s="4">
        <v>21765149</v>
      </c>
      <c r="J2709" s="3">
        <v>0.1012812572118502</v>
      </c>
      <c r="K2709" s="3">
        <v>-0.09196674922831909</v>
      </c>
      <c r="L2709" t="s">
        <v>377</v>
      </c>
    </row>
    <row r="2710" spans="1:12" x14ac:dyDescent="0.25">
      <c r="A2710" t="s">
        <v>487</v>
      </c>
      <c r="B2710" t="s">
        <v>461</v>
      </c>
      <c r="C2710" t="s">
        <v>462</v>
      </c>
      <c r="D2710" t="s">
        <v>393</v>
      </c>
      <c r="E2710" t="s">
        <v>399</v>
      </c>
      <c r="F2710">
        <v>3</v>
      </c>
      <c r="G2710" t="s">
        <v>499</v>
      </c>
      <c r="H2710" s="4">
        <v>19763479</v>
      </c>
      <c r="I2710" s="4">
        <v>33715304</v>
      </c>
      <c r="J2710" s="3">
        <v>0.7059397285265413</v>
      </c>
      <c r="K2710" s="3">
        <v>-0.4138128192467136</v>
      </c>
      <c r="L2710" t="s">
        <v>377</v>
      </c>
    </row>
    <row r="2711" spans="1:12" x14ac:dyDescent="0.25">
      <c r="A2711" t="s">
        <v>487</v>
      </c>
      <c r="B2711" t="s">
        <v>461</v>
      </c>
      <c r="C2711" t="s">
        <v>462</v>
      </c>
      <c r="D2711" t="s">
        <v>395</v>
      </c>
      <c r="E2711" t="s">
        <v>397</v>
      </c>
      <c r="F2711">
        <v>1</v>
      </c>
      <c r="G2711" t="s">
        <v>488</v>
      </c>
      <c r="H2711" s="4">
        <v>20788205</v>
      </c>
      <c r="I2711" s="4">
        <v>20092267.07906339</v>
      </c>
      <c r="J2711" s="3">
        <v>0.033477537908473125</v>
      </c>
      <c r="K2711" s="3">
        <v>0.03463710283155623</v>
      </c>
      <c r="L2711" t="s">
        <v>377</v>
      </c>
    </row>
    <row r="2712" spans="1:12" x14ac:dyDescent="0.25">
      <c r="A2712" t="s">
        <v>487</v>
      </c>
      <c r="B2712" t="s">
        <v>461</v>
      </c>
      <c r="C2712" t="s">
        <v>462</v>
      </c>
      <c r="D2712" t="s">
        <v>395</v>
      </c>
      <c r="E2712" t="s">
        <v>397</v>
      </c>
      <c r="F2712">
        <v>1</v>
      </c>
      <c r="G2712" t="s">
        <v>498</v>
      </c>
      <c r="H2712" s="4">
        <v>20788205</v>
      </c>
      <c r="I2712" s="4">
        <v>20592349</v>
      </c>
      <c r="J2712" s="3">
        <v>0.009421496468790836</v>
      </c>
      <c r="K2712" s="3">
        <v>0.009511105313920232</v>
      </c>
      <c r="L2712" t="s">
        <v>377</v>
      </c>
    </row>
    <row r="2713" spans="1:12" x14ac:dyDescent="0.25">
      <c r="A2713" t="s">
        <v>487</v>
      </c>
      <c r="B2713" t="s">
        <v>461</v>
      </c>
      <c r="C2713" t="s">
        <v>462</v>
      </c>
      <c r="D2713" t="s">
        <v>395</v>
      </c>
      <c r="E2713" t="s">
        <v>397</v>
      </c>
      <c r="F2713">
        <v>1</v>
      </c>
      <c r="G2713" t="s">
        <v>499</v>
      </c>
      <c r="H2713" s="4">
        <v>20788205</v>
      </c>
      <c r="I2713" s="4">
        <v>27150664</v>
      </c>
      <c r="J2713" s="3">
        <v>0.30606100911550566</v>
      </c>
      <c r="K2713" s="3">
        <v>-0.23433898338545237</v>
      </c>
      <c r="L2713" t="s">
        <v>377</v>
      </c>
    </row>
    <row r="2714" spans="1:12" x14ac:dyDescent="0.25">
      <c r="A2714" t="s">
        <v>487</v>
      </c>
      <c r="B2714" t="s">
        <v>461</v>
      </c>
      <c r="C2714" t="s">
        <v>462</v>
      </c>
      <c r="D2714" t="s">
        <v>395</v>
      </c>
      <c r="E2714" t="s">
        <v>399</v>
      </c>
      <c r="F2714">
        <v>2</v>
      </c>
      <c r="G2714" t="s">
        <v>488</v>
      </c>
      <c r="H2714" s="4">
        <v>19763479</v>
      </c>
      <c r="I2714" s="4">
        <v>21236585.817558233</v>
      </c>
      <c r="J2714" s="3">
        <v>0.07453681700262553</v>
      </c>
      <c r="K2714" s="3">
        <v>-0.06936646173794472</v>
      </c>
      <c r="L2714" t="s">
        <v>377</v>
      </c>
    </row>
    <row r="2715" spans="1:12" x14ac:dyDescent="0.25">
      <c r="A2715" t="s">
        <v>487</v>
      </c>
      <c r="B2715" t="s">
        <v>461</v>
      </c>
      <c r="C2715" t="s">
        <v>462</v>
      </c>
      <c r="D2715" t="s">
        <v>395</v>
      </c>
      <c r="E2715" t="s">
        <v>399</v>
      </c>
      <c r="F2715">
        <v>2</v>
      </c>
      <c r="G2715" t="s">
        <v>498</v>
      </c>
      <c r="H2715" s="4">
        <v>19763479</v>
      </c>
      <c r="I2715" s="4">
        <v>21765149</v>
      </c>
      <c r="J2715" s="3">
        <v>0.1012812572118502</v>
      </c>
      <c r="K2715" s="3">
        <v>-0.09196674922831909</v>
      </c>
      <c r="L2715" t="s">
        <v>377</v>
      </c>
    </row>
    <row r="2716" spans="1:12" x14ac:dyDescent="0.25">
      <c r="A2716" t="s">
        <v>487</v>
      </c>
      <c r="B2716" t="s">
        <v>461</v>
      </c>
      <c r="C2716" t="s">
        <v>462</v>
      </c>
      <c r="D2716" t="s">
        <v>395</v>
      </c>
      <c r="E2716" t="s">
        <v>399</v>
      </c>
      <c r="F2716">
        <v>2</v>
      </c>
      <c r="G2716" t="s">
        <v>499</v>
      </c>
      <c r="H2716" s="4">
        <v>19763479</v>
      </c>
      <c r="I2716" s="4">
        <v>27150664</v>
      </c>
      <c r="J2716" s="3">
        <v>0.3737795860738891</v>
      </c>
      <c r="K2716" s="3">
        <v>-0.2720811910898385</v>
      </c>
      <c r="L2716" t="s">
        <v>377</v>
      </c>
    </row>
    <row r="2717" spans="1:12" x14ac:dyDescent="0.25">
      <c r="A2717" t="s">
        <v>487</v>
      </c>
      <c r="B2717" t="s">
        <v>461</v>
      </c>
      <c r="C2717" t="s">
        <v>462</v>
      </c>
      <c r="D2717" t="s">
        <v>395</v>
      </c>
      <c r="E2717" t="s">
        <v>401</v>
      </c>
      <c r="F2717">
        <v>3</v>
      </c>
      <c r="G2717" t="s">
        <v>488</v>
      </c>
      <c r="H2717" s="4">
        <v>19896902</v>
      </c>
      <c r="I2717" s="4">
        <v>24583167.824305963</v>
      </c>
      <c r="J2717" s="3">
        <v>0.23552741146867803</v>
      </c>
      <c r="K2717" s="3">
        <v>-0.1906290457681593</v>
      </c>
      <c r="L2717" t="s">
        <v>377</v>
      </c>
    </row>
    <row r="2718" spans="1:12" x14ac:dyDescent="0.25">
      <c r="A2718" t="s">
        <v>487</v>
      </c>
      <c r="B2718" t="s">
        <v>461</v>
      </c>
      <c r="C2718" t="s">
        <v>462</v>
      </c>
      <c r="D2718" t="s">
        <v>395</v>
      </c>
      <c r="E2718" t="s">
        <v>401</v>
      </c>
      <c r="F2718">
        <v>3</v>
      </c>
      <c r="G2718" t="s">
        <v>498</v>
      </c>
      <c r="H2718" s="4">
        <v>19896902</v>
      </c>
      <c r="I2718" s="4">
        <v>25195025</v>
      </c>
      <c r="J2718" s="3">
        <v>0.26627879053734094</v>
      </c>
      <c r="K2718" s="3">
        <v>-0.2102844906881418</v>
      </c>
      <c r="L2718" t="s">
        <v>377</v>
      </c>
    </row>
    <row r="2719" spans="1:12" x14ac:dyDescent="0.25">
      <c r="A2719" t="s">
        <v>487</v>
      </c>
      <c r="B2719" t="s">
        <v>461</v>
      </c>
      <c r="C2719" t="s">
        <v>462</v>
      </c>
      <c r="D2719" t="s">
        <v>395</v>
      </c>
      <c r="E2719" t="s">
        <v>401</v>
      </c>
      <c r="F2719">
        <v>3</v>
      </c>
      <c r="G2719" t="s">
        <v>499</v>
      </c>
      <c r="H2719" s="4">
        <v>19896902</v>
      </c>
      <c r="I2719" s="4">
        <v>27150664</v>
      </c>
      <c r="J2719" s="3">
        <v>0.36456740853425323</v>
      </c>
      <c r="K2719" s="3">
        <v>-0.2671670202982881</v>
      </c>
      <c r="L2719" t="s">
        <v>377</v>
      </c>
    </row>
    <row r="2720" spans="1:12" x14ac:dyDescent="0.25">
      <c r="A2720" t="s">
        <v>487</v>
      </c>
      <c r="B2720" t="s">
        <v>461</v>
      </c>
      <c r="C2720" t="s">
        <v>462</v>
      </c>
      <c r="D2720" t="s">
        <v>397</v>
      </c>
      <c r="E2720" t="s">
        <v>399</v>
      </c>
      <c r="F2720">
        <v>1</v>
      </c>
      <c r="G2720" t="s">
        <v>488</v>
      </c>
      <c r="H2720" s="4">
        <v>19763479</v>
      </c>
      <c r="I2720" s="4">
        <v>21340739.2516525</v>
      </c>
      <c r="J2720" s="3">
        <v>0.07980681193086002</v>
      </c>
      <c r="K2720" s="3">
        <v>-0.07390841681036742</v>
      </c>
      <c r="L2720" t="s">
        <v>377</v>
      </c>
    </row>
    <row r="2721" spans="1:12" x14ac:dyDescent="0.25">
      <c r="A2721" t="s">
        <v>487</v>
      </c>
      <c r="B2721" t="s">
        <v>461</v>
      </c>
      <c r="C2721" t="s">
        <v>462</v>
      </c>
      <c r="D2721" t="s">
        <v>397</v>
      </c>
      <c r="E2721" t="s">
        <v>399</v>
      </c>
      <c r="F2721">
        <v>1</v>
      </c>
      <c r="G2721" t="s">
        <v>498</v>
      </c>
      <c r="H2721" s="4">
        <v>19763479</v>
      </c>
      <c r="I2721" s="4">
        <v>21765149</v>
      </c>
      <c r="J2721" s="3">
        <v>0.1012812572118502</v>
      </c>
      <c r="K2721" s="3">
        <v>-0.09196674922831909</v>
      </c>
      <c r="L2721" t="s">
        <v>377</v>
      </c>
    </row>
    <row r="2722" spans="1:12" x14ac:dyDescent="0.25">
      <c r="A2722" t="s">
        <v>487</v>
      </c>
      <c r="B2722" t="s">
        <v>461</v>
      </c>
      <c r="C2722" t="s">
        <v>462</v>
      </c>
      <c r="D2722" t="s">
        <v>397</v>
      </c>
      <c r="E2722" t="s">
        <v>399</v>
      </c>
      <c r="F2722">
        <v>1</v>
      </c>
      <c r="G2722" t="s">
        <v>499</v>
      </c>
      <c r="H2722" s="4">
        <v>19763479</v>
      </c>
      <c r="I2722" s="4">
        <v>20788205</v>
      </c>
      <c r="J2722" s="3">
        <v>0.051849474477646366</v>
      </c>
      <c r="K2722" s="3">
        <v>-0.049293625880637605</v>
      </c>
      <c r="L2722" t="s">
        <v>377</v>
      </c>
    </row>
    <row r="2723" spans="1:12" x14ac:dyDescent="0.25">
      <c r="A2723" t="s">
        <v>487</v>
      </c>
      <c r="B2723" t="s">
        <v>461</v>
      </c>
      <c r="C2723" t="s">
        <v>462</v>
      </c>
      <c r="D2723" t="s">
        <v>397</v>
      </c>
      <c r="E2723" t="s">
        <v>401</v>
      </c>
      <c r="F2723">
        <v>2</v>
      </c>
      <c r="G2723" t="s">
        <v>488</v>
      </c>
      <c r="H2723" s="4">
        <v>19896902</v>
      </c>
      <c r="I2723" s="4">
        <v>24703734.34906722</v>
      </c>
      <c r="J2723" s="3">
        <v>0.24158697414638813</v>
      </c>
      <c r="K2723" s="3">
        <v>-0.19457917904823643</v>
      </c>
      <c r="L2723" t="s">
        <v>377</v>
      </c>
    </row>
    <row r="2724" spans="1:12" x14ac:dyDescent="0.25">
      <c r="A2724" t="s">
        <v>487</v>
      </c>
      <c r="B2724" t="s">
        <v>461</v>
      </c>
      <c r="C2724" t="s">
        <v>462</v>
      </c>
      <c r="D2724" t="s">
        <v>397</v>
      </c>
      <c r="E2724" t="s">
        <v>401</v>
      </c>
      <c r="F2724">
        <v>2</v>
      </c>
      <c r="G2724" t="s">
        <v>498</v>
      </c>
      <c r="H2724" s="4">
        <v>19896902</v>
      </c>
      <c r="I2724" s="4">
        <v>25195025</v>
      </c>
      <c r="J2724" s="3">
        <v>0.26627879053734094</v>
      </c>
      <c r="K2724" s="3">
        <v>-0.2102844906881418</v>
      </c>
      <c r="L2724" t="s">
        <v>377</v>
      </c>
    </row>
    <row r="2725" spans="1:12" x14ac:dyDescent="0.25">
      <c r="A2725" t="s">
        <v>487</v>
      </c>
      <c r="B2725" t="s">
        <v>461</v>
      </c>
      <c r="C2725" t="s">
        <v>462</v>
      </c>
      <c r="D2725" t="s">
        <v>397</v>
      </c>
      <c r="E2725" t="s">
        <v>401</v>
      </c>
      <c r="F2725">
        <v>2</v>
      </c>
      <c r="G2725" t="s">
        <v>499</v>
      </c>
      <c r="H2725" s="4">
        <v>19896902</v>
      </c>
      <c r="I2725" s="4">
        <v>20788205</v>
      </c>
      <c r="J2725" s="3">
        <v>0.04479606925741505</v>
      </c>
      <c r="K2725" s="3">
        <v>-0.042875419017659296</v>
      </c>
      <c r="L2725" t="s">
        <v>377</v>
      </c>
    </row>
    <row r="2726" spans="1:12" x14ac:dyDescent="0.25">
      <c r="A2726" t="s">
        <v>487</v>
      </c>
      <c r="B2726" t="s">
        <v>461</v>
      </c>
      <c r="C2726" t="s">
        <v>462</v>
      </c>
      <c r="D2726" t="s">
        <v>397</v>
      </c>
      <c r="E2726" t="s">
        <v>403</v>
      </c>
      <c r="F2726">
        <v>3</v>
      </c>
      <c r="G2726" t="s">
        <v>488</v>
      </c>
      <c r="H2726" s="4">
        <v>25034272</v>
      </c>
      <c r="I2726" s="4">
        <v>23197275.747770924</v>
      </c>
      <c r="J2726" s="3">
        <v>0.07337925593478715</v>
      </c>
      <c r="K2726" s="3">
        <v>0.07919017182030941</v>
      </c>
      <c r="L2726" t="s">
        <v>377</v>
      </c>
    </row>
    <row r="2727" spans="1:12" x14ac:dyDescent="0.25">
      <c r="A2727" t="s">
        <v>487</v>
      </c>
      <c r="B2727" t="s">
        <v>461</v>
      </c>
      <c r="C2727" t="s">
        <v>462</v>
      </c>
      <c r="D2727" t="s">
        <v>397</v>
      </c>
      <c r="E2727" t="s">
        <v>403</v>
      </c>
      <c r="F2727">
        <v>3</v>
      </c>
      <c r="G2727" t="s">
        <v>498</v>
      </c>
      <c r="H2727" s="4">
        <v>25034272</v>
      </c>
      <c r="I2727" s="4">
        <v>23658607</v>
      </c>
      <c r="J2727" s="3">
        <v>0.05495126840516872</v>
      </c>
      <c r="K2727" s="3">
        <v>0.0581464918877092</v>
      </c>
      <c r="L2727" t="s">
        <v>377</v>
      </c>
    </row>
    <row r="2728" spans="1:12" x14ac:dyDescent="0.25">
      <c r="A2728" t="s">
        <v>487</v>
      </c>
      <c r="B2728" t="s">
        <v>461</v>
      </c>
      <c r="C2728" t="s">
        <v>462</v>
      </c>
      <c r="D2728" t="s">
        <v>397</v>
      </c>
      <c r="E2728" t="s">
        <v>403</v>
      </c>
      <c r="F2728">
        <v>3</v>
      </c>
      <c r="G2728" t="s">
        <v>499</v>
      </c>
      <c r="H2728" s="4">
        <v>25034272</v>
      </c>
      <c r="I2728" s="4">
        <v>20788205</v>
      </c>
      <c r="J2728" s="3">
        <v>0.16961016481725533</v>
      </c>
      <c r="K2728" s="3">
        <v>0.20425366211272208</v>
      </c>
      <c r="L2728" t="s">
        <v>377</v>
      </c>
    </row>
    <row r="2729" spans="1:12" x14ac:dyDescent="0.25">
      <c r="A2729" t="s">
        <v>487</v>
      </c>
      <c r="B2729" t="s">
        <v>461</v>
      </c>
      <c r="C2729" t="s">
        <v>462</v>
      </c>
      <c r="D2729" t="s">
        <v>399</v>
      </c>
      <c r="E2729" t="s">
        <v>401</v>
      </c>
      <c r="F2729">
        <v>1</v>
      </c>
      <c r="G2729" t="s">
        <v>488</v>
      </c>
      <c r="H2729" s="4">
        <v>19896902</v>
      </c>
      <c r="I2729" s="4">
        <v>24509053.95643977</v>
      </c>
      <c r="J2729" s="3">
        <v>0.23180251661488663</v>
      </c>
      <c r="K2729" s="3">
        <v>-0.18818155791068078</v>
      </c>
      <c r="L2729" t="s">
        <v>377</v>
      </c>
    </row>
    <row r="2730" spans="1:12" x14ac:dyDescent="0.25">
      <c r="A2730" t="s">
        <v>487</v>
      </c>
      <c r="B2730" t="s">
        <v>461</v>
      </c>
      <c r="C2730" t="s">
        <v>462</v>
      </c>
      <c r="D2730" t="s">
        <v>399</v>
      </c>
      <c r="E2730" t="s">
        <v>401</v>
      </c>
      <c r="F2730">
        <v>1</v>
      </c>
      <c r="G2730" t="s">
        <v>498</v>
      </c>
      <c r="H2730" s="4">
        <v>19896902</v>
      </c>
      <c r="I2730" s="4">
        <v>25195025</v>
      </c>
      <c r="J2730" s="3">
        <v>0.26627879053734094</v>
      </c>
      <c r="K2730" s="3">
        <v>-0.2102844906881418</v>
      </c>
      <c r="L2730" t="s">
        <v>377</v>
      </c>
    </row>
    <row r="2731" spans="1:12" x14ac:dyDescent="0.25">
      <c r="A2731" t="s">
        <v>487</v>
      </c>
      <c r="B2731" t="s">
        <v>461</v>
      </c>
      <c r="C2731" t="s">
        <v>462</v>
      </c>
      <c r="D2731" t="s">
        <v>399</v>
      </c>
      <c r="E2731" t="s">
        <v>401</v>
      </c>
      <c r="F2731">
        <v>1</v>
      </c>
      <c r="G2731" t="s">
        <v>499</v>
      </c>
      <c r="H2731" s="4">
        <v>19896902</v>
      </c>
      <c r="I2731" s="4">
        <v>19763479</v>
      </c>
      <c r="J2731" s="3">
        <v>0.006705717302120702</v>
      </c>
      <c r="K2731" s="3">
        <v>0.006750987515912557</v>
      </c>
      <c r="L2731" t="s">
        <v>377</v>
      </c>
    </row>
    <row r="2732" spans="1:12" x14ac:dyDescent="0.25">
      <c r="A2732" t="s">
        <v>487</v>
      </c>
      <c r="B2732" t="s">
        <v>461</v>
      </c>
      <c r="C2732" t="s">
        <v>462</v>
      </c>
      <c r="D2732" t="s">
        <v>399</v>
      </c>
      <c r="E2732" t="s">
        <v>403</v>
      </c>
      <c r="F2732">
        <v>2</v>
      </c>
      <c r="G2732" t="s">
        <v>488</v>
      </c>
      <c r="H2732" s="4">
        <v>25034272</v>
      </c>
      <c r="I2732" s="4">
        <v>23014467.16156081</v>
      </c>
      <c r="J2732" s="3">
        <v>0.08068158876116664</v>
      </c>
      <c r="K2732" s="3">
        <v>0.08776239850613202</v>
      </c>
      <c r="L2732" t="s">
        <v>377</v>
      </c>
    </row>
    <row r="2733" spans="1:12" x14ac:dyDescent="0.25">
      <c r="A2733" t="s">
        <v>487</v>
      </c>
      <c r="B2733" t="s">
        <v>461</v>
      </c>
      <c r="C2733" t="s">
        <v>462</v>
      </c>
      <c r="D2733" t="s">
        <v>399</v>
      </c>
      <c r="E2733" t="s">
        <v>403</v>
      </c>
      <c r="F2733">
        <v>2</v>
      </c>
      <c r="G2733" t="s">
        <v>498</v>
      </c>
      <c r="H2733" s="4">
        <v>25034272</v>
      </c>
      <c r="I2733" s="4">
        <v>23658607</v>
      </c>
      <c r="J2733" s="3">
        <v>0.05495126840516872</v>
      </c>
      <c r="K2733" s="3">
        <v>0.0581464918877092</v>
      </c>
      <c r="L2733" t="s">
        <v>377</v>
      </c>
    </row>
    <row r="2734" spans="1:12" x14ac:dyDescent="0.25">
      <c r="A2734" t="s">
        <v>487</v>
      </c>
      <c r="B2734" t="s">
        <v>461</v>
      </c>
      <c r="C2734" t="s">
        <v>462</v>
      </c>
      <c r="D2734" t="s">
        <v>399</v>
      </c>
      <c r="E2734" t="s">
        <v>403</v>
      </c>
      <c r="F2734">
        <v>2</v>
      </c>
      <c r="G2734" t="s">
        <v>499</v>
      </c>
      <c r="H2734" s="4">
        <v>25034272</v>
      </c>
      <c r="I2734" s="4">
        <v>19763479</v>
      </c>
      <c r="J2734" s="3">
        <v>0.21054309068783786</v>
      </c>
      <c r="K2734" s="3">
        <v>0.26669358163104784</v>
      </c>
      <c r="L2734" t="s">
        <v>377</v>
      </c>
    </row>
    <row r="2735" spans="1:12" x14ac:dyDescent="0.25">
      <c r="A2735" t="s">
        <v>487</v>
      </c>
      <c r="B2735" t="s">
        <v>461</v>
      </c>
      <c r="C2735" t="s">
        <v>462</v>
      </c>
      <c r="D2735" t="s">
        <v>399</v>
      </c>
      <c r="E2735" t="s">
        <v>405</v>
      </c>
      <c r="F2735">
        <v>3</v>
      </c>
      <c r="G2735" t="s">
        <v>488</v>
      </c>
      <c r="H2735" s="4">
        <v>27310150</v>
      </c>
      <c r="I2735" s="4">
        <v>21278421.433979638</v>
      </c>
      <c r="J2735" s="3">
        <v>0.22086032358007415</v>
      </c>
      <c r="K2735" s="3">
        <v>0.283466919044486</v>
      </c>
      <c r="L2735" t="s">
        <v>377</v>
      </c>
    </row>
    <row r="2736" spans="1:12" x14ac:dyDescent="0.25">
      <c r="A2736" t="s">
        <v>487</v>
      </c>
      <c r="B2736" t="s">
        <v>461</v>
      </c>
      <c r="C2736" t="s">
        <v>462</v>
      </c>
      <c r="D2736" t="s">
        <v>399</v>
      </c>
      <c r="E2736" t="s">
        <v>405</v>
      </c>
      <c r="F2736">
        <v>3</v>
      </c>
      <c r="G2736" t="s">
        <v>498</v>
      </c>
      <c r="H2736" s="4">
        <v>27310150</v>
      </c>
      <c r="I2736" s="4">
        <v>21873972</v>
      </c>
      <c r="J2736" s="3">
        <v>0.1990533922369522</v>
      </c>
      <c r="K2736" s="3">
        <v>0.248522673431236</v>
      </c>
      <c r="L2736" t="s">
        <v>377</v>
      </c>
    </row>
    <row r="2737" spans="1:12" x14ac:dyDescent="0.25">
      <c r="A2737" t="s">
        <v>487</v>
      </c>
      <c r="B2737" t="s">
        <v>461</v>
      </c>
      <c r="C2737" t="s">
        <v>462</v>
      </c>
      <c r="D2737" t="s">
        <v>399</v>
      </c>
      <c r="E2737" t="s">
        <v>405</v>
      </c>
      <c r="F2737">
        <v>3</v>
      </c>
      <c r="G2737" t="s">
        <v>499</v>
      </c>
      <c r="H2737" s="4">
        <v>27310150</v>
      </c>
      <c r="I2737" s="4">
        <v>19763479</v>
      </c>
      <c r="J2737" s="3">
        <v>0.27633209630851535</v>
      </c>
      <c r="K2737" s="3">
        <v>0.381849319140623</v>
      </c>
      <c r="L2737" t="s">
        <v>377</v>
      </c>
    </row>
    <row r="2738" spans="1:12" x14ac:dyDescent="0.25">
      <c r="A2738" t="s">
        <v>487</v>
      </c>
      <c r="B2738" t="s">
        <v>461</v>
      </c>
      <c r="C2738" t="s">
        <v>462</v>
      </c>
      <c r="D2738" t="s">
        <v>401</v>
      </c>
      <c r="E2738" t="s">
        <v>403</v>
      </c>
      <c r="F2738">
        <v>1</v>
      </c>
      <c r="G2738" t="s">
        <v>488</v>
      </c>
      <c r="H2738" s="4">
        <v>25034272</v>
      </c>
      <c r="I2738" s="4">
        <v>22303855.01168049</v>
      </c>
      <c r="J2738" s="3">
        <v>0.10906716154236515</v>
      </c>
      <c r="K2738" s="3">
        <v>0.12241906104974203</v>
      </c>
      <c r="L2738" t="s">
        <v>377</v>
      </c>
    </row>
    <row r="2739" spans="1:12" x14ac:dyDescent="0.25">
      <c r="A2739" t="s">
        <v>487</v>
      </c>
      <c r="B2739" t="s">
        <v>461</v>
      </c>
      <c r="C2739" t="s">
        <v>462</v>
      </c>
      <c r="D2739" t="s">
        <v>401</v>
      </c>
      <c r="E2739" t="s">
        <v>403</v>
      </c>
      <c r="F2739">
        <v>1</v>
      </c>
      <c r="G2739" t="s">
        <v>498</v>
      </c>
      <c r="H2739" s="4">
        <v>25034272</v>
      </c>
      <c r="I2739" s="4">
        <v>23658607</v>
      </c>
      <c r="J2739" s="3">
        <v>0.05495126840516872</v>
      </c>
      <c r="K2739" s="3">
        <v>0.0581464918877092</v>
      </c>
      <c r="L2739" t="s">
        <v>377</v>
      </c>
    </row>
    <row r="2740" spans="1:12" x14ac:dyDescent="0.25">
      <c r="A2740" t="s">
        <v>487</v>
      </c>
      <c r="B2740" t="s">
        <v>461</v>
      </c>
      <c r="C2740" t="s">
        <v>462</v>
      </c>
      <c r="D2740" t="s">
        <v>401</v>
      </c>
      <c r="E2740" t="s">
        <v>403</v>
      </c>
      <c r="F2740">
        <v>1</v>
      </c>
      <c r="G2740" t="s">
        <v>499</v>
      </c>
      <c r="H2740" s="4">
        <v>25034272</v>
      </c>
      <c r="I2740" s="4">
        <v>19896902</v>
      </c>
      <c r="J2740" s="3">
        <v>0.20521347694872052</v>
      </c>
      <c r="K2740" s="3">
        <v>0.2581994925642193</v>
      </c>
      <c r="L2740" t="s">
        <v>377</v>
      </c>
    </row>
    <row r="2741" spans="1:12" x14ac:dyDescent="0.25">
      <c r="A2741" t="s">
        <v>487</v>
      </c>
      <c r="B2741" t="s">
        <v>461</v>
      </c>
      <c r="C2741" t="s">
        <v>462</v>
      </c>
      <c r="D2741" t="s">
        <v>401</v>
      </c>
      <c r="E2741" t="s">
        <v>405</v>
      </c>
      <c r="F2741">
        <v>2</v>
      </c>
      <c r="G2741" t="s">
        <v>488</v>
      </c>
      <c r="H2741" s="4">
        <v>27310150</v>
      </c>
      <c r="I2741" s="4">
        <v>20621412.7491766</v>
      </c>
      <c r="J2741" s="3">
        <v>0.24491763138698985</v>
      </c>
      <c r="K2741" s="3">
        <v>0.3243588270202524</v>
      </c>
      <c r="L2741" t="s">
        <v>377</v>
      </c>
    </row>
    <row r="2742" spans="1:12" x14ac:dyDescent="0.25">
      <c r="A2742" t="s">
        <v>487</v>
      </c>
      <c r="B2742" t="s">
        <v>461</v>
      </c>
      <c r="C2742" t="s">
        <v>462</v>
      </c>
      <c r="D2742" t="s">
        <v>401</v>
      </c>
      <c r="E2742" t="s">
        <v>405</v>
      </c>
      <c r="F2742">
        <v>2</v>
      </c>
      <c r="G2742" t="s">
        <v>498</v>
      </c>
      <c r="H2742" s="4">
        <v>27310150</v>
      </c>
      <c r="I2742" s="4">
        <v>21873972</v>
      </c>
      <c r="J2742" s="3">
        <v>0.1990533922369522</v>
      </c>
      <c r="K2742" s="3">
        <v>0.248522673431236</v>
      </c>
      <c r="L2742" t="s">
        <v>377</v>
      </c>
    </row>
    <row r="2743" spans="1:12" x14ac:dyDescent="0.25">
      <c r="A2743" t="s">
        <v>487</v>
      </c>
      <c r="B2743" t="s">
        <v>461</v>
      </c>
      <c r="C2743" t="s">
        <v>462</v>
      </c>
      <c r="D2743" t="s">
        <v>401</v>
      </c>
      <c r="E2743" t="s">
        <v>405</v>
      </c>
      <c r="F2743">
        <v>2</v>
      </c>
      <c r="G2743" t="s">
        <v>499</v>
      </c>
      <c r="H2743" s="4">
        <v>27310150</v>
      </c>
      <c r="I2743" s="4">
        <v>19896902</v>
      </c>
      <c r="J2743" s="3">
        <v>0.2714466233250275</v>
      </c>
      <c r="K2743" s="3">
        <v>0.37258302825233797</v>
      </c>
      <c r="L2743" t="s">
        <v>377</v>
      </c>
    </row>
    <row r="2744" spans="1:12" x14ac:dyDescent="0.25">
      <c r="A2744" t="s">
        <v>487</v>
      </c>
      <c r="B2744" t="s">
        <v>461</v>
      </c>
      <c r="C2744" t="s">
        <v>462</v>
      </c>
      <c r="D2744" t="s">
        <v>401</v>
      </c>
      <c r="E2744" t="s">
        <v>407</v>
      </c>
      <c r="F2744">
        <v>3</v>
      </c>
      <c r="G2744" t="s">
        <v>488</v>
      </c>
      <c r="H2744" s="4">
        <v>28414942</v>
      </c>
      <c r="I2744" s="4">
        <v>26629270.22098304</v>
      </c>
      <c r="J2744" s="3">
        <v>0.06284270363870391</v>
      </c>
      <c r="K2744" s="3">
        <v>0.06705672983895392</v>
      </c>
      <c r="L2744" t="s">
        <v>377</v>
      </c>
    </row>
    <row r="2745" spans="1:12" x14ac:dyDescent="0.25">
      <c r="A2745" t="s">
        <v>487</v>
      </c>
      <c r="B2745" t="s">
        <v>461</v>
      </c>
      <c r="C2745" t="s">
        <v>462</v>
      </c>
      <c r="D2745" t="s">
        <v>401</v>
      </c>
      <c r="E2745" t="s">
        <v>407</v>
      </c>
      <c r="F2745">
        <v>3</v>
      </c>
      <c r="G2745" t="s">
        <v>498</v>
      </c>
      <c r="H2745" s="4">
        <v>28414942</v>
      </c>
      <c r="I2745" s="4">
        <v>28246751</v>
      </c>
      <c r="J2745" s="3">
        <v>0.005919104110787909</v>
      </c>
      <c r="K2745" s="3">
        <v>0.005954348519587261</v>
      </c>
      <c r="L2745" t="s">
        <v>377</v>
      </c>
    </row>
    <row r="2746" spans="1:12" x14ac:dyDescent="0.25">
      <c r="A2746" t="s">
        <v>487</v>
      </c>
      <c r="B2746" t="s">
        <v>461</v>
      </c>
      <c r="C2746" t="s">
        <v>462</v>
      </c>
      <c r="D2746" t="s">
        <v>401</v>
      </c>
      <c r="E2746" t="s">
        <v>407</v>
      </c>
      <c r="F2746">
        <v>3</v>
      </c>
      <c r="G2746" t="s">
        <v>499</v>
      </c>
      <c r="H2746" s="4">
        <v>28414942</v>
      </c>
      <c r="I2746" s="4">
        <v>19896902</v>
      </c>
      <c r="J2746" s="3">
        <v>0.29977326717752933</v>
      </c>
      <c r="K2746" s="3">
        <v>0.42810885835392865</v>
      </c>
      <c r="L2746" t="s">
        <v>377</v>
      </c>
    </row>
    <row r="2747" spans="1:12" x14ac:dyDescent="0.25">
      <c r="A2747" t="s">
        <v>487</v>
      </c>
      <c r="B2747" t="s">
        <v>461</v>
      </c>
      <c r="C2747" t="s">
        <v>462</v>
      </c>
      <c r="D2747" t="s">
        <v>403</v>
      </c>
      <c r="E2747" t="s">
        <v>405</v>
      </c>
      <c r="F2747">
        <v>1</v>
      </c>
      <c r="G2747" t="s">
        <v>488</v>
      </c>
      <c r="H2747" s="4">
        <v>27310150</v>
      </c>
      <c r="I2747" s="4">
        <v>21139547.801114433</v>
      </c>
      <c r="J2747" s="3">
        <v>0.22594537924125527</v>
      </c>
      <c r="K2747" s="3">
        <v>0.29189849550898467</v>
      </c>
      <c r="L2747" t="s">
        <v>377</v>
      </c>
    </row>
    <row r="2748" spans="1:12" x14ac:dyDescent="0.25">
      <c r="A2748" t="s">
        <v>487</v>
      </c>
      <c r="B2748" t="s">
        <v>461</v>
      </c>
      <c r="C2748" t="s">
        <v>462</v>
      </c>
      <c r="D2748" t="s">
        <v>403</v>
      </c>
      <c r="E2748" t="s">
        <v>405</v>
      </c>
      <c r="F2748">
        <v>1</v>
      </c>
      <c r="G2748" t="s">
        <v>498</v>
      </c>
      <c r="H2748" s="4">
        <v>27310150</v>
      </c>
      <c r="I2748" s="4">
        <v>21873972</v>
      </c>
      <c r="J2748" s="3">
        <v>0.1990533922369522</v>
      </c>
      <c r="K2748" s="3">
        <v>0.248522673431236</v>
      </c>
      <c r="L2748" t="s">
        <v>377</v>
      </c>
    </row>
    <row r="2749" spans="1:12" x14ac:dyDescent="0.25">
      <c r="A2749" t="s">
        <v>487</v>
      </c>
      <c r="B2749" t="s">
        <v>461</v>
      </c>
      <c r="C2749" t="s">
        <v>462</v>
      </c>
      <c r="D2749" t="s">
        <v>403</v>
      </c>
      <c r="E2749" t="s">
        <v>405</v>
      </c>
      <c r="F2749">
        <v>1</v>
      </c>
      <c r="G2749" t="s">
        <v>499</v>
      </c>
      <c r="H2749" s="4">
        <v>27310150</v>
      </c>
      <c r="I2749" s="4">
        <v>25034272</v>
      </c>
      <c r="J2749" s="3">
        <v>0.0833345111616011</v>
      </c>
      <c r="K2749" s="3">
        <v>0.09091049262387178</v>
      </c>
      <c r="L2749" t="s">
        <v>377</v>
      </c>
    </row>
    <row r="2750" spans="1:12" x14ac:dyDescent="0.25">
      <c r="A2750" t="s">
        <v>487</v>
      </c>
      <c r="B2750" t="s">
        <v>461</v>
      </c>
      <c r="C2750" t="s">
        <v>462</v>
      </c>
      <c r="D2750" t="s">
        <v>403</v>
      </c>
      <c r="E2750" t="s">
        <v>407</v>
      </c>
      <c r="F2750">
        <v>2</v>
      </c>
      <c r="G2750" t="s">
        <v>488</v>
      </c>
      <c r="H2750" s="4">
        <v>28414942</v>
      </c>
      <c r="I2750" s="4">
        <v>27298359.117890287</v>
      </c>
      <c r="J2750" s="3">
        <v>0.03929562418637746</v>
      </c>
      <c r="K2750" s="3">
        <v>0.04090293036616797</v>
      </c>
      <c r="L2750" t="s">
        <v>377</v>
      </c>
    </row>
    <row r="2751" spans="1:12" x14ac:dyDescent="0.25">
      <c r="A2751" t="s">
        <v>487</v>
      </c>
      <c r="B2751" t="s">
        <v>461</v>
      </c>
      <c r="C2751" t="s">
        <v>462</v>
      </c>
      <c r="D2751" t="s">
        <v>403</v>
      </c>
      <c r="E2751" t="s">
        <v>407</v>
      </c>
      <c r="F2751">
        <v>2</v>
      </c>
      <c r="G2751" t="s">
        <v>498</v>
      </c>
      <c r="H2751" s="4">
        <v>28414942</v>
      </c>
      <c r="I2751" s="4">
        <v>28246751</v>
      </c>
      <c r="J2751" s="3">
        <v>0.005919104110787909</v>
      </c>
      <c r="K2751" s="3">
        <v>0.005954348519587261</v>
      </c>
      <c r="L2751" t="s">
        <v>377</v>
      </c>
    </row>
    <row r="2752" spans="1:12" x14ac:dyDescent="0.25">
      <c r="A2752" t="s">
        <v>487</v>
      </c>
      <c r="B2752" t="s">
        <v>461</v>
      </c>
      <c r="C2752" t="s">
        <v>462</v>
      </c>
      <c r="D2752" t="s">
        <v>403</v>
      </c>
      <c r="E2752" t="s">
        <v>407</v>
      </c>
      <c r="F2752">
        <v>2</v>
      </c>
      <c r="G2752" t="s">
        <v>499</v>
      </c>
      <c r="H2752" s="4">
        <v>28414942</v>
      </c>
      <c r="I2752" s="4">
        <v>25034272</v>
      </c>
      <c r="J2752" s="3">
        <v>0.11897508008286627</v>
      </c>
      <c r="K2752" s="3">
        <v>0.13504167406985113</v>
      </c>
      <c r="L2752" t="s">
        <v>377</v>
      </c>
    </row>
    <row r="2753" spans="1:12" x14ac:dyDescent="0.25">
      <c r="A2753" t="s">
        <v>487</v>
      </c>
      <c r="B2753" t="s">
        <v>461</v>
      </c>
      <c r="C2753" t="s">
        <v>462</v>
      </c>
      <c r="D2753" t="s">
        <v>403</v>
      </c>
      <c r="E2753" t="s">
        <v>409</v>
      </c>
      <c r="F2753">
        <v>3</v>
      </c>
      <c r="G2753" t="s">
        <v>488</v>
      </c>
      <c r="H2753" s="4">
        <v>33135779</v>
      </c>
      <c r="I2753" s="4">
        <v>28434217.448586047</v>
      </c>
      <c r="J2753" s="3">
        <v>0.1418877628141458</v>
      </c>
      <c r="K2753" s="3">
        <v>0.16534872323865374</v>
      </c>
      <c r="L2753" t="s">
        <v>377</v>
      </c>
    </row>
    <row r="2754" spans="1:12" x14ac:dyDescent="0.25">
      <c r="A2754" t="s">
        <v>487</v>
      </c>
      <c r="B2754" t="s">
        <v>461</v>
      </c>
      <c r="C2754" t="s">
        <v>462</v>
      </c>
      <c r="D2754" t="s">
        <v>403</v>
      </c>
      <c r="E2754" t="s">
        <v>409</v>
      </c>
      <c r="F2754">
        <v>3</v>
      </c>
      <c r="G2754" t="s">
        <v>498</v>
      </c>
      <c r="H2754" s="4">
        <v>33135779</v>
      </c>
      <c r="I2754" s="4">
        <v>29422071</v>
      </c>
      <c r="J2754" s="3">
        <v>0.11207546984182867</v>
      </c>
      <c r="K2754" s="3">
        <v>0.12622184209942258</v>
      </c>
      <c r="L2754" t="s">
        <v>377</v>
      </c>
    </row>
    <row r="2755" spans="1:12" x14ac:dyDescent="0.25">
      <c r="A2755" t="s">
        <v>487</v>
      </c>
      <c r="B2755" t="s">
        <v>461</v>
      </c>
      <c r="C2755" t="s">
        <v>462</v>
      </c>
      <c r="D2755" t="s">
        <v>403</v>
      </c>
      <c r="E2755" t="s">
        <v>409</v>
      </c>
      <c r="F2755">
        <v>3</v>
      </c>
      <c r="G2755" t="s">
        <v>499</v>
      </c>
      <c r="H2755" s="4">
        <v>33135779</v>
      </c>
      <c r="I2755" s="4">
        <v>25034272</v>
      </c>
      <c r="J2755" s="3">
        <v>0.24449423687911487</v>
      </c>
      <c r="K2755" s="3">
        <v>0.32361664041998106</v>
      </c>
      <c r="L2755" t="s">
        <v>377</v>
      </c>
    </row>
    <row r="2756" spans="1:12" x14ac:dyDescent="0.25">
      <c r="A2756" t="s">
        <v>487</v>
      </c>
      <c r="B2756" t="s">
        <v>461</v>
      </c>
      <c r="C2756" t="s">
        <v>462</v>
      </c>
      <c r="D2756" t="s">
        <v>405</v>
      </c>
      <c r="E2756" t="s">
        <v>407</v>
      </c>
      <c r="F2756">
        <v>1</v>
      </c>
      <c r="G2756" t="s">
        <v>488</v>
      </c>
      <c r="H2756" s="4">
        <v>28414942</v>
      </c>
      <c r="I2756" s="4">
        <v>28506575.40023462</v>
      </c>
      <c r="J2756" s="3">
        <v>0.0032248315071211836</v>
      </c>
      <c r="K2756" s="3">
        <v>-0.003214465397827718</v>
      </c>
      <c r="L2756" t="s">
        <v>377</v>
      </c>
    </row>
    <row r="2757" spans="1:12" x14ac:dyDescent="0.25">
      <c r="A2757" t="s">
        <v>487</v>
      </c>
      <c r="B2757" t="s">
        <v>461</v>
      </c>
      <c r="C2757" t="s">
        <v>462</v>
      </c>
      <c r="D2757" t="s">
        <v>405</v>
      </c>
      <c r="E2757" t="s">
        <v>407</v>
      </c>
      <c r="F2757">
        <v>1</v>
      </c>
      <c r="G2757" t="s">
        <v>498</v>
      </c>
      <c r="H2757" s="4">
        <v>28414942</v>
      </c>
      <c r="I2757" s="4">
        <v>28246751</v>
      </c>
      <c r="J2757" s="3">
        <v>0.005919104110787909</v>
      </c>
      <c r="K2757" s="3">
        <v>0.005954348519587261</v>
      </c>
      <c r="L2757" t="s">
        <v>377</v>
      </c>
    </row>
    <row r="2758" spans="1:12" x14ac:dyDescent="0.25">
      <c r="A2758" t="s">
        <v>487</v>
      </c>
      <c r="B2758" t="s">
        <v>461</v>
      </c>
      <c r="C2758" t="s">
        <v>462</v>
      </c>
      <c r="D2758" t="s">
        <v>405</v>
      </c>
      <c r="E2758" t="s">
        <v>407</v>
      </c>
      <c r="F2758">
        <v>1</v>
      </c>
      <c r="G2758" t="s">
        <v>499</v>
      </c>
      <c r="H2758" s="4">
        <v>28414942</v>
      </c>
      <c r="I2758" s="4">
        <v>27310150</v>
      </c>
      <c r="J2758" s="3">
        <v>0.03888067059929244</v>
      </c>
      <c r="K2758" s="3">
        <v>0.04045353101319473</v>
      </c>
      <c r="L2758" t="s">
        <v>377</v>
      </c>
    </row>
    <row r="2759" spans="1:12" x14ac:dyDescent="0.25">
      <c r="A2759" t="s">
        <v>487</v>
      </c>
      <c r="B2759" t="s">
        <v>461</v>
      </c>
      <c r="C2759" t="s">
        <v>462</v>
      </c>
      <c r="D2759" t="s">
        <v>405</v>
      </c>
      <c r="E2759" t="s">
        <v>409</v>
      </c>
      <c r="F2759">
        <v>2</v>
      </c>
      <c r="G2759" t="s">
        <v>488</v>
      </c>
      <c r="H2759" s="4">
        <v>33135779</v>
      </c>
      <c r="I2759" s="4">
        <v>29692706.442328766</v>
      </c>
      <c r="J2759" s="3">
        <v>0.10390800100614005</v>
      </c>
      <c r="K2759" s="3">
        <v>0.11595684496994602</v>
      </c>
      <c r="L2759" t="s">
        <v>377</v>
      </c>
    </row>
    <row r="2760" spans="1:12" x14ac:dyDescent="0.25">
      <c r="A2760" t="s">
        <v>487</v>
      </c>
      <c r="B2760" t="s">
        <v>461</v>
      </c>
      <c r="C2760" t="s">
        <v>462</v>
      </c>
      <c r="D2760" t="s">
        <v>405</v>
      </c>
      <c r="E2760" t="s">
        <v>409</v>
      </c>
      <c r="F2760">
        <v>2</v>
      </c>
      <c r="G2760" t="s">
        <v>498</v>
      </c>
      <c r="H2760" s="4">
        <v>33135779</v>
      </c>
      <c r="I2760" s="4">
        <v>29422071</v>
      </c>
      <c r="J2760" s="3">
        <v>0.11207546984182867</v>
      </c>
      <c r="K2760" s="3">
        <v>0.12622184209942258</v>
      </c>
      <c r="L2760" t="s">
        <v>377</v>
      </c>
    </row>
    <row r="2761" spans="1:12" x14ac:dyDescent="0.25">
      <c r="A2761" t="s">
        <v>487</v>
      </c>
      <c r="B2761" t="s">
        <v>461</v>
      </c>
      <c r="C2761" t="s">
        <v>462</v>
      </c>
      <c r="D2761" t="s">
        <v>405</v>
      </c>
      <c r="E2761" t="s">
        <v>409</v>
      </c>
      <c r="F2761">
        <v>2</v>
      </c>
      <c r="G2761" t="s">
        <v>499</v>
      </c>
      <c r="H2761" s="4">
        <v>33135779</v>
      </c>
      <c r="I2761" s="4">
        <v>27310150</v>
      </c>
      <c r="J2761" s="3">
        <v>0.17581083577362103</v>
      </c>
      <c r="K2761" s="3">
        <v>0.21331369472522121</v>
      </c>
      <c r="L2761" t="s">
        <v>377</v>
      </c>
    </row>
    <row r="2762" spans="1:12" x14ac:dyDescent="0.25">
      <c r="A2762" t="s">
        <v>487</v>
      </c>
      <c r="B2762" t="s">
        <v>461</v>
      </c>
      <c r="C2762" t="s">
        <v>462</v>
      </c>
      <c r="D2762" t="s">
        <v>405</v>
      </c>
      <c r="E2762" t="s">
        <v>411</v>
      </c>
      <c r="F2762">
        <v>3</v>
      </c>
      <c r="G2762" t="s">
        <v>488</v>
      </c>
      <c r="H2762" s="4">
        <v>30484914</v>
      </c>
      <c r="I2762" s="4">
        <v>25289435.64236832</v>
      </c>
      <c r="J2762" s="3">
        <v>0.1704278502354207</v>
      </c>
      <c r="K2762" s="3">
        <v>0.2054406603256699</v>
      </c>
      <c r="L2762" t="s">
        <v>377</v>
      </c>
    </row>
    <row r="2763" spans="1:12" x14ac:dyDescent="0.25">
      <c r="A2763" t="s">
        <v>487</v>
      </c>
      <c r="B2763" t="s">
        <v>461</v>
      </c>
      <c r="C2763" t="s">
        <v>462</v>
      </c>
      <c r="D2763" t="s">
        <v>405</v>
      </c>
      <c r="E2763" t="s">
        <v>411</v>
      </c>
      <c r="F2763">
        <v>3</v>
      </c>
      <c r="G2763" t="s">
        <v>498</v>
      </c>
      <c r="H2763" s="4">
        <v>30484914</v>
      </c>
      <c r="I2763" s="4">
        <v>25058934</v>
      </c>
      <c r="J2763" s="3">
        <v>0.17798902106136827</v>
      </c>
      <c r="K2763" s="3">
        <v>0.2165287637534781</v>
      </c>
      <c r="L2763" t="s">
        <v>377</v>
      </c>
    </row>
    <row r="2764" spans="1:12" x14ac:dyDescent="0.25">
      <c r="A2764" t="s">
        <v>487</v>
      </c>
      <c r="B2764" t="s">
        <v>461</v>
      </c>
      <c r="C2764" t="s">
        <v>462</v>
      </c>
      <c r="D2764" t="s">
        <v>405</v>
      </c>
      <c r="E2764" t="s">
        <v>411</v>
      </c>
      <c r="F2764">
        <v>3</v>
      </c>
      <c r="G2764" t="s">
        <v>499</v>
      </c>
      <c r="H2764" s="4">
        <v>30484914</v>
      </c>
      <c r="I2764" s="4">
        <v>27310150</v>
      </c>
      <c r="J2764" s="3">
        <v>0.10414213404046342</v>
      </c>
      <c r="K2764" s="3">
        <v>0.11624850101519033</v>
      </c>
      <c r="L2764" t="s">
        <v>377</v>
      </c>
    </row>
    <row r="2765" spans="1:12" x14ac:dyDescent="0.25">
      <c r="A2765" t="s">
        <v>487</v>
      </c>
      <c r="B2765" t="s">
        <v>461</v>
      </c>
      <c r="C2765" t="s">
        <v>462</v>
      </c>
      <c r="D2765" t="s">
        <v>407</v>
      </c>
      <c r="E2765" t="s">
        <v>409</v>
      </c>
      <c r="F2765">
        <v>1</v>
      </c>
      <c r="G2765" t="s">
        <v>488</v>
      </c>
      <c r="H2765" s="4">
        <v>33135779</v>
      </c>
      <c r="I2765" s="4">
        <v>29819722.777507346</v>
      </c>
      <c r="J2765" s="3">
        <v>0.10007479294489059</v>
      </c>
      <c r="K2765" s="3">
        <v>0.11120345575425385</v>
      </c>
      <c r="L2765" t="s">
        <v>377</v>
      </c>
    </row>
    <row r="2766" spans="1:12" x14ac:dyDescent="0.25">
      <c r="A2766" t="s">
        <v>487</v>
      </c>
      <c r="B2766" t="s">
        <v>461</v>
      </c>
      <c r="C2766" t="s">
        <v>462</v>
      </c>
      <c r="D2766" t="s">
        <v>407</v>
      </c>
      <c r="E2766" t="s">
        <v>409</v>
      </c>
      <c r="F2766">
        <v>1</v>
      </c>
      <c r="G2766" t="s">
        <v>498</v>
      </c>
      <c r="H2766" s="4">
        <v>33135779</v>
      </c>
      <c r="I2766" s="4">
        <v>29422071</v>
      </c>
      <c r="J2766" s="3">
        <v>0.11207546984182867</v>
      </c>
      <c r="K2766" s="3">
        <v>0.12622184209942258</v>
      </c>
      <c r="L2766" t="s">
        <v>377</v>
      </c>
    </row>
    <row r="2767" spans="1:12" x14ac:dyDescent="0.25">
      <c r="A2767" t="s">
        <v>487</v>
      </c>
      <c r="B2767" t="s">
        <v>461</v>
      </c>
      <c r="C2767" t="s">
        <v>462</v>
      </c>
      <c r="D2767" t="s">
        <v>407</v>
      </c>
      <c r="E2767" t="s">
        <v>409</v>
      </c>
      <c r="F2767">
        <v>1</v>
      </c>
      <c r="G2767" t="s">
        <v>499</v>
      </c>
      <c r="H2767" s="4">
        <v>33135779</v>
      </c>
      <c r="I2767" s="4">
        <v>28414942</v>
      </c>
      <c r="J2767" s="3">
        <v>0.14246947385785014</v>
      </c>
      <c r="K2767" s="3">
        <v>0.16613924462699942</v>
      </c>
      <c r="L2767" t="s">
        <v>377</v>
      </c>
    </row>
    <row r="2768" spans="1:12" x14ac:dyDescent="0.25">
      <c r="A2768" t="s">
        <v>487</v>
      </c>
      <c r="B2768" t="s">
        <v>461</v>
      </c>
      <c r="C2768" t="s">
        <v>462</v>
      </c>
      <c r="D2768" t="s">
        <v>407</v>
      </c>
      <c r="E2768" t="s">
        <v>411</v>
      </c>
      <c r="F2768">
        <v>2</v>
      </c>
      <c r="G2768" t="s">
        <v>488</v>
      </c>
      <c r="H2768" s="4">
        <v>30484914</v>
      </c>
      <c r="I2768" s="4">
        <v>25397616.129056763</v>
      </c>
      <c r="J2768" s="3">
        <v>0.1668791937855963</v>
      </c>
      <c r="K2768" s="3">
        <v>0.2003061171210864</v>
      </c>
      <c r="L2768" t="s">
        <v>377</v>
      </c>
    </row>
    <row r="2769" spans="1:12" x14ac:dyDescent="0.25">
      <c r="A2769" t="s">
        <v>487</v>
      </c>
      <c r="B2769" t="s">
        <v>461</v>
      </c>
      <c r="C2769" t="s">
        <v>462</v>
      </c>
      <c r="D2769" t="s">
        <v>407</v>
      </c>
      <c r="E2769" t="s">
        <v>411</v>
      </c>
      <c r="F2769">
        <v>2</v>
      </c>
      <c r="G2769" t="s">
        <v>498</v>
      </c>
      <c r="H2769" s="4">
        <v>30484914</v>
      </c>
      <c r="I2769" s="4">
        <v>25058934</v>
      </c>
      <c r="J2769" s="3">
        <v>0.17798902106136827</v>
      </c>
      <c r="K2769" s="3">
        <v>0.2165287637534781</v>
      </c>
      <c r="L2769" t="s">
        <v>377</v>
      </c>
    </row>
    <row r="2770" spans="1:12" x14ac:dyDescent="0.25">
      <c r="A2770" t="s">
        <v>487</v>
      </c>
      <c r="B2770" t="s">
        <v>461</v>
      </c>
      <c r="C2770" t="s">
        <v>462</v>
      </c>
      <c r="D2770" t="s">
        <v>407</v>
      </c>
      <c r="E2770" t="s">
        <v>411</v>
      </c>
      <c r="F2770">
        <v>2</v>
      </c>
      <c r="G2770" t="s">
        <v>499</v>
      </c>
      <c r="H2770" s="4">
        <v>30484914</v>
      </c>
      <c r="I2770" s="4">
        <v>28414942</v>
      </c>
      <c r="J2770" s="3">
        <v>0.06790152007645486</v>
      </c>
      <c r="K2770" s="3">
        <v>0.07284801074026476</v>
      </c>
      <c r="L2770" t="s">
        <v>377</v>
      </c>
    </row>
    <row r="2771" spans="1:12" x14ac:dyDescent="0.25">
      <c r="A2771" t="s">
        <v>487</v>
      </c>
      <c r="B2771" t="s">
        <v>461</v>
      </c>
      <c r="C2771" t="s">
        <v>462</v>
      </c>
      <c r="D2771" t="s">
        <v>407</v>
      </c>
      <c r="E2771" t="s">
        <v>413</v>
      </c>
      <c r="F2771">
        <v>3</v>
      </c>
      <c r="G2771" t="s">
        <v>488</v>
      </c>
      <c r="H2771" s="4">
        <v>31979426</v>
      </c>
      <c r="I2771" s="4">
        <v>30783026.620790984</v>
      </c>
      <c r="J2771" s="3">
        <v>0.037411533878344644</v>
      </c>
      <c r="K2771" s="3">
        <v>0.03886555386340609</v>
      </c>
      <c r="L2771" t="s">
        <v>377</v>
      </c>
    </row>
    <row r="2772" spans="1:12" x14ac:dyDescent="0.25">
      <c r="A2772" t="s">
        <v>487</v>
      </c>
      <c r="B2772" t="s">
        <v>461</v>
      </c>
      <c r="C2772" t="s">
        <v>462</v>
      </c>
      <c r="D2772" t="s">
        <v>407</v>
      </c>
      <c r="E2772" t="s">
        <v>413</v>
      </c>
      <c r="F2772">
        <v>3</v>
      </c>
      <c r="G2772" t="s">
        <v>498</v>
      </c>
      <c r="H2772" s="4">
        <v>31979426</v>
      </c>
      <c r="I2772" s="4">
        <v>30372529</v>
      </c>
      <c r="J2772" s="3">
        <v>0.05024783746900273</v>
      </c>
      <c r="K2772" s="3">
        <v>0.0529062627613262</v>
      </c>
      <c r="L2772" t="s">
        <v>377</v>
      </c>
    </row>
    <row r="2773" spans="1:12" x14ac:dyDescent="0.25">
      <c r="A2773" t="s">
        <v>487</v>
      </c>
      <c r="B2773" t="s">
        <v>461</v>
      </c>
      <c r="C2773" t="s">
        <v>462</v>
      </c>
      <c r="D2773" t="s">
        <v>407</v>
      </c>
      <c r="E2773" t="s">
        <v>413</v>
      </c>
      <c r="F2773">
        <v>3</v>
      </c>
      <c r="G2773" t="s">
        <v>499</v>
      </c>
      <c r="H2773" s="4">
        <v>31979426</v>
      </c>
      <c r="I2773" s="4">
        <v>28414942</v>
      </c>
      <c r="J2773" s="3">
        <v>0.11146178796329866</v>
      </c>
      <c r="K2773" s="3">
        <v>0.12544400055435623</v>
      </c>
      <c r="L2773" t="s">
        <v>377</v>
      </c>
    </row>
    <row r="2774" spans="1:12" x14ac:dyDescent="0.25">
      <c r="A2774" t="s">
        <v>487</v>
      </c>
      <c r="B2774" t="s">
        <v>461</v>
      </c>
      <c r="C2774" t="s">
        <v>462</v>
      </c>
      <c r="D2774" t="s">
        <v>409</v>
      </c>
      <c r="E2774" t="s">
        <v>411</v>
      </c>
      <c r="F2774">
        <v>1</v>
      </c>
      <c r="G2774" t="s">
        <v>488</v>
      </c>
      <c r="H2774" s="4">
        <v>30484914</v>
      </c>
      <c r="I2774" s="4">
        <v>25391877.694489952</v>
      </c>
      <c r="J2774" s="3">
        <v>0.16706743228831308</v>
      </c>
      <c r="K2774" s="3">
        <v>0.20057738016811724</v>
      </c>
      <c r="L2774" t="s">
        <v>377</v>
      </c>
    </row>
    <row r="2775" spans="1:12" x14ac:dyDescent="0.25">
      <c r="A2775" t="s">
        <v>487</v>
      </c>
      <c r="B2775" t="s">
        <v>461</v>
      </c>
      <c r="C2775" t="s">
        <v>462</v>
      </c>
      <c r="D2775" t="s">
        <v>409</v>
      </c>
      <c r="E2775" t="s">
        <v>411</v>
      </c>
      <c r="F2775">
        <v>1</v>
      </c>
      <c r="G2775" t="s">
        <v>498</v>
      </c>
      <c r="H2775" s="4">
        <v>30484914</v>
      </c>
      <c r="I2775" s="4">
        <v>25058934</v>
      </c>
      <c r="J2775" s="3">
        <v>0.17798902106136827</v>
      </c>
      <c r="K2775" s="3">
        <v>0.2165287637534781</v>
      </c>
      <c r="L2775" t="s">
        <v>377</v>
      </c>
    </row>
    <row r="2776" spans="1:12" x14ac:dyDescent="0.25">
      <c r="A2776" t="s">
        <v>487</v>
      </c>
      <c r="B2776" t="s">
        <v>461</v>
      </c>
      <c r="C2776" t="s">
        <v>462</v>
      </c>
      <c r="D2776" t="s">
        <v>409</v>
      </c>
      <c r="E2776" t="s">
        <v>411</v>
      </c>
      <c r="F2776">
        <v>1</v>
      </c>
      <c r="G2776" t="s">
        <v>499</v>
      </c>
      <c r="H2776" s="4">
        <v>30484914</v>
      </c>
      <c r="I2776" s="4">
        <v>33135779</v>
      </c>
      <c r="J2776" s="3">
        <v>0.08695661729601731</v>
      </c>
      <c r="K2776" s="3">
        <v>-0.08000008087934193</v>
      </c>
      <c r="L2776" t="s">
        <v>377</v>
      </c>
    </row>
    <row r="2777" spans="1:12" x14ac:dyDescent="0.25">
      <c r="A2777" t="s">
        <v>487</v>
      </c>
      <c r="B2777" t="s">
        <v>461</v>
      </c>
      <c r="C2777" t="s">
        <v>462</v>
      </c>
      <c r="D2777" t="s">
        <v>409</v>
      </c>
      <c r="E2777" t="s">
        <v>413</v>
      </c>
      <c r="F2777">
        <v>2</v>
      </c>
      <c r="G2777" t="s">
        <v>488</v>
      </c>
      <c r="H2777" s="4">
        <v>31979426</v>
      </c>
      <c r="I2777" s="4">
        <v>30776071.38597153</v>
      </c>
      <c r="J2777" s="3">
        <v>0.03762902479952169</v>
      </c>
      <c r="K2777" s="3">
        <v>0.03910033216835423</v>
      </c>
      <c r="L2777" t="s">
        <v>377</v>
      </c>
    </row>
    <row r="2778" spans="1:12" x14ac:dyDescent="0.25">
      <c r="A2778" t="s">
        <v>487</v>
      </c>
      <c r="B2778" t="s">
        <v>461</v>
      </c>
      <c r="C2778" t="s">
        <v>462</v>
      </c>
      <c r="D2778" t="s">
        <v>409</v>
      </c>
      <c r="E2778" t="s">
        <v>413</v>
      </c>
      <c r="F2778">
        <v>2</v>
      </c>
      <c r="G2778" t="s">
        <v>498</v>
      </c>
      <c r="H2778" s="4">
        <v>31979426</v>
      </c>
      <c r="I2778" s="4">
        <v>30372529</v>
      </c>
      <c r="J2778" s="3">
        <v>0.05024783746900273</v>
      </c>
      <c r="K2778" s="3">
        <v>0.0529062627613262</v>
      </c>
      <c r="L2778" t="s">
        <v>377</v>
      </c>
    </row>
    <row r="2779" spans="1:12" x14ac:dyDescent="0.25">
      <c r="A2779" t="s">
        <v>487</v>
      </c>
      <c r="B2779" t="s">
        <v>461</v>
      </c>
      <c r="C2779" t="s">
        <v>462</v>
      </c>
      <c r="D2779" t="s">
        <v>409</v>
      </c>
      <c r="E2779" t="s">
        <v>413</v>
      </c>
      <c r="F2779">
        <v>2</v>
      </c>
      <c r="G2779" t="s">
        <v>499</v>
      </c>
      <c r="H2779" s="4">
        <v>31979426</v>
      </c>
      <c r="I2779" s="4">
        <v>33135779</v>
      </c>
      <c r="J2779" s="3">
        <v>0.03615927940670355</v>
      </c>
      <c r="K2779" s="3">
        <v>-0.03489741406109692</v>
      </c>
      <c r="L2779" t="s">
        <v>377</v>
      </c>
    </row>
    <row r="2780" spans="1:12" x14ac:dyDescent="0.25">
      <c r="A2780" t="s">
        <v>487</v>
      </c>
      <c r="B2780" t="s">
        <v>461</v>
      </c>
      <c r="C2780" t="s">
        <v>462</v>
      </c>
      <c r="D2780" t="s">
        <v>409</v>
      </c>
      <c r="E2780" t="s">
        <v>415</v>
      </c>
      <c r="F2780">
        <v>3</v>
      </c>
      <c r="G2780" t="s">
        <v>488</v>
      </c>
      <c r="H2780" s="4">
        <v>28080964</v>
      </c>
      <c r="I2780" s="4">
        <v>29998170.38276295</v>
      </c>
      <c r="J2780" s="3">
        <v>0.0682742366951131</v>
      </c>
      <c r="K2780" s="3">
        <v>-0.06391077716741629</v>
      </c>
      <c r="L2780" t="s">
        <v>377</v>
      </c>
    </row>
    <row r="2781" spans="1:12" x14ac:dyDescent="0.25">
      <c r="A2781" t="s">
        <v>487</v>
      </c>
      <c r="B2781" t="s">
        <v>461</v>
      </c>
      <c r="C2781" t="s">
        <v>462</v>
      </c>
      <c r="D2781" t="s">
        <v>409</v>
      </c>
      <c r="E2781" t="s">
        <v>415</v>
      </c>
      <c r="F2781">
        <v>3</v>
      </c>
      <c r="G2781" t="s">
        <v>498</v>
      </c>
      <c r="H2781" s="4">
        <v>28080964</v>
      </c>
      <c r="I2781" s="4">
        <v>29604828</v>
      </c>
      <c r="J2781" s="3">
        <v>0.05426679796320383</v>
      </c>
      <c r="K2781" s="3">
        <v>-0.051473496147317596</v>
      </c>
      <c r="L2781" t="s">
        <v>377</v>
      </c>
    </row>
    <row r="2782" spans="1:12" x14ac:dyDescent="0.25">
      <c r="A2782" t="s">
        <v>487</v>
      </c>
      <c r="B2782" t="s">
        <v>461</v>
      </c>
      <c r="C2782" t="s">
        <v>462</v>
      </c>
      <c r="D2782" t="s">
        <v>409</v>
      </c>
      <c r="E2782" t="s">
        <v>415</v>
      </c>
      <c r="F2782">
        <v>3</v>
      </c>
      <c r="G2782" t="s">
        <v>499</v>
      </c>
      <c r="H2782" s="4">
        <v>28080964</v>
      </c>
      <c r="I2782" s="4">
        <v>33135779</v>
      </c>
      <c r="J2782" s="3">
        <v>0.18000859941987746</v>
      </c>
      <c r="K2782" s="3">
        <v>-0.15254854880580898</v>
      </c>
      <c r="L2782" t="s">
        <v>377</v>
      </c>
    </row>
    <row r="2783" spans="1:12" x14ac:dyDescent="0.25">
      <c r="A2783" t="s">
        <v>487</v>
      </c>
      <c r="B2783" t="s">
        <v>461</v>
      </c>
      <c r="C2783" t="s">
        <v>462</v>
      </c>
      <c r="D2783" t="s">
        <v>411</v>
      </c>
      <c r="E2783" t="s">
        <v>413</v>
      </c>
      <c r="F2783">
        <v>1</v>
      </c>
      <c r="G2783" t="s">
        <v>488</v>
      </c>
      <c r="H2783" s="4">
        <v>31979426</v>
      </c>
      <c r="I2783" s="4">
        <v>31079761.27536909</v>
      </c>
      <c r="J2783" s="3">
        <v>0.02813261015475734</v>
      </c>
      <c r="K2783" s="3">
        <v>0.028946963802579172</v>
      </c>
      <c r="L2783" t="s">
        <v>377</v>
      </c>
    </row>
    <row r="2784" spans="1:12" x14ac:dyDescent="0.25">
      <c r="A2784" t="s">
        <v>487</v>
      </c>
      <c r="B2784" t="s">
        <v>461</v>
      </c>
      <c r="C2784" t="s">
        <v>462</v>
      </c>
      <c r="D2784" t="s">
        <v>411</v>
      </c>
      <c r="E2784" t="s">
        <v>413</v>
      </c>
      <c r="F2784">
        <v>1</v>
      </c>
      <c r="G2784" t="s">
        <v>498</v>
      </c>
      <c r="H2784" s="4">
        <v>31979426</v>
      </c>
      <c r="I2784" s="4">
        <v>30372529</v>
      </c>
      <c r="J2784" s="3">
        <v>0.05024783746900273</v>
      </c>
      <c r="K2784" s="3">
        <v>0.0529062627613262</v>
      </c>
      <c r="L2784" t="s">
        <v>377</v>
      </c>
    </row>
    <row r="2785" spans="1:12" x14ac:dyDescent="0.25">
      <c r="A2785" t="s">
        <v>487</v>
      </c>
      <c r="B2785" t="s">
        <v>461</v>
      </c>
      <c r="C2785" t="s">
        <v>462</v>
      </c>
      <c r="D2785" t="s">
        <v>411</v>
      </c>
      <c r="E2785" t="s">
        <v>413</v>
      </c>
      <c r="F2785">
        <v>1</v>
      </c>
      <c r="G2785" t="s">
        <v>499</v>
      </c>
      <c r="H2785" s="4">
        <v>31979426</v>
      </c>
      <c r="I2785" s="4">
        <v>30484914</v>
      </c>
      <c r="J2785" s="3">
        <v>0.046733546749713396</v>
      </c>
      <c r="K2785" s="3">
        <v>0.049024642155788924</v>
      </c>
      <c r="L2785" t="s">
        <v>377</v>
      </c>
    </row>
    <row r="2786" spans="1:12" x14ac:dyDescent="0.25">
      <c r="A2786" t="s">
        <v>487</v>
      </c>
      <c r="B2786" t="s">
        <v>461</v>
      </c>
      <c r="C2786" t="s">
        <v>462</v>
      </c>
      <c r="D2786" t="s">
        <v>411</v>
      </c>
      <c r="E2786" t="s">
        <v>415</v>
      </c>
      <c r="F2786">
        <v>2</v>
      </c>
      <c r="G2786" t="s">
        <v>488</v>
      </c>
      <c r="H2786" s="4">
        <v>28080964</v>
      </c>
      <c r="I2786" s="4">
        <v>30294184.15695191</v>
      </c>
      <c r="J2786" s="3">
        <v>0.0788156758775059</v>
      </c>
      <c r="K2786" s="3">
        <v>-0.07305759235783947</v>
      </c>
      <c r="L2786" t="s">
        <v>377</v>
      </c>
    </row>
    <row r="2787" spans="1:12" x14ac:dyDescent="0.25">
      <c r="A2787" t="s">
        <v>487</v>
      </c>
      <c r="B2787" t="s">
        <v>461</v>
      </c>
      <c r="C2787" t="s">
        <v>462</v>
      </c>
      <c r="D2787" t="s">
        <v>411</v>
      </c>
      <c r="E2787" t="s">
        <v>415</v>
      </c>
      <c r="F2787">
        <v>2</v>
      </c>
      <c r="G2787" t="s">
        <v>498</v>
      </c>
      <c r="H2787" s="4">
        <v>28080964</v>
      </c>
      <c r="I2787" s="4">
        <v>29604828</v>
      </c>
      <c r="J2787" s="3">
        <v>0.05426679796320383</v>
      </c>
      <c r="K2787" s="3">
        <v>-0.051473496147317596</v>
      </c>
      <c r="L2787" t="s">
        <v>377</v>
      </c>
    </row>
    <row r="2788" spans="1:12" x14ac:dyDescent="0.25">
      <c r="A2788" t="s">
        <v>487</v>
      </c>
      <c r="B2788" t="s">
        <v>461</v>
      </c>
      <c r="C2788" t="s">
        <v>462</v>
      </c>
      <c r="D2788" t="s">
        <v>411</v>
      </c>
      <c r="E2788" t="s">
        <v>415</v>
      </c>
      <c r="F2788">
        <v>2</v>
      </c>
      <c r="G2788" t="s">
        <v>499</v>
      </c>
      <c r="H2788" s="4">
        <v>28080964</v>
      </c>
      <c r="I2788" s="4">
        <v>30484914</v>
      </c>
      <c r="J2788" s="3">
        <v>0.08560781602796827</v>
      </c>
      <c r="K2788" s="3">
        <v>-0.07885703728736122</v>
      </c>
      <c r="L2788" t="s">
        <v>377</v>
      </c>
    </row>
    <row r="2789" spans="1:12" x14ac:dyDescent="0.25">
      <c r="A2789" t="s">
        <v>487</v>
      </c>
      <c r="B2789" t="s">
        <v>461</v>
      </c>
      <c r="C2789" t="s">
        <v>462</v>
      </c>
      <c r="D2789" t="s">
        <v>411</v>
      </c>
      <c r="E2789" t="s">
        <v>417</v>
      </c>
      <c r="F2789">
        <v>3</v>
      </c>
      <c r="G2789" t="s">
        <v>488</v>
      </c>
      <c r="H2789" s="4">
        <v>33150621</v>
      </c>
      <c r="I2789" s="4">
        <v>34500373.664850116</v>
      </c>
      <c r="J2789" s="3">
        <v>0.040715758080372484</v>
      </c>
      <c r="K2789" s="3">
        <v>-0.03912284191360162</v>
      </c>
      <c r="L2789" t="s">
        <v>377</v>
      </c>
    </row>
    <row r="2790" spans="1:12" x14ac:dyDescent="0.25">
      <c r="A2790" t="s">
        <v>487</v>
      </c>
      <c r="B2790" t="s">
        <v>461</v>
      </c>
      <c r="C2790" t="s">
        <v>462</v>
      </c>
      <c r="D2790" t="s">
        <v>411</v>
      </c>
      <c r="E2790" t="s">
        <v>417</v>
      </c>
      <c r="F2790">
        <v>3</v>
      </c>
      <c r="G2790" t="s">
        <v>498</v>
      </c>
      <c r="H2790" s="4">
        <v>33150621</v>
      </c>
      <c r="I2790" s="4">
        <v>33715304</v>
      </c>
      <c r="J2790" s="3">
        <v>0.01703385888306587</v>
      </c>
      <c r="K2790" s="3">
        <v>-0.016748566170425156</v>
      </c>
      <c r="L2790" t="s">
        <v>377</v>
      </c>
    </row>
    <row r="2791" spans="1:12" x14ac:dyDescent="0.25">
      <c r="A2791" t="s">
        <v>487</v>
      </c>
      <c r="B2791" t="s">
        <v>461</v>
      </c>
      <c r="C2791" t="s">
        <v>462</v>
      </c>
      <c r="D2791" t="s">
        <v>411</v>
      </c>
      <c r="E2791" t="s">
        <v>417</v>
      </c>
      <c r="F2791">
        <v>3</v>
      </c>
      <c r="G2791" t="s">
        <v>499</v>
      </c>
      <c r="H2791" s="4">
        <v>33150621</v>
      </c>
      <c r="I2791" s="4">
        <v>30484914</v>
      </c>
      <c r="J2791" s="3">
        <v>0.08041197780276876</v>
      </c>
      <c r="K2791" s="3">
        <v>0.08744348106082897</v>
      </c>
      <c r="L2791" t="s">
        <v>377</v>
      </c>
    </row>
    <row r="2792" spans="1:12" x14ac:dyDescent="0.25">
      <c r="A2792" t="s">
        <v>487</v>
      </c>
      <c r="B2792" t="s">
        <v>461</v>
      </c>
      <c r="C2792" t="s">
        <v>462</v>
      </c>
      <c r="D2792" t="s">
        <v>413</v>
      </c>
      <c r="E2792" t="s">
        <v>415</v>
      </c>
      <c r="F2792">
        <v>1</v>
      </c>
      <c r="G2792" t="s">
        <v>488</v>
      </c>
      <c r="H2792" s="4">
        <v>28080964</v>
      </c>
      <c r="I2792" s="4">
        <v>30481499.18545167</v>
      </c>
      <c r="J2792" s="3">
        <v>0.08548620999804962</v>
      </c>
      <c r="K2792" s="3">
        <v>-0.078753842481521</v>
      </c>
      <c r="L2792" t="s">
        <v>377</v>
      </c>
    </row>
    <row r="2793" spans="1:12" x14ac:dyDescent="0.25">
      <c r="A2793" t="s">
        <v>487</v>
      </c>
      <c r="B2793" t="s">
        <v>461</v>
      </c>
      <c r="C2793" t="s">
        <v>462</v>
      </c>
      <c r="D2793" t="s">
        <v>413</v>
      </c>
      <c r="E2793" t="s">
        <v>415</v>
      </c>
      <c r="F2793">
        <v>1</v>
      </c>
      <c r="G2793" t="s">
        <v>498</v>
      </c>
      <c r="H2793" s="4">
        <v>28080964</v>
      </c>
      <c r="I2793" s="4">
        <v>29604828</v>
      </c>
      <c r="J2793" s="3">
        <v>0.05426679796320383</v>
      </c>
      <c r="K2793" s="3">
        <v>-0.051473496147317596</v>
      </c>
      <c r="L2793" t="s">
        <v>377</v>
      </c>
    </row>
    <row r="2794" spans="1:12" x14ac:dyDescent="0.25">
      <c r="A2794" t="s">
        <v>487</v>
      </c>
      <c r="B2794" t="s">
        <v>461</v>
      </c>
      <c r="C2794" t="s">
        <v>462</v>
      </c>
      <c r="D2794" t="s">
        <v>413</v>
      </c>
      <c r="E2794" t="s">
        <v>415</v>
      </c>
      <c r="F2794">
        <v>1</v>
      </c>
      <c r="G2794" t="s">
        <v>499</v>
      </c>
      <c r="H2794" s="4">
        <v>28080964</v>
      </c>
      <c r="I2794" s="4">
        <v>31979426</v>
      </c>
      <c r="J2794" s="3">
        <v>0.13882935073026695</v>
      </c>
      <c r="K2794" s="3">
        <v>-0.12190531499846183</v>
      </c>
      <c r="L2794" t="s">
        <v>377</v>
      </c>
    </row>
    <row r="2795" spans="1:12" x14ac:dyDescent="0.25">
      <c r="A2795" t="s">
        <v>487</v>
      </c>
      <c r="B2795" t="s">
        <v>461</v>
      </c>
      <c r="C2795" t="s">
        <v>462</v>
      </c>
      <c r="D2795" t="s">
        <v>413</v>
      </c>
      <c r="E2795" t="s">
        <v>417</v>
      </c>
      <c r="F2795">
        <v>2</v>
      </c>
      <c r="G2795" t="s">
        <v>488</v>
      </c>
      <c r="H2795" s="4">
        <v>33150621</v>
      </c>
      <c r="I2795" s="4">
        <v>34713696.408344455</v>
      </c>
      <c r="J2795" s="3">
        <v>0.04715071275269489</v>
      </c>
      <c r="K2795" s="3">
        <v>-0.045027627998979795</v>
      </c>
      <c r="L2795" t="s">
        <v>377</v>
      </c>
    </row>
    <row r="2796" spans="1:12" x14ac:dyDescent="0.25">
      <c r="A2796" t="s">
        <v>487</v>
      </c>
      <c r="B2796" t="s">
        <v>461</v>
      </c>
      <c r="C2796" t="s">
        <v>462</v>
      </c>
      <c r="D2796" t="s">
        <v>413</v>
      </c>
      <c r="E2796" t="s">
        <v>417</v>
      </c>
      <c r="F2796">
        <v>2</v>
      </c>
      <c r="G2796" t="s">
        <v>498</v>
      </c>
      <c r="H2796" s="4">
        <v>33150621</v>
      </c>
      <c r="I2796" s="4">
        <v>33715304</v>
      </c>
      <c r="J2796" s="3">
        <v>0.01703385888306587</v>
      </c>
      <c r="K2796" s="3">
        <v>-0.016748566170425156</v>
      </c>
      <c r="L2796" t="s">
        <v>377</v>
      </c>
    </row>
    <row r="2797" spans="1:12" x14ac:dyDescent="0.25">
      <c r="A2797" t="s">
        <v>487</v>
      </c>
      <c r="B2797" t="s">
        <v>461</v>
      </c>
      <c r="C2797" t="s">
        <v>462</v>
      </c>
      <c r="D2797" t="s">
        <v>413</v>
      </c>
      <c r="E2797" t="s">
        <v>417</v>
      </c>
      <c r="F2797">
        <v>2</v>
      </c>
      <c r="G2797" t="s">
        <v>499</v>
      </c>
      <c r="H2797" s="4">
        <v>33150621</v>
      </c>
      <c r="I2797" s="4">
        <v>31979426</v>
      </c>
      <c r="J2797" s="3">
        <v>0.03532950408379982</v>
      </c>
      <c r="K2797" s="3">
        <v>0.03662339030100165</v>
      </c>
      <c r="L2797" t="s">
        <v>377</v>
      </c>
    </row>
    <row r="2798" spans="1:12" x14ac:dyDescent="0.25">
      <c r="A2798" t="s">
        <v>487</v>
      </c>
      <c r="B2798" t="s">
        <v>461</v>
      </c>
      <c r="C2798" t="s">
        <v>462</v>
      </c>
      <c r="D2798" t="s">
        <v>413</v>
      </c>
      <c r="E2798" t="s">
        <v>419</v>
      </c>
      <c r="F2798">
        <v>3</v>
      </c>
      <c r="G2798" t="s">
        <v>488</v>
      </c>
      <c r="H2798" s="4">
        <v>27457714</v>
      </c>
      <c r="I2798" s="4">
        <v>27954661.40186567</v>
      </c>
      <c r="J2798" s="3">
        <v>0.018098644405199524</v>
      </c>
      <c r="K2798" s="3">
        <v>-0.017776906495905645</v>
      </c>
      <c r="L2798" t="s">
        <v>377</v>
      </c>
    </row>
    <row r="2799" spans="1:12" x14ac:dyDescent="0.25">
      <c r="A2799" t="s">
        <v>487</v>
      </c>
      <c r="B2799" t="s">
        <v>461</v>
      </c>
      <c r="C2799" t="s">
        <v>462</v>
      </c>
      <c r="D2799" t="s">
        <v>413</v>
      </c>
      <c r="E2799" t="s">
        <v>419</v>
      </c>
      <c r="F2799">
        <v>3</v>
      </c>
      <c r="G2799" t="s">
        <v>498</v>
      </c>
      <c r="H2799" s="4">
        <v>27457714</v>
      </c>
      <c r="I2799" s="4">
        <v>27150664</v>
      </c>
      <c r="J2799" s="3">
        <v>0.011182649801072296</v>
      </c>
      <c r="K2799" s="3">
        <v>0.011309115681296045</v>
      </c>
      <c r="L2799" t="s">
        <v>377</v>
      </c>
    </row>
    <row r="2800" spans="1:12" x14ac:dyDescent="0.25">
      <c r="A2800" t="s">
        <v>487</v>
      </c>
      <c r="B2800" t="s">
        <v>461</v>
      </c>
      <c r="C2800" t="s">
        <v>462</v>
      </c>
      <c r="D2800" t="s">
        <v>413</v>
      </c>
      <c r="E2800" t="s">
        <v>419</v>
      </c>
      <c r="F2800">
        <v>3</v>
      </c>
      <c r="G2800" t="s">
        <v>499</v>
      </c>
      <c r="H2800" s="4">
        <v>27457714</v>
      </c>
      <c r="I2800" s="4">
        <v>31979426</v>
      </c>
      <c r="J2800" s="3">
        <v>0.16467911349065695</v>
      </c>
      <c r="K2800" s="3">
        <v>-0.14139440776704373</v>
      </c>
      <c r="L2800" t="s">
        <v>377</v>
      </c>
    </row>
    <row r="2801" spans="1:12" x14ac:dyDescent="0.25">
      <c r="A2801" t="s">
        <v>487</v>
      </c>
      <c r="B2801" t="s">
        <v>461</v>
      </c>
      <c r="C2801" t="s">
        <v>462</v>
      </c>
      <c r="D2801" t="s">
        <v>415</v>
      </c>
      <c r="E2801" t="s">
        <v>417</v>
      </c>
      <c r="F2801">
        <v>1</v>
      </c>
      <c r="G2801" t="s">
        <v>488</v>
      </c>
      <c r="H2801" s="4">
        <v>33150621</v>
      </c>
      <c r="I2801" s="4">
        <v>34823227.065972626</v>
      </c>
      <c r="J2801" s="3">
        <v>0.05045474309433377</v>
      </c>
      <c r="K2801" s="3">
        <v>-0.04803133445398018</v>
      </c>
      <c r="L2801" t="s">
        <v>377</v>
      </c>
    </row>
    <row r="2802" spans="1:12" x14ac:dyDescent="0.25">
      <c r="A2802" t="s">
        <v>487</v>
      </c>
      <c r="B2802" t="s">
        <v>461</v>
      </c>
      <c r="C2802" t="s">
        <v>462</v>
      </c>
      <c r="D2802" t="s">
        <v>415</v>
      </c>
      <c r="E2802" t="s">
        <v>417</v>
      </c>
      <c r="F2802">
        <v>1</v>
      </c>
      <c r="G2802" t="s">
        <v>498</v>
      </c>
      <c r="H2802" s="4">
        <v>33150621</v>
      </c>
      <c r="I2802" s="4">
        <v>33715304</v>
      </c>
      <c r="J2802" s="3">
        <v>0.01703385888306587</v>
      </c>
      <c r="K2802" s="3">
        <v>-0.016748566170425156</v>
      </c>
      <c r="L2802" t="s">
        <v>377</v>
      </c>
    </row>
    <row r="2803" spans="1:12" x14ac:dyDescent="0.25">
      <c r="A2803" t="s">
        <v>487</v>
      </c>
      <c r="B2803" t="s">
        <v>461</v>
      </c>
      <c r="C2803" t="s">
        <v>462</v>
      </c>
      <c r="D2803" t="s">
        <v>415</v>
      </c>
      <c r="E2803" t="s">
        <v>417</v>
      </c>
      <c r="F2803">
        <v>1</v>
      </c>
      <c r="G2803" t="s">
        <v>499</v>
      </c>
      <c r="H2803" s="4">
        <v>33150621</v>
      </c>
      <c r="I2803" s="4">
        <v>28080964</v>
      </c>
      <c r="J2803" s="3">
        <v>0.15292796475818657</v>
      </c>
      <c r="K2803" s="3">
        <v>0.1805371425282978</v>
      </c>
      <c r="L2803" t="s">
        <v>377</v>
      </c>
    </row>
    <row r="2804" spans="1:12" x14ac:dyDescent="0.25">
      <c r="A2804" t="s">
        <v>487</v>
      </c>
      <c r="B2804" t="s">
        <v>461</v>
      </c>
      <c r="C2804" t="s">
        <v>462</v>
      </c>
      <c r="D2804" t="s">
        <v>415</v>
      </c>
      <c r="E2804" t="s">
        <v>419</v>
      </c>
      <c r="F2804">
        <v>2</v>
      </c>
      <c r="G2804" t="s">
        <v>488</v>
      </c>
      <c r="H2804" s="4">
        <v>27457714</v>
      </c>
      <c r="I2804" s="4">
        <v>28042865.562295645</v>
      </c>
      <c r="J2804" s="3">
        <v>0.02131100798470133</v>
      </c>
      <c r="K2804" s="3">
        <v>-0.020866325554204306</v>
      </c>
      <c r="L2804" t="s">
        <v>377</v>
      </c>
    </row>
    <row r="2805" spans="1:12" x14ac:dyDescent="0.25">
      <c r="A2805" t="s">
        <v>487</v>
      </c>
      <c r="B2805" t="s">
        <v>461</v>
      </c>
      <c r="C2805" t="s">
        <v>462</v>
      </c>
      <c r="D2805" t="s">
        <v>415</v>
      </c>
      <c r="E2805" t="s">
        <v>419</v>
      </c>
      <c r="F2805">
        <v>2</v>
      </c>
      <c r="G2805" t="s">
        <v>498</v>
      </c>
      <c r="H2805" s="4">
        <v>27457714</v>
      </c>
      <c r="I2805" s="4">
        <v>27150664</v>
      </c>
      <c r="J2805" s="3">
        <v>0.011182649801072296</v>
      </c>
      <c r="K2805" s="3">
        <v>0.011309115681296045</v>
      </c>
      <c r="L2805" t="s">
        <v>377</v>
      </c>
    </row>
    <row r="2806" spans="1:12" x14ac:dyDescent="0.25">
      <c r="A2806" t="s">
        <v>487</v>
      </c>
      <c r="B2806" t="s">
        <v>461</v>
      </c>
      <c r="C2806" t="s">
        <v>462</v>
      </c>
      <c r="D2806" t="s">
        <v>415</v>
      </c>
      <c r="E2806" t="s">
        <v>419</v>
      </c>
      <c r="F2806">
        <v>2</v>
      </c>
      <c r="G2806" t="s">
        <v>499</v>
      </c>
      <c r="H2806" s="4">
        <v>27457714</v>
      </c>
      <c r="I2806" s="4">
        <v>28080964</v>
      </c>
      <c r="J2806" s="3">
        <v>0.02269853928844914</v>
      </c>
      <c r="K2806" s="3">
        <v>-0.022194750863966065</v>
      </c>
      <c r="L2806" t="s">
        <v>377</v>
      </c>
    </row>
    <row r="2807" spans="1:12" x14ac:dyDescent="0.25">
      <c r="A2807" t="s">
        <v>487</v>
      </c>
      <c r="B2807" t="s">
        <v>461</v>
      </c>
      <c r="C2807" t="s">
        <v>462</v>
      </c>
      <c r="D2807" t="s">
        <v>415</v>
      </c>
      <c r="E2807" t="s">
        <v>421</v>
      </c>
      <c r="F2807">
        <v>3</v>
      </c>
      <c r="G2807" t="s">
        <v>488</v>
      </c>
      <c r="H2807" s="4">
        <v>20014694</v>
      </c>
      <c r="I2807" s="4">
        <v>21471328.955212373</v>
      </c>
      <c r="J2807" s="3">
        <v>0.07277827756009526</v>
      </c>
      <c r="K2807" s="3">
        <v>-0.06784093142305293</v>
      </c>
      <c r="L2807" t="s">
        <v>377</v>
      </c>
    </row>
    <row r="2808" spans="1:12" x14ac:dyDescent="0.25">
      <c r="A2808" t="s">
        <v>487</v>
      </c>
      <c r="B2808" t="s">
        <v>461</v>
      </c>
      <c r="C2808" t="s">
        <v>462</v>
      </c>
      <c r="D2808" t="s">
        <v>415</v>
      </c>
      <c r="E2808" t="s">
        <v>421</v>
      </c>
      <c r="F2808">
        <v>3</v>
      </c>
      <c r="G2808" t="s">
        <v>498</v>
      </c>
      <c r="H2808" s="4">
        <v>20014694</v>
      </c>
      <c r="I2808" s="4">
        <v>20788205</v>
      </c>
      <c r="J2808" s="3">
        <v>0.038647155934534896</v>
      </c>
      <c r="K2808" s="3">
        <v>-0.03720912892671589</v>
      </c>
      <c r="L2808" t="s">
        <v>377</v>
      </c>
    </row>
    <row r="2809" spans="1:12" x14ac:dyDescent="0.25">
      <c r="A2809" t="s">
        <v>487</v>
      </c>
      <c r="B2809" t="s">
        <v>461</v>
      </c>
      <c r="C2809" t="s">
        <v>462</v>
      </c>
      <c r="D2809" t="s">
        <v>415</v>
      </c>
      <c r="E2809" t="s">
        <v>421</v>
      </c>
      <c r="F2809">
        <v>3</v>
      </c>
      <c r="G2809" t="s">
        <v>499</v>
      </c>
      <c r="H2809" s="4">
        <v>20014694</v>
      </c>
      <c r="I2809" s="4">
        <v>28080964</v>
      </c>
      <c r="J2809" s="3">
        <v>0.4030174031139322</v>
      </c>
      <c r="K2809" s="3">
        <v>-0.2872504661876992</v>
      </c>
      <c r="L2809" t="s">
        <v>377</v>
      </c>
    </row>
    <row r="2810" spans="1:12" x14ac:dyDescent="0.25">
      <c r="A2810" t="s">
        <v>487</v>
      </c>
      <c r="B2810" t="s">
        <v>461</v>
      </c>
      <c r="C2810" t="s">
        <v>462</v>
      </c>
      <c r="D2810" t="s">
        <v>417</v>
      </c>
      <c r="E2810" t="s">
        <v>419</v>
      </c>
      <c r="F2810">
        <v>1</v>
      </c>
      <c r="G2810" t="s">
        <v>488</v>
      </c>
      <c r="H2810" s="4">
        <v>27457714</v>
      </c>
      <c r="I2810" s="4">
        <v>27760155.172154434</v>
      </c>
      <c r="J2810" s="3">
        <v>0.011014797960035348</v>
      </c>
      <c r="K2810" s="3">
        <v>-0.0108947940052513</v>
      </c>
      <c r="L2810" t="s">
        <v>377</v>
      </c>
    </row>
    <row r="2811" spans="1:12" x14ac:dyDescent="0.25">
      <c r="A2811" t="s">
        <v>487</v>
      </c>
      <c r="B2811" t="s">
        <v>461</v>
      </c>
      <c r="C2811" t="s">
        <v>462</v>
      </c>
      <c r="D2811" t="s">
        <v>417</v>
      </c>
      <c r="E2811" t="s">
        <v>419</v>
      </c>
      <c r="F2811">
        <v>1</v>
      </c>
      <c r="G2811" t="s">
        <v>498</v>
      </c>
      <c r="H2811" s="4">
        <v>27457714</v>
      </c>
      <c r="I2811" s="4">
        <v>27150664</v>
      </c>
      <c r="J2811" s="3">
        <v>0.011182649801072296</v>
      </c>
      <c r="K2811" s="3">
        <v>0.011309115681296045</v>
      </c>
      <c r="L2811" t="s">
        <v>377</v>
      </c>
    </row>
    <row r="2812" spans="1:12" x14ac:dyDescent="0.25">
      <c r="A2812" t="s">
        <v>487</v>
      </c>
      <c r="B2812" t="s">
        <v>461</v>
      </c>
      <c r="C2812" t="s">
        <v>462</v>
      </c>
      <c r="D2812" t="s">
        <v>417</v>
      </c>
      <c r="E2812" t="s">
        <v>419</v>
      </c>
      <c r="F2812">
        <v>1</v>
      </c>
      <c r="G2812" t="s">
        <v>499</v>
      </c>
      <c r="H2812" s="4">
        <v>27457714</v>
      </c>
      <c r="I2812" s="4">
        <v>33150621</v>
      </c>
      <c r="J2812" s="3">
        <v>0.20733361123944988</v>
      </c>
      <c r="K2812" s="3">
        <v>-0.1717285175442113</v>
      </c>
      <c r="L2812" t="s">
        <v>377</v>
      </c>
    </row>
    <row r="2813" spans="1:12" x14ac:dyDescent="0.25">
      <c r="A2813" t="s">
        <v>487</v>
      </c>
      <c r="B2813" t="s">
        <v>461</v>
      </c>
      <c r="C2813" t="s">
        <v>462</v>
      </c>
      <c r="D2813" t="s">
        <v>417</v>
      </c>
      <c r="E2813" t="s">
        <v>421</v>
      </c>
      <c r="F2813">
        <v>2</v>
      </c>
      <c r="G2813" t="s">
        <v>488</v>
      </c>
      <c r="H2813" s="4">
        <v>20014694</v>
      </c>
      <c r="I2813" s="4">
        <v>21254868.630489357</v>
      </c>
      <c r="J2813" s="3">
        <v>0.0619632071561702</v>
      </c>
      <c r="K2813" s="3">
        <v>-0.05834779090143941</v>
      </c>
      <c r="L2813" t="s">
        <v>377</v>
      </c>
    </row>
    <row r="2814" spans="1:12" x14ac:dyDescent="0.25">
      <c r="A2814" t="s">
        <v>487</v>
      </c>
      <c r="B2814" t="s">
        <v>461</v>
      </c>
      <c r="C2814" t="s">
        <v>462</v>
      </c>
      <c r="D2814" t="s">
        <v>417</v>
      </c>
      <c r="E2814" t="s">
        <v>421</v>
      </c>
      <c r="F2814">
        <v>2</v>
      </c>
      <c r="G2814" t="s">
        <v>498</v>
      </c>
      <c r="H2814" s="4">
        <v>20014694</v>
      </c>
      <c r="I2814" s="4">
        <v>20788205</v>
      </c>
      <c r="J2814" s="3">
        <v>0.038647155934534896</v>
      </c>
      <c r="K2814" s="3">
        <v>-0.03720912892671589</v>
      </c>
      <c r="L2814" t="s">
        <v>377</v>
      </c>
    </row>
    <row r="2815" spans="1:12" x14ac:dyDescent="0.25">
      <c r="A2815" t="s">
        <v>487</v>
      </c>
      <c r="B2815" t="s">
        <v>461</v>
      </c>
      <c r="C2815" t="s">
        <v>462</v>
      </c>
      <c r="D2815" t="s">
        <v>417</v>
      </c>
      <c r="E2815" t="s">
        <v>421</v>
      </c>
      <c r="F2815">
        <v>2</v>
      </c>
      <c r="G2815" t="s">
        <v>499</v>
      </c>
      <c r="H2815" s="4">
        <v>20014694</v>
      </c>
      <c r="I2815" s="4">
        <v>33150621</v>
      </c>
      <c r="J2815" s="3">
        <v>0.6563141559895944</v>
      </c>
      <c r="K2815" s="3">
        <v>-0.3962498017759607</v>
      </c>
      <c r="L2815" t="s">
        <v>377</v>
      </c>
    </row>
    <row r="2816" spans="1:12" x14ac:dyDescent="0.25">
      <c r="A2816" t="s">
        <v>487</v>
      </c>
      <c r="B2816" t="s">
        <v>461</v>
      </c>
      <c r="C2816" t="s">
        <v>462</v>
      </c>
      <c r="D2816" t="s">
        <v>417</v>
      </c>
      <c r="E2816" t="s">
        <v>423</v>
      </c>
      <c r="F2816">
        <v>3</v>
      </c>
      <c r="G2816" t="s">
        <v>488</v>
      </c>
      <c r="H2816" s="4">
        <v>18137733</v>
      </c>
      <c r="I2816" s="4">
        <v>20207139.088075913</v>
      </c>
      <c r="J2816" s="3">
        <v>0.11409397679830845</v>
      </c>
      <c r="K2816" s="3">
        <v>-0.10240965230437074</v>
      </c>
      <c r="L2816" t="s">
        <v>377</v>
      </c>
    </row>
    <row r="2817" spans="1:12" x14ac:dyDescent="0.25">
      <c r="A2817" t="s">
        <v>487</v>
      </c>
      <c r="B2817" t="s">
        <v>461</v>
      </c>
      <c r="C2817" t="s">
        <v>462</v>
      </c>
      <c r="D2817" t="s">
        <v>417</v>
      </c>
      <c r="E2817" t="s">
        <v>423</v>
      </c>
      <c r="F2817">
        <v>3</v>
      </c>
      <c r="G2817" t="s">
        <v>498</v>
      </c>
      <c r="H2817" s="4">
        <v>18137733</v>
      </c>
      <c r="I2817" s="4">
        <v>19763479</v>
      </c>
      <c r="J2817" s="3">
        <v>0.08963336266996542</v>
      </c>
      <c r="K2817" s="3">
        <v>-0.08226011219988141</v>
      </c>
      <c r="L2817" t="s">
        <v>377</v>
      </c>
    </row>
    <row r="2818" spans="1:12" x14ac:dyDescent="0.25">
      <c r="A2818" t="s">
        <v>487</v>
      </c>
      <c r="B2818" t="s">
        <v>461</v>
      </c>
      <c r="C2818" t="s">
        <v>462</v>
      </c>
      <c r="D2818" t="s">
        <v>417</v>
      </c>
      <c r="E2818" t="s">
        <v>423</v>
      </c>
      <c r="F2818">
        <v>3</v>
      </c>
      <c r="G2818" t="s">
        <v>499</v>
      </c>
      <c r="H2818" s="4">
        <v>18137733</v>
      </c>
      <c r="I2818" s="4">
        <v>33150621</v>
      </c>
      <c r="J2818" s="3">
        <v>0.8277157900604226</v>
      </c>
      <c r="K2818" s="3">
        <v>-0.4528689824543558</v>
      </c>
      <c r="L2818" t="s">
        <v>377</v>
      </c>
    </row>
    <row r="2819" spans="1:12" x14ac:dyDescent="0.25">
      <c r="A2819" t="s">
        <v>487</v>
      </c>
      <c r="B2819" t="s">
        <v>461</v>
      </c>
      <c r="C2819" t="s">
        <v>462</v>
      </c>
      <c r="D2819" t="s">
        <v>419</v>
      </c>
      <c r="E2819" t="s">
        <v>421</v>
      </c>
      <c r="F2819">
        <v>1</v>
      </c>
      <c r="G2819" t="s">
        <v>488</v>
      </c>
      <c r="H2819" s="4">
        <v>20014694</v>
      </c>
      <c r="I2819" s="4">
        <v>21409473.15468572</v>
      </c>
      <c r="J2819" s="3">
        <v>0.06968775813838177</v>
      </c>
      <c r="K2819" s="3">
        <v>-0.06514775700496192</v>
      </c>
      <c r="L2819" t="s">
        <v>377</v>
      </c>
    </row>
    <row r="2820" spans="1:12" x14ac:dyDescent="0.25">
      <c r="A2820" t="s">
        <v>487</v>
      </c>
      <c r="B2820" t="s">
        <v>461</v>
      </c>
      <c r="C2820" t="s">
        <v>462</v>
      </c>
      <c r="D2820" t="s">
        <v>419</v>
      </c>
      <c r="E2820" t="s">
        <v>421</v>
      </c>
      <c r="F2820">
        <v>1</v>
      </c>
      <c r="G2820" t="s">
        <v>498</v>
      </c>
      <c r="H2820" s="4">
        <v>20014694</v>
      </c>
      <c r="I2820" s="4">
        <v>20788205</v>
      </c>
      <c r="J2820" s="3">
        <v>0.038647155934534896</v>
      </c>
      <c r="K2820" s="3">
        <v>-0.03720912892671589</v>
      </c>
      <c r="L2820" t="s">
        <v>377</v>
      </c>
    </row>
    <row r="2821" spans="1:12" x14ac:dyDescent="0.25">
      <c r="A2821" t="s">
        <v>487</v>
      </c>
      <c r="B2821" t="s">
        <v>461</v>
      </c>
      <c r="C2821" t="s">
        <v>462</v>
      </c>
      <c r="D2821" t="s">
        <v>419</v>
      </c>
      <c r="E2821" t="s">
        <v>421</v>
      </c>
      <c r="F2821">
        <v>1</v>
      </c>
      <c r="G2821" t="s">
        <v>499</v>
      </c>
      <c r="H2821" s="4">
        <v>20014694</v>
      </c>
      <c r="I2821" s="4">
        <v>27457714</v>
      </c>
      <c r="J2821" s="3">
        <v>0.37187778139400984</v>
      </c>
      <c r="K2821" s="3">
        <v>-0.2710720928916369</v>
      </c>
      <c r="L2821" t="s">
        <v>377</v>
      </c>
    </row>
    <row r="2822" spans="1:12" x14ac:dyDescent="0.25">
      <c r="A2822" t="s">
        <v>487</v>
      </c>
      <c r="B2822" t="s">
        <v>461</v>
      </c>
      <c r="C2822" t="s">
        <v>462</v>
      </c>
      <c r="D2822" t="s">
        <v>419</v>
      </c>
      <c r="E2822" t="s">
        <v>423</v>
      </c>
      <c r="F2822">
        <v>2</v>
      </c>
      <c r="G2822" t="s">
        <v>488</v>
      </c>
      <c r="H2822" s="4">
        <v>18137733</v>
      </c>
      <c r="I2822" s="4">
        <v>20354122.594697088</v>
      </c>
      <c r="J2822" s="3">
        <v>0.12219771868386683</v>
      </c>
      <c r="K2822" s="3">
        <v>-0.10889143387956844</v>
      </c>
      <c r="L2822" t="s">
        <v>377</v>
      </c>
    </row>
    <row r="2823" spans="1:12" x14ac:dyDescent="0.25">
      <c r="A2823" t="s">
        <v>487</v>
      </c>
      <c r="B2823" t="s">
        <v>461</v>
      </c>
      <c r="C2823" t="s">
        <v>462</v>
      </c>
      <c r="D2823" t="s">
        <v>419</v>
      </c>
      <c r="E2823" t="s">
        <v>423</v>
      </c>
      <c r="F2823">
        <v>2</v>
      </c>
      <c r="G2823" t="s">
        <v>498</v>
      </c>
      <c r="H2823" s="4">
        <v>18137733</v>
      </c>
      <c r="I2823" s="4">
        <v>19763479</v>
      </c>
      <c r="J2823" s="3">
        <v>0.08963336266996542</v>
      </c>
      <c r="K2823" s="3">
        <v>-0.08226011219988141</v>
      </c>
      <c r="L2823" t="s">
        <v>377</v>
      </c>
    </row>
    <row r="2824" spans="1:12" x14ac:dyDescent="0.25">
      <c r="A2824" t="s">
        <v>487</v>
      </c>
      <c r="B2824" t="s">
        <v>461</v>
      </c>
      <c r="C2824" t="s">
        <v>462</v>
      </c>
      <c r="D2824" t="s">
        <v>419</v>
      </c>
      <c r="E2824" t="s">
        <v>423</v>
      </c>
      <c r="F2824">
        <v>2</v>
      </c>
      <c r="G2824" t="s">
        <v>499</v>
      </c>
      <c r="H2824" s="4">
        <v>18137733</v>
      </c>
      <c r="I2824" s="4">
        <v>27457714</v>
      </c>
      <c r="J2824" s="3">
        <v>0.5138448669411994</v>
      </c>
      <c r="K2824" s="3">
        <v>-0.3394303327655026</v>
      </c>
      <c r="L2824" t="s">
        <v>377</v>
      </c>
    </row>
    <row r="2825" spans="1:12" x14ac:dyDescent="0.25">
      <c r="A2825" t="s">
        <v>487</v>
      </c>
      <c r="B2825" t="s">
        <v>461</v>
      </c>
      <c r="C2825" t="s">
        <v>462</v>
      </c>
      <c r="D2825" t="s">
        <v>419</v>
      </c>
      <c r="E2825" t="s">
        <v>425</v>
      </c>
      <c r="F2825">
        <v>3</v>
      </c>
      <c r="G2825" t="s">
        <v>488</v>
      </c>
      <c r="H2825" s="4">
        <v>20170099</v>
      </c>
      <c r="I2825" s="4">
        <v>20491533.02223124</v>
      </c>
      <c r="J2825" s="3">
        <v>0.015936164826520674</v>
      </c>
      <c r="K2825" s="3">
        <v>-0.015686187162401</v>
      </c>
      <c r="L2825" t="s">
        <v>377</v>
      </c>
    </row>
    <row r="2826" spans="1:12" x14ac:dyDescent="0.25">
      <c r="A2826" t="s">
        <v>487</v>
      </c>
      <c r="B2826" t="s">
        <v>461</v>
      </c>
      <c r="C2826" t="s">
        <v>462</v>
      </c>
      <c r="D2826" t="s">
        <v>419</v>
      </c>
      <c r="E2826" t="s">
        <v>425</v>
      </c>
      <c r="F2826">
        <v>3</v>
      </c>
      <c r="G2826" t="s">
        <v>498</v>
      </c>
      <c r="H2826" s="4">
        <v>20170099</v>
      </c>
      <c r="I2826" s="4">
        <v>19896902</v>
      </c>
      <c r="J2826" s="3">
        <v>0.013544653400065117</v>
      </c>
      <c r="K2826" s="3">
        <v>0.0137306300247144</v>
      </c>
      <c r="L2826" t="s">
        <v>377</v>
      </c>
    </row>
    <row r="2827" spans="1:12" x14ac:dyDescent="0.25">
      <c r="A2827" t="s">
        <v>487</v>
      </c>
      <c r="B2827" t="s">
        <v>461</v>
      </c>
      <c r="C2827" t="s">
        <v>462</v>
      </c>
      <c r="D2827" t="s">
        <v>419</v>
      </c>
      <c r="E2827" t="s">
        <v>425</v>
      </c>
      <c r="F2827">
        <v>3</v>
      </c>
      <c r="G2827" t="s">
        <v>499</v>
      </c>
      <c r="H2827" s="4">
        <v>20170099</v>
      </c>
      <c r="I2827" s="4">
        <v>27457714</v>
      </c>
      <c r="J2827" s="3">
        <v>0.3613078448449856</v>
      </c>
      <c r="K2827" s="3">
        <v>-0.2654122990719475</v>
      </c>
      <c r="L2827" t="s">
        <v>377</v>
      </c>
    </row>
    <row r="2828" spans="1:12" x14ac:dyDescent="0.25">
      <c r="A2828" t="s">
        <v>487</v>
      </c>
      <c r="B2828" t="s">
        <v>461</v>
      </c>
      <c r="C2828" t="s">
        <v>462</v>
      </c>
      <c r="D2828" t="s">
        <v>421</v>
      </c>
      <c r="E2828" t="s">
        <v>423</v>
      </c>
      <c r="F2828">
        <v>1</v>
      </c>
      <c r="G2828" t="s">
        <v>488</v>
      </c>
      <c r="H2828" s="4">
        <v>18137733</v>
      </c>
      <c r="I2828" s="4">
        <v>20277176.397339597</v>
      </c>
      <c r="J2828" s="3">
        <v>0.11795539152217079</v>
      </c>
      <c r="K2828" s="3">
        <v>-0.1055099267973176</v>
      </c>
      <c r="L2828" t="s">
        <v>377</v>
      </c>
    </row>
    <row r="2829" spans="1:12" x14ac:dyDescent="0.25">
      <c r="A2829" t="s">
        <v>487</v>
      </c>
      <c r="B2829" t="s">
        <v>461</v>
      </c>
      <c r="C2829" t="s">
        <v>462</v>
      </c>
      <c r="D2829" t="s">
        <v>421</v>
      </c>
      <c r="E2829" t="s">
        <v>423</v>
      </c>
      <c r="F2829">
        <v>1</v>
      </c>
      <c r="G2829" t="s">
        <v>498</v>
      </c>
      <c r="H2829" s="4">
        <v>18137733</v>
      </c>
      <c r="I2829" s="4">
        <v>19763479</v>
      </c>
      <c r="J2829" s="3">
        <v>0.08963336266996542</v>
      </c>
      <c r="K2829" s="3">
        <v>-0.08226011219988141</v>
      </c>
      <c r="L2829" t="s">
        <v>377</v>
      </c>
    </row>
    <row r="2830" spans="1:12" x14ac:dyDescent="0.25">
      <c r="A2830" t="s">
        <v>487</v>
      </c>
      <c r="B2830" t="s">
        <v>461</v>
      </c>
      <c r="C2830" t="s">
        <v>462</v>
      </c>
      <c r="D2830" t="s">
        <v>421</v>
      </c>
      <c r="E2830" t="s">
        <v>423</v>
      </c>
      <c r="F2830">
        <v>1</v>
      </c>
      <c r="G2830" t="s">
        <v>499</v>
      </c>
      <c r="H2830" s="4">
        <v>18137733</v>
      </c>
      <c r="I2830" s="4">
        <v>20014694</v>
      </c>
      <c r="J2830" s="3">
        <v>0.10348377054618678</v>
      </c>
      <c r="K2830" s="3">
        <v>-0.09377915045815839</v>
      </c>
      <c r="L2830" t="s">
        <v>377</v>
      </c>
    </row>
    <row r="2831" spans="1:12" x14ac:dyDescent="0.25">
      <c r="A2831" t="s">
        <v>487</v>
      </c>
      <c r="B2831" t="s">
        <v>461</v>
      </c>
      <c r="C2831" t="s">
        <v>462</v>
      </c>
      <c r="D2831" t="s">
        <v>421</v>
      </c>
      <c r="E2831" t="s">
        <v>425</v>
      </c>
      <c r="F2831">
        <v>2</v>
      </c>
      <c r="G2831" t="s">
        <v>488</v>
      </c>
      <c r="H2831" s="4">
        <v>20170099</v>
      </c>
      <c r="I2831" s="4">
        <v>20414067.362055995</v>
      </c>
      <c r="J2831" s="3">
        <v>0.012095546088097762</v>
      </c>
      <c r="K2831" s="3">
        <v>-0.011950992309815882</v>
      </c>
      <c r="L2831" t="s">
        <v>377</v>
      </c>
    </row>
    <row r="2832" spans="1:12" x14ac:dyDescent="0.25">
      <c r="A2832" t="s">
        <v>487</v>
      </c>
      <c r="B2832" t="s">
        <v>461</v>
      </c>
      <c r="C2832" t="s">
        <v>462</v>
      </c>
      <c r="D2832" t="s">
        <v>421</v>
      </c>
      <c r="E2832" t="s">
        <v>425</v>
      </c>
      <c r="F2832">
        <v>2</v>
      </c>
      <c r="G2832" t="s">
        <v>498</v>
      </c>
      <c r="H2832" s="4">
        <v>20170099</v>
      </c>
      <c r="I2832" s="4">
        <v>19896902</v>
      </c>
      <c r="J2832" s="3">
        <v>0.013544653400065117</v>
      </c>
      <c r="K2832" s="3">
        <v>0.0137306300247144</v>
      </c>
      <c r="L2832" t="s">
        <v>377</v>
      </c>
    </row>
    <row r="2833" spans="1:12" x14ac:dyDescent="0.25">
      <c r="A2833" t="s">
        <v>487</v>
      </c>
      <c r="B2833" t="s">
        <v>461</v>
      </c>
      <c r="C2833" t="s">
        <v>462</v>
      </c>
      <c r="D2833" t="s">
        <v>421</v>
      </c>
      <c r="E2833" t="s">
        <v>425</v>
      </c>
      <c r="F2833">
        <v>2</v>
      </c>
      <c r="G2833" t="s">
        <v>499</v>
      </c>
      <c r="H2833" s="4">
        <v>20170099</v>
      </c>
      <c r="I2833" s="4">
        <v>20014694</v>
      </c>
      <c r="J2833" s="3">
        <v>0.007704721726948391</v>
      </c>
      <c r="K2833" s="3">
        <v>0.007764545388503067</v>
      </c>
      <c r="L2833" t="s">
        <v>377</v>
      </c>
    </row>
    <row r="2834" spans="1:12" x14ac:dyDescent="0.25">
      <c r="A2834" t="s">
        <v>487</v>
      </c>
      <c r="B2834" t="s">
        <v>461</v>
      </c>
      <c r="C2834" t="s">
        <v>462</v>
      </c>
      <c r="D2834" t="s">
        <v>421</v>
      </c>
      <c r="E2834" t="s">
        <v>427</v>
      </c>
      <c r="F2834">
        <v>3</v>
      </c>
      <c r="G2834" t="s">
        <v>488</v>
      </c>
      <c r="H2834" s="4">
        <v>20682622</v>
      </c>
      <c r="I2834" s="4">
        <v>25684969.196110643</v>
      </c>
      <c r="J2834" s="3">
        <v>0.24186233235373367</v>
      </c>
      <c r="K2834" s="3">
        <v>-0.194757765053817</v>
      </c>
      <c r="L2834" t="s">
        <v>377</v>
      </c>
    </row>
    <row r="2835" spans="1:12" x14ac:dyDescent="0.25">
      <c r="A2835" t="s">
        <v>487</v>
      </c>
      <c r="B2835" t="s">
        <v>461</v>
      </c>
      <c r="C2835" t="s">
        <v>462</v>
      </c>
      <c r="D2835" t="s">
        <v>421</v>
      </c>
      <c r="E2835" t="s">
        <v>427</v>
      </c>
      <c r="F2835">
        <v>3</v>
      </c>
      <c r="G2835" t="s">
        <v>498</v>
      </c>
      <c r="H2835" s="4">
        <v>20682622</v>
      </c>
      <c r="I2835" s="4">
        <v>25034272</v>
      </c>
      <c r="J2835" s="3">
        <v>0.21040127310744255</v>
      </c>
      <c r="K2835" s="3">
        <v>-0.17382770307840387</v>
      </c>
      <c r="L2835" t="s">
        <v>377</v>
      </c>
    </row>
    <row r="2836" spans="1:12" x14ac:dyDescent="0.25">
      <c r="A2836" t="s">
        <v>487</v>
      </c>
      <c r="B2836" t="s">
        <v>461</v>
      </c>
      <c r="C2836" t="s">
        <v>462</v>
      </c>
      <c r="D2836" t="s">
        <v>421</v>
      </c>
      <c r="E2836" t="s">
        <v>427</v>
      </c>
      <c r="F2836">
        <v>3</v>
      </c>
      <c r="G2836" t="s">
        <v>499</v>
      </c>
      <c r="H2836" s="4">
        <v>20682622</v>
      </c>
      <c r="I2836" s="4">
        <v>20014694</v>
      </c>
      <c r="J2836" s="3">
        <v>0.03229416463734627</v>
      </c>
      <c r="K2836" s="3">
        <v>0.033371881678530786</v>
      </c>
      <c r="L2836" t="s">
        <v>377</v>
      </c>
    </row>
    <row r="2837" spans="1:12" x14ac:dyDescent="0.25">
      <c r="A2837" t="s">
        <v>487</v>
      </c>
      <c r="B2837" t="s">
        <v>461</v>
      </c>
      <c r="C2837" t="s">
        <v>462</v>
      </c>
      <c r="D2837" t="s">
        <v>423</v>
      </c>
      <c r="E2837" t="s">
        <v>425</v>
      </c>
      <c r="F2837">
        <v>1</v>
      </c>
      <c r="G2837" t="s">
        <v>488</v>
      </c>
      <c r="H2837" s="4">
        <v>20170099</v>
      </c>
      <c r="I2837" s="4">
        <v>20430161.695864692</v>
      </c>
      <c r="J2837" s="3">
        <v>0.012893476420948272</v>
      </c>
      <c r="K2837" s="3">
        <v>-0.01272935083608918</v>
      </c>
      <c r="L2837" t="s">
        <v>377</v>
      </c>
    </row>
    <row r="2838" spans="1:12" x14ac:dyDescent="0.25">
      <c r="A2838" t="s">
        <v>487</v>
      </c>
      <c r="B2838" t="s">
        <v>461</v>
      </c>
      <c r="C2838" t="s">
        <v>462</v>
      </c>
      <c r="D2838" t="s">
        <v>423</v>
      </c>
      <c r="E2838" t="s">
        <v>425</v>
      </c>
      <c r="F2838">
        <v>1</v>
      </c>
      <c r="G2838" t="s">
        <v>498</v>
      </c>
      <c r="H2838" s="4">
        <v>20170099</v>
      </c>
      <c r="I2838" s="4">
        <v>19896902</v>
      </c>
      <c r="J2838" s="3">
        <v>0.013544653400065117</v>
      </c>
      <c r="K2838" s="3">
        <v>0.0137306300247144</v>
      </c>
      <c r="L2838" t="s">
        <v>377</v>
      </c>
    </row>
    <row r="2839" spans="1:12" x14ac:dyDescent="0.25">
      <c r="A2839" t="s">
        <v>487</v>
      </c>
      <c r="B2839" t="s">
        <v>461</v>
      </c>
      <c r="C2839" t="s">
        <v>462</v>
      </c>
      <c r="D2839" t="s">
        <v>423</v>
      </c>
      <c r="E2839" t="s">
        <v>425</v>
      </c>
      <c r="F2839">
        <v>1</v>
      </c>
      <c r="G2839" t="s">
        <v>499</v>
      </c>
      <c r="H2839" s="4">
        <v>20170099</v>
      </c>
      <c r="I2839" s="4">
        <v>18137733</v>
      </c>
      <c r="J2839" s="3">
        <v>0.10076132992703704</v>
      </c>
      <c r="K2839" s="3">
        <v>0.11205182036806915</v>
      </c>
      <c r="L2839" t="s">
        <v>377</v>
      </c>
    </row>
    <row r="2840" spans="1:12" x14ac:dyDescent="0.25">
      <c r="A2840" t="s">
        <v>487</v>
      </c>
      <c r="B2840" t="s">
        <v>461</v>
      </c>
      <c r="C2840" t="s">
        <v>462</v>
      </c>
      <c r="D2840" t="s">
        <v>423</v>
      </c>
      <c r="E2840" t="s">
        <v>427</v>
      </c>
      <c r="F2840">
        <v>2</v>
      </c>
      <c r="G2840" t="s">
        <v>488</v>
      </c>
      <c r="H2840" s="4">
        <v>20682622</v>
      </c>
      <c r="I2840" s="4">
        <v>25705219.078741904</v>
      </c>
      <c r="J2840" s="3">
        <v>0.24284140950513453</v>
      </c>
      <c r="K2840" s="3">
        <v>-0.1953921133041643</v>
      </c>
      <c r="L2840" t="s">
        <v>377</v>
      </c>
    </row>
    <row r="2841" spans="1:12" x14ac:dyDescent="0.25">
      <c r="A2841" t="s">
        <v>487</v>
      </c>
      <c r="B2841" t="s">
        <v>461</v>
      </c>
      <c r="C2841" t="s">
        <v>462</v>
      </c>
      <c r="D2841" t="s">
        <v>423</v>
      </c>
      <c r="E2841" t="s">
        <v>427</v>
      </c>
      <c r="F2841">
        <v>2</v>
      </c>
      <c r="G2841" t="s">
        <v>498</v>
      </c>
      <c r="H2841" s="4">
        <v>20682622</v>
      </c>
      <c r="I2841" s="4">
        <v>25034272</v>
      </c>
      <c r="J2841" s="3">
        <v>0.21040127310744255</v>
      </c>
      <c r="K2841" s="3">
        <v>-0.17382770307840387</v>
      </c>
      <c r="L2841" t="s">
        <v>377</v>
      </c>
    </row>
    <row r="2842" spans="1:12" x14ac:dyDescent="0.25">
      <c r="A2842" t="s">
        <v>487</v>
      </c>
      <c r="B2842" t="s">
        <v>461</v>
      </c>
      <c r="C2842" t="s">
        <v>462</v>
      </c>
      <c r="D2842" t="s">
        <v>423</v>
      </c>
      <c r="E2842" t="s">
        <v>427</v>
      </c>
      <c r="F2842">
        <v>2</v>
      </c>
      <c r="G2842" t="s">
        <v>499</v>
      </c>
      <c r="H2842" s="4">
        <v>20682622</v>
      </c>
      <c r="I2842" s="4">
        <v>18137733</v>
      </c>
      <c r="J2842" s="3">
        <v>0.12304479577105842</v>
      </c>
      <c r="K2842" s="3">
        <v>0.14030910037103314</v>
      </c>
      <c r="L2842" t="s">
        <v>377</v>
      </c>
    </row>
    <row r="2843" spans="1:12" x14ac:dyDescent="0.25">
      <c r="A2843" t="s">
        <v>487</v>
      </c>
      <c r="B2843" t="s">
        <v>461</v>
      </c>
      <c r="C2843" t="s">
        <v>462</v>
      </c>
      <c r="D2843" t="s">
        <v>423</v>
      </c>
      <c r="E2843" t="s">
        <v>429</v>
      </c>
      <c r="F2843">
        <v>3</v>
      </c>
      <c r="G2843" t="s">
        <v>488</v>
      </c>
      <c r="H2843" s="4">
        <v>26435629</v>
      </c>
      <c r="I2843" s="4">
        <v>28042093.208194878</v>
      </c>
      <c r="J2843" s="3">
        <v>0.060768904276681975</v>
      </c>
      <c r="K2843" s="3">
        <v>-0.057287599619182956</v>
      </c>
      <c r="L2843" t="s">
        <v>377</v>
      </c>
    </row>
    <row r="2844" spans="1:12" x14ac:dyDescent="0.25">
      <c r="A2844" t="s">
        <v>487</v>
      </c>
      <c r="B2844" t="s">
        <v>461</v>
      </c>
      <c r="C2844" t="s">
        <v>462</v>
      </c>
      <c r="D2844" t="s">
        <v>423</v>
      </c>
      <c r="E2844" t="s">
        <v>429</v>
      </c>
      <c r="F2844">
        <v>3</v>
      </c>
      <c r="G2844" t="s">
        <v>498</v>
      </c>
      <c r="H2844" s="4">
        <v>26435629</v>
      </c>
      <c r="I2844" s="4">
        <v>27310150</v>
      </c>
      <c r="J2844" s="3">
        <v>0.03308114968628134</v>
      </c>
      <c r="K2844" s="3">
        <v>-0.032021830711292325</v>
      </c>
      <c r="L2844" t="s">
        <v>377</v>
      </c>
    </row>
    <row r="2845" spans="1:12" x14ac:dyDescent="0.25">
      <c r="A2845" t="s">
        <v>487</v>
      </c>
      <c r="B2845" t="s">
        <v>461</v>
      </c>
      <c r="C2845" t="s">
        <v>462</v>
      </c>
      <c r="D2845" t="s">
        <v>423</v>
      </c>
      <c r="E2845" t="s">
        <v>429</v>
      </c>
      <c r="F2845">
        <v>3</v>
      </c>
      <c r="G2845" t="s">
        <v>499</v>
      </c>
      <c r="H2845" s="4">
        <v>26435629</v>
      </c>
      <c r="I2845" s="4">
        <v>18137733</v>
      </c>
      <c r="J2845" s="3">
        <v>0.31389062087382147</v>
      </c>
      <c r="K2845" s="3">
        <v>0.45749355776711453</v>
      </c>
      <c r="L2845" t="s">
        <v>377</v>
      </c>
    </row>
    <row r="2846" spans="1:12" x14ac:dyDescent="0.25">
      <c r="A2846" t="s">
        <v>487</v>
      </c>
      <c r="B2846" t="s">
        <v>461</v>
      </c>
      <c r="C2846" t="s">
        <v>462</v>
      </c>
      <c r="D2846" t="s">
        <v>425</v>
      </c>
      <c r="E2846" t="s">
        <v>427</v>
      </c>
      <c r="F2846">
        <v>1</v>
      </c>
      <c r="G2846" t="s">
        <v>488</v>
      </c>
      <c r="H2846" s="4">
        <v>20682622</v>
      </c>
      <c r="I2846" s="4">
        <v>26172557.034078445</v>
      </c>
      <c r="J2846" s="3">
        <v>0.2654370917806478</v>
      </c>
      <c r="K2846" s="3">
        <v>-0.20975921561390343</v>
      </c>
      <c r="L2846" t="s">
        <v>377</v>
      </c>
    </row>
    <row r="2847" spans="1:12" x14ac:dyDescent="0.25">
      <c r="A2847" t="s">
        <v>487</v>
      </c>
      <c r="B2847" t="s">
        <v>461</v>
      </c>
      <c r="C2847" t="s">
        <v>462</v>
      </c>
      <c r="D2847" t="s">
        <v>425</v>
      </c>
      <c r="E2847" t="s">
        <v>427</v>
      </c>
      <c r="F2847">
        <v>1</v>
      </c>
      <c r="G2847" t="s">
        <v>498</v>
      </c>
      <c r="H2847" s="4">
        <v>20682622</v>
      </c>
      <c r="I2847" s="4">
        <v>25034272</v>
      </c>
      <c r="J2847" s="3">
        <v>0.21040127310744255</v>
      </c>
      <c r="K2847" s="3">
        <v>-0.17382770307840387</v>
      </c>
      <c r="L2847" t="s">
        <v>377</v>
      </c>
    </row>
    <row r="2848" spans="1:12" x14ac:dyDescent="0.25">
      <c r="A2848" t="s">
        <v>487</v>
      </c>
      <c r="B2848" t="s">
        <v>461</v>
      </c>
      <c r="C2848" t="s">
        <v>462</v>
      </c>
      <c r="D2848" t="s">
        <v>425</v>
      </c>
      <c r="E2848" t="s">
        <v>427</v>
      </c>
      <c r="F2848">
        <v>1</v>
      </c>
      <c r="G2848" t="s">
        <v>499</v>
      </c>
      <c r="H2848" s="4">
        <v>20682622</v>
      </c>
      <c r="I2848" s="4">
        <v>20170099</v>
      </c>
      <c r="J2848" s="3">
        <v>0.024780368755953668</v>
      </c>
      <c r="K2848" s="3">
        <v>0.025410038889744666</v>
      </c>
      <c r="L2848" t="s">
        <v>377</v>
      </c>
    </row>
    <row r="2849" spans="1:12" x14ac:dyDescent="0.25">
      <c r="A2849" t="s">
        <v>487</v>
      </c>
      <c r="B2849" t="s">
        <v>461</v>
      </c>
      <c r="C2849" t="s">
        <v>462</v>
      </c>
      <c r="D2849" t="s">
        <v>425</v>
      </c>
      <c r="E2849" t="s">
        <v>429</v>
      </c>
      <c r="F2849">
        <v>2</v>
      </c>
      <c r="G2849" t="s">
        <v>488</v>
      </c>
      <c r="H2849" s="4">
        <v>26435629</v>
      </c>
      <c r="I2849" s="4">
        <v>28551917.087272897</v>
      </c>
      <c r="J2849" s="3">
        <v>0.08005438748111109</v>
      </c>
      <c r="K2849" s="3">
        <v>-0.07412070022493303</v>
      </c>
      <c r="L2849" t="s">
        <v>377</v>
      </c>
    </row>
    <row r="2850" spans="1:12" x14ac:dyDescent="0.25">
      <c r="A2850" t="s">
        <v>487</v>
      </c>
      <c r="B2850" t="s">
        <v>461</v>
      </c>
      <c r="C2850" t="s">
        <v>462</v>
      </c>
      <c r="D2850" t="s">
        <v>425</v>
      </c>
      <c r="E2850" t="s">
        <v>429</v>
      </c>
      <c r="F2850">
        <v>2</v>
      </c>
      <c r="G2850" t="s">
        <v>498</v>
      </c>
      <c r="H2850" s="4">
        <v>26435629</v>
      </c>
      <c r="I2850" s="4">
        <v>27310150</v>
      </c>
      <c r="J2850" s="3">
        <v>0.03308114968628134</v>
      </c>
      <c r="K2850" s="3">
        <v>-0.032021830711292325</v>
      </c>
      <c r="L2850" t="s">
        <v>377</v>
      </c>
    </row>
    <row r="2851" spans="1:12" x14ac:dyDescent="0.25">
      <c r="A2851" t="s">
        <v>487</v>
      </c>
      <c r="B2851" t="s">
        <v>461</v>
      </c>
      <c r="C2851" t="s">
        <v>462</v>
      </c>
      <c r="D2851" t="s">
        <v>425</v>
      </c>
      <c r="E2851" t="s">
        <v>429</v>
      </c>
      <c r="F2851">
        <v>2</v>
      </c>
      <c r="G2851" t="s">
        <v>499</v>
      </c>
      <c r="H2851" s="4">
        <v>26435629</v>
      </c>
      <c r="I2851" s="4">
        <v>20170099</v>
      </c>
      <c r="J2851" s="3">
        <v>0.23701081597112744</v>
      </c>
      <c r="K2851" s="3">
        <v>0.3106345685264113</v>
      </c>
      <c r="L2851" t="s">
        <v>377</v>
      </c>
    </row>
    <row r="2852" spans="1:12" x14ac:dyDescent="0.25">
      <c r="A2852" t="s">
        <v>487</v>
      </c>
      <c r="B2852" t="s">
        <v>461</v>
      </c>
      <c r="C2852" t="s">
        <v>462</v>
      </c>
      <c r="D2852" t="s">
        <v>425</v>
      </c>
      <c r="E2852" t="s">
        <v>431</v>
      </c>
      <c r="F2852">
        <v>3</v>
      </c>
      <c r="G2852" t="s">
        <v>488</v>
      </c>
      <c r="H2852" s="4">
        <v>27996239</v>
      </c>
      <c r="I2852" s="4">
        <v>29706942.950649057</v>
      </c>
      <c r="J2852" s="3">
        <v>0.06110477734702353</v>
      </c>
      <c r="K2852" s="3">
        <v>-0.05758599777469462</v>
      </c>
      <c r="L2852" t="s">
        <v>377</v>
      </c>
    </row>
    <row r="2853" spans="1:12" x14ac:dyDescent="0.25">
      <c r="A2853" t="s">
        <v>487</v>
      </c>
      <c r="B2853" t="s">
        <v>461</v>
      </c>
      <c r="C2853" t="s">
        <v>462</v>
      </c>
      <c r="D2853" t="s">
        <v>425</v>
      </c>
      <c r="E2853" t="s">
        <v>431</v>
      </c>
      <c r="F2853">
        <v>3</v>
      </c>
      <c r="G2853" t="s">
        <v>498</v>
      </c>
      <c r="H2853" s="4">
        <v>27996239</v>
      </c>
      <c r="I2853" s="4">
        <v>28414942</v>
      </c>
      <c r="J2853" s="3">
        <v>0.014955687440730878</v>
      </c>
      <c r="K2853" s="3">
        <v>-0.014735310738976697</v>
      </c>
      <c r="L2853" t="s">
        <v>377</v>
      </c>
    </row>
    <row r="2854" spans="1:12" x14ac:dyDescent="0.25">
      <c r="A2854" t="s">
        <v>487</v>
      </c>
      <c r="B2854" t="s">
        <v>461</v>
      </c>
      <c r="C2854" t="s">
        <v>462</v>
      </c>
      <c r="D2854" t="s">
        <v>425</v>
      </c>
      <c r="E2854" t="s">
        <v>431</v>
      </c>
      <c r="F2854">
        <v>3</v>
      </c>
      <c r="G2854" t="s">
        <v>499</v>
      </c>
      <c r="H2854" s="4">
        <v>27996239</v>
      </c>
      <c r="I2854" s="4">
        <v>20170099</v>
      </c>
      <c r="J2854" s="3">
        <v>0.2795425485544683</v>
      </c>
      <c r="K2854" s="3">
        <v>0.38800701969782103</v>
      </c>
      <c r="L2854" t="s">
        <v>377</v>
      </c>
    </row>
    <row r="2855" spans="1:12" x14ac:dyDescent="0.25">
      <c r="A2855" t="s">
        <v>487</v>
      </c>
      <c r="B2855" t="s">
        <v>461</v>
      </c>
      <c r="C2855" t="s">
        <v>462</v>
      </c>
      <c r="D2855" t="s">
        <v>427</v>
      </c>
      <c r="E2855" t="s">
        <v>429</v>
      </c>
      <c r="F2855">
        <v>1</v>
      </c>
      <c r="G2855" t="s">
        <v>488</v>
      </c>
      <c r="H2855" s="4">
        <v>26435629</v>
      </c>
      <c r="I2855" s="4">
        <v>28023979.582218416</v>
      </c>
      <c r="J2855" s="3">
        <v>0.06008370681168267</v>
      </c>
      <c r="K2855" s="3">
        <v>-0.056678266466702876</v>
      </c>
      <c r="L2855" t="s">
        <v>377</v>
      </c>
    </row>
    <row r="2856" spans="1:12" x14ac:dyDescent="0.25">
      <c r="A2856" t="s">
        <v>487</v>
      </c>
      <c r="B2856" t="s">
        <v>461</v>
      </c>
      <c r="C2856" t="s">
        <v>462</v>
      </c>
      <c r="D2856" t="s">
        <v>427</v>
      </c>
      <c r="E2856" t="s">
        <v>429</v>
      </c>
      <c r="F2856">
        <v>1</v>
      </c>
      <c r="G2856" t="s">
        <v>498</v>
      </c>
      <c r="H2856" s="4">
        <v>26435629</v>
      </c>
      <c r="I2856" s="4">
        <v>27310150</v>
      </c>
      <c r="J2856" s="3">
        <v>0.03308114968628134</v>
      </c>
      <c r="K2856" s="3">
        <v>-0.032021830711292325</v>
      </c>
      <c r="L2856" t="s">
        <v>377</v>
      </c>
    </row>
    <row r="2857" spans="1:12" x14ac:dyDescent="0.25">
      <c r="A2857" t="s">
        <v>487</v>
      </c>
      <c r="B2857" t="s">
        <v>461</v>
      </c>
      <c r="C2857" t="s">
        <v>462</v>
      </c>
      <c r="D2857" t="s">
        <v>427</v>
      </c>
      <c r="E2857" t="s">
        <v>429</v>
      </c>
      <c r="F2857">
        <v>1</v>
      </c>
      <c r="G2857" t="s">
        <v>499</v>
      </c>
      <c r="H2857" s="4">
        <v>26435629</v>
      </c>
      <c r="I2857" s="4">
        <v>20682622</v>
      </c>
      <c r="J2857" s="3">
        <v>0.21762323113249926</v>
      </c>
      <c r="K2857" s="3">
        <v>0.2781565606140266</v>
      </c>
      <c r="L2857" t="s">
        <v>377</v>
      </c>
    </row>
    <row r="2858" spans="1:12" x14ac:dyDescent="0.25">
      <c r="A2858" t="s">
        <v>487</v>
      </c>
      <c r="B2858" t="s">
        <v>461</v>
      </c>
      <c r="C2858" t="s">
        <v>462</v>
      </c>
      <c r="D2858" t="s">
        <v>427</v>
      </c>
      <c r="E2858" t="s">
        <v>431</v>
      </c>
      <c r="F2858">
        <v>2</v>
      </c>
      <c r="G2858" t="s">
        <v>488</v>
      </c>
      <c r="H2858" s="4">
        <v>27996239</v>
      </c>
      <c r="I2858" s="4">
        <v>29157648.509360824</v>
      </c>
      <c r="J2858" s="3">
        <v>0.041484483303661744</v>
      </c>
      <c r="K2858" s="3">
        <v>-0.03983207044244198</v>
      </c>
      <c r="L2858" t="s">
        <v>377</v>
      </c>
    </row>
    <row r="2859" spans="1:12" x14ac:dyDescent="0.25">
      <c r="A2859" t="s">
        <v>487</v>
      </c>
      <c r="B2859" t="s">
        <v>461</v>
      </c>
      <c r="C2859" t="s">
        <v>462</v>
      </c>
      <c r="D2859" t="s">
        <v>427</v>
      </c>
      <c r="E2859" t="s">
        <v>431</v>
      </c>
      <c r="F2859">
        <v>2</v>
      </c>
      <c r="G2859" t="s">
        <v>498</v>
      </c>
      <c r="H2859" s="4">
        <v>27996239</v>
      </c>
      <c r="I2859" s="4">
        <v>28414942</v>
      </c>
      <c r="J2859" s="3">
        <v>0.014955687440730878</v>
      </c>
      <c r="K2859" s="3">
        <v>-0.014735310738976697</v>
      </c>
      <c r="L2859" t="s">
        <v>377</v>
      </c>
    </row>
    <row r="2860" spans="1:12" x14ac:dyDescent="0.25">
      <c r="A2860" t="s">
        <v>487</v>
      </c>
      <c r="B2860" t="s">
        <v>461</v>
      </c>
      <c r="C2860" t="s">
        <v>462</v>
      </c>
      <c r="D2860" t="s">
        <v>427</v>
      </c>
      <c r="E2860" t="s">
        <v>431</v>
      </c>
      <c r="F2860">
        <v>2</v>
      </c>
      <c r="G2860" t="s">
        <v>499</v>
      </c>
      <c r="H2860" s="4">
        <v>27996239</v>
      </c>
      <c r="I2860" s="4">
        <v>20682622</v>
      </c>
      <c r="J2860" s="3">
        <v>0.26123569669483104</v>
      </c>
      <c r="K2860" s="3">
        <v>0.3536116939138568</v>
      </c>
      <c r="L2860" t="s">
        <v>377</v>
      </c>
    </row>
    <row r="2861" spans="1:12" x14ac:dyDescent="0.25">
      <c r="A2861" t="s">
        <v>487</v>
      </c>
      <c r="B2861" t="s">
        <v>461</v>
      </c>
      <c r="C2861" t="s">
        <v>462</v>
      </c>
      <c r="D2861" t="s">
        <v>427</v>
      </c>
      <c r="E2861" t="s">
        <v>433</v>
      </c>
      <c r="F2861">
        <v>3</v>
      </c>
      <c r="G2861" t="s">
        <v>488</v>
      </c>
      <c r="H2861" s="4">
        <v>31275887</v>
      </c>
      <c r="I2861" s="4">
        <v>34001878.20780559</v>
      </c>
      <c r="J2861" s="3">
        <v>0.08715951710036518</v>
      </c>
      <c r="K2861" s="3">
        <v>-0.08017178319225321</v>
      </c>
      <c r="L2861" t="s">
        <v>377</v>
      </c>
    </row>
    <row r="2862" spans="1:12" x14ac:dyDescent="0.25">
      <c r="A2862" t="s">
        <v>487</v>
      </c>
      <c r="B2862" t="s">
        <v>461</v>
      </c>
      <c r="C2862" t="s">
        <v>462</v>
      </c>
      <c r="D2862" t="s">
        <v>427</v>
      </c>
      <c r="E2862" t="s">
        <v>433</v>
      </c>
      <c r="F2862">
        <v>3</v>
      </c>
      <c r="G2862" t="s">
        <v>498</v>
      </c>
      <c r="H2862" s="4">
        <v>31275887</v>
      </c>
      <c r="I2862" s="4">
        <v>33135779</v>
      </c>
      <c r="J2862" s="3">
        <v>0.05946728225485659</v>
      </c>
      <c r="K2862" s="3">
        <v>-0.05612941829434582</v>
      </c>
      <c r="L2862" t="s">
        <v>377</v>
      </c>
    </row>
    <row r="2863" spans="1:12" x14ac:dyDescent="0.25">
      <c r="A2863" t="s">
        <v>487</v>
      </c>
      <c r="B2863" t="s">
        <v>461</v>
      </c>
      <c r="C2863" t="s">
        <v>462</v>
      </c>
      <c r="D2863" t="s">
        <v>427</v>
      </c>
      <c r="E2863" t="s">
        <v>433</v>
      </c>
      <c r="F2863">
        <v>3</v>
      </c>
      <c r="G2863" t="s">
        <v>499</v>
      </c>
      <c r="H2863" s="4">
        <v>31275887</v>
      </c>
      <c r="I2863" s="4">
        <v>20682622</v>
      </c>
      <c r="J2863" s="3">
        <v>0.3387039031059295</v>
      </c>
      <c r="K2863" s="3">
        <v>0.5121819177471792</v>
      </c>
      <c r="L2863" t="s">
        <v>377</v>
      </c>
    </row>
    <row r="2864" spans="1:12" x14ac:dyDescent="0.25">
      <c r="A2864" t="s">
        <v>487</v>
      </c>
      <c r="B2864" t="s">
        <v>461</v>
      </c>
      <c r="C2864" t="s">
        <v>462</v>
      </c>
      <c r="D2864" t="s">
        <v>429</v>
      </c>
      <c r="E2864" t="s">
        <v>431</v>
      </c>
      <c r="F2864">
        <v>1</v>
      </c>
      <c r="G2864" t="s">
        <v>488</v>
      </c>
      <c r="H2864" s="4">
        <v>27996239</v>
      </c>
      <c r="I2864" s="4">
        <v>28493343.858225103</v>
      </c>
      <c r="J2864" s="3">
        <v>0.017756129965353685</v>
      </c>
      <c r="K2864" s="3">
        <v>-0.017446350301970802</v>
      </c>
      <c r="L2864" t="s">
        <v>377</v>
      </c>
    </row>
    <row r="2865" spans="1:12" x14ac:dyDescent="0.25">
      <c r="A2865" t="s">
        <v>487</v>
      </c>
      <c r="B2865" t="s">
        <v>461</v>
      </c>
      <c r="C2865" t="s">
        <v>462</v>
      </c>
      <c r="D2865" t="s">
        <v>429</v>
      </c>
      <c r="E2865" t="s">
        <v>431</v>
      </c>
      <c r="F2865">
        <v>1</v>
      </c>
      <c r="G2865" t="s">
        <v>498</v>
      </c>
      <c r="H2865" s="4">
        <v>27996239</v>
      </c>
      <c r="I2865" s="4">
        <v>28414942</v>
      </c>
      <c r="J2865" s="3">
        <v>0.014955687440730878</v>
      </c>
      <c r="K2865" s="3">
        <v>-0.014735310738976697</v>
      </c>
      <c r="L2865" t="s">
        <v>377</v>
      </c>
    </row>
    <row r="2866" spans="1:12" x14ac:dyDescent="0.25">
      <c r="A2866" t="s">
        <v>487</v>
      </c>
      <c r="B2866" t="s">
        <v>461</v>
      </c>
      <c r="C2866" t="s">
        <v>462</v>
      </c>
      <c r="D2866" t="s">
        <v>429</v>
      </c>
      <c r="E2866" t="s">
        <v>431</v>
      </c>
      <c r="F2866">
        <v>1</v>
      </c>
      <c r="G2866" t="s">
        <v>499</v>
      </c>
      <c r="H2866" s="4">
        <v>27996239</v>
      </c>
      <c r="I2866" s="4">
        <v>26435629</v>
      </c>
      <c r="J2866" s="3">
        <v>0.05574355898304769</v>
      </c>
      <c r="K2866" s="3">
        <v>0.05903434338558768</v>
      </c>
      <c r="L2866" t="s">
        <v>377</v>
      </c>
    </row>
    <row r="2867" spans="1:12" x14ac:dyDescent="0.25">
      <c r="A2867" t="s">
        <v>487</v>
      </c>
      <c r="B2867" t="s">
        <v>461</v>
      </c>
      <c r="C2867" t="s">
        <v>462</v>
      </c>
      <c r="D2867" t="s">
        <v>429</v>
      </c>
      <c r="E2867" t="s">
        <v>433</v>
      </c>
      <c r="F2867">
        <v>2</v>
      </c>
      <c r="G2867" t="s">
        <v>488</v>
      </c>
      <c r="H2867" s="4">
        <v>31275887</v>
      </c>
      <c r="I2867" s="4">
        <v>33227206.483727973</v>
      </c>
      <c r="J2867" s="3">
        <v>0.06239054015408014</v>
      </c>
      <c r="K2867" s="3">
        <v>-0.05872655845093608</v>
      </c>
      <c r="L2867" t="s">
        <v>377</v>
      </c>
    </row>
    <row r="2868" spans="1:12" x14ac:dyDescent="0.25">
      <c r="A2868" t="s">
        <v>487</v>
      </c>
      <c r="B2868" t="s">
        <v>461</v>
      </c>
      <c r="C2868" t="s">
        <v>462</v>
      </c>
      <c r="D2868" t="s">
        <v>429</v>
      </c>
      <c r="E2868" t="s">
        <v>433</v>
      </c>
      <c r="F2868">
        <v>2</v>
      </c>
      <c r="G2868" t="s">
        <v>498</v>
      </c>
      <c r="H2868" s="4">
        <v>31275887</v>
      </c>
      <c r="I2868" s="4">
        <v>33135779</v>
      </c>
      <c r="J2868" s="3">
        <v>0.05946728225485659</v>
      </c>
      <c r="K2868" s="3">
        <v>-0.05612941829434582</v>
      </c>
      <c r="L2868" t="s">
        <v>377</v>
      </c>
    </row>
    <row r="2869" spans="1:12" x14ac:dyDescent="0.25">
      <c r="A2869" t="s">
        <v>487</v>
      </c>
      <c r="B2869" t="s">
        <v>461</v>
      </c>
      <c r="C2869" t="s">
        <v>462</v>
      </c>
      <c r="D2869" t="s">
        <v>429</v>
      </c>
      <c r="E2869" t="s">
        <v>433</v>
      </c>
      <c r="F2869">
        <v>2</v>
      </c>
      <c r="G2869" t="s">
        <v>499</v>
      </c>
      <c r="H2869" s="4">
        <v>31275887</v>
      </c>
      <c r="I2869" s="4">
        <v>26435629</v>
      </c>
      <c r="J2869" s="3">
        <v>0.15476005524639477</v>
      </c>
      <c r="K2869" s="3">
        <v>0.18309600274689888</v>
      </c>
      <c r="L2869" t="s">
        <v>377</v>
      </c>
    </row>
    <row r="2870" spans="1:12" x14ac:dyDescent="0.25">
      <c r="A2870" t="s">
        <v>487</v>
      </c>
      <c r="B2870" t="s">
        <v>461</v>
      </c>
      <c r="C2870" t="s">
        <v>462</v>
      </c>
      <c r="D2870" t="s">
        <v>429</v>
      </c>
      <c r="E2870" t="s">
        <v>435</v>
      </c>
      <c r="F2870">
        <v>3</v>
      </c>
      <c r="G2870" t="s">
        <v>488</v>
      </c>
      <c r="H2870" s="4">
        <v>26745953</v>
      </c>
      <c r="I2870" s="4">
        <v>30569027.277635142</v>
      </c>
      <c r="J2870" s="3">
        <v>0.1429402899808858</v>
      </c>
      <c r="K2870" s="3">
        <v>-0.12506365488548513</v>
      </c>
      <c r="L2870" t="s">
        <v>377</v>
      </c>
    </row>
    <row r="2871" spans="1:12" x14ac:dyDescent="0.25">
      <c r="A2871" t="s">
        <v>487</v>
      </c>
      <c r="B2871" t="s">
        <v>461</v>
      </c>
      <c r="C2871" t="s">
        <v>462</v>
      </c>
      <c r="D2871" t="s">
        <v>429</v>
      </c>
      <c r="E2871" t="s">
        <v>435</v>
      </c>
      <c r="F2871">
        <v>3</v>
      </c>
      <c r="G2871" t="s">
        <v>498</v>
      </c>
      <c r="H2871" s="4">
        <v>26745953</v>
      </c>
      <c r="I2871" s="4">
        <v>30484914</v>
      </c>
      <c r="J2871" s="3">
        <v>0.13979539259640514</v>
      </c>
      <c r="K2871" s="3">
        <v>-0.12264955052850075</v>
      </c>
      <c r="L2871" t="s">
        <v>377</v>
      </c>
    </row>
    <row r="2872" spans="1:12" x14ac:dyDescent="0.25">
      <c r="A2872" t="s">
        <v>487</v>
      </c>
      <c r="B2872" t="s">
        <v>461</v>
      </c>
      <c r="C2872" t="s">
        <v>462</v>
      </c>
      <c r="D2872" t="s">
        <v>429</v>
      </c>
      <c r="E2872" t="s">
        <v>435</v>
      </c>
      <c r="F2872">
        <v>3</v>
      </c>
      <c r="G2872" t="s">
        <v>499</v>
      </c>
      <c r="H2872" s="4">
        <v>26745953</v>
      </c>
      <c r="I2872" s="4">
        <v>26435629</v>
      </c>
      <c r="J2872" s="3">
        <v>0.01160265255831415</v>
      </c>
      <c r="K2872" s="3">
        <v>0.011738854407436267</v>
      </c>
      <c r="L2872" t="s">
        <v>377</v>
      </c>
    </row>
    <row r="2873" spans="1:12" x14ac:dyDescent="0.25">
      <c r="A2873" t="s">
        <v>487</v>
      </c>
      <c r="B2873" t="s">
        <v>461</v>
      </c>
      <c r="C2873" t="s">
        <v>462</v>
      </c>
      <c r="D2873" t="s">
        <v>431</v>
      </c>
      <c r="E2873" t="s">
        <v>433</v>
      </c>
      <c r="F2873">
        <v>1</v>
      </c>
      <c r="G2873" t="s">
        <v>488</v>
      </c>
      <c r="H2873" s="4">
        <v>31275887</v>
      </c>
      <c r="I2873" s="4">
        <v>33170075.818996545</v>
      </c>
      <c r="J2873" s="3">
        <v>0.060563872065292505</v>
      </c>
      <c r="K2873" s="3">
        <v>-0.057105350899190305</v>
      </c>
      <c r="L2873" t="s">
        <v>377</v>
      </c>
    </row>
    <row r="2874" spans="1:12" x14ac:dyDescent="0.25">
      <c r="A2874" t="s">
        <v>487</v>
      </c>
      <c r="B2874" t="s">
        <v>461</v>
      </c>
      <c r="C2874" t="s">
        <v>462</v>
      </c>
      <c r="D2874" t="s">
        <v>431</v>
      </c>
      <c r="E2874" t="s">
        <v>433</v>
      </c>
      <c r="F2874">
        <v>1</v>
      </c>
      <c r="G2874" t="s">
        <v>498</v>
      </c>
      <c r="H2874" s="4">
        <v>31275887</v>
      </c>
      <c r="I2874" s="4">
        <v>33135779</v>
      </c>
      <c r="J2874" s="3">
        <v>0.05946728225485659</v>
      </c>
      <c r="K2874" s="3">
        <v>-0.05612941829434582</v>
      </c>
      <c r="L2874" t="s">
        <v>377</v>
      </c>
    </row>
    <row r="2875" spans="1:12" x14ac:dyDescent="0.25">
      <c r="A2875" t="s">
        <v>487</v>
      </c>
      <c r="B2875" t="s">
        <v>461</v>
      </c>
      <c r="C2875" t="s">
        <v>462</v>
      </c>
      <c r="D2875" t="s">
        <v>431</v>
      </c>
      <c r="E2875" t="s">
        <v>433</v>
      </c>
      <c r="F2875">
        <v>1</v>
      </c>
      <c r="G2875" t="s">
        <v>499</v>
      </c>
      <c r="H2875" s="4">
        <v>31275887</v>
      </c>
      <c r="I2875" s="4">
        <v>27996239</v>
      </c>
      <c r="J2875" s="3">
        <v>0.10486187010459527</v>
      </c>
      <c r="K2875" s="3">
        <v>0.11714602093516918</v>
      </c>
      <c r="L2875" t="s">
        <v>377</v>
      </c>
    </row>
    <row r="2876" spans="1:12" x14ac:dyDescent="0.25">
      <c r="A2876" t="s">
        <v>487</v>
      </c>
      <c r="B2876" t="s">
        <v>461</v>
      </c>
      <c r="C2876" t="s">
        <v>462</v>
      </c>
      <c r="D2876" t="s">
        <v>431</v>
      </c>
      <c r="E2876" t="s">
        <v>435</v>
      </c>
      <c r="F2876">
        <v>2</v>
      </c>
      <c r="G2876" t="s">
        <v>488</v>
      </c>
      <c r="H2876" s="4">
        <v>26745953</v>
      </c>
      <c r="I2876" s="4">
        <v>30516467.070702918</v>
      </c>
      <c r="J2876" s="3">
        <v>0.14097512512277718</v>
      </c>
      <c r="K2876" s="3">
        <v>-0.12355670340105551</v>
      </c>
      <c r="L2876" t="s">
        <v>377</v>
      </c>
    </row>
    <row r="2877" spans="1:12" x14ac:dyDescent="0.25">
      <c r="A2877" t="s">
        <v>487</v>
      </c>
      <c r="B2877" t="s">
        <v>461</v>
      </c>
      <c r="C2877" t="s">
        <v>462</v>
      </c>
      <c r="D2877" t="s">
        <v>431</v>
      </c>
      <c r="E2877" t="s">
        <v>435</v>
      </c>
      <c r="F2877">
        <v>2</v>
      </c>
      <c r="G2877" t="s">
        <v>498</v>
      </c>
      <c r="H2877" s="4">
        <v>26745953</v>
      </c>
      <c r="I2877" s="4">
        <v>30484914</v>
      </c>
      <c r="J2877" s="3">
        <v>0.13979539259640514</v>
      </c>
      <c r="K2877" s="3">
        <v>-0.12264955052850075</v>
      </c>
      <c r="L2877" t="s">
        <v>377</v>
      </c>
    </row>
    <row r="2878" spans="1:12" x14ac:dyDescent="0.25">
      <c r="A2878" t="s">
        <v>487</v>
      </c>
      <c r="B2878" t="s">
        <v>461</v>
      </c>
      <c r="C2878" t="s">
        <v>462</v>
      </c>
      <c r="D2878" t="s">
        <v>431</v>
      </c>
      <c r="E2878" t="s">
        <v>435</v>
      </c>
      <c r="F2878">
        <v>2</v>
      </c>
      <c r="G2878" t="s">
        <v>499</v>
      </c>
      <c r="H2878" s="4">
        <v>26745953</v>
      </c>
      <c r="I2878" s="4">
        <v>27996239</v>
      </c>
      <c r="J2878" s="3">
        <v>0.04674673585196235</v>
      </c>
      <c r="K2878" s="3">
        <v>-0.04465907009866575</v>
      </c>
      <c r="L2878" t="s">
        <v>377</v>
      </c>
    </row>
    <row r="2879" spans="1:12" x14ac:dyDescent="0.25">
      <c r="A2879" t="s">
        <v>487</v>
      </c>
      <c r="B2879" t="s">
        <v>461</v>
      </c>
      <c r="C2879" t="s">
        <v>462</v>
      </c>
      <c r="D2879" t="s">
        <v>431</v>
      </c>
      <c r="E2879" t="s">
        <v>437</v>
      </c>
      <c r="F2879">
        <v>3</v>
      </c>
      <c r="G2879" t="s">
        <v>488</v>
      </c>
      <c r="H2879" s="4">
        <v>28696769</v>
      </c>
      <c r="I2879" s="4">
        <v>32012525.948703043</v>
      </c>
      <c r="J2879" s="3">
        <v>0.11554460882697433</v>
      </c>
      <c r="K2879" s="3">
        <v>-0.10357686094550055</v>
      </c>
      <c r="L2879" t="s">
        <v>377</v>
      </c>
    </row>
    <row r="2880" spans="1:12" x14ac:dyDescent="0.25">
      <c r="A2880" t="s">
        <v>487</v>
      </c>
      <c r="B2880" t="s">
        <v>461</v>
      </c>
      <c r="C2880" t="s">
        <v>462</v>
      </c>
      <c r="D2880" t="s">
        <v>431</v>
      </c>
      <c r="E2880" t="s">
        <v>437</v>
      </c>
      <c r="F2880">
        <v>3</v>
      </c>
      <c r="G2880" t="s">
        <v>498</v>
      </c>
      <c r="H2880" s="4">
        <v>28696769</v>
      </c>
      <c r="I2880" s="4">
        <v>31979426</v>
      </c>
      <c r="J2880" s="3">
        <v>0.11439117065757473</v>
      </c>
      <c r="K2880" s="3">
        <v>-0.10264902815954233</v>
      </c>
      <c r="L2880" t="s">
        <v>377</v>
      </c>
    </row>
    <row r="2881" spans="1:12" x14ac:dyDescent="0.25">
      <c r="A2881" t="s">
        <v>487</v>
      </c>
      <c r="B2881" t="s">
        <v>461</v>
      </c>
      <c r="C2881" t="s">
        <v>462</v>
      </c>
      <c r="D2881" t="s">
        <v>431</v>
      </c>
      <c r="E2881" t="s">
        <v>437</v>
      </c>
      <c r="F2881">
        <v>3</v>
      </c>
      <c r="G2881" t="s">
        <v>499</v>
      </c>
      <c r="H2881" s="4">
        <v>28696769</v>
      </c>
      <c r="I2881" s="4">
        <v>27996239</v>
      </c>
      <c r="J2881" s="3">
        <v>0.024411459004322053</v>
      </c>
      <c r="K2881" s="3">
        <v>0.025022289601113922</v>
      </c>
      <c r="L2881" t="s">
        <v>377</v>
      </c>
    </row>
    <row r="2882" spans="1:12" x14ac:dyDescent="0.25">
      <c r="A2882" t="s">
        <v>487</v>
      </c>
      <c r="B2882" t="s">
        <v>461</v>
      </c>
      <c r="C2882" t="s">
        <v>462</v>
      </c>
      <c r="D2882" t="s">
        <v>433</v>
      </c>
      <c r="E2882" t="s">
        <v>435</v>
      </c>
      <c r="F2882">
        <v>1</v>
      </c>
      <c r="G2882" t="s">
        <v>488</v>
      </c>
      <c r="H2882" s="4">
        <v>26745953</v>
      </c>
      <c r="I2882" s="4">
        <v>30053220.196461618</v>
      </c>
      <c r="J2882" s="3">
        <v>0.12365486458686359</v>
      </c>
      <c r="K2882" s="3">
        <v>-0.11004701575543663</v>
      </c>
      <c r="L2882" t="s">
        <v>377</v>
      </c>
    </row>
    <row r="2883" spans="1:12" x14ac:dyDescent="0.25">
      <c r="A2883" t="s">
        <v>487</v>
      </c>
      <c r="B2883" t="s">
        <v>461</v>
      </c>
      <c r="C2883" t="s">
        <v>462</v>
      </c>
      <c r="D2883" t="s">
        <v>433</v>
      </c>
      <c r="E2883" t="s">
        <v>435</v>
      </c>
      <c r="F2883">
        <v>1</v>
      </c>
      <c r="G2883" t="s">
        <v>498</v>
      </c>
      <c r="H2883" s="4">
        <v>26745953</v>
      </c>
      <c r="I2883" s="4">
        <v>30484914</v>
      </c>
      <c r="J2883" s="3">
        <v>0.13979539259640514</v>
      </c>
      <c r="K2883" s="3">
        <v>-0.12264955052850075</v>
      </c>
      <c r="L2883" t="s">
        <v>377</v>
      </c>
    </row>
    <row r="2884" spans="1:12" x14ac:dyDescent="0.25">
      <c r="A2884" t="s">
        <v>487</v>
      </c>
      <c r="B2884" t="s">
        <v>461</v>
      </c>
      <c r="C2884" t="s">
        <v>462</v>
      </c>
      <c r="D2884" t="s">
        <v>433</v>
      </c>
      <c r="E2884" t="s">
        <v>435</v>
      </c>
      <c r="F2884">
        <v>1</v>
      </c>
      <c r="G2884" t="s">
        <v>499</v>
      </c>
      <c r="H2884" s="4">
        <v>26745953</v>
      </c>
      <c r="I2884" s="4">
        <v>31275887</v>
      </c>
      <c r="J2884" s="3">
        <v>0.16936895088389634</v>
      </c>
      <c r="K2884" s="3">
        <v>-0.14483790659558274</v>
      </c>
      <c r="L2884" t="s">
        <v>377</v>
      </c>
    </row>
    <row r="2885" spans="1:12" x14ac:dyDescent="0.25">
      <c r="A2885" t="s">
        <v>487</v>
      </c>
      <c r="B2885" t="s">
        <v>461</v>
      </c>
      <c r="C2885" t="s">
        <v>462</v>
      </c>
      <c r="D2885" t="s">
        <v>433</v>
      </c>
      <c r="E2885" t="s">
        <v>437</v>
      </c>
      <c r="F2885">
        <v>2</v>
      </c>
      <c r="G2885" t="s">
        <v>488</v>
      </c>
      <c r="H2885" s="4">
        <v>28696769</v>
      </c>
      <c r="I2885" s="4">
        <v>31526568.562222276</v>
      </c>
      <c r="J2885" s="3">
        <v>0.09861038928188312</v>
      </c>
      <c r="K2885" s="3">
        <v>-0.08975919966162046</v>
      </c>
      <c r="L2885" t="s">
        <v>377</v>
      </c>
    </row>
    <row r="2886" spans="1:12" x14ac:dyDescent="0.25">
      <c r="A2886" t="s">
        <v>487</v>
      </c>
      <c r="B2886" t="s">
        <v>461</v>
      </c>
      <c r="C2886" t="s">
        <v>462</v>
      </c>
      <c r="D2886" t="s">
        <v>433</v>
      </c>
      <c r="E2886" t="s">
        <v>437</v>
      </c>
      <c r="F2886">
        <v>2</v>
      </c>
      <c r="G2886" t="s">
        <v>498</v>
      </c>
      <c r="H2886" s="4">
        <v>28696769</v>
      </c>
      <c r="I2886" s="4">
        <v>31979426</v>
      </c>
      <c r="J2886" s="3">
        <v>0.11439117065757473</v>
      </c>
      <c r="K2886" s="3">
        <v>-0.10264902815954233</v>
      </c>
      <c r="L2886" t="s">
        <v>377</v>
      </c>
    </row>
    <row r="2887" spans="1:12" x14ac:dyDescent="0.25">
      <c r="A2887" t="s">
        <v>487</v>
      </c>
      <c r="B2887" t="s">
        <v>461</v>
      </c>
      <c r="C2887" t="s">
        <v>462</v>
      </c>
      <c r="D2887" t="s">
        <v>433</v>
      </c>
      <c r="E2887" t="s">
        <v>437</v>
      </c>
      <c r="F2887">
        <v>2</v>
      </c>
      <c r="G2887" t="s">
        <v>499</v>
      </c>
      <c r="H2887" s="4">
        <v>28696769</v>
      </c>
      <c r="I2887" s="4">
        <v>31275887</v>
      </c>
      <c r="J2887" s="3">
        <v>0.08987485664326879</v>
      </c>
      <c r="K2887" s="3">
        <v>-0.08246346458535293</v>
      </c>
      <c r="L2887" t="s">
        <v>377</v>
      </c>
    </row>
    <row r="2888" spans="1:12" x14ac:dyDescent="0.25">
      <c r="A2888" t="s">
        <v>487</v>
      </c>
      <c r="B2888" t="s">
        <v>461</v>
      </c>
      <c r="C2888" t="s">
        <v>462</v>
      </c>
      <c r="D2888" t="s">
        <v>433</v>
      </c>
      <c r="E2888" t="s">
        <v>11</v>
      </c>
      <c r="F2888">
        <v>3</v>
      </c>
      <c r="G2888" t="s">
        <v>488</v>
      </c>
      <c r="H2888" s="4">
        <v>30081799</v>
      </c>
      <c r="I2888" s="4">
        <v>27683312.290823966</v>
      </c>
      <c r="J2888" s="3">
        <v>0.07973215661656517</v>
      </c>
      <c r="K2888" s="3">
        <v>0.08664016371953608</v>
      </c>
      <c r="L2888" t="s">
        <v>377</v>
      </c>
    </row>
    <row r="2889" spans="1:12" x14ac:dyDescent="0.25">
      <c r="A2889" t="s">
        <v>487</v>
      </c>
      <c r="B2889" t="s">
        <v>461</v>
      </c>
      <c r="C2889" t="s">
        <v>462</v>
      </c>
      <c r="D2889" t="s">
        <v>433</v>
      </c>
      <c r="E2889" t="s">
        <v>11</v>
      </c>
      <c r="F2889">
        <v>3</v>
      </c>
      <c r="G2889" t="s">
        <v>498</v>
      </c>
      <c r="H2889" s="4">
        <v>30081799</v>
      </c>
      <c r="I2889" s="4">
        <v>28080964</v>
      </c>
      <c r="J2889" s="3">
        <v>0.06651314304706311</v>
      </c>
      <c r="K2889" s="3">
        <v>0.0712523615642255</v>
      </c>
      <c r="L2889" t="s">
        <v>377</v>
      </c>
    </row>
    <row r="2890" spans="1:12" x14ac:dyDescent="0.25">
      <c r="A2890" t="s">
        <v>487</v>
      </c>
      <c r="B2890" t="s">
        <v>461</v>
      </c>
      <c r="C2890" t="s">
        <v>462</v>
      </c>
      <c r="D2890" t="s">
        <v>433</v>
      </c>
      <c r="E2890" t="s">
        <v>11</v>
      </c>
      <c r="F2890">
        <v>3</v>
      </c>
      <c r="G2890" t="s">
        <v>499</v>
      </c>
      <c r="H2890" s="4">
        <v>30081799</v>
      </c>
      <c r="I2890" s="4">
        <v>31275887</v>
      </c>
      <c r="J2890" s="3">
        <v>0.03969470043995706</v>
      </c>
      <c r="K2890" s="3">
        <v>-0.03817918897072368</v>
      </c>
      <c r="L2890" t="s">
        <v>377</v>
      </c>
    </row>
    <row r="2891" spans="1:12" x14ac:dyDescent="0.25">
      <c r="A2891" t="s">
        <v>487</v>
      </c>
      <c r="B2891" t="s">
        <v>461</v>
      </c>
      <c r="C2891" t="s">
        <v>462</v>
      </c>
      <c r="D2891" t="s">
        <v>435</v>
      </c>
      <c r="E2891" t="s">
        <v>437</v>
      </c>
      <c r="F2891">
        <v>1</v>
      </c>
      <c r="G2891" t="s">
        <v>488</v>
      </c>
      <c r="H2891" s="4">
        <v>28696769</v>
      </c>
      <c r="I2891" s="4">
        <v>30622674.578690168</v>
      </c>
      <c r="J2891" s="3">
        <v>0.06711227938901998</v>
      </c>
      <c r="K2891" s="3">
        <v>-0.06289148825786675</v>
      </c>
      <c r="L2891" t="s">
        <v>377</v>
      </c>
    </row>
    <row r="2892" spans="1:12" x14ac:dyDescent="0.25">
      <c r="A2892" t="s">
        <v>487</v>
      </c>
      <c r="B2892" t="s">
        <v>461</v>
      </c>
      <c r="C2892" t="s">
        <v>462</v>
      </c>
      <c r="D2892" t="s">
        <v>435</v>
      </c>
      <c r="E2892" t="s">
        <v>437</v>
      </c>
      <c r="F2892">
        <v>1</v>
      </c>
      <c r="G2892" t="s">
        <v>498</v>
      </c>
      <c r="H2892" s="4">
        <v>28696769</v>
      </c>
      <c r="I2892" s="4">
        <v>31979426</v>
      </c>
      <c r="J2892" s="3">
        <v>0.11439117065757473</v>
      </c>
      <c r="K2892" s="3">
        <v>-0.10264902815954233</v>
      </c>
      <c r="L2892" t="s">
        <v>377</v>
      </c>
    </row>
    <row r="2893" spans="1:12" x14ac:dyDescent="0.25">
      <c r="A2893" t="s">
        <v>487</v>
      </c>
      <c r="B2893" t="s">
        <v>461</v>
      </c>
      <c r="C2893" t="s">
        <v>462</v>
      </c>
      <c r="D2893" t="s">
        <v>435</v>
      </c>
      <c r="E2893" t="s">
        <v>437</v>
      </c>
      <c r="F2893">
        <v>1</v>
      </c>
      <c r="G2893" t="s">
        <v>499</v>
      </c>
      <c r="H2893" s="4">
        <v>28696769</v>
      </c>
      <c r="I2893" s="4">
        <v>26745953</v>
      </c>
      <c r="J2893" s="3">
        <v>0.06798033604410308</v>
      </c>
      <c r="K2893" s="3">
        <v>0.07293873581547085</v>
      </c>
      <c r="L2893" t="s">
        <v>377</v>
      </c>
    </row>
    <row r="2894" spans="1:12" x14ac:dyDescent="0.25">
      <c r="A2894" t="s">
        <v>487</v>
      </c>
      <c r="B2894" t="s">
        <v>461</v>
      </c>
      <c r="C2894" t="s">
        <v>462</v>
      </c>
      <c r="D2894" t="s">
        <v>435</v>
      </c>
      <c r="E2894" t="s">
        <v>11</v>
      </c>
      <c r="F2894">
        <v>2</v>
      </c>
      <c r="G2894" t="s">
        <v>488</v>
      </c>
      <c r="H2894" s="4">
        <v>30081799</v>
      </c>
      <c r="I2894" s="4">
        <v>26889607.788079556</v>
      </c>
      <c r="J2894" s="3">
        <v>0.1061170314953718</v>
      </c>
      <c r="K2894" s="3">
        <v>0.11871468104252438</v>
      </c>
      <c r="L2894" t="s">
        <v>377</v>
      </c>
    </row>
    <row r="2895" spans="1:12" x14ac:dyDescent="0.25">
      <c r="A2895" t="s">
        <v>487</v>
      </c>
      <c r="B2895" t="s">
        <v>461</v>
      </c>
      <c r="C2895" t="s">
        <v>462</v>
      </c>
      <c r="D2895" t="s">
        <v>435</v>
      </c>
      <c r="E2895" t="s">
        <v>11</v>
      </c>
      <c r="F2895">
        <v>2</v>
      </c>
      <c r="G2895" t="s">
        <v>498</v>
      </c>
      <c r="H2895" s="4">
        <v>30081799</v>
      </c>
      <c r="I2895" s="4">
        <v>28080964</v>
      </c>
      <c r="J2895" s="3">
        <v>0.06651314304706311</v>
      </c>
      <c r="K2895" s="3">
        <v>0.0712523615642255</v>
      </c>
      <c r="L2895" t="s">
        <v>377</v>
      </c>
    </row>
    <row r="2896" spans="1:12" x14ac:dyDescent="0.25">
      <c r="A2896" t="s">
        <v>487</v>
      </c>
      <c r="B2896" t="s">
        <v>461</v>
      </c>
      <c r="C2896" t="s">
        <v>462</v>
      </c>
      <c r="D2896" t="s">
        <v>435</v>
      </c>
      <c r="E2896" t="s">
        <v>11</v>
      </c>
      <c r="F2896">
        <v>2</v>
      </c>
      <c r="G2896" t="s">
        <v>499</v>
      </c>
      <c r="H2896" s="4">
        <v>30081799</v>
      </c>
      <c r="I2896" s="4">
        <v>26745953</v>
      </c>
      <c r="J2896" s="3">
        <v>0.1108925034702878</v>
      </c>
      <c r="K2896" s="3">
        <v>0.12472339273160317</v>
      </c>
      <c r="L2896" t="s">
        <v>377</v>
      </c>
    </row>
    <row r="2897" spans="1:12" x14ac:dyDescent="0.25">
      <c r="A2897" t="s">
        <v>487</v>
      </c>
      <c r="B2897" t="s">
        <v>461</v>
      </c>
      <c r="C2897" t="s">
        <v>462</v>
      </c>
      <c r="D2897" t="s">
        <v>437</v>
      </c>
      <c r="E2897" t="s">
        <v>11</v>
      </c>
      <c r="F2897">
        <v>1</v>
      </c>
      <c r="G2897" t="s">
        <v>488</v>
      </c>
      <c r="H2897" s="4">
        <v>30081799</v>
      </c>
      <c r="I2897" s="4">
        <v>26525595.911049683</v>
      </c>
      <c r="J2897" s="3">
        <v>0.11821776646238204</v>
      </c>
      <c r="K2897" s="3">
        <v>0.1340668500295189</v>
      </c>
      <c r="L2897" t="s">
        <v>377</v>
      </c>
    </row>
    <row r="2898" spans="1:12" x14ac:dyDescent="0.25">
      <c r="A2898" t="s">
        <v>487</v>
      </c>
      <c r="B2898" t="s">
        <v>461</v>
      </c>
      <c r="C2898" t="s">
        <v>462</v>
      </c>
      <c r="D2898" t="s">
        <v>437</v>
      </c>
      <c r="E2898" t="s">
        <v>11</v>
      </c>
      <c r="F2898">
        <v>1</v>
      </c>
      <c r="G2898" t="s">
        <v>498</v>
      </c>
      <c r="H2898" s="4">
        <v>30081799</v>
      </c>
      <c r="I2898" s="4">
        <v>28080964</v>
      </c>
      <c r="J2898" s="3">
        <v>0.06651314304706311</v>
      </c>
      <c r="K2898" s="3">
        <v>0.0712523615642255</v>
      </c>
      <c r="L2898" t="s">
        <v>377</v>
      </c>
    </row>
    <row r="2899" spans="1:12" x14ac:dyDescent="0.25">
      <c r="A2899" t="s">
        <v>487</v>
      </c>
      <c r="B2899" t="s">
        <v>461</v>
      </c>
      <c r="C2899" t="s">
        <v>462</v>
      </c>
      <c r="D2899" t="s">
        <v>437</v>
      </c>
      <c r="E2899" t="s">
        <v>11</v>
      </c>
      <c r="F2899">
        <v>1</v>
      </c>
      <c r="G2899" t="s">
        <v>499</v>
      </c>
      <c r="H2899" s="4">
        <v>30081799</v>
      </c>
      <c r="I2899" s="4">
        <v>28696769</v>
      </c>
      <c r="J2899" s="3">
        <v>0.04604212666935246</v>
      </c>
      <c r="K2899" s="3">
        <v>0.04826431853704506</v>
      </c>
      <c r="L2899" t="s">
        <v>377</v>
      </c>
    </row>
    <row r="2900" spans="1:12" x14ac:dyDescent="0.25">
      <c r="A2900" t="s">
        <v>487</v>
      </c>
      <c r="B2900" t="s">
        <v>463</v>
      </c>
      <c r="C2900" t="s">
        <v>464</v>
      </c>
      <c r="D2900" t="s">
        <v>114</v>
      </c>
      <c r="E2900" t="s">
        <v>116</v>
      </c>
      <c r="F2900">
        <v>1</v>
      </c>
      <c r="G2900" t="s">
        <v>488</v>
      </c>
      <c r="H2900" s="4">
        <v>35157562</v>
      </c>
      <c r="I2900" s="4">
        <v>36332589.4990612</v>
      </c>
      <c r="J2900" s="3">
        <v>0.0334217571474722</v>
      </c>
      <c r="K2900" s="3">
        <v>-0.03234086849470387</v>
      </c>
      <c r="L2900" t="s">
        <v>54</v>
      </c>
    </row>
    <row r="2901" spans="1:12" x14ac:dyDescent="0.25">
      <c r="A2901" t="s">
        <v>487</v>
      </c>
      <c r="B2901" t="s">
        <v>463</v>
      </c>
      <c r="C2901" t="s">
        <v>464</v>
      </c>
      <c r="D2901" t="s">
        <v>114</v>
      </c>
      <c r="E2901" t="s">
        <v>116</v>
      </c>
      <c r="F2901">
        <v>1</v>
      </c>
      <c r="G2901" t="s">
        <v>498</v>
      </c>
      <c r="H2901" s="4">
        <v>35157562</v>
      </c>
      <c r="I2901" s="4">
        <v>43610343</v>
      </c>
      <c r="J2901" s="3">
        <v>0.24042568708262535</v>
      </c>
      <c r="K2901" s="3">
        <v>-0.19382514372794546</v>
      </c>
      <c r="L2901" t="s">
        <v>54</v>
      </c>
    </row>
    <row r="2902" spans="1:12" x14ac:dyDescent="0.25">
      <c r="A2902" t="s">
        <v>487</v>
      </c>
      <c r="B2902" t="s">
        <v>463</v>
      </c>
      <c r="C2902" t="s">
        <v>464</v>
      </c>
      <c r="D2902" t="s">
        <v>114</v>
      </c>
      <c r="E2902" t="s">
        <v>116</v>
      </c>
      <c r="F2902">
        <v>1</v>
      </c>
      <c r="G2902" t="s">
        <v>499</v>
      </c>
      <c r="H2902" s="4">
        <v>35157562</v>
      </c>
      <c r="I2902" s="4">
        <v>20841463</v>
      </c>
      <c r="J2902" s="3">
        <v>0.4071982863885727</v>
      </c>
      <c r="K2902" s="3">
        <v>0.6869047052982797</v>
      </c>
      <c r="L2902" t="s">
        <v>54</v>
      </c>
    </row>
    <row r="2903" spans="1:12" x14ac:dyDescent="0.25">
      <c r="A2903" t="s">
        <v>487</v>
      </c>
      <c r="B2903" t="s">
        <v>463</v>
      </c>
      <c r="C2903" t="s">
        <v>464</v>
      </c>
      <c r="D2903" t="s">
        <v>114</v>
      </c>
      <c r="E2903" t="s">
        <v>118</v>
      </c>
      <c r="F2903">
        <v>2</v>
      </c>
      <c r="G2903" t="s">
        <v>488</v>
      </c>
      <c r="H2903" s="4">
        <v>35042041</v>
      </c>
      <c r="I2903" s="4">
        <v>40934769.33891718</v>
      </c>
      <c r="J2903" s="3">
        <v>0.1681616758258225</v>
      </c>
      <c r="K2903" s="3">
        <v>-0.14395411123802015</v>
      </c>
      <c r="L2903" t="s">
        <v>54</v>
      </c>
    </row>
    <row r="2904" spans="1:12" x14ac:dyDescent="0.25">
      <c r="A2904" t="s">
        <v>487</v>
      </c>
      <c r="B2904" t="s">
        <v>463</v>
      </c>
      <c r="C2904" t="s">
        <v>464</v>
      </c>
      <c r="D2904" t="s">
        <v>114</v>
      </c>
      <c r="E2904" t="s">
        <v>118</v>
      </c>
      <c r="F2904">
        <v>2</v>
      </c>
      <c r="G2904" t="s">
        <v>498</v>
      </c>
      <c r="H2904" s="4">
        <v>35042041</v>
      </c>
      <c r="I2904" s="4">
        <v>49134382</v>
      </c>
      <c r="J2904" s="3">
        <v>0.40215525688129866</v>
      </c>
      <c r="K2904" s="3">
        <v>-0.2868122163417055</v>
      </c>
      <c r="L2904" t="s">
        <v>54</v>
      </c>
    </row>
    <row r="2905" spans="1:12" x14ac:dyDescent="0.25">
      <c r="A2905" t="s">
        <v>487</v>
      </c>
      <c r="B2905" t="s">
        <v>463</v>
      </c>
      <c r="C2905" t="s">
        <v>464</v>
      </c>
      <c r="D2905" t="s">
        <v>114</v>
      </c>
      <c r="E2905" t="s">
        <v>118</v>
      </c>
      <c r="F2905">
        <v>2</v>
      </c>
      <c r="G2905" t="s">
        <v>499</v>
      </c>
      <c r="H2905" s="4">
        <v>35042041</v>
      </c>
      <c r="I2905" s="4">
        <v>20841463</v>
      </c>
      <c r="J2905" s="3">
        <v>0.40524403244662605</v>
      </c>
      <c r="K2905" s="3">
        <v>0.681361860249446</v>
      </c>
      <c r="L2905" t="s">
        <v>54</v>
      </c>
    </row>
    <row r="2906" spans="1:12" x14ac:dyDescent="0.25">
      <c r="A2906" t="s">
        <v>487</v>
      </c>
      <c r="B2906" t="s">
        <v>463</v>
      </c>
      <c r="C2906" t="s">
        <v>464</v>
      </c>
      <c r="D2906" t="s">
        <v>114</v>
      </c>
      <c r="E2906" t="s">
        <v>120</v>
      </c>
      <c r="F2906">
        <v>3</v>
      </c>
      <c r="G2906" t="s">
        <v>488</v>
      </c>
      <c r="H2906" s="4">
        <v>37320260</v>
      </c>
      <c r="I2906" s="4">
        <v>33806829.56050311</v>
      </c>
      <c r="J2906" s="3">
        <v>0.09414271067502986</v>
      </c>
      <c r="K2906" s="3">
        <v>0.10392664692821918</v>
      </c>
      <c r="L2906" t="s">
        <v>54</v>
      </c>
    </row>
    <row r="2907" spans="1:12" x14ac:dyDescent="0.25">
      <c r="A2907" t="s">
        <v>487</v>
      </c>
      <c r="B2907" t="s">
        <v>463</v>
      </c>
      <c r="C2907" t="s">
        <v>464</v>
      </c>
      <c r="D2907" t="s">
        <v>114</v>
      </c>
      <c r="E2907" t="s">
        <v>120</v>
      </c>
      <c r="F2907">
        <v>3</v>
      </c>
      <c r="G2907" t="s">
        <v>498</v>
      </c>
      <c r="H2907" s="4">
        <v>37320260</v>
      </c>
      <c r="I2907" s="4">
        <v>40578650</v>
      </c>
      <c r="J2907" s="3">
        <v>0.08730887726934378</v>
      </c>
      <c r="K2907" s="3">
        <v>-0.08029813707454536</v>
      </c>
      <c r="L2907" t="s">
        <v>54</v>
      </c>
    </row>
    <row r="2908" spans="1:12" x14ac:dyDescent="0.25">
      <c r="A2908" t="s">
        <v>487</v>
      </c>
      <c r="B2908" t="s">
        <v>463</v>
      </c>
      <c r="C2908" t="s">
        <v>464</v>
      </c>
      <c r="D2908" t="s">
        <v>114</v>
      </c>
      <c r="E2908" t="s">
        <v>120</v>
      </c>
      <c r="F2908">
        <v>3</v>
      </c>
      <c r="G2908" t="s">
        <v>499</v>
      </c>
      <c r="H2908" s="4">
        <v>37320260</v>
      </c>
      <c r="I2908" s="4">
        <v>20841463</v>
      </c>
      <c r="J2908" s="3">
        <v>0.44155096990213893</v>
      </c>
      <c r="K2908" s="3">
        <v>0.7906737161397931</v>
      </c>
      <c r="L2908" t="s">
        <v>54</v>
      </c>
    </row>
    <row r="2909" spans="1:12" x14ac:dyDescent="0.25">
      <c r="A2909" t="s">
        <v>487</v>
      </c>
      <c r="B2909" t="s">
        <v>463</v>
      </c>
      <c r="C2909" t="s">
        <v>464</v>
      </c>
      <c r="D2909" t="s">
        <v>116</v>
      </c>
      <c r="E2909" t="s">
        <v>118</v>
      </c>
      <c r="F2909">
        <v>1</v>
      </c>
      <c r="G2909" t="s">
        <v>488</v>
      </c>
      <c r="H2909" s="4">
        <v>35042041</v>
      </c>
      <c r="I2909" s="4">
        <v>39417382.25625565</v>
      </c>
      <c r="J2909" s="3">
        <v>0.1248597721878029</v>
      </c>
      <c r="K2909" s="3">
        <v>-0.11100030001513533</v>
      </c>
      <c r="L2909" t="s">
        <v>54</v>
      </c>
    </row>
    <row r="2910" spans="1:12" x14ac:dyDescent="0.25">
      <c r="A2910" t="s">
        <v>487</v>
      </c>
      <c r="B2910" t="s">
        <v>463</v>
      </c>
      <c r="C2910" t="s">
        <v>464</v>
      </c>
      <c r="D2910" t="s">
        <v>116</v>
      </c>
      <c r="E2910" t="s">
        <v>118</v>
      </c>
      <c r="F2910">
        <v>1</v>
      </c>
      <c r="G2910" t="s">
        <v>498</v>
      </c>
      <c r="H2910" s="4">
        <v>35042041</v>
      </c>
      <c r="I2910" s="4">
        <v>49134382</v>
      </c>
      <c r="J2910" s="3">
        <v>0.40215525688129866</v>
      </c>
      <c r="K2910" s="3">
        <v>-0.2868122163417055</v>
      </c>
      <c r="L2910" t="s">
        <v>54</v>
      </c>
    </row>
    <row r="2911" spans="1:12" x14ac:dyDescent="0.25">
      <c r="A2911" t="s">
        <v>487</v>
      </c>
      <c r="B2911" t="s">
        <v>463</v>
      </c>
      <c r="C2911" t="s">
        <v>464</v>
      </c>
      <c r="D2911" t="s">
        <v>116</v>
      </c>
      <c r="E2911" t="s">
        <v>118</v>
      </c>
      <c r="F2911">
        <v>1</v>
      </c>
      <c r="G2911" t="s">
        <v>499</v>
      </c>
      <c r="H2911" s="4">
        <v>35042041</v>
      </c>
      <c r="I2911" s="4">
        <v>35157562</v>
      </c>
      <c r="J2911" s="3">
        <v>0.003296640170017494</v>
      </c>
      <c r="K2911" s="3">
        <v>-0.0032858080432312115</v>
      </c>
      <c r="L2911" t="s">
        <v>54</v>
      </c>
    </row>
    <row r="2912" spans="1:12" x14ac:dyDescent="0.25">
      <c r="A2912" t="s">
        <v>487</v>
      </c>
      <c r="B2912" t="s">
        <v>463</v>
      </c>
      <c r="C2912" t="s">
        <v>464</v>
      </c>
      <c r="D2912" t="s">
        <v>116</v>
      </c>
      <c r="E2912" t="s">
        <v>120</v>
      </c>
      <c r="F2912">
        <v>2</v>
      </c>
      <c r="G2912" t="s">
        <v>488</v>
      </c>
      <c r="H2912" s="4">
        <v>37320260</v>
      </c>
      <c r="I2912" s="4">
        <v>32553663.918939862</v>
      </c>
      <c r="J2912" s="3">
        <v>0.12772140604219095</v>
      </c>
      <c r="K2912" s="3">
        <v>0.14642272196853737</v>
      </c>
      <c r="L2912" t="s">
        <v>54</v>
      </c>
    </row>
    <row r="2913" spans="1:12" x14ac:dyDescent="0.25">
      <c r="A2913" t="s">
        <v>487</v>
      </c>
      <c r="B2913" t="s">
        <v>463</v>
      </c>
      <c r="C2913" t="s">
        <v>464</v>
      </c>
      <c r="D2913" t="s">
        <v>116</v>
      </c>
      <c r="E2913" t="s">
        <v>120</v>
      </c>
      <c r="F2913">
        <v>2</v>
      </c>
      <c r="G2913" t="s">
        <v>498</v>
      </c>
      <c r="H2913" s="4">
        <v>37320260</v>
      </c>
      <c r="I2913" s="4">
        <v>40578650</v>
      </c>
      <c r="J2913" s="3">
        <v>0.08730887726934378</v>
      </c>
      <c r="K2913" s="3">
        <v>-0.08029813707454536</v>
      </c>
      <c r="L2913" t="s">
        <v>54</v>
      </c>
    </row>
    <row r="2914" spans="1:12" x14ac:dyDescent="0.25">
      <c r="A2914" t="s">
        <v>487</v>
      </c>
      <c r="B2914" t="s">
        <v>463</v>
      </c>
      <c r="C2914" t="s">
        <v>464</v>
      </c>
      <c r="D2914" t="s">
        <v>116</v>
      </c>
      <c r="E2914" t="s">
        <v>120</v>
      </c>
      <c r="F2914">
        <v>2</v>
      </c>
      <c r="G2914" t="s">
        <v>499</v>
      </c>
      <c r="H2914" s="4">
        <v>37320260</v>
      </c>
      <c r="I2914" s="4">
        <v>35157562</v>
      </c>
      <c r="J2914" s="3">
        <v>0.057949703458657575</v>
      </c>
      <c r="K2914" s="3">
        <v>0.061514447446611914</v>
      </c>
      <c r="L2914" t="s">
        <v>54</v>
      </c>
    </row>
    <row r="2915" spans="1:12" x14ac:dyDescent="0.25">
      <c r="A2915" t="s">
        <v>487</v>
      </c>
      <c r="B2915" t="s">
        <v>463</v>
      </c>
      <c r="C2915" t="s">
        <v>464</v>
      </c>
      <c r="D2915" t="s">
        <v>116</v>
      </c>
      <c r="E2915" t="s">
        <v>122</v>
      </c>
      <c r="F2915">
        <v>3</v>
      </c>
      <c r="G2915" t="s">
        <v>488</v>
      </c>
      <c r="H2915" s="4">
        <v>34185772</v>
      </c>
      <c r="I2915" s="4">
        <v>24908517.737567894</v>
      </c>
      <c r="J2915" s="3">
        <v>0.27137764396346253</v>
      </c>
      <c r="K2915" s="3">
        <v>0.37245308453018977</v>
      </c>
      <c r="L2915" t="s">
        <v>54</v>
      </c>
    </row>
    <row r="2916" spans="1:12" x14ac:dyDescent="0.25">
      <c r="A2916" t="s">
        <v>487</v>
      </c>
      <c r="B2916" t="s">
        <v>463</v>
      </c>
      <c r="C2916" t="s">
        <v>464</v>
      </c>
      <c r="D2916" t="s">
        <v>116</v>
      </c>
      <c r="E2916" t="s">
        <v>122</v>
      </c>
      <c r="F2916">
        <v>3</v>
      </c>
      <c r="G2916" t="s">
        <v>498</v>
      </c>
      <c r="H2916" s="4">
        <v>34185772</v>
      </c>
      <c r="I2916" s="4">
        <v>31048856</v>
      </c>
      <c r="J2916" s="3">
        <v>0.09176086472465797</v>
      </c>
      <c r="K2916" s="3">
        <v>0.1010316128877663</v>
      </c>
      <c r="L2916" t="s">
        <v>54</v>
      </c>
    </row>
    <row r="2917" spans="1:12" x14ac:dyDescent="0.25">
      <c r="A2917" t="s">
        <v>487</v>
      </c>
      <c r="B2917" t="s">
        <v>463</v>
      </c>
      <c r="C2917" t="s">
        <v>464</v>
      </c>
      <c r="D2917" t="s">
        <v>116</v>
      </c>
      <c r="E2917" t="s">
        <v>122</v>
      </c>
      <c r="F2917">
        <v>3</v>
      </c>
      <c r="G2917" t="s">
        <v>499</v>
      </c>
      <c r="H2917" s="4">
        <v>34185772</v>
      </c>
      <c r="I2917" s="4">
        <v>35157562</v>
      </c>
      <c r="J2917" s="3">
        <v>0.028426738468857744</v>
      </c>
      <c r="K2917" s="3">
        <v>-0.027640995129298216</v>
      </c>
      <c r="L2917" t="s">
        <v>54</v>
      </c>
    </row>
    <row r="2918" spans="1:12" x14ac:dyDescent="0.25">
      <c r="A2918" t="s">
        <v>487</v>
      </c>
      <c r="B2918" t="s">
        <v>463</v>
      </c>
      <c r="C2918" t="s">
        <v>464</v>
      </c>
      <c r="D2918" t="s">
        <v>118</v>
      </c>
      <c r="E2918" t="s">
        <v>120</v>
      </c>
      <c r="F2918">
        <v>1</v>
      </c>
      <c r="G2918" t="s">
        <v>488</v>
      </c>
      <c r="H2918" s="4">
        <v>37320260</v>
      </c>
      <c r="I2918" s="4">
        <v>31415583.324175823</v>
      </c>
      <c r="J2918" s="3">
        <v>0.15821638637630542</v>
      </c>
      <c r="K2918" s="3">
        <v>0.18795374941455376</v>
      </c>
      <c r="L2918" t="s">
        <v>54</v>
      </c>
    </row>
    <row r="2919" spans="1:12" x14ac:dyDescent="0.25">
      <c r="A2919" t="s">
        <v>487</v>
      </c>
      <c r="B2919" t="s">
        <v>463</v>
      </c>
      <c r="C2919" t="s">
        <v>464</v>
      </c>
      <c r="D2919" t="s">
        <v>118</v>
      </c>
      <c r="E2919" t="s">
        <v>120</v>
      </c>
      <c r="F2919">
        <v>1</v>
      </c>
      <c r="G2919" t="s">
        <v>498</v>
      </c>
      <c r="H2919" s="4">
        <v>37320260</v>
      </c>
      <c r="I2919" s="4">
        <v>40578650</v>
      </c>
      <c r="J2919" s="3">
        <v>0.08730887726934378</v>
      </c>
      <c r="K2919" s="3">
        <v>-0.08029813707454536</v>
      </c>
      <c r="L2919" t="s">
        <v>54</v>
      </c>
    </row>
    <row r="2920" spans="1:12" x14ac:dyDescent="0.25">
      <c r="A2920" t="s">
        <v>487</v>
      </c>
      <c r="B2920" t="s">
        <v>463</v>
      </c>
      <c r="C2920" t="s">
        <v>464</v>
      </c>
      <c r="D2920" t="s">
        <v>118</v>
      </c>
      <c r="E2920" t="s">
        <v>120</v>
      </c>
      <c r="F2920">
        <v>1</v>
      </c>
      <c r="G2920" t="s">
        <v>499</v>
      </c>
      <c r="H2920" s="4">
        <v>37320260</v>
      </c>
      <c r="I2920" s="4">
        <v>35042041</v>
      </c>
      <c r="J2920" s="3">
        <v>0.061045099900161465</v>
      </c>
      <c r="K2920" s="3">
        <v>0.06501387861511834</v>
      </c>
      <c r="L2920" t="s">
        <v>54</v>
      </c>
    </row>
    <row r="2921" spans="1:12" x14ac:dyDescent="0.25">
      <c r="A2921" t="s">
        <v>487</v>
      </c>
      <c r="B2921" t="s">
        <v>463</v>
      </c>
      <c r="C2921" t="s">
        <v>464</v>
      </c>
      <c r="D2921" t="s">
        <v>118</v>
      </c>
      <c r="E2921" t="s">
        <v>122</v>
      </c>
      <c r="F2921">
        <v>2</v>
      </c>
      <c r="G2921" t="s">
        <v>488</v>
      </c>
      <c r="H2921" s="4">
        <v>34185772</v>
      </c>
      <c r="I2921" s="4">
        <v>24037712.511094786</v>
      </c>
      <c r="J2921" s="3">
        <v>0.2968503823434268</v>
      </c>
      <c r="K2921" s="3">
        <v>0.42217242943650735</v>
      </c>
      <c r="L2921" t="s">
        <v>54</v>
      </c>
    </row>
    <row r="2922" spans="1:12" x14ac:dyDescent="0.25">
      <c r="A2922" t="s">
        <v>487</v>
      </c>
      <c r="B2922" t="s">
        <v>463</v>
      </c>
      <c r="C2922" t="s">
        <v>464</v>
      </c>
      <c r="D2922" t="s">
        <v>118</v>
      </c>
      <c r="E2922" t="s">
        <v>122</v>
      </c>
      <c r="F2922">
        <v>2</v>
      </c>
      <c r="G2922" t="s">
        <v>498</v>
      </c>
      <c r="H2922" s="4">
        <v>34185772</v>
      </c>
      <c r="I2922" s="4">
        <v>31048856</v>
      </c>
      <c r="J2922" s="3">
        <v>0.09176086472465797</v>
      </c>
      <c r="K2922" s="3">
        <v>0.1010316128877663</v>
      </c>
      <c r="L2922" t="s">
        <v>54</v>
      </c>
    </row>
    <row r="2923" spans="1:12" x14ac:dyDescent="0.25">
      <c r="A2923" t="s">
        <v>487</v>
      </c>
      <c r="B2923" t="s">
        <v>463</v>
      </c>
      <c r="C2923" t="s">
        <v>464</v>
      </c>
      <c r="D2923" t="s">
        <v>118</v>
      </c>
      <c r="E2923" t="s">
        <v>122</v>
      </c>
      <c r="F2923">
        <v>2</v>
      </c>
      <c r="G2923" t="s">
        <v>499</v>
      </c>
      <c r="H2923" s="4">
        <v>34185772</v>
      </c>
      <c r="I2923" s="4">
        <v>35042041</v>
      </c>
      <c r="J2923" s="3">
        <v>0.025047525619722733</v>
      </c>
      <c r="K2923" s="3">
        <v>-0.024435477374163222</v>
      </c>
      <c r="L2923" t="s">
        <v>54</v>
      </c>
    </row>
    <row r="2924" spans="1:12" x14ac:dyDescent="0.25">
      <c r="A2924" t="s">
        <v>487</v>
      </c>
      <c r="B2924" t="s">
        <v>463</v>
      </c>
      <c r="C2924" t="s">
        <v>464</v>
      </c>
      <c r="D2924" t="s">
        <v>118</v>
      </c>
      <c r="E2924" t="s">
        <v>124</v>
      </c>
      <c r="F2924">
        <v>3</v>
      </c>
      <c r="G2924" t="s">
        <v>488</v>
      </c>
      <c r="H2924" s="4">
        <v>24704981</v>
      </c>
      <c r="I2924" s="4">
        <v>17986982.123271495</v>
      </c>
      <c r="J2924" s="3">
        <v>0.2719289230268384</v>
      </c>
      <c r="K2924" s="3">
        <v>0.3734922751736536</v>
      </c>
      <c r="L2924" t="s">
        <v>54</v>
      </c>
    </row>
    <row r="2925" spans="1:12" x14ac:dyDescent="0.25">
      <c r="A2925" t="s">
        <v>487</v>
      </c>
      <c r="B2925" t="s">
        <v>463</v>
      </c>
      <c r="C2925" t="s">
        <v>464</v>
      </c>
      <c r="D2925" t="s">
        <v>118</v>
      </c>
      <c r="E2925" t="s">
        <v>124</v>
      </c>
      <c r="F2925">
        <v>3</v>
      </c>
      <c r="G2925" t="s">
        <v>498</v>
      </c>
      <c r="H2925" s="4">
        <v>24704981</v>
      </c>
      <c r="I2925" s="4">
        <v>23233293</v>
      </c>
      <c r="J2925" s="3">
        <v>0.059570497139827795</v>
      </c>
      <c r="K2925" s="3">
        <v>0.06334392632159376</v>
      </c>
      <c r="L2925" t="s">
        <v>54</v>
      </c>
    </row>
    <row r="2926" spans="1:12" x14ac:dyDescent="0.25">
      <c r="A2926" t="s">
        <v>487</v>
      </c>
      <c r="B2926" t="s">
        <v>463</v>
      </c>
      <c r="C2926" t="s">
        <v>464</v>
      </c>
      <c r="D2926" t="s">
        <v>118</v>
      </c>
      <c r="E2926" t="s">
        <v>124</v>
      </c>
      <c r="F2926">
        <v>3</v>
      </c>
      <c r="G2926" t="s">
        <v>499</v>
      </c>
      <c r="H2926" s="4">
        <v>24704981</v>
      </c>
      <c r="I2926" s="4">
        <v>35042041</v>
      </c>
      <c r="J2926" s="3">
        <v>0.41842007488287486</v>
      </c>
      <c r="K2926" s="3">
        <v>-0.29499023758347864</v>
      </c>
      <c r="L2926" t="s">
        <v>54</v>
      </c>
    </row>
    <row r="2927" spans="1:12" x14ac:dyDescent="0.25">
      <c r="A2927" t="s">
        <v>487</v>
      </c>
      <c r="B2927" t="s">
        <v>463</v>
      </c>
      <c r="C2927" t="s">
        <v>464</v>
      </c>
      <c r="D2927" t="s">
        <v>120</v>
      </c>
      <c r="E2927" t="s">
        <v>122</v>
      </c>
      <c r="F2927">
        <v>1</v>
      </c>
      <c r="G2927" t="s">
        <v>488</v>
      </c>
      <c r="H2927" s="4">
        <v>34185772</v>
      </c>
      <c r="I2927" s="4">
        <v>24400534.835971516</v>
      </c>
      <c r="J2927" s="3">
        <v>0.28623712707229443</v>
      </c>
      <c r="K2927" s="3">
        <v>0.401025519719469</v>
      </c>
      <c r="L2927" t="s">
        <v>54</v>
      </c>
    </row>
    <row r="2928" spans="1:12" x14ac:dyDescent="0.25">
      <c r="A2928" t="s">
        <v>487</v>
      </c>
      <c r="B2928" t="s">
        <v>463</v>
      </c>
      <c r="C2928" t="s">
        <v>464</v>
      </c>
      <c r="D2928" t="s">
        <v>120</v>
      </c>
      <c r="E2928" t="s">
        <v>122</v>
      </c>
      <c r="F2928">
        <v>1</v>
      </c>
      <c r="G2928" t="s">
        <v>498</v>
      </c>
      <c r="H2928" s="4">
        <v>34185772</v>
      </c>
      <c r="I2928" s="4">
        <v>31048856</v>
      </c>
      <c r="J2928" s="3">
        <v>0.09176086472465797</v>
      </c>
      <c r="K2928" s="3">
        <v>0.1010316128877663</v>
      </c>
      <c r="L2928" t="s">
        <v>54</v>
      </c>
    </row>
    <row r="2929" spans="1:12" x14ac:dyDescent="0.25">
      <c r="A2929" t="s">
        <v>487</v>
      </c>
      <c r="B2929" t="s">
        <v>463</v>
      </c>
      <c r="C2929" t="s">
        <v>464</v>
      </c>
      <c r="D2929" t="s">
        <v>120</v>
      </c>
      <c r="E2929" t="s">
        <v>122</v>
      </c>
      <c r="F2929">
        <v>1</v>
      </c>
      <c r="G2929" t="s">
        <v>499</v>
      </c>
      <c r="H2929" s="4">
        <v>34185772</v>
      </c>
      <c r="I2929" s="4">
        <v>37320260</v>
      </c>
      <c r="J2929" s="3">
        <v>0.09168984102509078</v>
      </c>
      <c r="K2929" s="3">
        <v>-0.08398891111691076</v>
      </c>
      <c r="L2929" t="s">
        <v>54</v>
      </c>
    </row>
    <row r="2930" spans="1:12" x14ac:dyDescent="0.25">
      <c r="A2930" t="s">
        <v>487</v>
      </c>
      <c r="B2930" t="s">
        <v>463</v>
      </c>
      <c r="C2930" t="s">
        <v>464</v>
      </c>
      <c r="D2930" t="s">
        <v>120</v>
      </c>
      <c r="E2930" t="s">
        <v>124</v>
      </c>
      <c r="F2930">
        <v>2</v>
      </c>
      <c r="G2930" t="s">
        <v>488</v>
      </c>
      <c r="H2930" s="4">
        <v>24704981</v>
      </c>
      <c r="I2930" s="4">
        <v>18258475.455612056</v>
      </c>
      <c r="J2930" s="3">
        <v>0.26093950626345125</v>
      </c>
      <c r="K2930" s="3">
        <v>0.35306921216176895</v>
      </c>
      <c r="L2930" t="s">
        <v>54</v>
      </c>
    </row>
    <row r="2931" spans="1:12" x14ac:dyDescent="0.25">
      <c r="A2931" t="s">
        <v>487</v>
      </c>
      <c r="B2931" t="s">
        <v>463</v>
      </c>
      <c r="C2931" t="s">
        <v>464</v>
      </c>
      <c r="D2931" t="s">
        <v>120</v>
      </c>
      <c r="E2931" t="s">
        <v>124</v>
      </c>
      <c r="F2931">
        <v>2</v>
      </c>
      <c r="G2931" t="s">
        <v>498</v>
      </c>
      <c r="H2931" s="4">
        <v>24704981</v>
      </c>
      <c r="I2931" s="4">
        <v>23233293</v>
      </c>
      <c r="J2931" s="3">
        <v>0.059570497139827795</v>
      </c>
      <c r="K2931" s="3">
        <v>0.06334392632159376</v>
      </c>
      <c r="L2931" t="s">
        <v>54</v>
      </c>
    </row>
    <row r="2932" spans="1:12" x14ac:dyDescent="0.25">
      <c r="A2932" t="s">
        <v>487</v>
      </c>
      <c r="B2932" t="s">
        <v>463</v>
      </c>
      <c r="C2932" t="s">
        <v>464</v>
      </c>
      <c r="D2932" t="s">
        <v>120</v>
      </c>
      <c r="E2932" t="s">
        <v>124</v>
      </c>
      <c r="F2932">
        <v>2</v>
      </c>
      <c r="G2932" t="s">
        <v>499</v>
      </c>
      <c r="H2932" s="4">
        <v>24704981</v>
      </c>
      <c r="I2932" s="4">
        <v>37320260</v>
      </c>
      <c r="J2932" s="3">
        <v>0.5106370654565571</v>
      </c>
      <c r="K2932" s="3">
        <v>-0.3380276289607843</v>
      </c>
      <c r="L2932" t="s">
        <v>54</v>
      </c>
    </row>
    <row r="2933" spans="1:12" x14ac:dyDescent="0.25">
      <c r="A2933" t="s">
        <v>487</v>
      </c>
      <c r="B2933" t="s">
        <v>463</v>
      </c>
      <c r="C2933" t="s">
        <v>464</v>
      </c>
      <c r="D2933" t="s">
        <v>120</v>
      </c>
      <c r="E2933" t="s">
        <v>126</v>
      </c>
      <c r="F2933">
        <v>3</v>
      </c>
      <c r="G2933" t="s">
        <v>488</v>
      </c>
      <c r="H2933" s="4">
        <v>26372158</v>
      </c>
      <c r="I2933" s="4">
        <v>18672256.188883048</v>
      </c>
      <c r="J2933" s="3">
        <v>0.2919708660594614</v>
      </c>
      <c r="K2933" s="3">
        <v>0.4123712599713185</v>
      </c>
      <c r="L2933" t="s">
        <v>54</v>
      </c>
    </row>
    <row r="2934" spans="1:12" x14ac:dyDescent="0.25">
      <c r="A2934" t="s">
        <v>487</v>
      </c>
      <c r="B2934" t="s">
        <v>463</v>
      </c>
      <c r="C2934" t="s">
        <v>464</v>
      </c>
      <c r="D2934" t="s">
        <v>120</v>
      </c>
      <c r="E2934" t="s">
        <v>126</v>
      </c>
      <c r="F2934">
        <v>3</v>
      </c>
      <c r="G2934" t="s">
        <v>498</v>
      </c>
      <c r="H2934" s="4">
        <v>26372158</v>
      </c>
      <c r="I2934" s="4">
        <v>23759815</v>
      </c>
      <c r="J2934" s="3">
        <v>0.09905685382288397</v>
      </c>
      <c r="K2934" s="3">
        <v>0.10994795203582183</v>
      </c>
      <c r="L2934" t="s">
        <v>54</v>
      </c>
    </row>
    <row r="2935" spans="1:12" x14ac:dyDescent="0.25">
      <c r="A2935" t="s">
        <v>487</v>
      </c>
      <c r="B2935" t="s">
        <v>463</v>
      </c>
      <c r="C2935" t="s">
        <v>464</v>
      </c>
      <c r="D2935" t="s">
        <v>120</v>
      </c>
      <c r="E2935" t="s">
        <v>126</v>
      </c>
      <c r="F2935">
        <v>3</v>
      </c>
      <c r="G2935" t="s">
        <v>499</v>
      </c>
      <c r="H2935" s="4">
        <v>26372158</v>
      </c>
      <c r="I2935" s="4">
        <v>37320260</v>
      </c>
      <c r="J2935" s="3">
        <v>0.4151386473568071</v>
      </c>
      <c r="K2935" s="3">
        <v>-0.29335545893838894</v>
      </c>
      <c r="L2935" t="s">
        <v>54</v>
      </c>
    </row>
    <row r="2936" spans="1:12" x14ac:dyDescent="0.25">
      <c r="A2936" t="s">
        <v>487</v>
      </c>
      <c r="B2936" t="s">
        <v>463</v>
      </c>
      <c r="C2936" t="s">
        <v>464</v>
      </c>
      <c r="D2936" t="s">
        <v>122</v>
      </c>
      <c r="E2936" t="s">
        <v>124</v>
      </c>
      <c r="F2936">
        <v>1</v>
      </c>
      <c r="G2936" t="s">
        <v>488</v>
      </c>
      <c r="H2936" s="4">
        <v>24704981</v>
      </c>
      <c r="I2936" s="4">
        <v>19028694.044908736</v>
      </c>
      <c r="J2936" s="3">
        <v>0.22976285450659784</v>
      </c>
      <c r="K2936" s="3">
        <v>0.29830144631549194</v>
      </c>
      <c r="L2936" t="s">
        <v>54</v>
      </c>
    </row>
    <row r="2937" spans="1:12" x14ac:dyDescent="0.25">
      <c r="A2937" t="s">
        <v>487</v>
      </c>
      <c r="B2937" t="s">
        <v>463</v>
      </c>
      <c r="C2937" t="s">
        <v>464</v>
      </c>
      <c r="D2937" t="s">
        <v>122</v>
      </c>
      <c r="E2937" t="s">
        <v>124</v>
      </c>
      <c r="F2937">
        <v>1</v>
      </c>
      <c r="G2937" t="s">
        <v>498</v>
      </c>
      <c r="H2937" s="4">
        <v>24704981</v>
      </c>
      <c r="I2937" s="4">
        <v>23233293</v>
      </c>
      <c r="J2937" s="3">
        <v>0.059570497139827795</v>
      </c>
      <c r="K2937" s="3">
        <v>0.06334392632159376</v>
      </c>
      <c r="L2937" t="s">
        <v>54</v>
      </c>
    </row>
    <row r="2938" spans="1:12" x14ac:dyDescent="0.25">
      <c r="A2938" t="s">
        <v>487</v>
      </c>
      <c r="B2938" t="s">
        <v>463</v>
      </c>
      <c r="C2938" t="s">
        <v>464</v>
      </c>
      <c r="D2938" t="s">
        <v>122</v>
      </c>
      <c r="E2938" t="s">
        <v>124</v>
      </c>
      <c r="F2938">
        <v>1</v>
      </c>
      <c r="G2938" t="s">
        <v>499</v>
      </c>
      <c r="H2938" s="4">
        <v>24704981</v>
      </c>
      <c r="I2938" s="4">
        <v>34185772</v>
      </c>
      <c r="J2938" s="3">
        <v>0.38376030323601545</v>
      </c>
      <c r="K2938" s="3">
        <v>-0.2773314874971962</v>
      </c>
      <c r="L2938" t="s">
        <v>54</v>
      </c>
    </row>
    <row r="2939" spans="1:12" x14ac:dyDescent="0.25">
      <c r="A2939" t="s">
        <v>487</v>
      </c>
      <c r="B2939" t="s">
        <v>463</v>
      </c>
      <c r="C2939" t="s">
        <v>464</v>
      </c>
      <c r="D2939" t="s">
        <v>122</v>
      </c>
      <c r="E2939" t="s">
        <v>126</v>
      </c>
      <c r="F2939">
        <v>2</v>
      </c>
      <c r="G2939" t="s">
        <v>488</v>
      </c>
      <c r="H2939" s="4">
        <v>26372158</v>
      </c>
      <c r="I2939" s="4">
        <v>19459929.773994297</v>
      </c>
      <c r="J2939" s="3">
        <v>0.2621032463860448</v>
      </c>
      <c r="K2939" s="3">
        <v>0.3552031433969002</v>
      </c>
      <c r="L2939" t="s">
        <v>54</v>
      </c>
    </row>
    <row r="2940" spans="1:12" x14ac:dyDescent="0.25">
      <c r="A2940" t="s">
        <v>487</v>
      </c>
      <c r="B2940" t="s">
        <v>463</v>
      </c>
      <c r="C2940" t="s">
        <v>464</v>
      </c>
      <c r="D2940" t="s">
        <v>122</v>
      </c>
      <c r="E2940" t="s">
        <v>126</v>
      </c>
      <c r="F2940">
        <v>2</v>
      </c>
      <c r="G2940" t="s">
        <v>498</v>
      </c>
      <c r="H2940" s="4">
        <v>26372158</v>
      </c>
      <c r="I2940" s="4">
        <v>23759815</v>
      </c>
      <c r="J2940" s="3">
        <v>0.09905685382288397</v>
      </c>
      <c r="K2940" s="3">
        <v>0.10994795203582183</v>
      </c>
      <c r="L2940" t="s">
        <v>54</v>
      </c>
    </row>
    <row r="2941" spans="1:12" x14ac:dyDescent="0.25">
      <c r="A2941" t="s">
        <v>487</v>
      </c>
      <c r="B2941" t="s">
        <v>463</v>
      </c>
      <c r="C2941" t="s">
        <v>464</v>
      </c>
      <c r="D2941" t="s">
        <v>122</v>
      </c>
      <c r="E2941" t="s">
        <v>126</v>
      </c>
      <c r="F2941">
        <v>2</v>
      </c>
      <c r="G2941" t="s">
        <v>499</v>
      </c>
      <c r="H2941" s="4">
        <v>26372158</v>
      </c>
      <c r="I2941" s="4">
        <v>34185772</v>
      </c>
      <c r="J2941" s="3">
        <v>0.29628269328585094</v>
      </c>
      <c r="K2941" s="3">
        <v>-0.2285633333072016</v>
      </c>
      <c r="L2941" t="s">
        <v>54</v>
      </c>
    </row>
    <row r="2942" spans="1:12" x14ac:dyDescent="0.25">
      <c r="A2942" t="s">
        <v>487</v>
      </c>
      <c r="B2942" t="s">
        <v>463</v>
      </c>
      <c r="C2942" t="s">
        <v>464</v>
      </c>
      <c r="D2942" t="s">
        <v>122</v>
      </c>
      <c r="E2942" t="s">
        <v>128</v>
      </c>
      <c r="F2942">
        <v>3</v>
      </c>
      <c r="G2942" t="s">
        <v>488</v>
      </c>
      <c r="H2942" s="4">
        <v>28151171</v>
      </c>
      <c r="I2942" s="4">
        <v>21960895.849661678</v>
      </c>
      <c r="J2942" s="3">
        <v>0.21989405521846042</v>
      </c>
      <c r="K2942" s="3">
        <v>0.28187716897868204</v>
      </c>
      <c r="L2942" t="s">
        <v>54</v>
      </c>
    </row>
    <row r="2943" spans="1:12" x14ac:dyDescent="0.25">
      <c r="A2943" t="s">
        <v>487</v>
      </c>
      <c r="B2943" t="s">
        <v>463</v>
      </c>
      <c r="C2943" t="s">
        <v>464</v>
      </c>
      <c r="D2943" t="s">
        <v>122</v>
      </c>
      <c r="E2943" t="s">
        <v>128</v>
      </c>
      <c r="F2943">
        <v>3</v>
      </c>
      <c r="G2943" t="s">
        <v>498</v>
      </c>
      <c r="H2943" s="4">
        <v>28151171</v>
      </c>
      <c r="I2943" s="4">
        <v>26813397</v>
      </c>
      <c r="J2943" s="3">
        <v>0.047521078252837155</v>
      </c>
      <c r="K2943" s="3">
        <v>0.04989199988349108</v>
      </c>
      <c r="L2943" t="s">
        <v>54</v>
      </c>
    </row>
    <row r="2944" spans="1:12" x14ac:dyDescent="0.25">
      <c r="A2944" t="s">
        <v>487</v>
      </c>
      <c r="B2944" t="s">
        <v>463</v>
      </c>
      <c r="C2944" t="s">
        <v>464</v>
      </c>
      <c r="D2944" t="s">
        <v>122</v>
      </c>
      <c r="E2944" t="s">
        <v>128</v>
      </c>
      <c r="F2944">
        <v>3</v>
      </c>
      <c r="G2944" t="s">
        <v>499</v>
      </c>
      <c r="H2944" s="4">
        <v>28151171</v>
      </c>
      <c r="I2944" s="4">
        <v>34185772</v>
      </c>
      <c r="J2944" s="3">
        <v>0.2143641200573859</v>
      </c>
      <c r="K2944" s="3">
        <v>-0.1765237596506523</v>
      </c>
      <c r="L2944" t="s">
        <v>54</v>
      </c>
    </row>
    <row r="2945" spans="1:12" x14ac:dyDescent="0.25">
      <c r="A2945" t="s">
        <v>487</v>
      </c>
      <c r="B2945" t="s">
        <v>463</v>
      </c>
      <c r="C2945" t="s">
        <v>464</v>
      </c>
      <c r="D2945" t="s">
        <v>124</v>
      </c>
      <c r="E2945" t="s">
        <v>126</v>
      </c>
      <c r="F2945">
        <v>1</v>
      </c>
      <c r="G2945" t="s">
        <v>488</v>
      </c>
      <c r="H2945" s="4">
        <v>26372158</v>
      </c>
      <c r="I2945" s="4">
        <v>20434406.37714214</v>
      </c>
      <c r="J2945" s="3">
        <v>0.22515228457443115</v>
      </c>
      <c r="K2945" s="3">
        <v>0.2905761739915191</v>
      </c>
      <c r="L2945" t="s">
        <v>54</v>
      </c>
    </row>
    <row r="2946" spans="1:12" x14ac:dyDescent="0.25">
      <c r="A2946" t="s">
        <v>487</v>
      </c>
      <c r="B2946" t="s">
        <v>463</v>
      </c>
      <c r="C2946" t="s">
        <v>464</v>
      </c>
      <c r="D2946" t="s">
        <v>124</v>
      </c>
      <c r="E2946" t="s">
        <v>126</v>
      </c>
      <c r="F2946">
        <v>1</v>
      </c>
      <c r="G2946" t="s">
        <v>498</v>
      </c>
      <c r="H2946" s="4">
        <v>26372158</v>
      </c>
      <c r="I2946" s="4">
        <v>23759815</v>
      </c>
      <c r="J2946" s="3">
        <v>0.09905685382288397</v>
      </c>
      <c r="K2946" s="3">
        <v>0.10994795203582183</v>
      </c>
      <c r="L2946" t="s">
        <v>54</v>
      </c>
    </row>
    <row r="2947" spans="1:12" x14ac:dyDescent="0.25">
      <c r="A2947" t="s">
        <v>487</v>
      </c>
      <c r="B2947" t="s">
        <v>463</v>
      </c>
      <c r="C2947" t="s">
        <v>464</v>
      </c>
      <c r="D2947" t="s">
        <v>124</v>
      </c>
      <c r="E2947" t="s">
        <v>126</v>
      </c>
      <c r="F2947">
        <v>1</v>
      </c>
      <c r="G2947" t="s">
        <v>499</v>
      </c>
      <c r="H2947" s="4">
        <v>26372158</v>
      </c>
      <c r="I2947" s="4">
        <v>24704981</v>
      </c>
      <c r="J2947" s="3">
        <v>0.06321731425998585</v>
      </c>
      <c r="K2947" s="3">
        <v>0.06748343583020767</v>
      </c>
      <c r="L2947" t="s">
        <v>54</v>
      </c>
    </row>
    <row r="2948" spans="1:12" x14ac:dyDescent="0.25">
      <c r="A2948" t="s">
        <v>487</v>
      </c>
      <c r="B2948" t="s">
        <v>463</v>
      </c>
      <c r="C2948" t="s">
        <v>464</v>
      </c>
      <c r="D2948" t="s">
        <v>124</v>
      </c>
      <c r="E2948" t="s">
        <v>128</v>
      </c>
      <c r="F2948">
        <v>2</v>
      </c>
      <c r="G2948" t="s">
        <v>488</v>
      </c>
      <c r="H2948" s="4">
        <v>28151171</v>
      </c>
      <c r="I2948" s="4">
        <v>23060610.979068812</v>
      </c>
      <c r="J2948" s="3">
        <v>0.18082942343432848</v>
      </c>
      <c r="K2948" s="3">
        <v>0.2207469709086062</v>
      </c>
      <c r="L2948" t="s">
        <v>54</v>
      </c>
    </row>
    <row r="2949" spans="1:12" x14ac:dyDescent="0.25">
      <c r="A2949" t="s">
        <v>487</v>
      </c>
      <c r="B2949" t="s">
        <v>463</v>
      </c>
      <c r="C2949" t="s">
        <v>464</v>
      </c>
      <c r="D2949" t="s">
        <v>124</v>
      </c>
      <c r="E2949" t="s">
        <v>128</v>
      </c>
      <c r="F2949">
        <v>2</v>
      </c>
      <c r="G2949" t="s">
        <v>498</v>
      </c>
      <c r="H2949" s="4">
        <v>28151171</v>
      </c>
      <c r="I2949" s="4">
        <v>26813397</v>
      </c>
      <c r="J2949" s="3">
        <v>0.047521078252837155</v>
      </c>
      <c r="K2949" s="3">
        <v>0.04989199988349108</v>
      </c>
      <c r="L2949" t="s">
        <v>54</v>
      </c>
    </row>
    <row r="2950" spans="1:12" x14ac:dyDescent="0.25">
      <c r="A2950" t="s">
        <v>487</v>
      </c>
      <c r="B2950" t="s">
        <v>463</v>
      </c>
      <c r="C2950" t="s">
        <v>464</v>
      </c>
      <c r="D2950" t="s">
        <v>124</v>
      </c>
      <c r="E2950" t="s">
        <v>128</v>
      </c>
      <c r="F2950">
        <v>2</v>
      </c>
      <c r="G2950" t="s">
        <v>499</v>
      </c>
      <c r="H2950" s="4">
        <v>28151171</v>
      </c>
      <c r="I2950" s="4">
        <v>24704981</v>
      </c>
      <c r="J2950" s="3">
        <v>0.1224172877213527</v>
      </c>
      <c r="K2950" s="3">
        <v>0.13949373205346727</v>
      </c>
      <c r="L2950" t="s">
        <v>54</v>
      </c>
    </row>
    <row r="2951" spans="1:12" x14ac:dyDescent="0.25">
      <c r="A2951" t="s">
        <v>487</v>
      </c>
      <c r="B2951" t="s">
        <v>463</v>
      </c>
      <c r="C2951" t="s">
        <v>464</v>
      </c>
      <c r="D2951" t="s">
        <v>124</v>
      </c>
      <c r="E2951" t="s">
        <v>130</v>
      </c>
      <c r="F2951">
        <v>3</v>
      </c>
      <c r="G2951" t="s">
        <v>488</v>
      </c>
      <c r="H2951" s="4">
        <v>18850699</v>
      </c>
      <c r="I2951" s="4">
        <v>19423487.093608283</v>
      </c>
      <c r="J2951" s="3">
        <v>0.030385509503296534</v>
      </c>
      <c r="K2951" s="3">
        <v>-0.029489457317721842</v>
      </c>
      <c r="L2951" t="s">
        <v>54</v>
      </c>
    </row>
    <row r="2952" spans="1:12" x14ac:dyDescent="0.25">
      <c r="A2952" t="s">
        <v>487</v>
      </c>
      <c r="B2952" t="s">
        <v>463</v>
      </c>
      <c r="C2952" t="s">
        <v>464</v>
      </c>
      <c r="D2952" t="s">
        <v>124</v>
      </c>
      <c r="E2952" t="s">
        <v>130</v>
      </c>
      <c r="F2952">
        <v>3</v>
      </c>
      <c r="G2952" t="s">
        <v>498</v>
      </c>
      <c r="H2952" s="4">
        <v>18850699</v>
      </c>
      <c r="I2952" s="4">
        <v>22584383</v>
      </c>
      <c r="J2952" s="3">
        <v>0.19806607701921292</v>
      </c>
      <c r="K2952" s="3">
        <v>-0.1653214967174441</v>
      </c>
      <c r="L2952" t="s">
        <v>54</v>
      </c>
    </row>
    <row r="2953" spans="1:12" x14ac:dyDescent="0.25">
      <c r="A2953" t="s">
        <v>487</v>
      </c>
      <c r="B2953" t="s">
        <v>463</v>
      </c>
      <c r="C2953" t="s">
        <v>464</v>
      </c>
      <c r="D2953" t="s">
        <v>124</v>
      </c>
      <c r="E2953" t="s">
        <v>130</v>
      </c>
      <c r="F2953">
        <v>3</v>
      </c>
      <c r="G2953" t="s">
        <v>499</v>
      </c>
      <c r="H2953" s="4">
        <v>18850699</v>
      </c>
      <c r="I2953" s="4">
        <v>24704981</v>
      </c>
      <c r="J2953" s="3">
        <v>0.3105604731156123</v>
      </c>
      <c r="K2953" s="3">
        <v>-0.23696767870414473</v>
      </c>
      <c r="L2953" t="s">
        <v>54</v>
      </c>
    </row>
    <row r="2954" spans="1:12" x14ac:dyDescent="0.25">
      <c r="A2954" t="s">
        <v>487</v>
      </c>
      <c r="B2954" t="s">
        <v>463</v>
      </c>
      <c r="C2954" t="s">
        <v>464</v>
      </c>
      <c r="D2954" t="s">
        <v>126</v>
      </c>
      <c r="E2954" t="s">
        <v>128</v>
      </c>
      <c r="F2954">
        <v>1</v>
      </c>
      <c r="G2954" t="s">
        <v>488</v>
      </c>
      <c r="H2954" s="4">
        <v>28151171</v>
      </c>
      <c r="I2954" s="4">
        <v>24009817.232283976</v>
      </c>
      <c r="J2954" s="3">
        <v>0.14711124335524176</v>
      </c>
      <c r="K2954" s="3">
        <v>0.17248585141862283</v>
      </c>
      <c r="L2954" t="s">
        <v>54</v>
      </c>
    </row>
    <row r="2955" spans="1:12" x14ac:dyDescent="0.25">
      <c r="A2955" t="s">
        <v>487</v>
      </c>
      <c r="B2955" t="s">
        <v>463</v>
      </c>
      <c r="C2955" t="s">
        <v>464</v>
      </c>
      <c r="D2955" t="s">
        <v>126</v>
      </c>
      <c r="E2955" t="s">
        <v>128</v>
      </c>
      <c r="F2955">
        <v>1</v>
      </c>
      <c r="G2955" t="s">
        <v>498</v>
      </c>
      <c r="H2955" s="4">
        <v>28151171</v>
      </c>
      <c r="I2955" s="4">
        <v>26813397</v>
      </c>
      <c r="J2955" s="3">
        <v>0.047521078252837155</v>
      </c>
      <c r="K2955" s="3">
        <v>0.04989199988349108</v>
      </c>
      <c r="L2955" t="s">
        <v>54</v>
      </c>
    </row>
    <row r="2956" spans="1:12" x14ac:dyDescent="0.25">
      <c r="A2956" t="s">
        <v>487</v>
      </c>
      <c r="B2956" t="s">
        <v>463</v>
      </c>
      <c r="C2956" t="s">
        <v>464</v>
      </c>
      <c r="D2956" t="s">
        <v>126</v>
      </c>
      <c r="E2956" t="s">
        <v>128</v>
      </c>
      <c r="F2956">
        <v>1</v>
      </c>
      <c r="G2956" t="s">
        <v>499</v>
      </c>
      <c r="H2956" s="4">
        <v>28151171</v>
      </c>
      <c r="I2956" s="4">
        <v>26372158</v>
      </c>
      <c r="J2956" s="3">
        <v>0.06319499107159698</v>
      </c>
      <c r="K2956" s="3">
        <v>0.06745799869695912</v>
      </c>
      <c r="L2956" t="s">
        <v>54</v>
      </c>
    </row>
    <row r="2957" spans="1:12" x14ac:dyDescent="0.25">
      <c r="A2957" t="s">
        <v>487</v>
      </c>
      <c r="B2957" t="s">
        <v>463</v>
      </c>
      <c r="C2957" t="s">
        <v>464</v>
      </c>
      <c r="D2957" t="s">
        <v>126</v>
      </c>
      <c r="E2957" t="s">
        <v>130</v>
      </c>
      <c r="F2957">
        <v>2</v>
      </c>
      <c r="G2957" t="s">
        <v>488</v>
      </c>
      <c r="H2957" s="4">
        <v>18850699</v>
      </c>
      <c r="I2957" s="4">
        <v>20222984.35867344</v>
      </c>
      <c r="J2957" s="3">
        <v>0.07279758478311274</v>
      </c>
      <c r="K2957" s="3">
        <v>-0.06785770756356635</v>
      </c>
      <c r="L2957" t="s">
        <v>54</v>
      </c>
    </row>
    <row r="2958" spans="1:12" x14ac:dyDescent="0.25">
      <c r="A2958" t="s">
        <v>487</v>
      </c>
      <c r="B2958" t="s">
        <v>463</v>
      </c>
      <c r="C2958" t="s">
        <v>464</v>
      </c>
      <c r="D2958" t="s">
        <v>126</v>
      </c>
      <c r="E2958" t="s">
        <v>130</v>
      </c>
      <c r="F2958">
        <v>2</v>
      </c>
      <c r="G2958" t="s">
        <v>498</v>
      </c>
      <c r="H2958" s="4">
        <v>18850699</v>
      </c>
      <c r="I2958" s="4">
        <v>22584383</v>
      </c>
      <c r="J2958" s="3">
        <v>0.19806607701921292</v>
      </c>
      <c r="K2958" s="3">
        <v>-0.1653214967174441</v>
      </c>
      <c r="L2958" t="s">
        <v>54</v>
      </c>
    </row>
    <row r="2959" spans="1:12" x14ac:dyDescent="0.25">
      <c r="A2959" t="s">
        <v>487</v>
      </c>
      <c r="B2959" t="s">
        <v>463</v>
      </c>
      <c r="C2959" t="s">
        <v>464</v>
      </c>
      <c r="D2959" t="s">
        <v>126</v>
      </c>
      <c r="E2959" t="s">
        <v>130</v>
      </c>
      <c r="F2959">
        <v>2</v>
      </c>
      <c r="G2959" t="s">
        <v>499</v>
      </c>
      <c r="H2959" s="4">
        <v>18850699</v>
      </c>
      <c r="I2959" s="4">
        <v>26372158</v>
      </c>
      <c r="J2959" s="3">
        <v>0.39900159670471635</v>
      </c>
      <c r="K2959" s="3">
        <v>-0.2852045327500313</v>
      </c>
      <c r="L2959" t="s">
        <v>54</v>
      </c>
    </row>
    <row r="2960" spans="1:12" x14ac:dyDescent="0.25">
      <c r="A2960" t="s">
        <v>487</v>
      </c>
      <c r="B2960" t="s">
        <v>463</v>
      </c>
      <c r="C2960" t="s">
        <v>464</v>
      </c>
      <c r="D2960" t="s">
        <v>126</v>
      </c>
      <c r="E2960" t="s">
        <v>132</v>
      </c>
      <c r="F2960">
        <v>3</v>
      </c>
      <c r="G2960" t="s">
        <v>488</v>
      </c>
      <c r="H2960" s="4">
        <v>14843455</v>
      </c>
      <c r="I2960" s="4">
        <v>12377047.214175947</v>
      </c>
      <c r="J2960" s="3">
        <v>0.16616130044009653</v>
      </c>
      <c r="K2960" s="3">
        <v>0.19927271368886543</v>
      </c>
      <c r="L2960" t="s">
        <v>54</v>
      </c>
    </row>
    <row r="2961" spans="1:12" x14ac:dyDescent="0.25">
      <c r="A2961" t="s">
        <v>487</v>
      </c>
      <c r="B2961" t="s">
        <v>463</v>
      </c>
      <c r="C2961" t="s">
        <v>464</v>
      </c>
      <c r="D2961" t="s">
        <v>126</v>
      </c>
      <c r="E2961" t="s">
        <v>132</v>
      </c>
      <c r="F2961">
        <v>3</v>
      </c>
      <c r="G2961" t="s">
        <v>498</v>
      </c>
      <c r="H2961" s="4">
        <v>14843455</v>
      </c>
      <c r="I2961" s="4">
        <v>13822291</v>
      </c>
      <c r="J2961" s="3">
        <v>0.06879557353729304</v>
      </c>
      <c r="K2961" s="3">
        <v>0.07387805682864006</v>
      </c>
      <c r="L2961" t="s">
        <v>54</v>
      </c>
    </row>
    <row r="2962" spans="1:12" x14ac:dyDescent="0.25">
      <c r="A2962" t="s">
        <v>487</v>
      </c>
      <c r="B2962" t="s">
        <v>463</v>
      </c>
      <c r="C2962" t="s">
        <v>464</v>
      </c>
      <c r="D2962" t="s">
        <v>126</v>
      </c>
      <c r="E2962" t="s">
        <v>132</v>
      </c>
      <c r="F2962">
        <v>3</v>
      </c>
      <c r="G2962" t="s">
        <v>499</v>
      </c>
      <c r="H2962" s="4">
        <v>14843455</v>
      </c>
      <c r="I2962" s="4">
        <v>26372158</v>
      </c>
      <c r="J2962" s="3">
        <v>0.7766859535061076</v>
      </c>
      <c r="K2962" s="3">
        <v>-0.43715432768148893</v>
      </c>
      <c r="L2962" t="s">
        <v>54</v>
      </c>
    </row>
    <row r="2963" spans="1:12" x14ac:dyDescent="0.25">
      <c r="A2963" t="s">
        <v>487</v>
      </c>
      <c r="B2963" t="s">
        <v>463</v>
      </c>
      <c r="C2963" t="s">
        <v>464</v>
      </c>
      <c r="D2963" t="s">
        <v>128</v>
      </c>
      <c r="E2963" t="s">
        <v>130</v>
      </c>
      <c r="F2963">
        <v>1</v>
      </c>
      <c r="G2963" t="s">
        <v>488</v>
      </c>
      <c r="H2963" s="4">
        <v>18850699</v>
      </c>
      <c r="I2963" s="4">
        <v>20583565.66938283</v>
      </c>
      <c r="J2963" s="3">
        <v>0.09192585746463987</v>
      </c>
      <c r="K2963" s="3">
        <v>-0.08418690411644247</v>
      </c>
      <c r="L2963" t="s">
        <v>54</v>
      </c>
    </row>
    <row r="2964" spans="1:12" x14ac:dyDescent="0.25">
      <c r="A2964" t="s">
        <v>487</v>
      </c>
      <c r="B2964" t="s">
        <v>463</v>
      </c>
      <c r="C2964" t="s">
        <v>464</v>
      </c>
      <c r="D2964" t="s">
        <v>128</v>
      </c>
      <c r="E2964" t="s">
        <v>130</v>
      </c>
      <c r="F2964">
        <v>1</v>
      </c>
      <c r="G2964" t="s">
        <v>498</v>
      </c>
      <c r="H2964" s="4">
        <v>18850699</v>
      </c>
      <c r="I2964" s="4">
        <v>22584383</v>
      </c>
      <c r="J2964" s="3">
        <v>0.19806607701921292</v>
      </c>
      <c r="K2964" s="3">
        <v>-0.1653214967174441</v>
      </c>
      <c r="L2964" t="s">
        <v>54</v>
      </c>
    </row>
    <row r="2965" spans="1:12" x14ac:dyDescent="0.25">
      <c r="A2965" t="s">
        <v>487</v>
      </c>
      <c r="B2965" t="s">
        <v>463</v>
      </c>
      <c r="C2965" t="s">
        <v>464</v>
      </c>
      <c r="D2965" t="s">
        <v>128</v>
      </c>
      <c r="E2965" t="s">
        <v>130</v>
      </c>
      <c r="F2965">
        <v>1</v>
      </c>
      <c r="G2965" t="s">
        <v>499</v>
      </c>
      <c r="H2965" s="4">
        <v>18850699</v>
      </c>
      <c r="I2965" s="4">
        <v>28151171</v>
      </c>
      <c r="J2965" s="3">
        <v>0.49337544459226684</v>
      </c>
      <c r="K2965" s="3">
        <v>-0.3303760259209111</v>
      </c>
      <c r="L2965" t="s">
        <v>54</v>
      </c>
    </row>
    <row r="2966" spans="1:12" x14ac:dyDescent="0.25">
      <c r="A2966" t="s">
        <v>487</v>
      </c>
      <c r="B2966" t="s">
        <v>463</v>
      </c>
      <c r="C2966" t="s">
        <v>464</v>
      </c>
      <c r="D2966" t="s">
        <v>128</v>
      </c>
      <c r="E2966" t="s">
        <v>132</v>
      </c>
      <c r="F2966">
        <v>2</v>
      </c>
      <c r="G2966" t="s">
        <v>488</v>
      </c>
      <c r="H2966" s="4">
        <v>14843455</v>
      </c>
      <c r="I2966" s="4">
        <v>12597733.331914324</v>
      </c>
      <c r="J2966" s="3">
        <v>0.15129372966642035</v>
      </c>
      <c r="K2966" s="3">
        <v>0.17826394708613988</v>
      </c>
      <c r="L2966" t="s">
        <v>54</v>
      </c>
    </row>
    <row r="2967" spans="1:12" x14ac:dyDescent="0.25">
      <c r="A2967" t="s">
        <v>487</v>
      </c>
      <c r="B2967" t="s">
        <v>463</v>
      </c>
      <c r="C2967" t="s">
        <v>464</v>
      </c>
      <c r="D2967" t="s">
        <v>128</v>
      </c>
      <c r="E2967" t="s">
        <v>132</v>
      </c>
      <c r="F2967">
        <v>2</v>
      </c>
      <c r="G2967" t="s">
        <v>498</v>
      </c>
      <c r="H2967" s="4">
        <v>14843455</v>
      </c>
      <c r="I2967" s="4">
        <v>13822291</v>
      </c>
      <c r="J2967" s="3">
        <v>0.06879557353729304</v>
      </c>
      <c r="K2967" s="3">
        <v>0.07387805682864006</v>
      </c>
      <c r="L2967" t="s">
        <v>54</v>
      </c>
    </row>
    <row r="2968" spans="1:12" x14ac:dyDescent="0.25">
      <c r="A2968" t="s">
        <v>487</v>
      </c>
      <c r="B2968" t="s">
        <v>463</v>
      </c>
      <c r="C2968" t="s">
        <v>464</v>
      </c>
      <c r="D2968" t="s">
        <v>128</v>
      </c>
      <c r="E2968" t="s">
        <v>132</v>
      </c>
      <c r="F2968">
        <v>2</v>
      </c>
      <c r="G2968" t="s">
        <v>499</v>
      </c>
      <c r="H2968" s="4">
        <v>14843455</v>
      </c>
      <c r="I2968" s="4">
        <v>28151171</v>
      </c>
      <c r="J2968" s="3">
        <v>0.8965376322426282</v>
      </c>
      <c r="K2968" s="3">
        <v>-0.4727233549183443</v>
      </c>
      <c r="L2968" t="s">
        <v>54</v>
      </c>
    </row>
    <row r="2969" spans="1:12" x14ac:dyDescent="0.25">
      <c r="A2969" t="s">
        <v>487</v>
      </c>
      <c r="B2969" t="s">
        <v>463</v>
      </c>
      <c r="C2969" t="s">
        <v>464</v>
      </c>
      <c r="D2969" t="s">
        <v>128</v>
      </c>
      <c r="E2969" t="s">
        <v>134</v>
      </c>
      <c r="F2969">
        <v>3</v>
      </c>
      <c r="G2969" t="s">
        <v>488</v>
      </c>
      <c r="H2969" s="4">
        <v>12644251</v>
      </c>
      <c r="I2969" s="4">
        <v>10361964.366727171</v>
      </c>
      <c r="J2969" s="3">
        <v>0.1804999468353506</v>
      </c>
      <c r="K2969" s="3">
        <v>0.22025617464979658</v>
      </c>
      <c r="L2969" t="s">
        <v>54</v>
      </c>
    </row>
    <row r="2970" spans="1:12" x14ac:dyDescent="0.25">
      <c r="A2970" t="s">
        <v>487</v>
      </c>
      <c r="B2970" t="s">
        <v>463</v>
      </c>
      <c r="C2970" t="s">
        <v>464</v>
      </c>
      <c r="D2970" t="s">
        <v>128</v>
      </c>
      <c r="E2970" t="s">
        <v>134</v>
      </c>
      <c r="F2970">
        <v>3</v>
      </c>
      <c r="G2970" t="s">
        <v>498</v>
      </c>
      <c r="H2970" s="4">
        <v>12644251</v>
      </c>
      <c r="I2970" s="4">
        <v>11369195</v>
      </c>
      <c r="J2970" s="3">
        <v>0.10084076945324796</v>
      </c>
      <c r="K2970" s="3">
        <v>0.1121500686724082</v>
      </c>
      <c r="L2970" t="s">
        <v>54</v>
      </c>
    </row>
    <row r="2971" spans="1:12" x14ac:dyDescent="0.25">
      <c r="A2971" t="s">
        <v>487</v>
      </c>
      <c r="B2971" t="s">
        <v>463</v>
      </c>
      <c r="C2971" t="s">
        <v>464</v>
      </c>
      <c r="D2971" t="s">
        <v>128</v>
      </c>
      <c r="E2971" t="s">
        <v>134</v>
      </c>
      <c r="F2971">
        <v>3</v>
      </c>
      <c r="G2971" t="s">
        <v>499</v>
      </c>
      <c r="H2971" s="4">
        <v>12644251</v>
      </c>
      <c r="I2971" s="4">
        <v>28151171</v>
      </c>
      <c r="J2971" s="3">
        <v>1.2264008362377494</v>
      </c>
      <c r="K2971" s="3">
        <v>-0.5508445812076521</v>
      </c>
      <c r="L2971" t="s">
        <v>54</v>
      </c>
    </row>
    <row r="2972" spans="1:12" x14ac:dyDescent="0.25">
      <c r="A2972" t="s">
        <v>487</v>
      </c>
      <c r="B2972" t="s">
        <v>463</v>
      </c>
      <c r="C2972" t="s">
        <v>464</v>
      </c>
      <c r="D2972" t="s">
        <v>130</v>
      </c>
      <c r="E2972" t="s">
        <v>132</v>
      </c>
      <c r="F2972">
        <v>1</v>
      </c>
      <c r="G2972" t="s">
        <v>488</v>
      </c>
      <c r="H2972" s="4">
        <v>14843455</v>
      </c>
      <c r="I2972" s="4">
        <v>12499202.54970277</v>
      </c>
      <c r="J2972" s="3">
        <v>0.15793172481051285</v>
      </c>
      <c r="K2972" s="3">
        <v>0.18755216110590808</v>
      </c>
      <c r="L2972" t="s">
        <v>54</v>
      </c>
    </row>
    <row r="2973" spans="1:12" x14ac:dyDescent="0.25">
      <c r="A2973" t="s">
        <v>487</v>
      </c>
      <c r="B2973" t="s">
        <v>463</v>
      </c>
      <c r="C2973" t="s">
        <v>464</v>
      </c>
      <c r="D2973" t="s">
        <v>130</v>
      </c>
      <c r="E2973" t="s">
        <v>132</v>
      </c>
      <c r="F2973">
        <v>1</v>
      </c>
      <c r="G2973" t="s">
        <v>498</v>
      </c>
      <c r="H2973" s="4">
        <v>14843455</v>
      </c>
      <c r="I2973" s="4">
        <v>13822291</v>
      </c>
      <c r="J2973" s="3">
        <v>0.06879557353729304</v>
      </c>
      <c r="K2973" s="3">
        <v>0.07387805682864006</v>
      </c>
      <c r="L2973" t="s">
        <v>54</v>
      </c>
    </row>
    <row r="2974" spans="1:12" x14ac:dyDescent="0.25">
      <c r="A2974" t="s">
        <v>487</v>
      </c>
      <c r="B2974" t="s">
        <v>463</v>
      </c>
      <c r="C2974" t="s">
        <v>464</v>
      </c>
      <c r="D2974" t="s">
        <v>130</v>
      </c>
      <c r="E2974" t="s">
        <v>132</v>
      </c>
      <c r="F2974">
        <v>1</v>
      </c>
      <c r="G2974" t="s">
        <v>499</v>
      </c>
      <c r="H2974" s="4">
        <v>14843455</v>
      </c>
      <c r="I2974" s="4">
        <v>18850699</v>
      </c>
      <c r="J2974" s="3">
        <v>0.26996706629285433</v>
      </c>
      <c r="K2974" s="3">
        <v>-0.21257800572806346</v>
      </c>
      <c r="L2974" t="s">
        <v>54</v>
      </c>
    </row>
    <row r="2975" spans="1:12" x14ac:dyDescent="0.25">
      <c r="A2975" t="s">
        <v>487</v>
      </c>
      <c r="B2975" t="s">
        <v>463</v>
      </c>
      <c r="C2975" t="s">
        <v>464</v>
      </c>
      <c r="D2975" t="s">
        <v>130</v>
      </c>
      <c r="E2975" t="s">
        <v>134</v>
      </c>
      <c r="F2975">
        <v>2</v>
      </c>
      <c r="G2975" t="s">
        <v>488</v>
      </c>
      <c r="H2975" s="4">
        <v>12644251</v>
      </c>
      <c r="I2975" s="4">
        <v>10280920.22748385</v>
      </c>
      <c r="J2975" s="3">
        <v>0.1869095110905462</v>
      </c>
      <c r="K2975" s="3">
        <v>0.2298754119498261</v>
      </c>
      <c r="L2975" t="s">
        <v>54</v>
      </c>
    </row>
    <row r="2976" spans="1:12" x14ac:dyDescent="0.25">
      <c r="A2976" t="s">
        <v>487</v>
      </c>
      <c r="B2976" t="s">
        <v>463</v>
      </c>
      <c r="C2976" t="s">
        <v>464</v>
      </c>
      <c r="D2976" t="s">
        <v>130</v>
      </c>
      <c r="E2976" t="s">
        <v>134</v>
      </c>
      <c r="F2976">
        <v>2</v>
      </c>
      <c r="G2976" t="s">
        <v>498</v>
      </c>
      <c r="H2976" s="4">
        <v>12644251</v>
      </c>
      <c r="I2976" s="4">
        <v>11369195</v>
      </c>
      <c r="J2976" s="3">
        <v>0.10084076945324796</v>
      </c>
      <c r="K2976" s="3">
        <v>0.1121500686724082</v>
      </c>
      <c r="L2976" t="s">
        <v>54</v>
      </c>
    </row>
    <row r="2977" spans="1:12" x14ac:dyDescent="0.25">
      <c r="A2977" t="s">
        <v>487</v>
      </c>
      <c r="B2977" t="s">
        <v>463</v>
      </c>
      <c r="C2977" t="s">
        <v>464</v>
      </c>
      <c r="D2977" t="s">
        <v>130</v>
      </c>
      <c r="E2977" t="s">
        <v>134</v>
      </c>
      <c r="F2977">
        <v>2</v>
      </c>
      <c r="G2977" t="s">
        <v>499</v>
      </c>
      <c r="H2977" s="4">
        <v>12644251</v>
      </c>
      <c r="I2977" s="4">
        <v>18850699</v>
      </c>
      <c r="J2977" s="3">
        <v>0.49085137585452865</v>
      </c>
      <c r="K2977" s="3">
        <v>-0.32924232676995163</v>
      </c>
      <c r="L2977" t="s">
        <v>54</v>
      </c>
    </row>
    <row r="2978" spans="1:12" x14ac:dyDescent="0.25">
      <c r="A2978" t="s">
        <v>487</v>
      </c>
      <c r="B2978" t="s">
        <v>463</v>
      </c>
      <c r="C2978" t="s">
        <v>464</v>
      </c>
      <c r="D2978" t="s">
        <v>130</v>
      </c>
      <c r="E2978" t="s">
        <v>136</v>
      </c>
      <c r="F2978">
        <v>3</v>
      </c>
      <c r="G2978" t="s">
        <v>488</v>
      </c>
      <c r="H2978" s="4">
        <v>12041431</v>
      </c>
      <c r="I2978" s="4">
        <v>12935982.698488863</v>
      </c>
      <c r="J2978" s="3">
        <v>0.07428948423894662</v>
      </c>
      <c r="K2978" s="3">
        <v>-0.06915220276178644</v>
      </c>
      <c r="L2978" t="s">
        <v>54</v>
      </c>
    </row>
    <row r="2979" spans="1:12" x14ac:dyDescent="0.25">
      <c r="A2979" t="s">
        <v>487</v>
      </c>
      <c r="B2979" t="s">
        <v>463</v>
      </c>
      <c r="C2979" t="s">
        <v>464</v>
      </c>
      <c r="D2979" t="s">
        <v>130</v>
      </c>
      <c r="E2979" t="s">
        <v>136</v>
      </c>
      <c r="F2979">
        <v>3</v>
      </c>
      <c r="G2979" t="s">
        <v>498</v>
      </c>
      <c r="H2979" s="4">
        <v>12041431</v>
      </c>
      <c r="I2979" s="4">
        <v>14305306</v>
      </c>
      <c r="J2979" s="3">
        <v>0.18800713968298285</v>
      </c>
      <c r="K2979" s="3">
        <v>-0.1582542170017195</v>
      </c>
      <c r="L2979" t="s">
        <v>54</v>
      </c>
    </row>
    <row r="2980" spans="1:12" x14ac:dyDescent="0.25">
      <c r="A2980" t="s">
        <v>487</v>
      </c>
      <c r="B2980" t="s">
        <v>463</v>
      </c>
      <c r="C2980" t="s">
        <v>464</v>
      </c>
      <c r="D2980" t="s">
        <v>130</v>
      </c>
      <c r="E2980" t="s">
        <v>136</v>
      </c>
      <c r="F2980">
        <v>3</v>
      </c>
      <c r="G2980" t="s">
        <v>499</v>
      </c>
      <c r="H2980" s="4">
        <v>12041431</v>
      </c>
      <c r="I2980" s="4">
        <v>18850699</v>
      </c>
      <c r="J2980" s="3">
        <v>0.565486610353869</v>
      </c>
      <c r="K2980" s="3">
        <v>-0.36122098177897805</v>
      </c>
      <c r="L2980" t="s">
        <v>54</v>
      </c>
    </row>
    <row r="2981" spans="1:12" x14ac:dyDescent="0.25">
      <c r="A2981" t="s">
        <v>487</v>
      </c>
      <c r="B2981" t="s">
        <v>463</v>
      </c>
      <c r="C2981" t="s">
        <v>464</v>
      </c>
      <c r="D2981" t="s">
        <v>132</v>
      </c>
      <c r="E2981" t="s">
        <v>134</v>
      </c>
      <c r="F2981">
        <v>1</v>
      </c>
      <c r="G2981" t="s">
        <v>488</v>
      </c>
      <c r="H2981" s="4">
        <v>12644251</v>
      </c>
      <c r="I2981" s="4">
        <v>10613199.466793917</v>
      </c>
      <c r="J2981" s="3">
        <v>0.1606304345908732</v>
      </c>
      <c r="K2981" s="3">
        <v>0.19137033460651917</v>
      </c>
      <c r="L2981" t="s">
        <v>54</v>
      </c>
    </row>
    <row r="2982" spans="1:12" x14ac:dyDescent="0.25">
      <c r="A2982" t="s">
        <v>487</v>
      </c>
      <c r="B2982" t="s">
        <v>463</v>
      </c>
      <c r="C2982" t="s">
        <v>464</v>
      </c>
      <c r="D2982" t="s">
        <v>132</v>
      </c>
      <c r="E2982" t="s">
        <v>134</v>
      </c>
      <c r="F2982">
        <v>1</v>
      </c>
      <c r="G2982" t="s">
        <v>498</v>
      </c>
      <c r="H2982" s="4">
        <v>12644251</v>
      </c>
      <c r="I2982" s="4">
        <v>11369195</v>
      </c>
      <c r="J2982" s="3">
        <v>0.10084076945324796</v>
      </c>
      <c r="K2982" s="3">
        <v>0.1121500686724082</v>
      </c>
      <c r="L2982" t="s">
        <v>54</v>
      </c>
    </row>
    <row r="2983" spans="1:12" x14ac:dyDescent="0.25">
      <c r="A2983" t="s">
        <v>487</v>
      </c>
      <c r="B2983" t="s">
        <v>463</v>
      </c>
      <c r="C2983" t="s">
        <v>464</v>
      </c>
      <c r="D2983" t="s">
        <v>132</v>
      </c>
      <c r="E2983" t="s">
        <v>134</v>
      </c>
      <c r="F2983">
        <v>1</v>
      </c>
      <c r="G2983" t="s">
        <v>499</v>
      </c>
      <c r="H2983" s="4">
        <v>12644251</v>
      </c>
      <c r="I2983" s="4">
        <v>14843455</v>
      </c>
      <c r="J2983" s="3">
        <v>0.1739291635384334</v>
      </c>
      <c r="K2983" s="3">
        <v>-0.14815984553461442</v>
      </c>
      <c r="L2983" t="s">
        <v>54</v>
      </c>
    </row>
    <row r="2984" spans="1:12" x14ac:dyDescent="0.25">
      <c r="A2984" t="s">
        <v>487</v>
      </c>
      <c r="B2984" t="s">
        <v>463</v>
      </c>
      <c r="C2984" t="s">
        <v>464</v>
      </c>
      <c r="D2984" t="s">
        <v>132</v>
      </c>
      <c r="E2984" t="s">
        <v>136</v>
      </c>
      <c r="F2984">
        <v>2</v>
      </c>
      <c r="G2984" t="s">
        <v>488</v>
      </c>
      <c r="H2984" s="4">
        <v>12041431</v>
      </c>
      <c r="I2984" s="4">
        <v>13354073.530405963</v>
      </c>
      <c r="J2984" s="3">
        <v>0.10901050966500267</v>
      </c>
      <c r="K2984" s="3">
        <v>-0.09829529000399764</v>
      </c>
      <c r="L2984" t="s">
        <v>54</v>
      </c>
    </row>
    <row r="2985" spans="1:12" x14ac:dyDescent="0.25">
      <c r="A2985" t="s">
        <v>487</v>
      </c>
      <c r="B2985" t="s">
        <v>463</v>
      </c>
      <c r="C2985" t="s">
        <v>464</v>
      </c>
      <c r="D2985" t="s">
        <v>132</v>
      </c>
      <c r="E2985" t="s">
        <v>136</v>
      </c>
      <c r="F2985">
        <v>2</v>
      </c>
      <c r="G2985" t="s">
        <v>498</v>
      </c>
      <c r="H2985" s="4">
        <v>12041431</v>
      </c>
      <c r="I2985" s="4">
        <v>14305306</v>
      </c>
      <c r="J2985" s="3">
        <v>0.18800713968298285</v>
      </c>
      <c r="K2985" s="3">
        <v>-0.1582542170017195</v>
      </c>
      <c r="L2985" t="s">
        <v>54</v>
      </c>
    </row>
    <row r="2986" spans="1:12" x14ac:dyDescent="0.25">
      <c r="A2986" t="s">
        <v>487</v>
      </c>
      <c r="B2986" t="s">
        <v>463</v>
      </c>
      <c r="C2986" t="s">
        <v>464</v>
      </c>
      <c r="D2986" t="s">
        <v>132</v>
      </c>
      <c r="E2986" t="s">
        <v>136</v>
      </c>
      <c r="F2986">
        <v>2</v>
      </c>
      <c r="G2986" t="s">
        <v>499</v>
      </c>
      <c r="H2986" s="4">
        <v>12041431</v>
      </c>
      <c r="I2986" s="4">
        <v>14843455</v>
      </c>
      <c r="J2986" s="3">
        <v>0.23269858873085766</v>
      </c>
      <c r="K2986" s="3">
        <v>-0.18877168422041904</v>
      </c>
      <c r="L2986" t="s">
        <v>54</v>
      </c>
    </row>
    <row r="2987" spans="1:12" x14ac:dyDescent="0.25">
      <c r="A2987" t="s">
        <v>487</v>
      </c>
      <c r="B2987" t="s">
        <v>463</v>
      </c>
      <c r="C2987" t="s">
        <v>464</v>
      </c>
      <c r="D2987" t="s">
        <v>132</v>
      </c>
      <c r="E2987" t="s">
        <v>138</v>
      </c>
      <c r="F2987">
        <v>3</v>
      </c>
      <c r="G2987" t="s">
        <v>488</v>
      </c>
      <c r="H2987" s="4">
        <v>19257579</v>
      </c>
      <c r="I2987" s="4">
        <v>19455608.246564962</v>
      </c>
      <c r="J2987" s="3">
        <v>0.010283184950972392</v>
      </c>
      <c r="K2987" s="3">
        <v>-0.010178517374285925</v>
      </c>
      <c r="L2987" t="s">
        <v>54</v>
      </c>
    </row>
    <row r="2988" spans="1:12" x14ac:dyDescent="0.25">
      <c r="A2988" t="s">
        <v>487</v>
      </c>
      <c r="B2988" t="s">
        <v>463</v>
      </c>
      <c r="C2988" t="s">
        <v>464</v>
      </c>
      <c r="D2988" t="s">
        <v>132</v>
      </c>
      <c r="E2988" t="s">
        <v>138</v>
      </c>
      <c r="F2988">
        <v>3</v>
      </c>
      <c r="G2988" t="s">
        <v>498</v>
      </c>
      <c r="H2988" s="4">
        <v>19257579</v>
      </c>
      <c r="I2988" s="4">
        <v>20841463</v>
      </c>
      <c r="J2988" s="3">
        <v>0.08224730637220805</v>
      </c>
      <c r="K2988" s="3">
        <v>-0.07599677623399087</v>
      </c>
      <c r="L2988" t="s">
        <v>54</v>
      </c>
    </row>
    <row r="2989" spans="1:12" x14ac:dyDescent="0.25">
      <c r="A2989" t="s">
        <v>487</v>
      </c>
      <c r="B2989" t="s">
        <v>463</v>
      </c>
      <c r="C2989" t="s">
        <v>464</v>
      </c>
      <c r="D2989" t="s">
        <v>132</v>
      </c>
      <c r="E2989" t="s">
        <v>138</v>
      </c>
      <c r="F2989">
        <v>3</v>
      </c>
      <c r="G2989" t="s">
        <v>499</v>
      </c>
      <c r="H2989" s="4">
        <v>19257579</v>
      </c>
      <c r="I2989" s="4">
        <v>14843455</v>
      </c>
      <c r="J2989" s="3">
        <v>0.22921489767742873</v>
      </c>
      <c r="K2989" s="3">
        <v>0.2973784742164139</v>
      </c>
      <c r="L2989" t="s">
        <v>54</v>
      </c>
    </row>
    <row r="2990" spans="1:12" x14ac:dyDescent="0.25">
      <c r="A2990" t="s">
        <v>487</v>
      </c>
      <c r="B2990" t="s">
        <v>463</v>
      </c>
      <c r="C2990" t="s">
        <v>464</v>
      </c>
      <c r="D2990" t="s">
        <v>134</v>
      </c>
      <c r="E2990" t="s">
        <v>136</v>
      </c>
      <c r="F2990">
        <v>1</v>
      </c>
      <c r="G2990" t="s">
        <v>488</v>
      </c>
      <c r="H2990" s="4">
        <v>12041431</v>
      </c>
      <c r="I2990" s="4">
        <v>13616388.434776671</v>
      </c>
      <c r="J2990" s="3">
        <v>0.1307948727004848</v>
      </c>
      <c r="K2990" s="3">
        <v>-0.1156663121297408</v>
      </c>
      <c r="L2990" t="s">
        <v>54</v>
      </c>
    </row>
    <row r="2991" spans="1:12" x14ac:dyDescent="0.25">
      <c r="A2991" t="s">
        <v>487</v>
      </c>
      <c r="B2991" t="s">
        <v>463</v>
      </c>
      <c r="C2991" t="s">
        <v>464</v>
      </c>
      <c r="D2991" t="s">
        <v>134</v>
      </c>
      <c r="E2991" t="s">
        <v>136</v>
      </c>
      <c r="F2991">
        <v>1</v>
      </c>
      <c r="G2991" t="s">
        <v>498</v>
      </c>
      <c r="H2991" s="4">
        <v>12041431</v>
      </c>
      <c r="I2991" s="4">
        <v>14305306</v>
      </c>
      <c r="J2991" s="3">
        <v>0.18800713968298285</v>
      </c>
      <c r="K2991" s="3">
        <v>-0.1582542170017195</v>
      </c>
      <c r="L2991" t="s">
        <v>54</v>
      </c>
    </row>
    <row r="2992" spans="1:12" x14ac:dyDescent="0.25">
      <c r="A2992" t="s">
        <v>487</v>
      </c>
      <c r="B2992" t="s">
        <v>463</v>
      </c>
      <c r="C2992" t="s">
        <v>464</v>
      </c>
      <c r="D2992" t="s">
        <v>134</v>
      </c>
      <c r="E2992" t="s">
        <v>136</v>
      </c>
      <c r="F2992">
        <v>1</v>
      </c>
      <c r="G2992" t="s">
        <v>499</v>
      </c>
      <c r="H2992" s="4">
        <v>12041431</v>
      </c>
      <c r="I2992" s="4">
        <v>12644251</v>
      </c>
      <c r="J2992" s="3">
        <v>0.0500621562337566</v>
      </c>
      <c r="K2992" s="3">
        <v>-0.047675421818184405</v>
      </c>
      <c r="L2992" t="s">
        <v>54</v>
      </c>
    </row>
    <row r="2993" spans="1:12" x14ac:dyDescent="0.25">
      <c r="A2993" t="s">
        <v>487</v>
      </c>
      <c r="B2993" t="s">
        <v>463</v>
      </c>
      <c r="C2993" t="s">
        <v>464</v>
      </c>
      <c r="D2993" t="s">
        <v>134</v>
      </c>
      <c r="E2993" t="s">
        <v>138</v>
      </c>
      <c r="F2993">
        <v>2</v>
      </c>
      <c r="G2993" t="s">
        <v>488</v>
      </c>
      <c r="H2993" s="4">
        <v>19257579</v>
      </c>
      <c r="I2993" s="4">
        <v>19837775.98025697</v>
      </c>
      <c r="J2993" s="3">
        <v>0.0301282409516259</v>
      </c>
      <c r="K2993" s="3">
        <v>-0.02924707794030928</v>
      </c>
      <c r="L2993" t="s">
        <v>54</v>
      </c>
    </row>
    <row r="2994" spans="1:12" x14ac:dyDescent="0.25">
      <c r="A2994" t="s">
        <v>487</v>
      </c>
      <c r="B2994" t="s">
        <v>463</v>
      </c>
      <c r="C2994" t="s">
        <v>464</v>
      </c>
      <c r="D2994" t="s">
        <v>134</v>
      </c>
      <c r="E2994" t="s">
        <v>138</v>
      </c>
      <c r="F2994">
        <v>2</v>
      </c>
      <c r="G2994" t="s">
        <v>498</v>
      </c>
      <c r="H2994" s="4">
        <v>19257579</v>
      </c>
      <c r="I2994" s="4">
        <v>20841463</v>
      </c>
      <c r="J2994" s="3">
        <v>0.08224730637220805</v>
      </c>
      <c r="K2994" s="3">
        <v>-0.07599677623399087</v>
      </c>
      <c r="L2994" t="s">
        <v>54</v>
      </c>
    </row>
    <row r="2995" spans="1:12" x14ac:dyDescent="0.25">
      <c r="A2995" t="s">
        <v>487</v>
      </c>
      <c r="B2995" t="s">
        <v>463</v>
      </c>
      <c r="C2995" t="s">
        <v>464</v>
      </c>
      <c r="D2995" t="s">
        <v>134</v>
      </c>
      <c r="E2995" t="s">
        <v>138</v>
      </c>
      <c r="F2995">
        <v>2</v>
      </c>
      <c r="G2995" t="s">
        <v>499</v>
      </c>
      <c r="H2995" s="4">
        <v>19257579</v>
      </c>
      <c r="I2995" s="4">
        <v>12644251</v>
      </c>
      <c r="J2995" s="3">
        <v>0.34341429937792284</v>
      </c>
      <c r="K2995" s="3">
        <v>0.5230304270296438</v>
      </c>
      <c r="L2995" t="s">
        <v>54</v>
      </c>
    </row>
    <row r="2996" spans="1:12" x14ac:dyDescent="0.25">
      <c r="A2996" t="s">
        <v>487</v>
      </c>
      <c r="B2996" t="s">
        <v>463</v>
      </c>
      <c r="C2996" t="s">
        <v>464</v>
      </c>
      <c r="D2996" t="s">
        <v>134</v>
      </c>
      <c r="E2996" t="s">
        <v>140</v>
      </c>
      <c r="F2996">
        <v>3</v>
      </c>
      <c r="G2996" t="s">
        <v>488</v>
      </c>
      <c r="H2996" s="4">
        <v>35590483</v>
      </c>
      <c r="I2996" s="4">
        <v>33464437.64374868</v>
      </c>
      <c r="J2996" s="3">
        <v>0.05973634457985079</v>
      </c>
      <c r="K2996" s="3">
        <v>0.06353148314890263</v>
      </c>
      <c r="L2996" t="s">
        <v>54</v>
      </c>
    </row>
    <row r="2997" spans="1:12" x14ac:dyDescent="0.25">
      <c r="A2997" t="s">
        <v>487</v>
      </c>
      <c r="B2997" t="s">
        <v>463</v>
      </c>
      <c r="C2997" t="s">
        <v>464</v>
      </c>
      <c r="D2997" t="s">
        <v>134</v>
      </c>
      <c r="E2997" t="s">
        <v>140</v>
      </c>
      <c r="F2997">
        <v>3</v>
      </c>
      <c r="G2997" t="s">
        <v>498</v>
      </c>
      <c r="H2997" s="4">
        <v>35590483</v>
      </c>
      <c r="I2997" s="4">
        <v>35157562</v>
      </c>
      <c r="J2997" s="3">
        <v>0.012163954054796053</v>
      </c>
      <c r="K2997" s="3">
        <v>0.012313737795584347</v>
      </c>
      <c r="L2997" t="s">
        <v>54</v>
      </c>
    </row>
    <row r="2998" spans="1:12" x14ac:dyDescent="0.25">
      <c r="A2998" t="s">
        <v>487</v>
      </c>
      <c r="B2998" t="s">
        <v>463</v>
      </c>
      <c r="C2998" t="s">
        <v>464</v>
      </c>
      <c r="D2998" t="s">
        <v>134</v>
      </c>
      <c r="E2998" t="s">
        <v>140</v>
      </c>
      <c r="F2998">
        <v>3</v>
      </c>
      <c r="G2998" t="s">
        <v>499</v>
      </c>
      <c r="H2998" s="4">
        <v>35590483</v>
      </c>
      <c r="I2998" s="4">
        <v>12644251</v>
      </c>
      <c r="J2998" s="3">
        <v>0.6447294351133138</v>
      </c>
      <c r="K2998" s="3">
        <v>1.8147561290898133</v>
      </c>
      <c r="L2998" t="s">
        <v>54</v>
      </c>
    </row>
    <row r="2999" spans="1:12" x14ac:dyDescent="0.25">
      <c r="A2999" t="s">
        <v>487</v>
      </c>
      <c r="B2999" t="s">
        <v>463</v>
      </c>
      <c r="C2999" t="s">
        <v>464</v>
      </c>
      <c r="D2999" t="s">
        <v>136</v>
      </c>
      <c r="E2999" t="s">
        <v>138</v>
      </c>
      <c r="F2999">
        <v>1</v>
      </c>
      <c r="G2999" t="s">
        <v>488</v>
      </c>
      <c r="H2999" s="4">
        <v>19257579</v>
      </c>
      <c r="I2999" s="4">
        <v>19811104.11876185</v>
      </c>
      <c r="J2999" s="3">
        <v>0.028743235001754304</v>
      </c>
      <c r="K2999" s="3">
        <v>-0.027940144852282103</v>
      </c>
      <c r="L2999" t="s">
        <v>54</v>
      </c>
    </row>
    <row r="3000" spans="1:12" x14ac:dyDescent="0.25">
      <c r="A3000" t="s">
        <v>487</v>
      </c>
      <c r="B3000" t="s">
        <v>463</v>
      </c>
      <c r="C3000" t="s">
        <v>464</v>
      </c>
      <c r="D3000" t="s">
        <v>136</v>
      </c>
      <c r="E3000" t="s">
        <v>138</v>
      </c>
      <c r="F3000">
        <v>1</v>
      </c>
      <c r="G3000" t="s">
        <v>498</v>
      </c>
      <c r="H3000" s="4">
        <v>19257579</v>
      </c>
      <c r="I3000" s="4">
        <v>20841463</v>
      </c>
      <c r="J3000" s="3">
        <v>0.08224730637220805</v>
      </c>
      <c r="K3000" s="3">
        <v>-0.07599677623399087</v>
      </c>
      <c r="L3000" t="s">
        <v>54</v>
      </c>
    </row>
    <row r="3001" spans="1:12" x14ac:dyDescent="0.25">
      <c r="A3001" t="s">
        <v>487</v>
      </c>
      <c r="B3001" t="s">
        <v>463</v>
      </c>
      <c r="C3001" t="s">
        <v>464</v>
      </c>
      <c r="D3001" t="s">
        <v>136</v>
      </c>
      <c r="E3001" t="s">
        <v>138</v>
      </c>
      <c r="F3001">
        <v>1</v>
      </c>
      <c r="G3001" t="s">
        <v>499</v>
      </c>
      <c r="H3001" s="4">
        <v>19257579</v>
      </c>
      <c r="I3001" s="4">
        <v>12041431</v>
      </c>
      <c r="J3001" s="3">
        <v>0.3747172996148685</v>
      </c>
      <c r="K3001" s="3">
        <v>0.5992766142163668</v>
      </c>
      <c r="L3001" t="s">
        <v>54</v>
      </c>
    </row>
    <row r="3002" spans="1:12" x14ac:dyDescent="0.25">
      <c r="A3002" t="s">
        <v>487</v>
      </c>
      <c r="B3002" t="s">
        <v>463</v>
      </c>
      <c r="C3002" t="s">
        <v>464</v>
      </c>
      <c r="D3002" t="s">
        <v>136</v>
      </c>
      <c r="E3002" t="s">
        <v>140</v>
      </c>
      <c r="F3002">
        <v>2</v>
      </c>
      <c r="G3002" t="s">
        <v>488</v>
      </c>
      <c r="H3002" s="4">
        <v>35590483</v>
      </c>
      <c r="I3002" s="4">
        <v>33419444.755093493</v>
      </c>
      <c r="J3002" s="3">
        <v>0.061000527722720355</v>
      </c>
      <c r="K3002" s="3">
        <v>0.06496332481932146</v>
      </c>
      <c r="L3002" t="s">
        <v>54</v>
      </c>
    </row>
    <row r="3003" spans="1:12" x14ac:dyDescent="0.25">
      <c r="A3003" t="s">
        <v>487</v>
      </c>
      <c r="B3003" t="s">
        <v>463</v>
      </c>
      <c r="C3003" t="s">
        <v>464</v>
      </c>
      <c r="D3003" t="s">
        <v>136</v>
      </c>
      <c r="E3003" t="s">
        <v>140</v>
      </c>
      <c r="F3003">
        <v>2</v>
      </c>
      <c r="G3003" t="s">
        <v>498</v>
      </c>
      <c r="H3003" s="4">
        <v>35590483</v>
      </c>
      <c r="I3003" s="4">
        <v>35157562</v>
      </c>
      <c r="J3003" s="3">
        <v>0.012163954054796053</v>
      </c>
      <c r="K3003" s="3">
        <v>0.012313737795584347</v>
      </c>
      <c r="L3003" t="s">
        <v>54</v>
      </c>
    </row>
    <row r="3004" spans="1:12" x14ac:dyDescent="0.25">
      <c r="A3004" t="s">
        <v>487</v>
      </c>
      <c r="B3004" t="s">
        <v>463</v>
      </c>
      <c r="C3004" t="s">
        <v>464</v>
      </c>
      <c r="D3004" t="s">
        <v>136</v>
      </c>
      <c r="E3004" t="s">
        <v>140</v>
      </c>
      <c r="F3004">
        <v>2</v>
      </c>
      <c r="G3004" t="s">
        <v>499</v>
      </c>
      <c r="H3004" s="4">
        <v>35590483</v>
      </c>
      <c r="I3004" s="4">
        <v>12041431</v>
      </c>
      <c r="J3004" s="3">
        <v>0.6616671091538713</v>
      </c>
      <c r="K3004" s="3">
        <v>1.9556688901842314</v>
      </c>
      <c r="L3004" t="s">
        <v>54</v>
      </c>
    </row>
    <row r="3005" spans="1:12" x14ac:dyDescent="0.25">
      <c r="A3005" t="s">
        <v>487</v>
      </c>
      <c r="B3005" t="s">
        <v>463</v>
      </c>
      <c r="C3005" t="s">
        <v>464</v>
      </c>
      <c r="D3005" t="s">
        <v>136</v>
      </c>
      <c r="E3005" t="s">
        <v>142</v>
      </c>
      <c r="F3005">
        <v>3</v>
      </c>
      <c r="G3005" t="s">
        <v>488</v>
      </c>
      <c r="H3005" s="4">
        <v>35680594</v>
      </c>
      <c r="I3005" s="4">
        <v>33309634.874716885</v>
      </c>
      <c r="J3005" s="3">
        <v>0.06644954187935084</v>
      </c>
      <c r="K3005" s="3">
        <v>0.07117937900552465</v>
      </c>
      <c r="L3005" t="s">
        <v>54</v>
      </c>
    </row>
    <row r="3006" spans="1:12" x14ac:dyDescent="0.25">
      <c r="A3006" t="s">
        <v>487</v>
      </c>
      <c r="B3006" t="s">
        <v>463</v>
      </c>
      <c r="C3006" t="s">
        <v>464</v>
      </c>
      <c r="D3006" t="s">
        <v>136</v>
      </c>
      <c r="E3006" t="s">
        <v>142</v>
      </c>
      <c r="F3006">
        <v>3</v>
      </c>
      <c r="G3006" t="s">
        <v>498</v>
      </c>
      <c r="H3006" s="4">
        <v>35680594</v>
      </c>
      <c r="I3006" s="4">
        <v>35042041</v>
      </c>
      <c r="J3006" s="3">
        <v>0.017896366859811805</v>
      </c>
      <c r="K3006" s="3">
        <v>0.018222483102511067</v>
      </c>
      <c r="L3006" t="s">
        <v>54</v>
      </c>
    </row>
    <row r="3007" spans="1:12" x14ac:dyDescent="0.25">
      <c r="A3007" t="s">
        <v>487</v>
      </c>
      <c r="B3007" t="s">
        <v>463</v>
      </c>
      <c r="C3007" t="s">
        <v>464</v>
      </c>
      <c r="D3007" t="s">
        <v>136</v>
      </c>
      <c r="E3007" t="s">
        <v>142</v>
      </c>
      <c r="F3007">
        <v>3</v>
      </c>
      <c r="G3007" t="s">
        <v>499</v>
      </c>
      <c r="H3007" s="4">
        <v>35680594</v>
      </c>
      <c r="I3007" s="4">
        <v>12041431</v>
      </c>
      <c r="J3007" s="3">
        <v>0.6625215656443387</v>
      </c>
      <c r="K3007" s="3">
        <v>1.9631523030775992</v>
      </c>
      <c r="L3007" t="s">
        <v>54</v>
      </c>
    </row>
    <row r="3008" spans="1:12" x14ac:dyDescent="0.25">
      <c r="A3008" t="s">
        <v>487</v>
      </c>
      <c r="B3008" t="s">
        <v>463</v>
      </c>
      <c r="C3008" t="s">
        <v>464</v>
      </c>
      <c r="D3008" t="s">
        <v>138</v>
      </c>
      <c r="E3008" t="s">
        <v>140</v>
      </c>
      <c r="F3008">
        <v>1</v>
      </c>
      <c r="G3008" t="s">
        <v>488</v>
      </c>
      <c r="H3008" s="4">
        <v>35590483</v>
      </c>
      <c r="I3008" s="4">
        <v>33838378.87324111</v>
      </c>
      <c r="J3008" s="3">
        <v>0.0492295686675252</v>
      </c>
      <c r="K3008" s="3">
        <v>0.051778607164435594</v>
      </c>
      <c r="L3008" t="s">
        <v>54</v>
      </c>
    </row>
    <row r="3009" spans="1:12" x14ac:dyDescent="0.25">
      <c r="A3009" t="s">
        <v>487</v>
      </c>
      <c r="B3009" t="s">
        <v>463</v>
      </c>
      <c r="C3009" t="s">
        <v>464</v>
      </c>
      <c r="D3009" t="s">
        <v>138</v>
      </c>
      <c r="E3009" t="s">
        <v>140</v>
      </c>
      <c r="F3009">
        <v>1</v>
      </c>
      <c r="G3009" t="s">
        <v>498</v>
      </c>
      <c r="H3009" s="4">
        <v>35590483</v>
      </c>
      <c r="I3009" s="4">
        <v>35157562</v>
      </c>
      <c r="J3009" s="3">
        <v>0.012163954054796053</v>
      </c>
      <c r="K3009" s="3">
        <v>0.012313737795584347</v>
      </c>
      <c r="L3009" t="s">
        <v>54</v>
      </c>
    </row>
    <row r="3010" spans="1:12" x14ac:dyDescent="0.25">
      <c r="A3010" t="s">
        <v>487</v>
      </c>
      <c r="B3010" t="s">
        <v>463</v>
      </c>
      <c r="C3010" t="s">
        <v>464</v>
      </c>
      <c r="D3010" t="s">
        <v>138</v>
      </c>
      <c r="E3010" t="s">
        <v>140</v>
      </c>
      <c r="F3010">
        <v>1</v>
      </c>
      <c r="G3010" t="s">
        <v>499</v>
      </c>
      <c r="H3010" s="4">
        <v>35590483</v>
      </c>
      <c r="I3010" s="4">
        <v>19257579</v>
      </c>
      <c r="J3010" s="3">
        <v>0.45891211984956765</v>
      </c>
      <c r="K3010" s="3">
        <v>0.8481286250987209</v>
      </c>
      <c r="L3010" t="s">
        <v>54</v>
      </c>
    </row>
    <row r="3011" spans="1:12" x14ac:dyDescent="0.25">
      <c r="A3011" t="s">
        <v>487</v>
      </c>
      <c r="B3011" t="s">
        <v>463</v>
      </c>
      <c r="C3011" t="s">
        <v>464</v>
      </c>
      <c r="D3011" t="s">
        <v>138</v>
      </c>
      <c r="E3011" t="s">
        <v>142</v>
      </c>
      <c r="F3011">
        <v>2</v>
      </c>
      <c r="G3011" t="s">
        <v>488</v>
      </c>
      <c r="H3011" s="4">
        <v>35680594</v>
      </c>
      <c r="I3011" s="4">
        <v>33727192.45576951</v>
      </c>
      <c r="J3011" s="3">
        <v>0.05474688970229842</v>
      </c>
      <c r="K3011" s="3">
        <v>0.05791770384659854</v>
      </c>
      <c r="L3011" t="s">
        <v>54</v>
      </c>
    </row>
    <row r="3012" spans="1:12" x14ac:dyDescent="0.25">
      <c r="A3012" t="s">
        <v>487</v>
      </c>
      <c r="B3012" t="s">
        <v>463</v>
      </c>
      <c r="C3012" t="s">
        <v>464</v>
      </c>
      <c r="D3012" t="s">
        <v>138</v>
      </c>
      <c r="E3012" t="s">
        <v>142</v>
      </c>
      <c r="F3012">
        <v>2</v>
      </c>
      <c r="G3012" t="s">
        <v>498</v>
      </c>
      <c r="H3012" s="4">
        <v>35680594</v>
      </c>
      <c r="I3012" s="4">
        <v>35042041</v>
      </c>
      <c r="J3012" s="3">
        <v>0.017896366859811805</v>
      </c>
      <c r="K3012" s="3">
        <v>0.018222483102511067</v>
      </c>
      <c r="L3012" t="s">
        <v>54</v>
      </c>
    </row>
    <row r="3013" spans="1:12" x14ac:dyDescent="0.25">
      <c r="A3013" t="s">
        <v>487</v>
      </c>
      <c r="B3013" t="s">
        <v>463</v>
      </c>
      <c r="C3013" t="s">
        <v>464</v>
      </c>
      <c r="D3013" t="s">
        <v>138</v>
      </c>
      <c r="E3013" t="s">
        <v>142</v>
      </c>
      <c r="F3013">
        <v>2</v>
      </c>
      <c r="G3013" t="s">
        <v>499</v>
      </c>
      <c r="H3013" s="4">
        <v>35680594</v>
      </c>
      <c r="I3013" s="4">
        <v>19257579</v>
      </c>
      <c r="J3013" s="3">
        <v>0.4602786321326377</v>
      </c>
      <c r="K3013" s="3">
        <v>0.8528078737207828</v>
      </c>
      <c r="L3013" t="s">
        <v>54</v>
      </c>
    </row>
    <row r="3014" spans="1:12" x14ac:dyDescent="0.25">
      <c r="A3014" t="s">
        <v>487</v>
      </c>
      <c r="B3014" t="s">
        <v>463</v>
      </c>
      <c r="C3014" t="s">
        <v>464</v>
      </c>
      <c r="D3014" t="s">
        <v>138</v>
      </c>
      <c r="E3014" t="s">
        <v>144</v>
      </c>
      <c r="F3014">
        <v>3</v>
      </c>
      <c r="G3014" t="s">
        <v>488</v>
      </c>
      <c r="H3014" s="4">
        <v>40985442</v>
      </c>
      <c r="I3014" s="4">
        <v>35919928.052117646</v>
      </c>
      <c r="J3014" s="3">
        <v>0.12359300524030836</v>
      </c>
      <c r="K3014" s="3">
        <v>0.14102238569444236</v>
      </c>
      <c r="L3014" t="s">
        <v>54</v>
      </c>
    </row>
    <row r="3015" spans="1:12" x14ac:dyDescent="0.25">
      <c r="A3015" t="s">
        <v>487</v>
      </c>
      <c r="B3015" t="s">
        <v>463</v>
      </c>
      <c r="C3015" t="s">
        <v>464</v>
      </c>
      <c r="D3015" t="s">
        <v>138</v>
      </c>
      <c r="E3015" t="s">
        <v>144</v>
      </c>
      <c r="F3015">
        <v>3</v>
      </c>
      <c r="G3015" t="s">
        <v>498</v>
      </c>
      <c r="H3015" s="4">
        <v>40985442</v>
      </c>
      <c r="I3015" s="4">
        <v>37320260</v>
      </c>
      <c r="J3015" s="3">
        <v>0.08942643585495552</v>
      </c>
      <c r="K3015" s="3">
        <v>0.09820890851242729</v>
      </c>
      <c r="L3015" t="s">
        <v>54</v>
      </c>
    </row>
    <row r="3016" spans="1:12" x14ac:dyDescent="0.25">
      <c r="A3016" t="s">
        <v>487</v>
      </c>
      <c r="B3016" t="s">
        <v>463</v>
      </c>
      <c r="C3016" t="s">
        <v>464</v>
      </c>
      <c r="D3016" t="s">
        <v>138</v>
      </c>
      <c r="E3016" t="s">
        <v>144</v>
      </c>
      <c r="F3016">
        <v>3</v>
      </c>
      <c r="G3016" t="s">
        <v>499</v>
      </c>
      <c r="H3016" s="4">
        <v>40985442</v>
      </c>
      <c r="I3016" s="4">
        <v>19257579</v>
      </c>
      <c r="J3016" s="3">
        <v>0.5301361151601097</v>
      </c>
      <c r="K3016" s="3">
        <v>1.1282759374893385</v>
      </c>
      <c r="L3016" t="s">
        <v>54</v>
      </c>
    </row>
    <row r="3017" spans="1:12" x14ac:dyDescent="0.25">
      <c r="A3017" t="s">
        <v>487</v>
      </c>
      <c r="B3017" t="s">
        <v>463</v>
      </c>
      <c r="C3017" t="s">
        <v>464</v>
      </c>
      <c r="D3017" t="s">
        <v>140</v>
      </c>
      <c r="E3017" t="s">
        <v>142</v>
      </c>
      <c r="F3017">
        <v>1</v>
      </c>
      <c r="G3017" t="s">
        <v>488</v>
      </c>
      <c r="H3017" s="4">
        <v>35680594</v>
      </c>
      <c r="I3017" s="4">
        <v>34329153.05060632</v>
      </c>
      <c r="J3017" s="3">
        <v>0.03787607766265556</v>
      </c>
      <c r="K3017" s="3">
        <v>0.0393671509285841</v>
      </c>
      <c r="L3017" t="s">
        <v>54</v>
      </c>
    </row>
    <row r="3018" spans="1:12" x14ac:dyDescent="0.25">
      <c r="A3018" t="s">
        <v>487</v>
      </c>
      <c r="B3018" t="s">
        <v>463</v>
      </c>
      <c r="C3018" t="s">
        <v>464</v>
      </c>
      <c r="D3018" t="s">
        <v>140</v>
      </c>
      <c r="E3018" t="s">
        <v>142</v>
      </c>
      <c r="F3018">
        <v>1</v>
      </c>
      <c r="G3018" t="s">
        <v>498</v>
      </c>
      <c r="H3018" s="4">
        <v>35680594</v>
      </c>
      <c r="I3018" s="4">
        <v>35042041</v>
      </c>
      <c r="J3018" s="3">
        <v>0.017896366859811805</v>
      </c>
      <c r="K3018" s="3">
        <v>0.018222483102511067</v>
      </c>
      <c r="L3018" t="s">
        <v>54</v>
      </c>
    </row>
    <row r="3019" spans="1:12" x14ac:dyDescent="0.25">
      <c r="A3019" t="s">
        <v>487</v>
      </c>
      <c r="B3019" t="s">
        <v>463</v>
      </c>
      <c r="C3019" t="s">
        <v>464</v>
      </c>
      <c r="D3019" t="s">
        <v>140</v>
      </c>
      <c r="E3019" t="s">
        <v>142</v>
      </c>
      <c r="F3019">
        <v>1</v>
      </c>
      <c r="G3019" t="s">
        <v>499</v>
      </c>
      <c r="H3019" s="4">
        <v>35680594</v>
      </c>
      <c r="I3019" s="4">
        <v>35590483</v>
      </c>
      <c r="J3019" s="3">
        <v>0.00252549046689077</v>
      </c>
      <c r="K3019" s="3">
        <v>0.0025318847176083563</v>
      </c>
      <c r="L3019" t="s">
        <v>54</v>
      </c>
    </row>
    <row r="3020" spans="1:12" x14ac:dyDescent="0.25">
      <c r="A3020" t="s">
        <v>487</v>
      </c>
      <c r="B3020" t="s">
        <v>463</v>
      </c>
      <c r="C3020" t="s">
        <v>464</v>
      </c>
      <c r="D3020" t="s">
        <v>140</v>
      </c>
      <c r="E3020" t="s">
        <v>144</v>
      </c>
      <c r="F3020">
        <v>2</v>
      </c>
      <c r="G3020" t="s">
        <v>488</v>
      </c>
      <c r="H3020" s="4">
        <v>40985442</v>
      </c>
      <c r="I3020" s="4">
        <v>36561024.439998254</v>
      </c>
      <c r="J3020" s="3">
        <v>0.10795095390216228</v>
      </c>
      <c r="K3020" s="3">
        <v>0.12101459485258223</v>
      </c>
      <c r="L3020" t="s">
        <v>54</v>
      </c>
    </row>
    <row r="3021" spans="1:12" x14ac:dyDescent="0.25">
      <c r="A3021" t="s">
        <v>487</v>
      </c>
      <c r="B3021" t="s">
        <v>463</v>
      </c>
      <c r="C3021" t="s">
        <v>464</v>
      </c>
      <c r="D3021" t="s">
        <v>140</v>
      </c>
      <c r="E3021" t="s">
        <v>144</v>
      </c>
      <c r="F3021">
        <v>2</v>
      </c>
      <c r="G3021" t="s">
        <v>498</v>
      </c>
      <c r="H3021" s="4">
        <v>40985442</v>
      </c>
      <c r="I3021" s="4">
        <v>37320260</v>
      </c>
      <c r="J3021" s="3">
        <v>0.08942643585495552</v>
      </c>
      <c r="K3021" s="3">
        <v>0.09820890851242729</v>
      </c>
      <c r="L3021" t="s">
        <v>54</v>
      </c>
    </row>
    <row r="3022" spans="1:12" x14ac:dyDescent="0.25">
      <c r="A3022" t="s">
        <v>487</v>
      </c>
      <c r="B3022" t="s">
        <v>463</v>
      </c>
      <c r="C3022" t="s">
        <v>464</v>
      </c>
      <c r="D3022" t="s">
        <v>140</v>
      </c>
      <c r="E3022" t="s">
        <v>144</v>
      </c>
      <c r="F3022">
        <v>2</v>
      </c>
      <c r="G3022" t="s">
        <v>499</v>
      </c>
      <c r="H3022" s="4">
        <v>40985442</v>
      </c>
      <c r="I3022" s="4">
        <v>35590483</v>
      </c>
      <c r="J3022" s="3">
        <v>0.13163110452730997</v>
      </c>
      <c r="K3022" s="3">
        <v>0.1515843153912803</v>
      </c>
      <c r="L3022" t="s">
        <v>54</v>
      </c>
    </row>
    <row r="3023" spans="1:12" x14ac:dyDescent="0.25">
      <c r="A3023" t="s">
        <v>487</v>
      </c>
      <c r="B3023" t="s">
        <v>463</v>
      </c>
      <c r="C3023" t="s">
        <v>464</v>
      </c>
      <c r="D3023" t="s">
        <v>140</v>
      </c>
      <c r="E3023" t="s">
        <v>146</v>
      </c>
      <c r="F3023">
        <v>3</v>
      </c>
      <c r="G3023" t="s">
        <v>488</v>
      </c>
      <c r="H3023" s="4">
        <v>35219074</v>
      </c>
      <c r="I3023" s="4">
        <v>33490303.80796404</v>
      </c>
      <c r="J3023" s="3">
        <v>0.04908619096674598</v>
      </c>
      <c r="K3023" s="3">
        <v>0.05162002118430631</v>
      </c>
      <c r="L3023" t="s">
        <v>54</v>
      </c>
    </row>
    <row r="3024" spans="1:12" x14ac:dyDescent="0.25">
      <c r="A3024" t="s">
        <v>487</v>
      </c>
      <c r="B3024" t="s">
        <v>463</v>
      </c>
      <c r="C3024" t="s">
        <v>464</v>
      </c>
      <c r="D3024" t="s">
        <v>140</v>
      </c>
      <c r="E3024" t="s">
        <v>146</v>
      </c>
      <c r="F3024">
        <v>3</v>
      </c>
      <c r="G3024" t="s">
        <v>498</v>
      </c>
      <c r="H3024" s="4">
        <v>35219074</v>
      </c>
      <c r="I3024" s="4">
        <v>34185772</v>
      </c>
      <c r="J3024" s="3">
        <v>0.029339272236402356</v>
      </c>
      <c r="K3024" s="3">
        <v>0.030226083529721077</v>
      </c>
      <c r="L3024" t="s">
        <v>54</v>
      </c>
    </row>
    <row r="3025" spans="1:12" x14ac:dyDescent="0.25">
      <c r="A3025" t="s">
        <v>487</v>
      </c>
      <c r="B3025" t="s">
        <v>463</v>
      </c>
      <c r="C3025" t="s">
        <v>464</v>
      </c>
      <c r="D3025" t="s">
        <v>140</v>
      </c>
      <c r="E3025" t="s">
        <v>146</v>
      </c>
      <c r="F3025">
        <v>3</v>
      </c>
      <c r="G3025" t="s">
        <v>499</v>
      </c>
      <c r="H3025" s="4">
        <v>35219074</v>
      </c>
      <c r="I3025" s="4">
        <v>35590483</v>
      </c>
      <c r="J3025" s="3">
        <v>0.010545677606401576</v>
      </c>
      <c r="K3025" s="3">
        <v>-0.010435626850020552</v>
      </c>
      <c r="L3025" t="s">
        <v>54</v>
      </c>
    </row>
    <row r="3026" spans="1:12" x14ac:dyDescent="0.25">
      <c r="A3026" t="s">
        <v>487</v>
      </c>
      <c r="B3026" t="s">
        <v>463</v>
      </c>
      <c r="C3026" t="s">
        <v>464</v>
      </c>
      <c r="D3026" t="s">
        <v>142</v>
      </c>
      <c r="E3026" t="s">
        <v>144</v>
      </c>
      <c r="F3026">
        <v>1</v>
      </c>
      <c r="G3026" t="s">
        <v>488</v>
      </c>
      <c r="H3026" s="4">
        <v>40985442</v>
      </c>
      <c r="I3026" s="4">
        <v>37509688.964354925</v>
      </c>
      <c r="J3026" s="3">
        <v>0.0848045761137595</v>
      </c>
      <c r="K3026" s="3">
        <v>0.09266280610719134</v>
      </c>
      <c r="L3026" t="s">
        <v>54</v>
      </c>
    </row>
    <row r="3027" spans="1:12" x14ac:dyDescent="0.25">
      <c r="A3027" t="s">
        <v>487</v>
      </c>
      <c r="B3027" t="s">
        <v>463</v>
      </c>
      <c r="C3027" t="s">
        <v>464</v>
      </c>
      <c r="D3027" t="s">
        <v>142</v>
      </c>
      <c r="E3027" t="s">
        <v>144</v>
      </c>
      <c r="F3027">
        <v>1</v>
      </c>
      <c r="G3027" t="s">
        <v>498</v>
      </c>
      <c r="H3027" s="4">
        <v>40985442</v>
      </c>
      <c r="I3027" s="4">
        <v>37320260</v>
      </c>
      <c r="J3027" s="3">
        <v>0.08942643585495552</v>
      </c>
      <c r="K3027" s="3">
        <v>0.09820890851242729</v>
      </c>
      <c r="L3027" t="s">
        <v>54</v>
      </c>
    </row>
    <row r="3028" spans="1:12" x14ac:dyDescent="0.25">
      <c r="A3028" t="s">
        <v>487</v>
      </c>
      <c r="B3028" t="s">
        <v>463</v>
      </c>
      <c r="C3028" t="s">
        <v>464</v>
      </c>
      <c r="D3028" t="s">
        <v>142</v>
      </c>
      <c r="E3028" t="s">
        <v>144</v>
      </c>
      <c r="F3028">
        <v>1</v>
      </c>
      <c r="G3028" t="s">
        <v>499</v>
      </c>
      <c r="H3028" s="4">
        <v>40985442</v>
      </c>
      <c r="I3028" s="4">
        <v>35680594</v>
      </c>
      <c r="J3028" s="3">
        <v>0.1294324945916162</v>
      </c>
      <c r="K3028" s="3">
        <v>0.14867600018093868</v>
      </c>
      <c r="L3028" t="s">
        <v>54</v>
      </c>
    </row>
    <row r="3029" spans="1:12" x14ac:dyDescent="0.25">
      <c r="A3029" t="s">
        <v>487</v>
      </c>
      <c r="B3029" t="s">
        <v>463</v>
      </c>
      <c r="C3029" t="s">
        <v>464</v>
      </c>
      <c r="D3029" t="s">
        <v>142</v>
      </c>
      <c r="E3029" t="s">
        <v>146</v>
      </c>
      <c r="F3029">
        <v>2</v>
      </c>
      <c r="G3029" t="s">
        <v>488</v>
      </c>
      <c r="H3029" s="4">
        <v>35219074</v>
      </c>
      <c r="I3029" s="4">
        <v>34359291.03190475</v>
      </c>
      <c r="J3029" s="3">
        <v>0.024412424020439902</v>
      </c>
      <c r="K3029" s="3">
        <v>0.025023303516271283</v>
      </c>
      <c r="L3029" t="s">
        <v>54</v>
      </c>
    </row>
    <row r="3030" spans="1:12" x14ac:dyDescent="0.25">
      <c r="A3030" t="s">
        <v>487</v>
      </c>
      <c r="B3030" t="s">
        <v>463</v>
      </c>
      <c r="C3030" t="s">
        <v>464</v>
      </c>
      <c r="D3030" t="s">
        <v>142</v>
      </c>
      <c r="E3030" t="s">
        <v>146</v>
      </c>
      <c r="F3030">
        <v>2</v>
      </c>
      <c r="G3030" t="s">
        <v>498</v>
      </c>
      <c r="H3030" s="4">
        <v>35219074</v>
      </c>
      <c r="I3030" s="4">
        <v>34185772</v>
      </c>
      <c r="J3030" s="3">
        <v>0.029339272236402356</v>
      </c>
      <c r="K3030" s="3">
        <v>0.030226083529721077</v>
      </c>
      <c r="L3030" t="s">
        <v>54</v>
      </c>
    </row>
    <row r="3031" spans="1:12" x14ac:dyDescent="0.25">
      <c r="A3031" t="s">
        <v>487</v>
      </c>
      <c r="B3031" t="s">
        <v>463</v>
      </c>
      <c r="C3031" t="s">
        <v>464</v>
      </c>
      <c r="D3031" t="s">
        <v>142</v>
      </c>
      <c r="E3031" t="s">
        <v>146</v>
      </c>
      <c r="F3031">
        <v>2</v>
      </c>
      <c r="G3031" t="s">
        <v>499</v>
      </c>
      <c r="H3031" s="4">
        <v>35219074</v>
      </c>
      <c r="I3031" s="4">
        <v>35680594</v>
      </c>
      <c r="J3031" s="3">
        <v>0.013104262763978405</v>
      </c>
      <c r="K3031" s="3">
        <v>-0.012934762240785566</v>
      </c>
      <c r="L3031" t="s">
        <v>54</v>
      </c>
    </row>
    <row r="3032" spans="1:12" x14ac:dyDescent="0.25">
      <c r="A3032" t="s">
        <v>487</v>
      </c>
      <c r="B3032" t="s">
        <v>463</v>
      </c>
      <c r="C3032" t="s">
        <v>464</v>
      </c>
      <c r="D3032" t="s">
        <v>142</v>
      </c>
      <c r="E3032" t="s">
        <v>148</v>
      </c>
      <c r="F3032">
        <v>3</v>
      </c>
      <c r="G3032" t="s">
        <v>488</v>
      </c>
      <c r="H3032" s="4">
        <v>29843127</v>
      </c>
      <c r="I3032" s="4">
        <v>24830377.74067753</v>
      </c>
      <c r="J3032" s="3">
        <v>0.1679699737672419</v>
      </c>
      <c r="K3032" s="3">
        <v>0.20187970201961528</v>
      </c>
      <c r="L3032" t="s">
        <v>54</v>
      </c>
    </row>
    <row r="3033" spans="1:12" x14ac:dyDescent="0.25">
      <c r="A3033" t="s">
        <v>487</v>
      </c>
      <c r="B3033" t="s">
        <v>463</v>
      </c>
      <c r="C3033" t="s">
        <v>464</v>
      </c>
      <c r="D3033" t="s">
        <v>142</v>
      </c>
      <c r="E3033" t="s">
        <v>148</v>
      </c>
      <c r="F3033">
        <v>3</v>
      </c>
      <c r="G3033" t="s">
        <v>498</v>
      </c>
      <c r="H3033" s="4">
        <v>29843127</v>
      </c>
      <c r="I3033" s="4">
        <v>24704981</v>
      </c>
      <c r="J3033" s="3">
        <v>0.1721718370866431</v>
      </c>
      <c r="K3033" s="3">
        <v>0.20798016400012612</v>
      </c>
      <c r="L3033" t="s">
        <v>54</v>
      </c>
    </row>
    <row r="3034" spans="1:12" x14ac:dyDescent="0.25">
      <c r="A3034" t="s">
        <v>487</v>
      </c>
      <c r="B3034" t="s">
        <v>463</v>
      </c>
      <c r="C3034" t="s">
        <v>464</v>
      </c>
      <c r="D3034" t="s">
        <v>142</v>
      </c>
      <c r="E3034" t="s">
        <v>148</v>
      </c>
      <c r="F3034">
        <v>3</v>
      </c>
      <c r="G3034" t="s">
        <v>499</v>
      </c>
      <c r="H3034" s="4">
        <v>29843127</v>
      </c>
      <c r="I3034" s="4">
        <v>35680594</v>
      </c>
      <c r="J3034" s="3">
        <v>0.1956050718143578</v>
      </c>
      <c r="K3034" s="3">
        <v>-0.16360341422567123</v>
      </c>
      <c r="L3034" t="s">
        <v>54</v>
      </c>
    </row>
    <row r="3035" spans="1:12" x14ac:dyDescent="0.25">
      <c r="A3035" t="s">
        <v>487</v>
      </c>
      <c r="B3035" t="s">
        <v>463</v>
      </c>
      <c r="C3035" t="s">
        <v>464</v>
      </c>
      <c r="D3035" t="s">
        <v>144</v>
      </c>
      <c r="E3035" t="s">
        <v>146</v>
      </c>
      <c r="F3035">
        <v>1</v>
      </c>
      <c r="G3035" t="s">
        <v>488</v>
      </c>
      <c r="H3035" s="4">
        <v>35219074</v>
      </c>
      <c r="I3035" s="4">
        <v>34867824.461973906</v>
      </c>
      <c r="J3035" s="3">
        <v>0.009973275788741477</v>
      </c>
      <c r="K3035" s="3">
        <v>0.010073744016038614</v>
      </c>
      <c r="L3035" t="s">
        <v>54</v>
      </c>
    </row>
    <row r="3036" spans="1:12" x14ac:dyDescent="0.25">
      <c r="A3036" t="s">
        <v>487</v>
      </c>
      <c r="B3036" t="s">
        <v>463</v>
      </c>
      <c r="C3036" t="s">
        <v>464</v>
      </c>
      <c r="D3036" t="s">
        <v>144</v>
      </c>
      <c r="E3036" t="s">
        <v>146</v>
      </c>
      <c r="F3036">
        <v>1</v>
      </c>
      <c r="G3036" t="s">
        <v>498</v>
      </c>
      <c r="H3036" s="4">
        <v>35219074</v>
      </c>
      <c r="I3036" s="4">
        <v>34185772</v>
      </c>
      <c r="J3036" s="3">
        <v>0.029339272236402356</v>
      </c>
      <c r="K3036" s="3">
        <v>0.030226083529721077</v>
      </c>
      <c r="L3036" t="s">
        <v>54</v>
      </c>
    </row>
    <row r="3037" spans="1:12" x14ac:dyDescent="0.25">
      <c r="A3037" t="s">
        <v>487</v>
      </c>
      <c r="B3037" t="s">
        <v>463</v>
      </c>
      <c r="C3037" t="s">
        <v>464</v>
      </c>
      <c r="D3037" t="s">
        <v>144</v>
      </c>
      <c r="E3037" t="s">
        <v>146</v>
      </c>
      <c r="F3037">
        <v>1</v>
      </c>
      <c r="G3037" t="s">
        <v>499</v>
      </c>
      <c r="H3037" s="4">
        <v>35219074</v>
      </c>
      <c r="I3037" s="4">
        <v>40985442</v>
      </c>
      <c r="J3037" s="3">
        <v>0.16372855231798542</v>
      </c>
      <c r="K3037" s="3">
        <v>-0.14069307828862745</v>
      </c>
      <c r="L3037" t="s">
        <v>54</v>
      </c>
    </row>
    <row r="3038" spans="1:12" x14ac:dyDescent="0.25">
      <c r="A3038" t="s">
        <v>487</v>
      </c>
      <c r="B3038" t="s">
        <v>463</v>
      </c>
      <c r="C3038" t="s">
        <v>464</v>
      </c>
      <c r="D3038" t="s">
        <v>144</v>
      </c>
      <c r="E3038" t="s">
        <v>148</v>
      </c>
      <c r="F3038">
        <v>2</v>
      </c>
      <c r="G3038" t="s">
        <v>488</v>
      </c>
      <c r="H3038" s="4">
        <v>29843127</v>
      </c>
      <c r="I3038" s="4">
        <v>25197878.838143554</v>
      </c>
      <c r="J3038" s="3">
        <v>0.15565554379929578</v>
      </c>
      <c r="K3038" s="3">
        <v>0.18435076189130067</v>
      </c>
      <c r="L3038" t="s">
        <v>54</v>
      </c>
    </row>
    <row r="3039" spans="1:12" x14ac:dyDescent="0.25">
      <c r="A3039" t="s">
        <v>487</v>
      </c>
      <c r="B3039" t="s">
        <v>463</v>
      </c>
      <c r="C3039" t="s">
        <v>464</v>
      </c>
      <c r="D3039" t="s">
        <v>144</v>
      </c>
      <c r="E3039" t="s">
        <v>148</v>
      </c>
      <c r="F3039">
        <v>2</v>
      </c>
      <c r="G3039" t="s">
        <v>498</v>
      </c>
      <c r="H3039" s="4">
        <v>29843127</v>
      </c>
      <c r="I3039" s="4">
        <v>24704981</v>
      </c>
      <c r="J3039" s="3">
        <v>0.1721718370866431</v>
      </c>
      <c r="K3039" s="3">
        <v>0.20798016400012612</v>
      </c>
      <c r="L3039" t="s">
        <v>54</v>
      </c>
    </row>
    <row r="3040" spans="1:12" x14ac:dyDescent="0.25">
      <c r="A3040" t="s">
        <v>487</v>
      </c>
      <c r="B3040" t="s">
        <v>463</v>
      </c>
      <c r="C3040" t="s">
        <v>464</v>
      </c>
      <c r="D3040" t="s">
        <v>144</v>
      </c>
      <c r="E3040" t="s">
        <v>148</v>
      </c>
      <c r="F3040">
        <v>2</v>
      </c>
      <c r="G3040" t="s">
        <v>499</v>
      </c>
      <c r="H3040" s="4">
        <v>29843127</v>
      </c>
      <c r="I3040" s="4">
        <v>40985442</v>
      </c>
      <c r="J3040" s="3">
        <v>0.37336285168776046</v>
      </c>
      <c r="K3040" s="3">
        <v>-0.27186031079035333</v>
      </c>
      <c r="L3040" t="s">
        <v>54</v>
      </c>
    </row>
    <row r="3041" spans="1:12" x14ac:dyDescent="0.25">
      <c r="A3041" t="s">
        <v>487</v>
      </c>
      <c r="B3041" t="s">
        <v>463</v>
      </c>
      <c r="C3041" t="s">
        <v>464</v>
      </c>
      <c r="D3041" t="s">
        <v>144</v>
      </c>
      <c r="E3041" t="s">
        <v>150</v>
      </c>
      <c r="F3041">
        <v>3</v>
      </c>
      <c r="G3041" t="s">
        <v>488</v>
      </c>
      <c r="H3041" s="4">
        <v>31430725</v>
      </c>
      <c r="I3041" s="4">
        <v>26898318.277774762</v>
      </c>
      <c r="J3041" s="3">
        <v>0.14420305997476157</v>
      </c>
      <c r="K3041" s="3">
        <v>0.16850149051772592</v>
      </c>
      <c r="L3041" t="s">
        <v>54</v>
      </c>
    </row>
    <row r="3042" spans="1:12" x14ac:dyDescent="0.25">
      <c r="A3042" t="s">
        <v>487</v>
      </c>
      <c r="B3042" t="s">
        <v>463</v>
      </c>
      <c r="C3042" t="s">
        <v>464</v>
      </c>
      <c r="D3042" t="s">
        <v>144</v>
      </c>
      <c r="E3042" t="s">
        <v>150</v>
      </c>
      <c r="F3042">
        <v>3</v>
      </c>
      <c r="G3042" t="s">
        <v>498</v>
      </c>
      <c r="H3042" s="4">
        <v>31430725</v>
      </c>
      <c r="I3042" s="4">
        <v>26372158</v>
      </c>
      <c r="J3042" s="3">
        <v>0.16094337626637628</v>
      </c>
      <c r="K3042" s="3">
        <v>0.19181467819205392</v>
      </c>
      <c r="L3042" t="s">
        <v>54</v>
      </c>
    </row>
    <row r="3043" spans="1:12" x14ac:dyDescent="0.25">
      <c r="A3043" t="s">
        <v>487</v>
      </c>
      <c r="B3043" t="s">
        <v>463</v>
      </c>
      <c r="C3043" t="s">
        <v>464</v>
      </c>
      <c r="D3043" t="s">
        <v>144</v>
      </c>
      <c r="E3043" t="s">
        <v>150</v>
      </c>
      <c r="F3043">
        <v>3</v>
      </c>
      <c r="G3043" t="s">
        <v>499</v>
      </c>
      <c r="H3043" s="4">
        <v>31430725</v>
      </c>
      <c r="I3043" s="4">
        <v>40985442</v>
      </c>
      <c r="J3043" s="3">
        <v>0.3039928923052205</v>
      </c>
      <c r="K3043" s="3">
        <v>-0.23312465435897947</v>
      </c>
      <c r="L3043" t="s">
        <v>54</v>
      </c>
    </row>
    <row r="3044" spans="1:12" x14ac:dyDescent="0.25">
      <c r="A3044" t="s">
        <v>487</v>
      </c>
      <c r="B3044" t="s">
        <v>463</v>
      </c>
      <c r="C3044" t="s">
        <v>464</v>
      </c>
      <c r="D3044" t="s">
        <v>146</v>
      </c>
      <c r="E3044" t="s">
        <v>148</v>
      </c>
      <c r="F3044">
        <v>1</v>
      </c>
      <c r="G3044" t="s">
        <v>488</v>
      </c>
      <c r="H3044" s="4">
        <v>29843127</v>
      </c>
      <c r="I3044" s="4">
        <v>25052108.066686437</v>
      </c>
      <c r="J3044" s="3">
        <v>0.16054011140701052</v>
      </c>
      <c r="K3044" s="3">
        <v>0.1912421469905968</v>
      </c>
      <c r="L3044" t="s">
        <v>54</v>
      </c>
    </row>
    <row r="3045" spans="1:12" x14ac:dyDescent="0.25">
      <c r="A3045" t="s">
        <v>487</v>
      </c>
      <c r="B3045" t="s">
        <v>463</v>
      </c>
      <c r="C3045" t="s">
        <v>464</v>
      </c>
      <c r="D3045" t="s">
        <v>146</v>
      </c>
      <c r="E3045" t="s">
        <v>148</v>
      </c>
      <c r="F3045">
        <v>1</v>
      </c>
      <c r="G3045" t="s">
        <v>498</v>
      </c>
      <c r="H3045" s="4">
        <v>29843127</v>
      </c>
      <c r="I3045" s="4">
        <v>24704981</v>
      </c>
      <c r="J3045" s="3">
        <v>0.1721718370866431</v>
      </c>
      <c r="K3045" s="3">
        <v>0.20798016400012612</v>
      </c>
      <c r="L3045" t="s">
        <v>54</v>
      </c>
    </row>
    <row r="3046" spans="1:12" x14ac:dyDescent="0.25">
      <c r="A3046" t="s">
        <v>487</v>
      </c>
      <c r="B3046" t="s">
        <v>463</v>
      </c>
      <c r="C3046" t="s">
        <v>464</v>
      </c>
      <c r="D3046" t="s">
        <v>146</v>
      </c>
      <c r="E3046" t="s">
        <v>148</v>
      </c>
      <c r="F3046">
        <v>1</v>
      </c>
      <c r="G3046" t="s">
        <v>499</v>
      </c>
      <c r="H3046" s="4">
        <v>29843127</v>
      </c>
      <c r="I3046" s="4">
        <v>35219074</v>
      </c>
      <c r="J3046" s="3">
        <v>0.18014020447656173</v>
      </c>
      <c r="K3046" s="3">
        <v>-0.15264305359079003</v>
      </c>
      <c r="L3046" t="s">
        <v>54</v>
      </c>
    </row>
    <row r="3047" spans="1:12" x14ac:dyDescent="0.25">
      <c r="A3047" t="s">
        <v>487</v>
      </c>
      <c r="B3047" t="s">
        <v>463</v>
      </c>
      <c r="C3047" t="s">
        <v>464</v>
      </c>
      <c r="D3047" t="s">
        <v>146</v>
      </c>
      <c r="E3047" t="s">
        <v>150</v>
      </c>
      <c r="F3047">
        <v>2</v>
      </c>
      <c r="G3047" t="s">
        <v>488</v>
      </c>
      <c r="H3047" s="4">
        <v>31430725</v>
      </c>
      <c r="I3047" s="4">
        <v>26742710.3938161</v>
      </c>
      <c r="J3047" s="3">
        <v>0.14915388067516425</v>
      </c>
      <c r="K3047" s="3">
        <v>0.17530065341723713</v>
      </c>
      <c r="L3047" t="s">
        <v>54</v>
      </c>
    </row>
    <row r="3048" spans="1:12" x14ac:dyDescent="0.25">
      <c r="A3048" t="s">
        <v>487</v>
      </c>
      <c r="B3048" t="s">
        <v>463</v>
      </c>
      <c r="C3048" t="s">
        <v>464</v>
      </c>
      <c r="D3048" t="s">
        <v>146</v>
      </c>
      <c r="E3048" t="s">
        <v>150</v>
      </c>
      <c r="F3048">
        <v>2</v>
      </c>
      <c r="G3048" t="s">
        <v>498</v>
      </c>
      <c r="H3048" s="4">
        <v>31430725</v>
      </c>
      <c r="I3048" s="4">
        <v>26372158</v>
      </c>
      <c r="J3048" s="3">
        <v>0.16094337626637628</v>
      </c>
      <c r="K3048" s="3">
        <v>0.19181467819205392</v>
      </c>
      <c r="L3048" t="s">
        <v>54</v>
      </c>
    </row>
    <row r="3049" spans="1:12" x14ac:dyDescent="0.25">
      <c r="A3049" t="s">
        <v>487</v>
      </c>
      <c r="B3049" t="s">
        <v>463</v>
      </c>
      <c r="C3049" t="s">
        <v>464</v>
      </c>
      <c r="D3049" t="s">
        <v>146</v>
      </c>
      <c r="E3049" t="s">
        <v>150</v>
      </c>
      <c r="F3049">
        <v>2</v>
      </c>
      <c r="G3049" t="s">
        <v>499</v>
      </c>
      <c r="H3049" s="4">
        <v>31430725</v>
      </c>
      <c r="I3049" s="4">
        <v>35219074</v>
      </c>
      <c r="J3049" s="3">
        <v>0.12053011822030832</v>
      </c>
      <c r="K3049" s="3">
        <v>-0.10756526420882048</v>
      </c>
      <c r="L3049" t="s">
        <v>54</v>
      </c>
    </row>
    <row r="3050" spans="1:12" x14ac:dyDescent="0.25">
      <c r="A3050" t="s">
        <v>487</v>
      </c>
      <c r="B3050" t="s">
        <v>463</v>
      </c>
      <c r="C3050" t="s">
        <v>464</v>
      </c>
      <c r="D3050" t="s">
        <v>146</v>
      </c>
      <c r="E3050" t="s">
        <v>152</v>
      </c>
      <c r="F3050">
        <v>3</v>
      </c>
      <c r="G3050" t="s">
        <v>488</v>
      </c>
      <c r="H3050" s="4">
        <v>30466515</v>
      </c>
      <c r="I3050" s="4">
        <v>28546720.1167153</v>
      </c>
      <c r="J3050" s="3">
        <v>0.06301327484566906</v>
      </c>
      <c r="K3050" s="3">
        <v>0.06725097928712934</v>
      </c>
      <c r="L3050" t="s">
        <v>54</v>
      </c>
    </row>
    <row r="3051" spans="1:12" x14ac:dyDescent="0.25">
      <c r="A3051" t="s">
        <v>487</v>
      </c>
      <c r="B3051" t="s">
        <v>463</v>
      </c>
      <c r="C3051" t="s">
        <v>464</v>
      </c>
      <c r="D3051" t="s">
        <v>146</v>
      </c>
      <c r="E3051" t="s">
        <v>152</v>
      </c>
      <c r="F3051">
        <v>3</v>
      </c>
      <c r="G3051" t="s">
        <v>498</v>
      </c>
      <c r="H3051" s="4">
        <v>30466515</v>
      </c>
      <c r="I3051" s="4">
        <v>28151171</v>
      </c>
      <c r="J3051" s="3">
        <v>0.07599635206061474</v>
      </c>
      <c r="K3051" s="3">
        <v>0.08224680955545331</v>
      </c>
      <c r="L3051" t="s">
        <v>54</v>
      </c>
    </row>
    <row r="3052" spans="1:12" x14ac:dyDescent="0.25">
      <c r="A3052" t="s">
        <v>487</v>
      </c>
      <c r="B3052" t="s">
        <v>463</v>
      </c>
      <c r="C3052" t="s">
        <v>464</v>
      </c>
      <c r="D3052" t="s">
        <v>146</v>
      </c>
      <c r="E3052" t="s">
        <v>152</v>
      </c>
      <c r="F3052">
        <v>3</v>
      </c>
      <c r="G3052" t="s">
        <v>499</v>
      </c>
      <c r="H3052" s="4">
        <v>30466515</v>
      </c>
      <c r="I3052" s="4">
        <v>35219074</v>
      </c>
      <c r="J3052" s="3">
        <v>0.1559928662664568</v>
      </c>
      <c r="K3052" s="3">
        <v>-0.13494275857451563</v>
      </c>
      <c r="L3052" t="s">
        <v>54</v>
      </c>
    </row>
    <row r="3053" spans="1:12" x14ac:dyDescent="0.25">
      <c r="A3053" t="s">
        <v>487</v>
      </c>
      <c r="B3053" t="s">
        <v>463</v>
      </c>
      <c r="C3053" t="s">
        <v>464</v>
      </c>
      <c r="D3053" t="s">
        <v>148</v>
      </c>
      <c r="E3053" t="s">
        <v>150</v>
      </c>
      <c r="F3053">
        <v>1</v>
      </c>
      <c r="G3053" t="s">
        <v>488</v>
      </c>
      <c r="H3053" s="4">
        <v>31430725</v>
      </c>
      <c r="I3053" s="4">
        <v>27060574.536531415</v>
      </c>
      <c r="J3053" s="3">
        <v>0.13904071457049066</v>
      </c>
      <c r="K3053" s="3">
        <v>0.16149511007495204</v>
      </c>
      <c r="L3053" t="s">
        <v>54</v>
      </c>
    </row>
    <row r="3054" spans="1:12" x14ac:dyDescent="0.25">
      <c r="A3054" t="s">
        <v>487</v>
      </c>
      <c r="B3054" t="s">
        <v>463</v>
      </c>
      <c r="C3054" t="s">
        <v>464</v>
      </c>
      <c r="D3054" t="s">
        <v>148</v>
      </c>
      <c r="E3054" t="s">
        <v>150</v>
      </c>
      <c r="F3054">
        <v>1</v>
      </c>
      <c r="G3054" t="s">
        <v>498</v>
      </c>
      <c r="H3054" s="4">
        <v>31430725</v>
      </c>
      <c r="I3054" s="4">
        <v>26372158</v>
      </c>
      <c r="J3054" s="3">
        <v>0.16094337626637628</v>
      </c>
      <c r="K3054" s="3">
        <v>0.19181467819205392</v>
      </c>
      <c r="L3054" t="s">
        <v>54</v>
      </c>
    </row>
    <row r="3055" spans="1:12" x14ac:dyDescent="0.25">
      <c r="A3055" t="s">
        <v>487</v>
      </c>
      <c r="B3055" t="s">
        <v>463</v>
      </c>
      <c r="C3055" t="s">
        <v>464</v>
      </c>
      <c r="D3055" t="s">
        <v>148</v>
      </c>
      <c r="E3055" t="s">
        <v>150</v>
      </c>
      <c r="F3055">
        <v>1</v>
      </c>
      <c r="G3055" t="s">
        <v>499</v>
      </c>
      <c r="H3055" s="4">
        <v>31430725</v>
      </c>
      <c r="I3055" s="4">
        <v>29843127</v>
      </c>
      <c r="J3055" s="3">
        <v>0.0505110206652885</v>
      </c>
      <c r="K3055" s="3">
        <v>0.05319811157858893</v>
      </c>
      <c r="L3055" t="s">
        <v>54</v>
      </c>
    </row>
    <row r="3056" spans="1:12" x14ac:dyDescent="0.25">
      <c r="A3056" t="s">
        <v>487</v>
      </c>
      <c r="B3056" t="s">
        <v>463</v>
      </c>
      <c r="C3056" t="s">
        <v>464</v>
      </c>
      <c r="D3056" t="s">
        <v>148</v>
      </c>
      <c r="E3056" t="s">
        <v>152</v>
      </c>
      <c r="F3056">
        <v>2</v>
      </c>
      <c r="G3056" t="s">
        <v>488</v>
      </c>
      <c r="H3056" s="4">
        <v>30466515</v>
      </c>
      <c r="I3056" s="4">
        <v>28886026.738355715</v>
      </c>
      <c r="J3056" s="3">
        <v>0.05187624057573652</v>
      </c>
      <c r="K3056" s="3">
        <v>0.05471462987831644</v>
      </c>
      <c r="L3056" t="s">
        <v>54</v>
      </c>
    </row>
    <row r="3057" spans="1:12" x14ac:dyDescent="0.25">
      <c r="A3057" t="s">
        <v>487</v>
      </c>
      <c r="B3057" t="s">
        <v>463</v>
      </c>
      <c r="C3057" t="s">
        <v>464</v>
      </c>
      <c r="D3057" t="s">
        <v>148</v>
      </c>
      <c r="E3057" t="s">
        <v>152</v>
      </c>
      <c r="F3057">
        <v>2</v>
      </c>
      <c r="G3057" t="s">
        <v>498</v>
      </c>
      <c r="H3057" s="4">
        <v>30466515</v>
      </c>
      <c r="I3057" s="4">
        <v>28151171</v>
      </c>
      <c r="J3057" s="3">
        <v>0.07599635206061474</v>
      </c>
      <c r="K3057" s="3">
        <v>0.08224680955545331</v>
      </c>
      <c r="L3057" t="s">
        <v>54</v>
      </c>
    </row>
    <row r="3058" spans="1:12" x14ac:dyDescent="0.25">
      <c r="A3058" t="s">
        <v>487</v>
      </c>
      <c r="B3058" t="s">
        <v>463</v>
      </c>
      <c r="C3058" t="s">
        <v>464</v>
      </c>
      <c r="D3058" t="s">
        <v>148</v>
      </c>
      <c r="E3058" t="s">
        <v>152</v>
      </c>
      <c r="F3058">
        <v>2</v>
      </c>
      <c r="G3058" t="s">
        <v>499</v>
      </c>
      <c r="H3058" s="4">
        <v>30466515</v>
      </c>
      <c r="I3058" s="4">
        <v>29843127</v>
      </c>
      <c r="J3058" s="3">
        <v>0.020461414769624948</v>
      </c>
      <c r="K3058" s="3">
        <v>0.02088882977980156</v>
      </c>
      <c r="L3058" t="s">
        <v>54</v>
      </c>
    </row>
    <row r="3059" spans="1:12" x14ac:dyDescent="0.25">
      <c r="A3059" t="s">
        <v>487</v>
      </c>
      <c r="B3059" t="s">
        <v>463</v>
      </c>
      <c r="C3059" t="s">
        <v>464</v>
      </c>
      <c r="D3059" t="s">
        <v>148</v>
      </c>
      <c r="E3059" t="s">
        <v>154</v>
      </c>
      <c r="F3059">
        <v>3</v>
      </c>
      <c r="G3059" t="s">
        <v>488</v>
      </c>
      <c r="H3059" s="4">
        <v>20572088</v>
      </c>
      <c r="I3059" s="4">
        <v>19342776.019892577</v>
      </c>
      <c r="J3059" s="3">
        <v>0.05975630573364371</v>
      </c>
      <c r="K3059" s="3">
        <v>0.06355406167362786</v>
      </c>
      <c r="L3059" t="s">
        <v>54</v>
      </c>
    </row>
    <row r="3060" spans="1:12" x14ac:dyDescent="0.25">
      <c r="A3060" t="s">
        <v>487</v>
      </c>
      <c r="B3060" t="s">
        <v>463</v>
      </c>
      <c r="C3060" t="s">
        <v>464</v>
      </c>
      <c r="D3060" t="s">
        <v>148</v>
      </c>
      <c r="E3060" t="s">
        <v>154</v>
      </c>
      <c r="F3060">
        <v>3</v>
      </c>
      <c r="G3060" t="s">
        <v>498</v>
      </c>
      <c r="H3060" s="4">
        <v>20572088</v>
      </c>
      <c r="I3060" s="4">
        <v>18850699</v>
      </c>
      <c r="J3060" s="3">
        <v>0.08367594966539128</v>
      </c>
      <c r="K3060" s="3">
        <v>0.09131698511551216</v>
      </c>
      <c r="L3060" t="s">
        <v>54</v>
      </c>
    </row>
    <row r="3061" spans="1:12" x14ac:dyDescent="0.25">
      <c r="A3061" t="s">
        <v>487</v>
      </c>
      <c r="B3061" t="s">
        <v>463</v>
      </c>
      <c r="C3061" t="s">
        <v>464</v>
      </c>
      <c r="D3061" t="s">
        <v>148</v>
      </c>
      <c r="E3061" t="s">
        <v>154</v>
      </c>
      <c r="F3061">
        <v>3</v>
      </c>
      <c r="G3061" t="s">
        <v>499</v>
      </c>
      <c r="H3061" s="4">
        <v>20572088</v>
      </c>
      <c r="I3061" s="4">
        <v>29843127</v>
      </c>
      <c r="J3061" s="3">
        <v>0.4506610607537747</v>
      </c>
      <c r="K3061" s="3">
        <v>-0.31065910083752285</v>
      </c>
      <c r="L3061" t="s">
        <v>54</v>
      </c>
    </row>
    <row r="3062" spans="1:12" x14ac:dyDescent="0.25">
      <c r="A3062" t="s">
        <v>487</v>
      </c>
      <c r="B3062" t="s">
        <v>463</v>
      </c>
      <c r="C3062" t="s">
        <v>464</v>
      </c>
      <c r="D3062" t="s">
        <v>150</v>
      </c>
      <c r="E3062" t="s">
        <v>152</v>
      </c>
      <c r="F3062">
        <v>1</v>
      </c>
      <c r="G3062" t="s">
        <v>488</v>
      </c>
      <c r="H3062" s="4">
        <v>30466515</v>
      </c>
      <c r="I3062" s="4">
        <v>29078080.422291905</v>
      </c>
      <c r="J3062" s="3">
        <v>0.04557247777463538</v>
      </c>
      <c r="K3062" s="3">
        <v>0.04774849500188088</v>
      </c>
      <c r="L3062" t="s">
        <v>54</v>
      </c>
    </row>
    <row r="3063" spans="1:12" x14ac:dyDescent="0.25">
      <c r="A3063" t="s">
        <v>487</v>
      </c>
      <c r="B3063" t="s">
        <v>463</v>
      </c>
      <c r="C3063" t="s">
        <v>464</v>
      </c>
      <c r="D3063" t="s">
        <v>150</v>
      </c>
      <c r="E3063" t="s">
        <v>152</v>
      </c>
      <c r="F3063">
        <v>1</v>
      </c>
      <c r="G3063" t="s">
        <v>498</v>
      </c>
      <c r="H3063" s="4">
        <v>30466515</v>
      </c>
      <c r="I3063" s="4">
        <v>28151171</v>
      </c>
      <c r="J3063" s="3">
        <v>0.07599635206061474</v>
      </c>
      <c r="K3063" s="3">
        <v>0.08224680955545331</v>
      </c>
      <c r="L3063" t="s">
        <v>54</v>
      </c>
    </row>
    <row r="3064" spans="1:12" x14ac:dyDescent="0.25">
      <c r="A3064" t="s">
        <v>487</v>
      </c>
      <c r="B3064" t="s">
        <v>463</v>
      </c>
      <c r="C3064" t="s">
        <v>464</v>
      </c>
      <c r="D3064" t="s">
        <v>150</v>
      </c>
      <c r="E3064" t="s">
        <v>152</v>
      </c>
      <c r="F3064">
        <v>1</v>
      </c>
      <c r="G3064" t="s">
        <v>499</v>
      </c>
      <c r="H3064" s="4">
        <v>30466515</v>
      </c>
      <c r="I3064" s="4">
        <v>31430725</v>
      </c>
      <c r="J3064" s="3">
        <v>0.03164818818299369</v>
      </c>
      <c r="K3064" s="3">
        <v>-0.030677306998168195</v>
      </c>
      <c r="L3064" t="s">
        <v>54</v>
      </c>
    </row>
    <row r="3065" spans="1:12" x14ac:dyDescent="0.25">
      <c r="A3065" t="s">
        <v>487</v>
      </c>
      <c r="B3065" t="s">
        <v>463</v>
      </c>
      <c r="C3065" t="s">
        <v>464</v>
      </c>
      <c r="D3065" t="s">
        <v>150</v>
      </c>
      <c r="E3065" t="s">
        <v>154</v>
      </c>
      <c r="F3065">
        <v>2</v>
      </c>
      <c r="G3065" t="s">
        <v>488</v>
      </c>
      <c r="H3065" s="4">
        <v>20572088</v>
      </c>
      <c r="I3065" s="4">
        <v>19471379.77096646</v>
      </c>
      <c r="J3065" s="3">
        <v>0.05350493489205087</v>
      </c>
      <c r="K3065" s="3">
        <v>0.0565295444894354</v>
      </c>
      <c r="L3065" t="s">
        <v>54</v>
      </c>
    </row>
    <row r="3066" spans="1:12" x14ac:dyDescent="0.25">
      <c r="A3066" t="s">
        <v>487</v>
      </c>
      <c r="B3066" t="s">
        <v>463</v>
      </c>
      <c r="C3066" t="s">
        <v>464</v>
      </c>
      <c r="D3066" t="s">
        <v>150</v>
      </c>
      <c r="E3066" t="s">
        <v>154</v>
      </c>
      <c r="F3066">
        <v>2</v>
      </c>
      <c r="G3066" t="s">
        <v>498</v>
      </c>
      <c r="H3066" s="4">
        <v>20572088</v>
      </c>
      <c r="I3066" s="4">
        <v>18850699</v>
      </c>
      <c r="J3066" s="3">
        <v>0.08367594966539128</v>
      </c>
      <c r="K3066" s="3">
        <v>0.09131698511551216</v>
      </c>
      <c r="L3066" t="s">
        <v>54</v>
      </c>
    </row>
    <row r="3067" spans="1:12" x14ac:dyDescent="0.25">
      <c r="A3067" t="s">
        <v>487</v>
      </c>
      <c r="B3067" t="s">
        <v>463</v>
      </c>
      <c r="C3067" t="s">
        <v>464</v>
      </c>
      <c r="D3067" t="s">
        <v>150</v>
      </c>
      <c r="E3067" t="s">
        <v>154</v>
      </c>
      <c r="F3067">
        <v>2</v>
      </c>
      <c r="G3067" t="s">
        <v>499</v>
      </c>
      <c r="H3067" s="4">
        <v>20572088</v>
      </c>
      <c r="I3067" s="4">
        <v>31430725</v>
      </c>
      <c r="J3067" s="3">
        <v>0.5278334897264683</v>
      </c>
      <c r="K3067" s="3">
        <v>-0.3454784132405473</v>
      </c>
      <c r="L3067" t="s">
        <v>54</v>
      </c>
    </row>
    <row r="3068" spans="1:12" x14ac:dyDescent="0.25">
      <c r="A3068" t="s">
        <v>487</v>
      </c>
      <c r="B3068" t="s">
        <v>463</v>
      </c>
      <c r="C3068" t="s">
        <v>464</v>
      </c>
      <c r="D3068" t="s">
        <v>150</v>
      </c>
      <c r="E3068" t="s">
        <v>156</v>
      </c>
      <c r="F3068">
        <v>3</v>
      </c>
      <c r="G3068" t="s">
        <v>488</v>
      </c>
      <c r="H3068" s="4">
        <v>18356302</v>
      </c>
      <c r="I3068" s="4">
        <v>15332192.690480651</v>
      </c>
      <c r="J3068" s="3">
        <v>0.1647450183331778</v>
      </c>
      <c r="K3068" s="3">
        <v>0.19723919276053303</v>
      </c>
      <c r="L3068" t="s">
        <v>54</v>
      </c>
    </row>
    <row r="3069" spans="1:12" x14ac:dyDescent="0.25">
      <c r="A3069" t="s">
        <v>487</v>
      </c>
      <c r="B3069" t="s">
        <v>463</v>
      </c>
      <c r="C3069" t="s">
        <v>464</v>
      </c>
      <c r="D3069" t="s">
        <v>150</v>
      </c>
      <c r="E3069" t="s">
        <v>156</v>
      </c>
      <c r="F3069">
        <v>3</v>
      </c>
      <c r="G3069" t="s">
        <v>498</v>
      </c>
      <c r="H3069" s="4">
        <v>18356302</v>
      </c>
      <c r="I3069" s="4">
        <v>14843455</v>
      </c>
      <c r="J3069" s="3">
        <v>0.1913700809672885</v>
      </c>
      <c r="K3069" s="3">
        <v>0.2366596590888038</v>
      </c>
      <c r="L3069" t="s">
        <v>54</v>
      </c>
    </row>
    <row r="3070" spans="1:12" x14ac:dyDescent="0.25">
      <c r="A3070" t="s">
        <v>487</v>
      </c>
      <c r="B3070" t="s">
        <v>463</v>
      </c>
      <c r="C3070" t="s">
        <v>464</v>
      </c>
      <c r="D3070" t="s">
        <v>150</v>
      </c>
      <c r="E3070" t="s">
        <v>156</v>
      </c>
      <c r="F3070">
        <v>3</v>
      </c>
      <c r="G3070" t="s">
        <v>499</v>
      </c>
      <c r="H3070" s="4">
        <v>18356302</v>
      </c>
      <c r="I3070" s="4">
        <v>31430725</v>
      </c>
      <c r="J3070" s="3">
        <v>0.7122580027284363</v>
      </c>
      <c r="K3070" s="3">
        <v>-0.41597586438111117</v>
      </c>
      <c r="L3070" t="s">
        <v>54</v>
      </c>
    </row>
    <row r="3071" spans="1:12" x14ac:dyDescent="0.25">
      <c r="A3071" t="s">
        <v>487</v>
      </c>
      <c r="B3071" t="s">
        <v>463</v>
      </c>
      <c r="C3071" t="s">
        <v>464</v>
      </c>
      <c r="D3071" t="s">
        <v>152</v>
      </c>
      <c r="E3071" t="s">
        <v>154</v>
      </c>
      <c r="F3071">
        <v>1</v>
      </c>
      <c r="G3071" t="s">
        <v>488</v>
      </c>
      <c r="H3071" s="4">
        <v>20572088</v>
      </c>
      <c r="I3071" s="4">
        <v>19522205.669160496</v>
      </c>
      <c r="J3071" s="3">
        <v>0.05103431070484939</v>
      </c>
      <c r="K3071" s="3">
        <v>0.053778878710309744</v>
      </c>
      <c r="L3071" t="s">
        <v>54</v>
      </c>
    </row>
    <row r="3072" spans="1:12" x14ac:dyDescent="0.25">
      <c r="A3072" t="s">
        <v>487</v>
      </c>
      <c r="B3072" t="s">
        <v>463</v>
      </c>
      <c r="C3072" t="s">
        <v>464</v>
      </c>
      <c r="D3072" t="s">
        <v>152</v>
      </c>
      <c r="E3072" t="s">
        <v>154</v>
      </c>
      <c r="F3072">
        <v>1</v>
      </c>
      <c r="G3072" t="s">
        <v>498</v>
      </c>
      <c r="H3072" s="4">
        <v>20572088</v>
      </c>
      <c r="I3072" s="4">
        <v>18850699</v>
      </c>
      <c r="J3072" s="3">
        <v>0.08367594966539128</v>
      </c>
      <c r="K3072" s="3">
        <v>0.09131698511551216</v>
      </c>
      <c r="L3072" t="s">
        <v>54</v>
      </c>
    </row>
    <row r="3073" spans="1:12" x14ac:dyDescent="0.25">
      <c r="A3073" t="s">
        <v>487</v>
      </c>
      <c r="B3073" t="s">
        <v>463</v>
      </c>
      <c r="C3073" t="s">
        <v>464</v>
      </c>
      <c r="D3073" t="s">
        <v>152</v>
      </c>
      <c r="E3073" t="s">
        <v>154</v>
      </c>
      <c r="F3073">
        <v>1</v>
      </c>
      <c r="G3073" t="s">
        <v>499</v>
      </c>
      <c r="H3073" s="4">
        <v>20572088</v>
      </c>
      <c r="I3073" s="4">
        <v>30466515</v>
      </c>
      <c r="J3073" s="3">
        <v>0.4809636727200467</v>
      </c>
      <c r="K3073" s="3">
        <v>-0.3247639908929525</v>
      </c>
      <c r="L3073" t="s">
        <v>54</v>
      </c>
    </row>
    <row r="3074" spans="1:12" x14ac:dyDescent="0.25">
      <c r="A3074" t="s">
        <v>487</v>
      </c>
      <c r="B3074" t="s">
        <v>463</v>
      </c>
      <c r="C3074" t="s">
        <v>464</v>
      </c>
      <c r="D3074" t="s">
        <v>152</v>
      </c>
      <c r="E3074" t="s">
        <v>156</v>
      </c>
      <c r="F3074">
        <v>2</v>
      </c>
      <c r="G3074" t="s">
        <v>488</v>
      </c>
      <c r="H3074" s="4">
        <v>18356302</v>
      </c>
      <c r="I3074" s="4">
        <v>15372214.120597264</v>
      </c>
      <c r="J3074" s="3">
        <v>0.16256476273939796</v>
      </c>
      <c r="K3074" s="3">
        <v>0.19412219059610614</v>
      </c>
      <c r="L3074" t="s">
        <v>54</v>
      </c>
    </row>
    <row r="3075" spans="1:12" x14ac:dyDescent="0.25">
      <c r="A3075" t="s">
        <v>487</v>
      </c>
      <c r="B3075" t="s">
        <v>463</v>
      </c>
      <c r="C3075" t="s">
        <v>464</v>
      </c>
      <c r="D3075" t="s">
        <v>152</v>
      </c>
      <c r="E3075" t="s">
        <v>156</v>
      </c>
      <c r="F3075">
        <v>2</v>
      </c>
      <c r="G3075" t="s">
        <v>498</v>
      </c>
      <c r="H3075" s="4">
        <v>18356302</v>
      </c>
      <c r="I3075" s="4">
        <v>14843455</v>
      </c>
      <c r="J3075" s="3">
        <v>0.1913700809672885</v>
      </c>
      <c r="K3075" s="3">
        <v>0.2366596590888038</v>
      </c>
      <c r="L3075" t="s">
        <v>54</v>
      </c>
    </row>
    <row r="3076" spans="1:12" x14ac:dyDescent="0.25">
      <c r="A3076" t="s">
        <v>487</v>
      </c>
      <c r="B3076" t="s">
        <v>463</v>
      </c>
      <c r="C3076" t="s">
        <v>464</v>
      </c>
      <c r="D3076" t="s">
        <v>152</v>
      </c>
      <c r="E3076" t="s">
        <v>156</v>
      </c>
      <c r="F3076">
        <v>2</v>
      </c>
      <c r="G3076" t="s">
        <v>499</v>
      </c>
      <c r="H3076" s="4">
        <v>18356302</v>
      </c>
      <c r="I3076" s="4">
        <v>30466515</v>
      </c>
      <c r="J3076" s="3">
        <v>0.6597305383186657</v>
      </c>
      <c r="K3076" s="3">
        <v>-0.39749255863363436</v>
      </c>
      <c r="L3076" t="s">
        <v>54</v>
      </c>
    </row>
    <row r="3077" spans="1:12" x14ac:dyDescent="0.25">
      <c r="A3077" t="s">
        <v>487</v>
      </c>
      <c r="B3077" t="s">
        <v>463</v>
      </c>
      <c r="C3077" t="s">
        <v>464</v>
      </c>
      <c r="D3077" t="s">
        <v>152</v>
      </c>
      <c r="E3077" t="s">
        <v>158</v>
      </c>
      <c r="F3077">
        <v>3</v>
      </c>
      <c r="G3077" t="s">
        <v>488</v>
      </c>
      <c r="H3077" s="4">
        <v>15444242</v>
      </c>
      <c r="I3077" s="4">
        <v>13094669.250964554</v>
      </c>
      <c r="J3077" s="3">
        <v>0.1521326037908138</v>
      </c>
      <c r="K3077" s="3">
        <v>0.17942971326766244</v>
      </c>
      <c r="L3077" t="s">
        <v>54</v>
      </c>
    </row>
    <row r="3078" spans="1:12" x14ac:dyDescent="0.25">
      <c r="A3078" t="s">
        <v>487</v>
      </c>
      <c r="B3078" t="s">
        <v>463</v>
      </c>
      <c r="C3078" t="s">
        <v>464</v>
      </c>
      <c r="D3078" t="s">
        <v>152</v>
      </c>
      <c r="E3078" t="s">
        <v>158</v>
      </c>
      <c r="F3078">
        <v>3</v>
      </c>
      <c r="G3078" t="s">
        <v>498</v>
      </c>
      <c r="H3078" s="4">
        <v>15444242</v>
      </c>
      <c r="I3078" s="4">
        <v>12644251</v>
      </c>
      <c r="J3078" s="3">
        <v>0.18129675771721268</v>
      </c>
      <c r="K3078" s="3">
        <v>0.22144380082299853</v>
      </c>
      <c r="L3078" t="s">
        <v>54</v>
      </c>
    </row>
    <row r="3079" spans="1:12" x14ac:dyDescent="0.25">
      <c r="A3079" t="s">
        <v>487</v>
      </c>
      <c r="B3079" t="s">
        <v>463</v>
      </c>
      <c r="C3079" t="s">
        <v>464</v>
      </c>
      <c r="D3079" t="s">
        <v>152</v>
      </c>
      <c r="E3079" t="s">
        <v>158</v>
      </c>
      <c r="F3079">
        <v>3</v>
      </c>
      <c r="G3079" t="s">
        <v>499</v>
      </c>
      <c r="H3079" s="4">
        <v>15444242</v>
      </c>
      <c r="I3079" s="4">
        <v>30466515</v>
      </c>
      <c r="J3079" s="3">
        <v>0.9726779080514278</v>
      </c>
      <c r="K3079" s="3">
        <v>-0.49307487252808535</v>
      </c>
      <c r="L3079" t="s">
        <v>54</v>
      </c>
    </row>
    <row r="3080" spans="1:12" x14ac:dyDescent="0.25">
      <c r="A3080" t="s">
        <v>487</v>
      </c>
      <c r="B3080" t="s">
        <v>463</v>
      </c>
      <c r="C3080" t="s">
        <v>464</v>
      </c>
      <c r="D3080" t="s">
        <v>154</v>
      </c>
      <c r="E3080" t="s">
        <v>156</v>
      </c>
      <c r="F3080">
        <v>1</v>
      </c>
      <c r="G3080" t="s">
        <v>488</v>
      </c>
      <c r="H3080" s="4">
        <v>18356302</v>
      </c>
      <c r="I3080" s="4">
        <v>15689664.266960248</v>
      </c>
      <c r="J3080" s="3">
        <v>0.1452709665072928</v>
      </c>
      <c r="K3080" s="3">
        <v>0.16996142732354286</v>
      </c>
      <c r="L3080" t="s">
        <v>54</v>
      </c>
    </row>
    <row r="3081" spans="1:12" x14ac:dyDescent="0.25">
      <c r="A3081" t="s">
        <v>487</v>
      </c>
      <c r="B3081" t="s">
        <v>463</v>
      </c>
      <c r="C3081" t="s">
        <v>464</v>
      </c>
      <c r="D3081" t="s">
        <v>154</v>
      </c>
      <c r="E3081" t="s">
        <v>156</v>
      </c>
      <c r="F3081">
        <v>1</v>
      </c>
      <c r="G3081" t="s">
        <v>498</v>
      </c>
      <c r="H3081" s="4">
        <v>18356302</v>
      </c>
      <c r="I3081" s="4">
        <v>14843455</v>
      </c>
      <c r="J3081" s="3">
        <v>0.1913700809672885</v>
      </c>
      <c r="K3081" s="3">
        <v>0.2366596590888038</v>
      </c>
      <c r="L3081" t="s">
        <v>54</v>
      </c>
    </row>
    <row r="3082" spans="1:12" x14ac:dyDescent="0.25">
      <c r="A3082" t="s">
        <v>487</v>
      </c>
      <c r="B3082" t="s">
        <v>463</v>
      </c>
      <c r="C3082" t="s">
        <v>464</v>
      </c>
      <c r="D3082" t="s">
        <v>154</v>
      </c>
      <c r="E3082" t="s">
        <v>156</v>
      </c>
      <c r="F3082">
        <v>1</v>
      </c>
      <c r="G3082" t="s">
        <v>499</v>
      </c>
      <c r="H3082" s="4">
        <v>18356302</v>
      </c>
      <c r="I3082" s="4">
        <v>20572088</v>
      </c>
      <c r="J3082" s="3">
        <v>0.12070982488738745</v>
      </c>
      <c r="K3082" s="3">
        <v>-0.10770836679290892</v>
      </c>
      <c r="L3082" t="s">
        <v>54</v>
      </c>
    </row>
    <row r="3083" spans="1:12" x14ac:dyDescent="0.25">
      <c r="A3083" t="s">
        <v>487</v>
      </c>
      <c r="B3083" t="s">
        <v>463</v>
      </c>
      <c r="C3083" t="s">
        <v>464</v>
      </c>
      <c r="D3083" t="s">
        <v>154</v>
      </c>
      <c r="E3083" t="s">
        <v>158</v>
      </c>
      <c r="F3083">
        <v>2</v>
      </c>
      <c r="G3083" t="s">
        <v>488</v>
      </c>
      <c r="H3083" s="4">
        <v>15444242</v>
      </c>
      <c r="I3083" s="4">
        <v>13365086.032677459</v>
      </c>
      <c r="J3083" s="3">
        <v>0.13462337402654928</v>
      </c>
      <c r="K3083" s="3">
        <v>0.15556622398382117</v>
      </c>
      <c r="L3083" t="s">
        <v>54</v>
      </c>
    </row>
    <row r="3084" spans="1:12" x14ac:dyDescent="0.25">
      <c r="A3084" t="s">
        <v>487</v>
      </c>
      <c r="B3084" t="s">
        <v>463</v>
      </c>
      <c r="C3084" t="s">
        <v>464</v>
      </c>
      <c r="D3084" t="s">
        <v>154</v>
      </c>
      <c r="E3084" t="s">
        <v>158</v>
      </c>
      <c r="F3084">
        <v>2</v>
      </c>
      <c r="G3084" t="s">
        <v>498</v>
      </c>
      <c r="H3084" s="4">
        <v>15444242</v>
      </c>
      <c r="I3084" s="4">
        <v>12644251</v>
      </c>
      <c r="J3084" s="3">
        <v>0.18129675771721268</v>
      </c>
      <c r="K3084" s="3">
        <v>0.22144380082299853</v>
      </c>
      <c r="L3084" t="s">
        <v>54</v>
      </c>
    </row>
    <row r="3085" spans="1:12" x14ac:dyDescent="0.25">
      <c r="A3085" t="s">
        <v>487</v>
      </c>
      <c r="B3085" t="s">
        <v>463</v>
      </c>
      <c r="C3085" t="s">
        <v>464</v>
      </c>
      <c r="D3085" t="s">
        <v>154</v>
      </c>
      <c r="E3085" t="s">
        <v>158</v>
      </c>
      <c r="F3085">
        <v>2</v>
      </c>
      <c r="G3085" t="s">
        <v>499</v>
      </c>
      <c r="H3085" s="4">
        <v>15444242</v>
      </c>
      <c r="I3085" s="4">
        <v>20572088</v>
      </c>
      <c r="J3085" s="3">
        <v>0.3320231578862854</v>
      </c>
      <c r="K3085" s="3">
        <v>-0.24926230142511543</v>
      </c>
      <c r="L3085" t="s">
        <v>54</v>
      </c>
    </row>
    <row r="3086" spans="1:12" x14ac:dyDescent="0.25">
      <c r="A3086" t="s">
        <v>487</v>
      </c>
      <c r="B3086" t="s">
        <v>463</v>
      </c>
      <c r="C3086" t="s">
        <v>464</v>
      </c>
      <c r="D3086" t="s">
        <v>154</v>
      </c>
      <c r="E3086" t="s">
        <v>160</v>
      </c>
      <c r="F3086">
        <v>3</v>
      </c>
      <c r="G3086" t="s">
        <v>488</v>
      </c>
      <c r="H3086" s="4">
        <v>16982703</v>
      </c>
      <c r="I3086" s="4">
        <v>12727899.918433236</v>
      </c>
      <c r="J3086" s="3">
        <v>0.2505374486951084</v>
      </c>
      <c r="K3086" s="3">
        <v>0.33428948285527665</v>
      </c>
      <c r="L3086" t="s">
        <v>54</v>
      </c>
    </row>
    <row r="3087" spans="1:12" x14ac:dyDescent="0.25">
      <c r="A3087" t="s">
        <v>487</v>
      </c>
      <c r="B3087" t="s">
        <v>463</v>
      </c>
      <c r="C3087" t="s">
        <v>464</v>
      </c>
      <c r="D3087" t="s">
        <v>154</v>
      </c>
      <c r="E3087" t="s">
        <v>160</v>
      </c>
      <c r="F3087">
        <v>3</v>
      </c>
      <c r="G3087" t="s">
        <v>498</v>
      </c>
      <c r="H3087" s="4">
        <v>16982703</v>
      </c>
      <c r="I3087" s="4">
        <v>12041431</v>
      </c>
      <c r="J3087" s="3">
        <v>0.2909591011513303</v>
      </c>
      <c r="K3087" s="3">
        <v>0.4103558787987906</v>
      </c>
      <c r="L3087" t="s">
        <v>54</v>
      </c>
    </row>
    <row r="3088" spans="1:12" x14ac:dyDescent="0.25">
      <c r="A3088" t="s">
        <v>487</v>
      </c>
      <c r="B3088" t="s">
        <v>463</v>
      </c>
      <c r="C3088" t="s">
        <v>464</v>
      </c>
      <c r="D3088" t="s">
        <v>154</v>
      </c>
      <c r="E3088" t="s">
        <v>160</v>
      </c>
      <c r="F3088">
        <v>3</v>
      </c>
      <c r="G3088" t="s">
        <v>499</v>
      </c>
      <c r="H3088" s="4">
        <v>16982703</v>
      </c>
      <c r="I3088" s="4">
        <v>20572088</v>
      </c>
      <c r="J3088" s="3">
        <v>0.21135534196175956</v>
      </c>
      <c r="K3088" s="3">
        <v>-0.1744784000535094</v>
      </c>
      <c r="L3088" t="s">
        <v>54</v>
      </c>
    </row>
    <row r="3089" spans="1:12" x14ac:dyDescent="0.25">
      <c r="A3089" t="s">
        <v>487</v>
      </c>
      <c r="B3089" t="s">
        <v>463</v>
      </c>
      <c r="C3089" t="s">
        <v>464</v>
      </c>
      <c r="D3089" t="s">
        <v>156</v>
      </c>
      <c r="E3089" t="s">
        <v>158</v>
      </c>
      <c r="F3089">
        <v>1</v>
      </c>
      <c r="G3089" t="s">
        <v>488</v>
      </c>
      <c r="H3089" s="4">
        <v>15444242</v>
      </c>
      <c r="I3089" s="4">
        <v>13536606.985774096</v>
      </c>
      <c r="J3089" s="3">
        <v>0.12351755523035082</v>
      </c>
      <c r="K3089" s="3">
        <v>0.14092416336166644</v>
      </c>
      <c r="L3089" t="s">
        <v>54</v>
      </c>
    </row>
    <row r="3090" spans="1:12" x14ac:dyDescent="0.25">
      <c r="A3090" t="s">
        <v>487</v>
      </c>
      <c r="B3090" t="s">
        <v>463</v>
      </c>
      <c r="C3090" t="s">
        <v>464</v>
      </c>
      <c r="D3090" t="s">
        <v>156</v>
      </c>
      <c r="E3090" t="s">
        <v>158</v>
      </c>
      <c r="F3090">
        <v>1</v>
      </c>
      <c r="G3090" t="s">
        <v>498</v>
      </c>
      <c r="H3090" s="4">
        <v>15444242</v>
      </c>
      <c r="I3090" s="4">
        <v>12644251</v>
      </c>
      <c r="J3090" s="3">
        <v>0.18129675771721268</v>
      </c>
      <c r="K3090" s="3">
        <v>0.22144380082299853</v>
      </c>
      <c r="L3090" t="s">
        <v>54</v>
      </c>
    </row>
    <row r="3091" spans="1:12" x14ac:dyDescent="0.25">
      <c r="A3091" t="s">
        <v>487</v>
      </c>
      <c r="B3091" t="s">
        <v>463</v>
      </c>
      <c r="C3091" t="s">
        <v>464</v>
      </c>
      <c r="D3091" t="s">
        <v>156</v>
      </c>
      <c r="E3091" t="s">
        <v>158</v>
      </c>
      <c r="F3091">
        <v>1</v>
      </c>
      <c r="G3091" t="s">
        <v>499</v>
      </c>
      <c r="H3091" s="4">
        <v>15444242</v>
      </c>
      <c r="I3091" s="4">
        <v>18356302</v>
      </c>
      <c r="J3091" s="3">
        <v>0.18855311902002053</v>
      </c>
      <c r="K3091" s="3">
        <v>-0.15864088529378084</v>
      </c>
      <c r="L3091" t="s">
        <v>54</v>
      </c>
    </row>
    <row r="3092" spans="1:12" x14ac:dyDescent="0.25">
      <c r="A3092" t="s">
        <v>487</v>
      </c>
      <c r="B3092" t="s">
        <v>463</v>
      </c>
      <c r="C3092" t="s">
        <v>464</v>
      </c>
      <c r="D3092" t="s">
        <v>156</v>
      </c>
      <c r="E3092" t="s">
        <v>160</v>
      </c>
      <c r="F3092">
        <v>2</v>
      </c>
      <c r="G3092" t="s">
        <v>488</v>
      </c>
      <c r="H3092" s="4">
        <v>16982703</v>
      </c>
      <c r="I3092" s="4">
        <v>12891243.537740335</v>
      </c>
      <c r="J3092" s="3">
        <v>0.2409192142298941</v>
      </c>
      <c r="K3092" s="3">
        <v>0.31738283822515106</v>
      </c>
      <c r="L3092" t="s">
        <v>54</v>
      </c>
    </row>
    <row r="3093" spans="1:12" x14ac:dyDescent="0.25">
      <c r="A3093" t="s">
        <v>487</v>
      </c>
      <c r="B3093" t="s">
        <v>463</v>
      </c>
      <c r="C3093" t="s">
        <v>464</v>
      </c>
      <c r="D3093" t="s">
        <v>156</v>
      </c>
      <c r="E3093" t="s">
        <v>160</v>
      </c>
      <c r="F3093">
        <v>2</v>
      </c>
      <c r="G3093" t="s">
        <v>498</v>
      </c>
      <c r="H3093" s="4">
        <v>16982703</v>
      </c>
      <c r="I3093" s="4">
        <v>12041431</v>
      </c>
      <c r="J3093" s="3">
        <v>0.2909591011513303</v>
      </c>
      <c r="K3093" s="3">
        <v>0.4103558787987906</v>
      </c>
      <c r="L3093" t="s">
        <v>54</v>
      </c>
    </row>
    <row r="3094" spans="1:12" x14ac:dyDescent="0.25">
      <c r="A3094" t="s">
        <v>487</v>
      </c>
      <c r="B3094" t="s">
        <v>463</v>
      </c>
      <c r="C3094" t="s">
        <v>464</v>
      </c>
      <c r="D3094" t="s">
        <v>156</v>
      </c>
      <c r="E3094" t="s">
        <v>160</v>
      </c>
      <c r="F3094">
        <v>2</v>
      </c>
      <c r="G3094" t="s">
        <v>499</v>
      </c>
      <c r="H3094" s="4">
        <v>16982703</v>
      </c>
      <c r="I3094" s="4">
        <v>18356302</v>
      </c>
      <c r="J3094" s="3">
        <v>0.08088223647319276</v>
      </c>
      <c r="K3094" s="3">
        <v>-0.0748298322832126</v>
      </c>
      <c r="L3094" t="s">
        <v>54</v>
      </c>
    </row>
    <row r="3095" spans="1:12" x14ac:dyDescent="0.25">
      <c r="A3095" t="s">
        <v>487</v>
      </c>
      <c r="B3095" t="s">
        <v>463</v>
      </c>
      <c r="C3095" t="s">
        <v>464</v>
      </c>
      <c r="D3095" t="s">
        <v>156</v>
      </c>
      <c r="E3095" t="s">
        <v>162</v>
      </c>
      <c r="F3095">
        <v>3</v>
      </c>
      <c r="G3095" t="s">
        <v>488</v>
      </c>
      <c r="H3095" s="4">
        <v>24771731</v>
      </c>
      <c r="I3095" s="4">
        <v>20616664.31807598</v>
      </c>
      <c r="J3095" s="3">
        <v>0.16773420807468073</v>
      </c>
      <c r="K3095" s="3">
        <v>0.20153923145952374</v>
      </c>
      <c r="L3095" t="s">
        <v>54</v>
      </c>
    </row>
    <row r="3096" spans="1:12" x14ac:dyDescent="0.25">
      <c r="A3096" t="s">
        <v>487</v>
      </c>
      <c r="B3096" t="s">
        <v>463</v>
      </c>
      <c r="C3096" t="s">
        <v>464</v>
      </c>
      <c r="D3096" t="s">
        <v>156</v>
      </c>
      <c r="E3096" t="s">
        <v>162</v>
      </c>
      <c r="F3096">
        <v>3</v>
      </c>
      <c r="G3096" t="s">
        <v>498</v>
      </c>
      <c r="H3096" s="4">
        <v>24771731</v>
      </c>
      <c r="I3096" s="4">
        <v>19257579</v>
      </c>
      <c r="J3096" s="3">
        <v>0.2225985741569695</v>
      </c>
      <c r="K3096" s="3">
        <v>0.28633671968838864</v>
      </c>
      <c r="L3096" t="s">
        <v>54</v>
      </c>
    </row>
    <row r="3097" spans="1:12" x14ac:dyDescent="0.25">
      <c r="A3097" t="s">
        <v>487</v>
      </c>
      <c r="B3097" t="s">
        <v>463</v>
      </c>
      <c r="C3097" t="s">
        <v>464</v>
      </c>
      <c r="D3097" t="s">
        <v>156</v>
      </c>
      <c r="E3097" t="s">
        <v>162</v>
      </c>
      <c r="F3097">
        <v>3</v>
      </c>
      <c r="G3097" t="s">
        <v>499</v>
      </c>
      <c r="H3097" s="4">
        <v>24771731</v>
      </c>
      <c r="I3097" s="4">
        <v>18356302</v>
      </c>
      <c r="J3097" s="3">
        <v>0.25898186121914535</v>
      </c>
      <c r="K3097" s="3">
        <v>0.34949463132606995</v>
      </c>
      <c r="L3097" t="s">
        <v>54</v>
      </c>
    </row>
    <row r="3098" spans="1:12" x14ac:dyDescent="0.25">
      <c r="A3098" t="s">
        <v>487</v>
      </c>
      <c r="B3098" t="s">
        <v>463</v>
      </c>
      <c r="C3098" t="s">
        <v>464</v>
      </c>
      <c r="D3098" t="s">
        <v>158</v>
      </c>
      <c r="E3098" t="s">
        <v>160</v>
      </c>
      <c r="F3098">
        <v>1</v>
      </c>
      <c r="G3098" t="s">
        <v>488</v>
      </c>
      <c r="H3098" s="4">
        <v>16982703</v>
      </c>
      <c r="I3098" s="4">
        <v>13000914.615608988</v>
      </c>
      <c r="J3098" s="3">
        <v>0.23446140372301227</v>
      </c>
      <c r="K3098" s="3">
        <v>0.30626986655311533</v>
      </c>
      <c r="L3098" t="s">
        <v>54</v>
      </c>
    </row>
    <row r="3099" spans="1:12" x14ac:dyDescent="0.25">
      <c r="A3099" t="s">
        <v>487</v>
      </c>
      <c r="B3099" t="s">
        <v>463</v>
      </c>
      <c r="C3099" t="s">
        <v>464</v>
      </c>
      <c r="D3099" t="s">
        <v>158</v>
      </c>
      <c r="E3099" t="s">
        <v>160</v>
      </c>
      <c r="F3099">
        <v>1</v>
      </c>
      <c r="G3099" t="s">
        <v>498</v>
      </c>
      <c r="H3099" s="4">
        <v>16982703</v>
      </c>
      <c r="I3099" s="4">
        <v>12041431</v>
      </c>
      <c r="J3099" s="3">
        <v>0.2909591011513303</v>
      </c>
      <c r="K3099" s="3">
        <v>0.4103558787987906</v>
      </c>
      <c r="L3099" t="s">
        <v>54</v>
      </c>
    </row>
    <row r="3100" spans="1:12" x14ac:dyDescent="0.25">
      <c r="A3100" t="s">
        <v>487</v>
      </c>
      <c r="B3100" t="s">
        <v>463</v>
      </c>
      <c r="C3100" t="s">
        <v>464</v>
      </c>
      <c r="D3100" t="s">
        <v>158</v>
      </c>
      <c r="E3100" t="s">
        <v>160</v>
      </c>
      <c r="F3100">
        <v>1</v>
      </c>
      <c r="G3100" t="s">
        <v>499</v>
      </c>
      <c r="H3100" s="4">
        <v>16982703</v>
      </c>
      <c r="I3100" s="4">
        <v>15444242</v>
      </c>
      <c r="J3100" s="3">
        <v>0.09058987841923632</v>
      </c>
      <c r="K3100" s="3">
        <v>0.09961388846406317</v>
      </c>
      <c r="L3100" t="s">
        <v>54</v>
      </c>
    </row>
    <row r="3101" spans="1:12" x14ac:dyDescent="0.25">
      <c r="A3101" t="s">
        <v>487</v>
      </c>
      <c r="B3101" t="s">
        <v>463</v>
      </c>
      <c r="C3101" t="s">
        <v>464</v>
      </c>
      <c r="D3101" t="s">
        <v>158</v>
      </c>
      <c r="E3101" t="s">
        <v>162</v>
      </c>
      <c r="F3101">
        <v>2</v>
      </c>
      <c r="G3101" t="s">
        <v>488</v>
      </c>
      <c r="H3101" s="4">
        <v>24771731</v>
      </c>
      <c r="I3101" s="4">
        <v>20792058.70816722</v>
      </c>
      <c r="J3101" s="3">
        <v>0.16065378280721596</v>
      </c>
      <c r="K3101" s="3">
        <v>0.19140347512916284</v>
      </c>
      <c r="L3101" t="s">
        <v>54</v>
      </c>
    </row>
    <row r="3102" spans="1:12" x14ac:dyDescent="0.25">
      <c r="A3102" t="s">
        <v>487</v>
      </c>
      <c r="B3102" t="s">
        <v>463</v>
      </c>
      <c r="C3102" t="s">
        <v>464</v>
      </c>
      <c r="D3102" t="s">
        <v>158</v>
      </c>
      <c r="E3102" t="s">
        <v>162</v>
      </c>
      <c r="F3102">
        <v>2</v>
      </c>
      <c r="G3102" t="s">
        <v>498</v>
      </c>
      <c r="H3102" s="4">
        <v>24771731</v>
      </c>
      <c r="I3102" s="4">
        <v>19257579</v>
      </c>
      <c r="J3102" s="3">
        <v>0.2225985741569695</v>
      </c>
      <c r="K3102" s="3">
        <v>0.28633671968838864</v>
      </c>
      <c r="L3102" t="s">
        <v>54</v>
      </c>
    </row>
    <row r="3103" spans="1:12" x14ac:dyDescent="0.25">
      <c r="A3103" t="s">
        <v>487</v>
      </c>
      <c r="B3103" t="s">
        <v>463</v>
      </c>
      <c r="C3103" t="s">
        <v>464</v>
      </c>
      <c r="D3103" t="s">
        <v>158</v>
      </c>
      <c r="E3103" t="s">
        <v>162</v>
      </c>
      <c r="F3103">
        <v>2</v>
      </c>
      <c r="G3103" t="s">
        <v>499</v>
      </c>
      <c r="H3103" s="4">
        <v>24771731</v>
      </c>
      <c r="I3103" s="4">
        <v>15444242</v>
      </c>
      <c r="J3103" s="3">
        <v>0.37653763477408986</v>
      </c>
      <c r="K3103" s="3">
        <v>0.6039460531633731</v>
      </c>
      <c r="L3103" t="s">
        <v>54</v>
      </c>
    </row>
    <row r="3104" spans="1:12" x14ac:dyDescent="0.25">
      <c r="A3104" t="s">
        <v>487</v>
      </c>
      <c r="B3104" t="s">
        <v>463</v>
      </c>
      <c r="C3104" t="s">
        <v>464</v>
      </c>
      <c r="D3104" t="s">
        <v>158</v>
      </c>
      <c r="E3104" t="s">
        <v>164</v>
      </c>
      <c r="F3104">
        <v>3</v>
      </c>
      <c r="G3104" t="s">
        <v>488</v>
      </c>
      <c r="H3104" s="4">
        <v>35720915</v>
      </c>
      <c r="I3104" s="4">
        <v>38426398.87329697</v>
      </c>
      <c r="J3104" s="3">
        <v>0.0757394896882392</v>
      </c>
      <c r="K3104" s="3">
        <v>-0.0704069065180356</v>
      </c>
      <c r="L3104" t="s">
        <v>54</v>
      </c>
    </row>
    <row r="3105" spans="1:12" x14ac:dyDescent="0.25">
      <c r="A3105" t="s">
        <v>487</v>
      </c>
      <c r="B3105" t="s">
        <v>463</v>
      </c>
      <c r="C3105" t="s">
        <v>464</v>
      </c>
      <c r="D3105" t="s">
        <v>158</v>
      </c>
      <c r="E3105" t="s">
        <v>164</v>
      </c>
      <c r="F3105">
        <v>3</v>
      </c>
      <c r="G3105" t="s">
        <v>498</v>
      </c>
      <c r="H3105" s="4">
        <v>35720915</v>
      </c>
      <c r="I3105" s="4">
        <v>35590483</v>
      </c>
      <c r="J3105" s="3">
        <v>0.0036514182237493077</v>
      </c>
      <c r="K3105" s="3">
        <v>0.003664799941040418</v>
      </c>
      <c r="L3105" t="s">
        <v>54</v>
      </c>
    </row>
    <row r="3106" spans="1:12" x14ac:dyDescent="0.25">
      <c r="A3106" t="s">
        <v>487</v>
      </c>
      <c r="B3106" t="s">
        <v>463</v>
      </c>
      <c r="C3106" t="s">
        <v>464</v>
      </c>
      <c r="D3106" t="s">
        <v>158</v>
      </c>
      <c r="E3106" t="s">
        <v>164</v>
      </c>
      <c r="F3106">
        <v>3</v>
      </c>
      <c r="G3106" t="s">
        <v>499</v>
      </c>
      <c r="H3106" s="4">
        <v>35720915</v>
      </c>
      <c r="I3106" s="4">
        <v>15444242</v>
      </c>
      <c r="J3106" s="3">
        <v>0.5676414783887814</v>
      </c>
      <c r="K3106" s="3">
        <v>1.3128953172321438</v>
      </c>
      <c r="L3106" t="s">
        <v>54</v>
      </c>
    </row>
    <row r="3107" spans="1:12" x14ac:dyDescent="0.25">
      <c r="A3107" t="s">
        <v>487</v>
      </c>
      <c r="B3107" t="s">
        <v>463</v>
      </c>
      <c r="C3107" t="s">
        <v>464</v>
      </c>
      <c r="D3107" t="s">
        <v>160</v>
      </c>
      <c r="E3107" t="s">
        <v>162</v>
      </c>
      <c r="F3107">
        <v>1</v>
      </c>
      <c r="G3107" t="s">
        <v>488</v>
      </c>
      <c r="H3107" s="4">
        <v>24771731</v>
      </c>
      <c r="I3107" s="4">
        <v>21704563.19484021</v>
      </c>
      <c r="J3107" s="3">
        <v>0.12381725787187776</v>
      </c>
      <c r="K3107" s="3">
        <v>0.14131442211603415</v>
      </c>
      <c r="L3107" t="s">
        <v>54</v>
      </c>
    </row>
    <row r="3108" spans="1:12" x14ac:dyDescent="0.25">
      <c r="A3108" t="s">
        <v>487</v>
      </c>
      <c r="B3108" t="s">
        <v>463</v>
      </c>
      <c r="C3108" t="s">
        <v>464</v>
      </c>
      <c r="D3108" t="s">
        <v>160</v>
      </c>
      <c r="E3108" t="s">
        <v>162</v>
      </c>
      <c r="F3108">
        <v>1</v>
      </c>
      <c r="G3108" t="s">
        <v>498</v>
      </c>
      <c r="H3108" s="4">
        <v>24771731</v>
      </c>
      <c r="I3108" s="4">
        <v>19257579</v>
      </c>
      <c r="J3108" s="3">
        <v>0.2225985741569695</v>
      </c>
      <c r="K3108" s="3">
        <v>0.28633671968838864</v>
      </c>
      <c r="L3108" t="s">
        <v>54</v>
      </c>
    </row>
    <row r="3109" spans="1:12" x14ac:dyDescent="0.25">
      <c r="A3109" t="s">
        <v>487</v>
      </c>
      <c r="B3109" t="s">
        <v>463</v>
      </c>
      <c r="C3109" t="s">
        <v>464</v>
      </c>
      <c r="D3109" t="s">
        <v>160</v>
      </c>
      <c r="E3109" t="s">
        <v>162</v>
      </c>
      <c r="F3109">
        <v>1</v>
      </c>
      <c r="G3109" t="s">
        <v>499</v>
      </c>
      <c r="H3109" s="4">
        <v>24771731</v>
      </c>
      <c r="I3109" s="4">
        <v>16982703</v>
      </c>
      <c r="J3109" s="3">
        <v>0.31443212426293504</v>
      </c>
      <c r="K3109" s="3">
        <v>0.45864477521628916</v>
      </c>
      <c r="L3109" t="s">
        <v>54</v>
      </c>
    </row>
    <row r="3110" spans="1:12" x14ac:dyDescent="0.25">
      <c r="A3110" t="s">
        <v>487</v>
      </c>
      <c r="B3110" t="s">
        <v>463</v>
      </c>
      <c r="C3110" t="s">
        <v>464</v>
      </c>
      <c r="D3110" t="s">
        <v>160</v>
      </c>
      <c r="E3110" t="s">
        <v>164</v>
      </c>
      <c r="F3110">
        <v>2</v>
      </c>
      <c r="G3110" t="s">
        <v>488</v>
      </c>
      <c r="H3110" s="4">
        <v>35720915</v>
      </c>
      <c r="I3110" s="4">
        <v>40112824.53564834</v>
      </c>
      <c r="J3110" s="3">
        <v>0.12295064489944724</v>
      </c>
      <c r="K3110" s="3">
        <v>-0.10948891249842654</v>
      </c>
      <c r="L3110" t="s">
        <v>54</v>
      </c>
    </row>
    <row r="3111" spans="1:12" x14ac:dyDescent="0.25">
      <c r="A3111" t="s">
        <v>487</v>
      </c>
      <c r="B3111" t="s">
        <v>463</v>
      </c>
      <c r="C3111" t="s">
        <v>464</v>
      </c>
      <c r="D3111" t="s">
        <v>160</v>
      </c>
      <c r="E3111" t="s">
        <v>164</v>
      </c>
      <c r="F3111">
        <v>2</v>
      </c>
      <c r="G3111" t="s">
        <v>498</v>
      </c>
      <c r="H3111" s="4">
        <v>35720915</v>
      </c>
      <c r="I3111" s="4">
        <v>35590483</v>
      </c>
      <c r="J3111" s="3">
        <v>0.0036514182237493077</v>
      </c>
      <c r="K3111" s="3">
        <v>0.003664799941040418</v>
      </c>
      <c r="L3111" t="s">
        <v>54</v>
      </c>
    </row>
    <row r="3112" spans="1:12" x14ac:dyDescent="0.25">
      <c r="A3112" t="s">
        <v>487</v>
      </c>
      <c r="B3112" t="s">
        <v>463</v>
      </c>
      <c r="C3112" t="s">
        <v>464</v>
      </c>
      <c r="D3112" t="s">
        <v>160</v>
      </c>
      <c r="E3112" t="s">
        <v>164</v>
      </c>
      <c r="F3112">
        <v>2</v>
      </c>
      <c r="G3112" t="s">
        <v>499</v>
      </c>
      <c r="H3112" s="4">
        <v>35720915</v>
      </c>
      <c r="I3112" s="4">
        <v>16982703</v>
      </c>
      <c r="J3112" s="3">
        <v>0.5245725648405143</v>
      </c>
      <c r="K3112" s="3">
        <v>1.103370411647663</v>
      </c>
      <c r="L3112" t="s">
        <v>54</v>
      </c>
    </row>
    <row r="3113" spans="1:12" x14ac:dyDescent="0.25">
      <c r="A3113" t="s">
        <v>487</v>
      </c>
      <c r="B3113" t="s">
        <v>463</v>
      </c>
      <c r="C3113" t="s">
        <v>464</v>
      </c>
      <c r="D3113" t="s">
        <v>160</v>
      </c>
      <c r="E3113" t="s">
        <v>166</v>
      </c>
      <c r="F3113">
        <v>3</v>
      </c>
      <c r="G3113" t="s">
        <v>488</v>
      </c>
      <c r="H3113" s="4">
        <v>40558331</v>
      </c>
      <c r="I3113" s="4">
        <v>40214385.583070256</v>
      </c>
      <c r="J3113" s="3">
        <v>0.008480265544697689</v>
      </c>
      <c r="K3113" s="3">
        <v>0.00855279552187267</v>
      </c>
      <c r="L3113" t="s">
        <v>54</v>
      </c>
    </row>
    <row r="3114" spans="1:12" x14ac:dyDescent="0.25">
      <c r="A3114" t="s">
        <v>487</v>
      </c>
      <c r="B3114" t="s">
        <v>463</v>
      </c>
      <c r="C3114" t="s">
        <v>464</v>
      </c>
      <c r="D3114" t="s">
        <v>160</v>
      </c>
      <c r="E3114" t="s">
        <v>166</v>
      </c>
      <c r="F3114">
        <v>3</v>
      </c>
      <c r="G3114" t="s">
        <v>498</v>
      </c>
      <c r="H3114" s="4">
        <v>40558331</v>
      </c>
      <c r="I3114" s="4">
        <v>35680594</v>
      </c>
      <c r="J3114" s="3">
        <v>0.12026473673189363</v>
      </c>
      <c r="K3114" s="3">
        <v>0.13670559968816662</v>
      </c>
      <c r="L3114" t="s">
        <v>54</v>
      </c>
    </row>
    <row r="3115" spans="1:12" x14ac:dyDescent="0.25">
      <c r="A3115" t="s">
        <v>487</v>
      </c>
      <c r="B3115" t="s">
        <v>463</v>
      </c>
      <c r="C3115" t="s">
        <v>464</v>
      </c>
      <c r="D3115" t="s">
        <v>160</v>
      </c>
      <c r="E3115" t="s">
        <v>166</v>
      </c>
      <c r="F3115">
        <v>3</v>
      </c>
      <c r="G3115" t="s">
        <v>499</v>
      </c>
      <c r="H3115" s="4">
        <v>40558331</v>
      </c>
      <c r="I3115" s="4">
        <v>16982703</v>
      </c>
      <c r="J3115" s="3">
        <v>0.5812770747395892</v>
      </c>
      <c r="K3115" s="3">
        <v>1.3882141140900832</v>
      </c>
      <c r="L3115" t="s">
        <v>54</v>
      </c>
    </row>
    <row r="3116" spans="1:12" x14ac:dyDescent="0.25">
      <c r="A3116" t="s">
        <v>487</v>
      </c>
      <c r="B3116" t="s">
        <v>463</v>
      </c>
      <c r="C3116" t="s">
        <v>464</v>
      </c>
      <c r="D3116" t="s">
        <v>162</v>
      </c>
      <c r="E3116" t="s">
        <v>164</v>
      </c>
      <c r="F3116">
        <v>1</v>
      </c>
      <c r="G3116" t="s">
        <v>488</v>
      </c>
      <c r="H3116" s="4">
        <v>35720915</v>
      </c>
      <c r="I3116" s="4">
        <v>41187459.87956134</v>
      </c>
      <c r="J3116" s="3">
        <v>0.15303485029880512</v>
      </c>
      <c r="K3116" s="3">
        <v>-0.13272352545037702</v>
      </c>
      <c r="L3116" t="s">
        <v>54</v>
      </c>
    </row>
    <row r="3117" spans="1:12" x14ac:dyDescent="0.25">
      <c r="A3117" t="s">
        <v>487</v>
      </c>
      <c r="B3117" t="s">
        <v>463</v>
      </c>
      <c r="C3117" t="s">
        <v>464</v>
      </c>
      <c r="D3117" t="s">
        <v>162</v>
      </c>
      <c r="E3117" t="s">
        <v>164</v>
      </c>
      <c r="F3117">
        <v>1</v>
      </c>
      <c r="G3117" t="s">
        <v>498</v>
      </c>
      <c r="H3117" s="4">
        <v>35720915</v>
      </c>
      <c r="I3117" s="4">
        <v>35590483</v>
      </c>
      <c r="J3117" s="3">
        <v>0.0036514182237493077</v>
      </c>
      <c r="K3117" s="3">
        <v>0.003664799941040418</v>
      </c>
      <c r="L3117" t="s">
        <v>54</v>
      </c>
    </row>
    <row r="3118" spans="1:12" x14ac:dyDescent="0.25">
      <c r="A3118" t="s">
        <v>487</v>
      </c>
      <c r="B3118" t="s">
        <v>463</v>
      </c>
      <c r="C3118" t="s">
        <v>464</v>
      </c>
      <c r="D3118" t="s">
        <v>162</v>
      </c>
      <c r="E3118" t="s">
        <v>164</v>
      </c>
      <c r="F3118">
        <v>1</v>
      </c>
      <c r="G3118" t="s">
        <v>499</v>
      </c>
      <c r="H3118" s="4">
        <v>35720915</v>
      </c>
      <c r="I3118" s="4">
        <v>24771731</v>
      </c>
      <c r="J3118" s="3">
        <v>0.3065202557101351</v>
      </c>
      <c r="K3118" s="3">
        <v>0.44200318500148417</v>
      </c>
      <c r="L3118" t="s">
        <v>54</v>
      </c>
    </row>
    <row r="3119" spans="1:12" x14ac:dyDescent="0.25">
      <c r="A3119" t="s">
        <v>487</v>
      </c>
      <c r="B3119" t="s">
        <v>463</v>
      </c>
      <c r="C3119" t="s">
        <v>464</v>
      </c>
      <c r="D3119" t="s">
        <v>162</v>
      </c>
      <c r="E3119" t="s">
        <v>166</v>
      </c>
      <c r="F3119">
        <v>2</v>
      </c>
      <c r="G3119" t="s">
        <v>488</v>
      </c>
      <c r="H3119" s="4">
        <v>40558331</v>
      </c>
      <c r="I3119" s="4">
        <v>41291741.77978751</v>
      </c>
      <c r="J3119" s="3">
        <v>0.018082863907479593</v>
      </c>
      <c r="K3119" s="3">
        <v>-0.01776168183214103</v>
      </c>
      <c r="L3119" t="s">
        <v>54</v>
      </c>
    </row>
    <row r="3120" spans="1:12" x14ac:dyDescent="0.25">
      <c r="A3120" t="s">
        <v>487</v>
      </c>
      <c r="B3120" t="s">
        <v>463</v>
      </c>
      <c r="C3120" t="s">
        <v>464</v>
      </c>
      <c r="D3120" t="s">
        <v>162</v>
      </c>
      <c r="E3120" t="s">
        <v>166</v>
      </c>
      <c r="F3120">
        <v>2</v>
      </c>
      <c r="G3120" t="s">
        <v>498</v>
      </c>
      <c r="H3120" s="4">
        <v>40558331</v>
      </c>
      <c r="I3120" s="4">
        <v>35680594</v>
      </c>
      <c r="J3120" s="3">
        <v>0.12026473673189363</v>
      </c>
      <c r="K3120" s="3">
        <v>0.13670559968816662</v>
      </c>
      <c r="L3120" t="s">
        <v>54</v>
      </c>
    </row>
    <row r="3121" spans="1:12" x14ac:dyDescent="0.25">
      <c r="A3121" t="s">
        <v>487</v>
      </c>
      <c r="B3121" t="s">
        <v>463</v>
      </c>
      <c r="C3121" t="s">
        <v>464</v>
      </c>
      <c r="D3121" t="s">
        <v>162</v>
      </c>
      <c r="E3121" t="s">
        <v>166</v>
      </c>
      <c r="F3121">
        <v>2</v>
      </c>
      <c r="G3121" t="s">
        <v>499</v>
      </c>
      <c r="H3121" s="4">
        <v>40558331</v>
      </c>
      <c r="I3121" s="4">
        <v>24771731</v>
      </c>
      <c r="J3121" s="3">
        <v>0.3892319928056211</v>
      </c>
      <c r="K3121" s="3">
        <v>0.6372828770020149</v>
      </c>
      <c r="L3121" t="s">
        <v>54</v>
      </c>
    </row>
    <row r="3122" spans="1:12" x14ac:dyDescent="0.25">
      <c r="A3122" t="s">
        <v>487</v>
      </c>
      <c r="B3122" t="s">
        <v>463</v>
      </c>
      <c r="C3122" t="s">
        <v>464</v>
      </c>
      <c r="D3122" t="s">
        <v>162</v>
      </c>
      <c r="E3122" t="s">
        <v>168</v>
      </c>
      <c r="F3122">
        <v>3</v>
      </c>
      <c r="G3122" t="s">
        <v>488</v>
      </c>
      <c r="H3122" s="4">
        <v>44587019</v>
      </c>
      <c r="I3122" s="4">
        <v>47430832.78811047</v>
      </c>
      <c r="J3122" s="3">
        <v>0.06378120475177926</v>
      </c>
      <c r="K3122" s="3">
        <v>-0.05995707055819044</v>
      </c>
      <c r="L3122" t="s">
        <v>54</v>
      </c>
    </row>
    <row r="3123" spans="1:12" x14ac:dyDescent="0.25">
      <c r="A3123" t="s">
        <v>487</v>
      </c>
      <c r="B3123" t="s">
        <v>463</v>
      </c>
      <c r="C3123" t="s">
        <v>464</v>
      </c>
      <c r="D3123" t="s">
        <v>162</v>
      </c>
      <c r="E3123" t="s">
        <v>168</v>
      </c>
      <c r="F3123">
        <v>3</v>
      </c>
      <c r="G3123" t="s">
        <v>498</v>
      </c>
      <c r="H3123" s="4">
        <v>44587019</v>
      </c>
      <c r="I3123" s="4">
        <v>40985442</v>
      </c>
      <c r="J3123" s="3">
        <v>0.08077635780046206</v>
      </c>
      <c r="K3123" s="3">
        <v>0.0878745433561507</v>
      </c>
      <c r="L3123" t="s">
        <v>54</v>
      </c>
    </row>
    <row r="3124" spans="1:12" x14ac:dyDescent="0.25">
      <c r="A3124" t="s">
        <v>487</v>
      </c>
      <c r="B3124" t="s">
        <v>463</v>
      </c>
      <c r="C3124" t="s">
        <v>464</v>
      </c>
      <c r="D3124" t="s">
        <v>162</v>
      </c>
      <c r="E3124" t="s">
        <v>168</v>
      </c>
      <c r="F3124">
        <v>3</v>
      </c>
      <c r="G3124" t="s">
        <v>499</v>
      </c>
      <c r="H3124" s="4">
        <v>44587019</v>
      </c>
      <c r="I3124" s="4">
        <v>24771731</v>
      </c>
      <c r="J3124" s="3">
        <v>0.4444183182553649</v>
      </c>
      <c r="K3124" s="3">
        <v>0.7999153551279884</v>
      </c>
      <c r="L3124" t="s">
        <v>54</v>
      </c>
    </row>
    <row r="3125" spans="1:12" x14ac:dyDescent="0.25">
      <c r="A3125" t="s">
        <v>487</v>
      </c>
      <c r="B3125" t="s">
        <v>463</v>
      </c>
      <c r="C3125" t="s">
        <v>464</v>
      </c>
      <c r="D3125" t="s">
        <v>164</v>
      </c>
      <c r="E3125" t="s">
        <v>166</v>
      </c>
      <c r="F3125">
        <v>1</v>
      </c>
      <c r="G3125" t="s">
        <v>488</v>
      </c>
      <c r="H3125" s="4">
        <v>40558331</v>
      </c>
      <c r="I3125" s="4">
        <v>41266025.17644424</v>
      </c>
      <c r="J3125" s="3">
        <v>0.01744879927244146</v>
      </c>
      <c r="K3125" s="3">
        <v>-0.017149560041663785</v>
      </c>
      <c r="L3125" t="s">
        <v>54</v>
      </c>
    </row>
    <row r="3126" spans="1:12" x14ac:dyDescent="0.25">
      <c r="A3126" t="s">
        <v>487</v>
      </c>
      <c r="B3126" t="s">
        <v>463</v>
      </c>
      <c r="C3126" t="s">
        <v>464</v>
      </c>
      <c r="D3126" t="s">
        <v>164</v>
      </c>
      <c r="E3126" t="s">
        <v>166</v>
      </c>
      <c r="F3126">
        <v>1</v>
      </c>
      <c r="G3126" t="s">
        <v>498</v>
      </c>
      <c r="H3126" s="4">
        <v>40558331</v>
      </c>
      <c r="I3126" s="4">
        <v>35680594</v>
      </c>
      <c r="J3126" s="3">
        <v>0.12026473673189363</v>
      </c>
      <c r="K3126" s="3">
        <v>0.13670559968816662</v>
      </c>
      <c r="L3126" t="s">
        <v>54</v>
      </c>
    </row>
    <row r="3127" spans="1:12" x14ac:dyDescent="0.25">
      <c r="A3127" t="s">
        <v>487</v>
      </c>
      <c r="B3127" t="s">
        <v>463</v>
      </c>
      <c r="C3127" t="s">
        <v>464</v>
      </c>
      <c r="D3127" t="s">
        <v>164</v>
      </c>
      <c r="E3127" t="s">
        <v>166</v>
      </c>
      <c r="F3127">
        <v>1</v>
      </c>
      <c r="G3127" t="s">
        <v>499</v>
      </c>
      <c r="H3127" s="4">
        <v>40558331</v>
      </c>
      <c r="I3127" s="4">
        <v>35720915</v>
      </c>
      <c r="J3127" s="3">
        <v>0.11927058832869626</v>
      </c>
      <c r="K3127" s="3">
        <v>0.13542251087353166</v>
      </c>
      <c r="L3127" t="s">
        <v>54</v>
      </c>
    </row>
    <row r="3128" spans="1:12" x14ac:dyDescent="0.25">
      <c r="A3128" t="s">
        <v>487</v>
      </c>
      <c r="B3128" t="s">
        <v>463</v>
      </c>
      <c r="C3128" t="s">
        <v>464</v>
      </c>
      <c r="D3128" t="s">
        <v>164</v>
      </c>
      <c r="E3128" t="s">
        <v>168</v>
      </c>
      <c r="F3128">
        <v>2</v>
      </c>
      <c r="G3128" t="s">
        <v>488</v>
      </c>
      <c r="H3128" s="4">
        <v>44587019</v>
      </c>
      <c r="I3128" s="4">
        <v>47401292.743043885</v>
      </c>
      <c r="J3128" s="3">
        <v>0.06311867907212824</v>
      </c>
      <c r="K3128" s="3">
        <v>-0.05937124454178263</v>
      </c>
      <c r="L3128" t="s">
        <v>54</v>
      </c>
    </row>
    <row r="3129" spans="1:12" x14ac:dyDescent="0.25">
      <c r="A3129" t="s">
        <v>487</v>
      </c>
      <c r="B3129" t="s">
        <v>463</v>
      </c>
      <c r="C3129" t="s">
        <v>464</v>
      </c>
      <c r="D3129" t="s">
        <v>164</v>
      </c>
      <c r="E3129" t="s">
        <v>168</v>
      </c>
      <c r="F3129">
        <v>2</v>
      </c>
      <c r="G3129" t="s">
        <v>498</v>
      </c>
      <c r="H3129" s="4">
        <v>44587019</v>
      </c>
      <c r="I3129" s="4">
        <v>40985442</v>
      </c>
      <c r="J3129" s="3">
        <v>0.08077635780046206</v>
      </c>
      <c r="K3129" s="3">
        <v>0.0878745433561507</v>
      </c>
      <c r="L3129" t="s">
        <v>54</v>
      </c>
    </row>
    <row r="3130" spans="1:12" x14ac:dyDescent="0.25">
      <c r="A3130" t="s">
        <v>487</v>
      </c>
      <c r="B3130" t="s">
        <v>463</v>
      </c>
      <c r="C3130" t="s">
        <v>464</v>
      </c>
      <c r="D3130" t="s">
        <v>164</v>
      </c>
      <c r="E3130" t="s">
        <v>168</v>
      </c>
      <c r="F3130">
        <v>2</v>
      </c>
      <c r="G3130" t="s">
        <v>499</v>
      </c>
      <c r="H3130" s="4">
        <v>44587019</v>
      </c>
      <c r="I3130" s="4">
        <v>35720915</v>
      </c>
      <c r="J3130" s="3">
        <v>0.19884944539575522</v>
      </c>
      <c r="K3130" s="3">
        <v>0.24820484021755881</v>
      </c>
      <c r="L3130" t="s">
        <v>54</v>
      </c>
    </row>
    <row r="3131" spans="1:12" x14ac:dyDescent="0.25">
      <c r="A3131" t="s">
        <v>487</v>
      </c>
      <c r="B3131" t="s">
        <v>463</v>
      </c>
      <c r="C3131" t="s">
        <v>464</v>
      </c>
      <c r="D3131" t="s">
        <v>164</v>
      </c>
      <c r="E3131" t="s">
        <v>170</v>
      </c>
      <c r="F3131">
        <v>3</v>
      </c>
      <c r="G3131" t="s">
        <v>488</v>
      </c>
      <c r="H3131" s="4">
        <v>38163955</v>
      </c>
      <c r="I3131" s="4">
        <v>40732258.95216466</v>
      </c>
      <c r="J3131" s="3">
        <v>0.06729658789726216</v>
      </c>
      <c r="K3131" s="3">
        <v>-0.06305331494579847</v>
      </c>
      <c r="L3131" t="s">
        <v>54</v>
      </c>
    </row>
    <row r="3132" spans="1:12" x14ac:dyDescent="0.25">
      <c r="A3132" t="s">
        <v>487</v>
      </c>
      <c r="B3132" t="s">
        <v>463</v>
      </c>
      <c r="C3132" t="s">
        <v>464</v>
      </c>
      <c r="D3132" t="s">
        <v>164</v>
      </c>
      <c r="E3132" t="s">
        <v>170</v>
      </c>
      <c r="F3132">
        <v>3</v>
      </c>
      <c r="G3132" t="s">
        <v>498</v>
      </c>
      <c r="H3132" s="4">
        <v>38163955</v>
      </c>
      <c r="I3132" s="4">
        <v>35219074</v>
      </c>
      <c r="J3132" s="3">
        <v>0.07716393649452737</v>
      </c>
      <c r="K3132" s="3">
        <v>0.08361608258070613</v>
      </c>
      <c r="L3132" t="s">
        <v>54</v>
      </c>
    </row>
    <row r="3133" spans="1:12" x14ac:dyDescent="0.25">
      <c r="A3133" t="s">
        <v>487</v>
      </c>
      <c r="B3133" t="s">
        <v>463</v>
      </c>
      <c r="C3133" t="s">
        <v>464</v>
      </c>
      <c r="D3133" t="s">
        <v>164</v>
      </c>
      <c r="E3133" t="s">
        <v>170</v>
      </c>
      <c r="F3133">
        <v>3</v>
      </c>
      <c r="G3133" t="s">
        <v>499</v>
      </c>
      <c r="H3133" s="4">
        <v>38163955</v>
      </c>
      <c r="I3133" s="4">
        <v>35720915</v>
      </c>
      <c r="J3133" s="3">
        <v>0.06401432975172515</v>
      </c>
      <c r="K3133" s="3">
        <v>0.06839242499807185</v>
      </c>
      <c r="L3133" t="s">
        <v>54</v>
      </c>
    </row>
    <row r="3134" spans="1:12" x14ac:dyDescent="0.25">
      <c r="A3134" t="s">
        <v>487</v>
      </c>
      <c r="B3134" t="s">
        <v>463</v>
      </c>
      <c r="C3134" t="s">
        <v>464</v>
      </c>
      <c r="D3134" t="s">
        <v>166</v>
      </c>
      <c r="E3134" t="s">
        <v>168</v>
      </c>
      <c r="F3134">
        <v>1</v>
      </c>
      <c r="G3134" t="s">
        <v>488</v>
      </c>
      <c r="H3134" s="4">
        <v>44587019</v>
      </c>
      <c r="I3134" s="4">
        <v>47805966.31827727</v>
      </c>
      <c r="J3134" s="3">
        <v>0.07219471923604648</v>
      </c>
      <c r="K3134" s="3">
        <v>-0.06733358963704485</v>
      </c>
      <c r="L3134" t="s">
        <v>54</v>
      </c>
    </row>
    <row r="3135" spans="1:12" x14ac:dyDescent="0.25">
      <c r="A3135" t="s">
        <v>487</v>
      </c>
      <c r="B3135" t="s">
        <v>463</v>
      </c>
      <c r="C3135" t="s">
        <v>464</v>
      </c>
      <c r="D3135" t="s">
        <v>166</v>
      </c>
      <c r="E3135" t="s">
        <v>168</v>
      </c>
      <c r="F3135">
        <v>1</v>
      </c>
      <c r="G3135" t="s">
        <v>498</v>
      </c>
      <c r="H3135" s="4">
        <v>44587019</v>
      </c>
      <c r="I3135" s="4">
        <v>40985442</v>
      </c>
      <c r="J3135" s="3">
        <v>0.08077635780046206</v>
      </c>
      <c r="K3135" s="3">
        <v>0.0878745433561507</v>
      </c>
      <c r="L3135" t="s">
        <v>54</v>
      </c>
    </row>
    <row r="3136" spans="1:12" x14ac:dyDescent="0.25">
      <c r="A3136" t="s">
        <v>487</v>
      </c>
      <c r="B3136" t="s">
        <v>463</v>
      </c>
      <c r="C3136" t="s">
        <v>464</v>
      </c>
      <c r="D3136" t="s">
        <v>166</v>
      </c>
      <c r="E3136" t="s">
        <v>168</v>
      </c>
      <c r="F3136">
        <v>1</v>
      </c>
      <c r="G3136" t="s">
        <v>499</v>
      </c>
      <c r="H3136" s="4">
        <v>44587019</v>
      </c>
      <c r="I3136" s="4">
        <v>40558331</v>
      </c>
      <c r="J3136" s="3">
        <v>0.09035562570352595</v>
      </c>
      <c r="K3136" s="3">
        <v>0.09933071457008426</v>
      </c>
      <c r="L3136" t="s">
        <v>54</v>
      </c>
    </row>
    <row r="3137" spans="1:12" x14ac:dyDescent="0.25">
      <c r="A3137" t="s">
        <v>487</v>
      </c>
      <c r="B3137" t="s">
        <v>463</v>
      </c>
      <c r="C3137" t="s">
        <v>464</v>
      </c>
      <c r="D3137" t="s">
        <v>166</v>
      </c>
      <c r="E3137" t="s">
        <v>170</v>
      </c>
      <c r="F3137">
        <v>2</v>
      </c>
      <c r="G3137" t="s">
        <v>488</v>
      </c>
      <c r="H3137" s="4">
        <v>38163955</v>
      </c>
      <c r="I3137" s="4">
        <v>41079997.7563964</v>
      </c>
      <c r="J3137" s="3">
        <v>0.07640829563907614</v>
      </c>
      <c r="K3137" s="3">
        <v>-0.07098449161775704</v>
      </c>
      <c r="L3137" t="s">
        <v>54</v>
      </c>
    </row>
    <row r="3138" spans="1:12" x14ac:dyDescent="0.25">
      <c r="A3138" t="s">
        <v>487</v>
      </c>
      <c r="B3138" t="s">
        <v>463</v>
      </c>
      <c r="C3138" t="s">
        <v>464</v>
      </c>
      <c r="D3138" t="s">
        <v>166</v>
      </c>
      <c r="E3138" t="s">
        <v>170</v>
      </c>
      <c r="F3138">
        <v>2</v>
      </c>
      <c r="G3138" t="s">
        <v>498</v>
      </c>
      <c r="H3138" s="4">
        <v>38163955</v>
      </c>
      <c r="I3138" s="4">
        <v>35219074</v>
      </c>
      <c r="J3138" s="3">
        <v>0.07716393649452737</v>
      </c>
      <c r="K3138" s="3">
        <v>0.08361608258070613</v>
      </c>
      <c r="L3138" t="s">
        <v>54</v>
      </c>
    </row>
    <row r="3139" spans="1:12" x14ac:dyDescent="0.25">
      <c r="A3139" t="s">
        <v>487</v>
      </c>
      <c r="B3139" t="s">
        <v>463</v>
      </c>
      <c r="C3139" t="s">
        <v>464</v>
      </c>
      <c r="D3139" t="s">
        <v>166</v>
      </c>
      <c r="E3139" t="s">
        <v>170</v>
      </c>
      <c r="F3139">
        <v>2</v>
      </c>
      <c r="G3139" t="s">
        <v>499</v>
      </c>
      <c r="H3139" s="4">
        <v>38163955</v>
      </c>
      <c r="I3139" s="4">
        <v>40558331</v>
      </c>
      <c r="J3139" s="3">
        <v>0.06273919985494165</v>
      </c>
      <c r="K3139" s="3">
        <v>-0.05903536809737067</v>
      </c>
      <c r="L3139" t="s">
        <v>54</v>
      </c>
    </row>
    <row r="3140" spans="1:12" x14ac:dyDescent="0.25">
      <c r="A3140" t="s">
        <v>487</v>
      </c>
      <c r="B3140" t="s">
        <v>463</v>
      </c>
      <c r="C3140" t="s">
        <v>464</v>
      </c>
      <c r="D3140" t="s">
        <v>166</v>
      </c>
      <c r="E3140" t="s">
        <v>172</v>
      </c>
      <c r="F3140">
        <v>3</v>
      </c>
      <c r="G3140" t="s">
        <v>488</v>
      </c>
      <c r="H3140" s="4">
        <v>23951796</v>
      </c>
      <c r="I3140" s="4">
        <v>34809421.45735725</v>
      </c>
      <c r="J3140" s="3">
        <v>0.4533115369451731</v>
      </c>
      <c r="K3140" s="3">
        <v>-0.3119162859589097</v>
      </c>
      <c r="L3140" t="s">
        <v>54</v>
      </c>
    </row>
    <row r="3141" spans="1:12" x14ac:dyDescent="0.25">
      <c r="A3141" t="s">
        <v>487</v>
      </c>
      <c r="B3141" t="s">
        <v>463</v>
      </c>
      <c r="C3141" t="s">
        <v>464</v>
      </c>
      <c r="D3141" t="s">
        <v>166</v>
      </c>
      <c r="E3141" t="s">
        <v>172</v>
      </c>
      <c r="F3141">
        <v>3</v>
      </c>
      <c r="G3141" t="s">
        <v>498</v>
      </c>
      <c r="H3141" s="4">
        <v>23951796</v>
      </c>
      <c r="I3141" s="4">
        <v>29843127</v>
      </c>
      <c r="J3141" s="3">
        <v>0.24596614800827463</v>
      </c>
      <c r="K3141" s="3">
        <v>-0.1974099765081588</v>
      </c>
      <c r="L3141" t="s">
        <v>54</v>
      </c>
    </row>
    <row r="3142" spans="1:12" x14ac:dyDescent="0.25">
      <c r="A3142" t="s">
        <v>487</v>
      </c>
      <c r="B3142" t="s">
        <v>463</v>
      </c>
      <c r="C3142" t="s">
        <v>464</v>
      </c>
      <c r="D3142" t="s">
        <v>166</v>
      </c>
      <c r="E3142" t="s">
        <v>172</v>
      </c>
      <c r="F3142">
        <v>3</v>
      </c>
      <c r="G3142" t="s">
        <v>499</v>
      </c>
      <c r="H3142" s="4">
        <v>23951796</v>
      </c>
      <c r="I3142" s="4">
        <v>40558331</v>
      </c>
      <c r="J3142" s="3">
        <v>0.6933315146805693</v>
      </c>
      <c r="K3142" s="3">
        <v>-0.4094481846405366</v>
      </c>
      <c r="L3142" t="s">
        <v>54</v>
      </c>
    </row>
    <row r="3143" spans="1:12" x14ac:dyDescent="0.25">
      <c r="A3143" t="s">
        <v>487</v>
      </c>
      <c r="B3143" t="s">
        <v>463</v>
      </c>
      <c r="C3143" t="s">
        <v>464</v>
      </c>
      <c r="D3143" t="s">
        <v>168</v>
      </c>
      <c r="E3143" t="s">
        <v>170</v>
      </c>
      <c r="F3143">
        <v>1</v>
      </c>
      <c r="G3143" t="s">
        <v>488</v>
      </c>
      <c r="H3143" s="4">
        <v>38163955</v>
      </c>
      <c r="I3143" s="4">
        <v>41049667.192131236</v>
      </c>
      <c r="J3143" s="3">
        <v>0.07561355190077224</v>
      </c>
      <c r="K3143" s="3">
        <v>-0.0702980654782116</v>
      </c>
      <c r="L3143" t="s">
        <v>54</v>
      </c>
    </row>
    <row r="3144" spans="1:12" x14ac:dyDescent="0.25">
      <c r="A3144" t="s">
        <v>487</v>
      </c>
      <c r="B3144" t="s">
        <v>463</v>
      </c>
      <c r="C3144" t="s">
        <v>464</v>
      </c>
      <c r="D3144" t="s">
        <v>168</v>
      </c>
      <c r="E3144" t="s">
        <v>170</v>
      </c>
      <c r="F3144">
        <v>1</v>
      </c>
      <c r="G3144" t="s">
        <v>498</v>
      </c>
      <c r="H3144" s="4">
        <v>38163955</v>
      </c>
      <c r="I3144" s="4">
        <v>35219074</v>
      </c>
      <c r="J3144" s="3">
        <v>0.07716393649452737</v>
      </c>
      <c r="K3144" s="3">
        <v>0.08361608258070613</v>
      </c>
      <c r="L3144" t="s">
        <v>54</v>
      </c>
    </row>
    <row r="3145" spans="1:12" x14ac:dyDescent="0.25">
      <c r="A3145" t="s">
        <v>487</v>
      </c>
      <c r="B3145" t="s">
        <v>463</v>
      </c>
      <c r="C3145" t="s">
        <v>464</v>
      </c>
      <c r="D3145" t="s">
        <v>168</v>
      </c>
      <c r="E3145" t="s">
        <v>170</v>
      </c>
      <c r="F3145">
        <v>1</v>
      </c>
      <c r="G3145" t="s">
        <v>499</v>
      </c>
      <c r="H3145" s="4">
        <v>38163955</v>
      </c>
      <c r="I3145" s="4">
        <v>44587019</v>
      </c>
      <c r="J3145" s="3">
        <v>0.1683018439781726</v>
      </c>
      <c r="K3145" s="3">
        <v>-0.14405681617782073</v>
      </c>
      <c r="L3145" t="s">
        <v>54</v>
      </c>
    </row>
    <row r="3146" spans="1:12" x14ac:dyDescent="0.25">
      <c r="A3146" t="s">
        <v>487</v>
      </c>
      <c r="B3146" t="s">
        <v>463</v>
      </c>
      <c r="C3146" t="s">
        <v>464</v>
      </c>
      <c r="D3146" t="s">
        <v>168</v>
      </c>
      <c r="E3146" t="s">
        <v>172</v>
      </c>
      <c r="F3146">
        <v>2</v>
      </c>
      <c r="G3146" t="s">
        <v>488</v>
      </c>
      <c r="H3146" s="4">
        <v>23951796</v>
      </c>
      <c r="I3146" s="4">
        <v>34783720.64303865</v>
      </c>
      <c r="J3146" s="3">
        <v>0.45223851451634994</v>
      </c>
      <c r="K3146" s="3">
        <v>-0.31140787824854127</v>
      </c>
      <c r="L3146" t="s">
        <v>54</v>
      </c>
    </row>
    <row r="3147" spans="1:12" x14ac:dyDescent="0.25">
      <c r="A3147" t="s">
        <v>487</v>
      </c>
      <c r="B3147" t="s">
        <v>463</v>
      </c>
      <c r="C3147" t="s">
        <v>464</v>
      </c>
      <c r="D3147" t="s">
        <v>168</v>
      </c>
      <c r="E3147" t="s">
        <v>172</v>
      </c>
      <c r="F3147">
        <v>2</v>
      </c>
      <c r="G3147" t="s">
        <v>498</v>
      </c>
      <c r="H3147" s="4">
        <v>23951796</v>
      </c>
      <c r="I3147" s="4">
        <v>29843127</v>
      </c>
      <c r="J3147" s="3">
        <v>0.24596614800827463</v>
      </c>
      <c r="K3147" s="3">
        <v>-0.1974099765081588</v>
      </c>
      <c r="L3147" t="s">
        <v>54</v>
      </c>
    </row>
    <row r="3148" spans="1:12" x14ac:dyDescent="0.25">
      <c r="A3148" t="s">
        <v>487</v>
      </c>
      <c r="B3148" t="s">
        <v>463</v>
      </c>
      <c r="C3148" t="s">
        <v>464</v>
      </c>
      <c r="D3148" t="s">
        <v>168</v>
      </c>
      <c r="E3148" t="s">
        <v>172</v>
      </c>
      <c r="F3148">
        <v>2</v>
      </c>
      <c r="G3148" t="s">
        <v>499</v>
      </c>
      <c r="H3148" s="4">
        <v>23951796</v>
      </c>
      <c r="I3148" s="4">
        <v>44587019</v>
      </c>
      <c r="J3148" s="3">
        <v>0.8615313440378333</v>
      </c>
      <c r="K3148" s="3">
        <v>-0.46280786342769403</v>
      </c>
      <c r="L3148" t="s">
        <v>54</v>
      </c>
    </row>
    <row r="3149" spans="1:12" x14ac:dyDescent="0.25">
      <c r="A3149" t="s">
        <v>487</v>
      </c>
      <c r="B3149" t="s">
        <v>463</v>
      </c>
      <c r="C3149" t="s">
        <v>464</v>
      </c>
      <c r="D3149" t="s">
        <v>168</v>
      </c>
      <c r="E3149" t="s">
        <v>174</v>
      </c>
      <c r="F3149">
        <v>3</v>
      </c>
      <c r="G3149" t="s">
        <v>488</v>
      </c>
      <c r="H3149" s="4">
        <v>25795317</v>
      </c>
      <c r="I3149" s="4">
        <v>36634148.89492549</v>
      </c>
      <c r="J3149" s="3">
        <v>0.42018603201990073</v>
      </c>
      <c r="K3149" s="3">
        <v>-0.29586689528433047</v>
      </c>
      <c r="L3149" t="s">
        <v>54</v>
      </c>
    </row>
    <row r="3150" spans="1:12" x14ac:dyDescent="0.25">
      <c r="A3150" t="s">
        <v>487</v>
      </c>
      <c r="B3150" t="s">
        <v>463</v>
      </c>
      <c r="C3150" t="s">
        <v>464</v>
      </c>
      <c r="D3150" t="s">
        <v>168</v>
      </c>
      <c r="E3150" t="s">
        <v>174</v>
      </c>
      <c r="F3150">
        <v>3</v>
      </c>
      <c r="G3150" t="s">
        <v>498</v>
      </c>
      <c r="H3150" s="4">
        <v>25795317</v>
      </c>
      <c r="I3150" s="4">
        <v>31430725</v>
      </c>
      <c r="J3150" s="3">
        <v>0.21846632084420595</v>
      </c>
      <c r="K3150" s="3">
        <v>-0.17929615050241443</v>
      </c>
      <c r="L3150" t="s">
        <v>54</v>
      </c>
    </row>
    <row r="3151" spans="1:12" x14ac:dyDescent="0.25">
      <c r="A3151" t="s">
        <v>487</v>
      </c>
      <c r="B3151" t="s">
        <v>463</v>
      </c>
      <c r="C3151" t="s">
        <v>464</v>
      </c>
      <c r="D3151" t="s">
        <v>168</v>
      </c>
      <c r="E3151" t="s">
        <v>174</v>
      </c>
      <c r="F3151">
        <v>3</v>
      </c>
      <c r="G3151" t="s">
        <v>499</v>
      </c>
      <c r="H3151" s="4">
        <v>25795317</v>
      </c>
      <c r="I3151" s="4">
        <v>44587019</v>
      </c>
      <c r="J3151" s="3">
        <v>0.728492772544722</v>
      </c>
      <c r="K3151" s="3">
        <v>-0.42146127777683456</v>
      </c>
      <c r="L3151" t="s">
        <v>54</v>
      </c>
    </row>
    <row r="3152" spans="1:12" x14ac:dyDescent="0.25">
      <c r="A3152" t="s">
        <v>487</v>
      </c>
      <c r="B3152" t="s">
        <v>463</v>
      </c>
      <c r="C3152" t="s">
        <v>464</v>
      </c>
      <c r="D3152" t="s">
        <v>170</v>
      </c>
      <c r="E3152" t="s">
        <v>172</v>
      </c>
      <c r="F3152">
        <v>1</v>
      </c>
      <c r="G3152" t="s">
        <v>488</v>
      </c>
      <c r="H3152" s="4">
        <v>23951796</v>
      </c>
      <c r="I3152" s="4">
        <v>34916497.68655602</v>
      </c>
      <c r="J3152" s="3">
        <v>0.4577820254713266</v>
      </c>
      <c r="K3152" s="3">
        <v>-0.3140263890435318</v>
      </c>
      <c r="L3152" t="s">
        <v>54</v>
      </c>
    </row>
    <row r="3153" spans="1:12" x14ac:dyDescent="0.25">
      <c r="A3153" t="s">
        <v>487</v>
      </c>
      <c r="B3153" t="s">
        <v>463</v>
      </c>
      <c r="C3153" t="s">
        <v>464</v>
      </c>
      <c r="D3153" t="s">
        <v>170</v>
      </c>
      <c r="E3153" t="s">
        <v>172</v>
      </c>
      <c r="F3153">
        <v>1</v>
      </c>
      <c r="G3153" t="s">
        <v>498</v>
      </c>
      <c r="H3153" s="4">
        <v>23951796</v>
      </c>
      <c r="I3153" s="4">
        <v>29843127</v>
      </c>
      <c r="J3153" s="3">
        <v>0.24596614800827463</v>
      </c>
      <c r="K3153" s="3">
        <v>-0.1974099765081588</v>
      </c>
      <c r="L3153" t="s">
        <v>54</v>
      </c>
    </row>
    <row r="3154" spans="1:12" x14ac:dyDescent="0.25">
      <c r="A3154" t="s">
        <v>487</v>
      </c>
      <c r="B3154" t="s">
        <v>463</v>
      </c>
      <c r="C3154" t="s">
        <v>464</v>
      </c>
      <c r="D3154" t="s">
        <v>170</v>
      </c>
      <c r="E3154" t="s">
        <v>172</v>
      </c>
      <c r="F3154">
        <v>1</v>
      </c>
      <c r="G3154" t="s">
        <v>499</v>
      </c>
      <c r="H3154" s="4">
        <v>23951796</v>
      </c>
      <c r="I3154" s="4">
        <v>38163955</v>
      </c>
      <c r="J3154" s="3">
        <v>0.5933650654005236</v>
      </c>
      <c r="K3154" s="3">
        <v>-0.3723974362720006</v>
      </c>
      <c r="L3154" t="s">
        <v>54</v>
      </c>
    </row>
    <row r="3155" spans="1:12" x14ac:dyDescent="0.25">
      <c r="A3155" t="s">
        <v>487</v>
      </c>
      <c r="B3155" t="s">
        <v>463</v>
      </c>
      <c r="C3155" t="s">
        <v>464</v>
      </c>
      <c r="D3155" t="s">
        <v>170</v>
      </c>
      <c r="E3155" t="s">
        <v>174</v>
      </c>
      <c r="F3155">
        <v>2</v>
      </c>
      <c r="G3155" t="s">
        <v>488</v>
      </c>
      <c r="H3155" s="4">
        <v>25795317</v>
      </c>
      <c r="I3155" s="4">
        <v>36773989.42641897</v>
      </c>
      <c r="J3155" s="3">
        <v>0.42560719166269473</v>
      </c>
      <c r="K3155" s="3">
        <v>-0.29854450380985126</v>
      </c>
      <c r="L3155" t="s">
        <v>54</v>
      </c>
    </row>
    <row r="3156" spans="1:12" x14ac:dyDescent="0.25">
      <c r="A3156" t="s">
        <v>487</v>
      </c>
      <c r="B3156" t="s">
        <v>463</v>
      </c>
      <c r="C3156" t="s">
        <v>464</v>
      </c>
      <c r="D3156" t="s">
        <v>170</v>
      </c>
      <c r="E3156" t="s">
        <v>174</v>
      </c>
      <c r="F3156">
        <v>2</v>
      </c>
      <c r="G3156" t="s">
        <v>498</v>
      </c>
      <c r="H3156" s="4">
        <v>25795317</v>
      </c>
      <c r="I3156" s="4">
        <v>31430725</v>
      </c>
      <c r="J3156" s="3">
        <v>0.21846632084420595</v>
      </c>
      <c r="K3156" s="3">
        <v>-0.17929615050241443</v>
      </c>
      <c r="L3156" t="s">
        <v>54</v>
      </c>
    </row>
    <row r="3157" spans="1:12" x14ac:dyDescent="0.25">
      <c r="A3157" t="s">
        <v>487</v>
      </c>
      <c r="B3157" t="s">
        <v>463</v>
      </c>
      <c r="C3157" t="s">
        <v>464</v>
      </c>
      <c r="D3157" t="s">
        <v>170</v>
      </c>
      <c r="E3157" t="s">
        <v>174</v>
      </c>
      <c r="F3157">
        <v>2</v>
      </c>
      <c r="G3157" t="s">
        <v>499</v>
      </c>
      <c r="H3157" s="4">
        <v>25795317</v>
      </c>
      <c r="I3157" s="4">
        <v>38163955</v>
      </c>
      <c r="J3157" s="3">
        <v>0.47949160694555526</v>
      </c>
      <c r="K3157" s="3">
        <v>-0.3240921440139</v>
      </c>
      <c r="L3157" t="s">
        <v>54</v>
      </c>
    </row>
    <row r="3158" spans="1:12" x14ac:dyDescent="0.25">
      <c r="A3158" t="s">
        <v>487</v>
      </c>
      <c r="B3158" t="s">
        <v>463</v>
      </c>
      <c r="C3158" t="s">
        <v>464</v>
      </c>
      <c r="D3158" t="s">
        <v>170</v>
      </c>
      <c r="E3158" t="s">
        <v>176</v>
      </c>
      <c r="F3158">
        <v>3</v>
      </c>
      <c r="G3158" t="s">
        <v>488</v>
      </c>
      <c r="H3158" s="4">
        <v>26401730</v>
      </c>
      <c r="I3158" s="4">
        <v>35645862.46323732</v>
      </c>
      <c r="J3158" s="3">
        <v>0.35013358833823854</v>
      </c>
      <c r="K3158" s="3">
        <v>-0.25933255150639384</v>
      </c>
      <c r="L3158" t="s">
        <v>54</v>
      </c>
    </row>
    <row r="3159" spans="1:12" x14ac:dyDescent="0.25">
      <c r="A3159" t="s">
        <v>487</v>
      </c>
      <c r="B3159" t="s">
        <v>463</v>
      </c>
      <c r="C3159" t="s">
        <v>464</v>
      </c>
      <c r="D3159" t="s">
        <v>170</v>
      </c>
      <c r="E3159" t="s">
        <v>176</v>
      </c>
      <c r="F3159">
        <v>3</v>
      </c>
      <c r="G3159" t="s">
        <v>498</v>
      </c>
      <c r="H3159" s="4">
        <v>26401730</v>
      </c>
      <c r="I3159" s="4">
        <v>30466515</v>
      </c>
      <c r="J3159" s="3">
        <v>0.1539590398053461</v>
      </c>
      <c r="K3159" s="3">
        <v>-0.13341811493700542</v>
      </c>
      <c r="L3159" t="s">
        <v>54</v>
      </c>
    </row>
    <row r="3160" spans="1:12" x14ac:dyDescent="0.25">
      <c r="A3160" t="s">
        <v>487</v>
      </c>
      <c r="B3160" t="s">
        <v>463</v>
      </c>
      <c r="C3160" t="s">
        <v>464</v>
      </c>
      <c r="D3160" t="s">
        <v>170</v>
      </c>
      <c r="E3160" t="s">
        <v>176</v>
      </c>
      <c r="F3160">
        <v>3</v>
      </c>
      <c r="G3160" t="s">
        <v>499</v>
      </c>
      <c r="H3160" s="4">
        <v>26401730</v>
      </c>
      <c r="I3160" s="4">
        <v>38163955</v>
      </c>
      <c r="J3160" s="3">
        <v>0.44550963137642874</v>
      </c>
      <c r="K3160" s="3">
        <v>-0.30820246486508013</v>
      </c>
      <c r="L3160" t="s">
        <v>54</v>
      </c>
    </row>
    <row r="3161" spans="1:12" x14ac:dyDescent="0.25">
      <c r="A3161" t="s">
        <v>487</v>
      </c>
      <c r="B3161" t="s">
        <v>463</v>
      </c>
      <c r="C3161" t="s">
        <v>464</v>
      </c>
      <c r="D3161" t="s">
        <v>172</v>
      </c>
      <c r="E3161" t="s">
        <v>174</v>
      </c>
      <c r="F3161">
        <v>1</v>
      </c>
      <c r="G3161" t="s">
        <v>488</v>
      </c>
      <c r="H3161" s="4">
        <v>25795317</v>
      </c>
      <c r="I3161" s="4">
        <v>35712180.59108337</v>
      </c>
      <c r="J3161" s="3">
        <v>0.3844443389117246</v>
      </c>
      <c r="K3161" s="3">
        <v>-0.2776885484713139</v>
      </c>
      <c r="L3161" t="s">
        <v>54</v>
      </c>
    </row>
    <row r="3162" spans="1:12" x14ac:dyDescent="0.25">
      <c r="A3162" t="s">
        <v>487</v>
      </c>
      <c r="B3162" t="s">
        <v>463</v>
      </c>
      <c r="C3162" t="s">
        <v>464</v>
      </c>
      <c r="D3162" t="s">
        <v>172</v>
      </c>
      <c r="E3162" t="s">
        <v>174</v>
      </c>
      <c r="F3162">
        <v>1</v>
      </c>
      <c r="G3162" t="s">
        <v>498</v>
      </c>
      <c r="H3162" s="4">
        <v>25795317</v>
      </c>
      <c r="I3162" s="4">
        <v>31430725</v>
      </c>
      <c r="J3162" s="3">
        <v>0.21846632084420595</v>
      </c>
      <c r="K3162" s="3">
        <v>-0.17929615050241443</v>
      </c>
      <c r="L3162" t="s">
        <v>54</v>
      </c>
    </row>
    <row r="3163" spans="1:12" x14ac:dyDescent="0.25">
      <c r="A3163" t="s">
        <v>487</v>
      </c>
      <c r="B3163" t="s">
        <v>463</v>
      </c>
      <c r="C3163" t="s">
        <v>464</v>
      </c>
      <c r="D3163" t="s">
        <v>172</v>
      </c>
      <c r="E3163" t="s">
        <v>174</v>
      </c>
      <c r="F3163">
        <v>1</v>
      </c>
      <c r="G3163" t="s">
        <v>499</v>
      </c>
      <c r="H3163" s="4">
        <v>25795317</v>
      </c>
      <c r="I3163" s="4">
        <v>23951796</v>
      </c>
      <c r="J3163" s="3">
        <v>0.07146727446691196</v>
      </c>
      <c r="K3163" s="3">
        <v>0.07696796515801989</v>
      </c>
      <c r="L3163" t="s">
        <v>54</v>
      </c>
    </row>
    <row r="3164" spans="1:12" x14ac:dyDescent="0.25">
      <c r="A3164" t="s">
        <v>487</v>
      </c>
      <c r="B3164" t="s">
        <v>463</v>
      </c>
      <c r="C3164" t="s">
        <v>464</v>
      </c>
      <c r="D3164" t="s">
        <v>172</v>
      </c>
      <c r="E3164" t="s">
        <v>176</v>
      </c>
      <c r="F3164">
        <v>2</v>
      </c>
      <c r="G3164" t="s">
        <v>488</v>
      </c>
      <c r="H3164" s="4">
        <v>26401730</v>
      </c>
      <c r="I3164" s="4">
        <v>34616627.063516684</v>
      </c>
      <c r="J3164" s="3">
        <v>0.311149953564281</v>
      </c>
      <c r="K3164" s="3">
        <v>-0.23731073072034123</v>
      </c>
      <c r="L3164" t="s">
        <v>54</v>
      </c>
    </row>
    <row r="3165" spans="1:12" x14ac:dyDescent="0.25">
      <c r="A3165" t="s">
        <v>487</v>
      </c>
      <c r="B3165" t="s">
        <v>463</v>
      </c>
      <c r="C3165" t="s">
        <v>464</v>
      </c>
      <c r="D3165" t="s">
        <v>172</v>
      </c>
      <c r="E3165" t="s">
        <v>176</v>
      </c>
      <c r="F3165">
        <v>2</v>
      </c>
      <c r="G3165" t="s">
        <v>498</v>
      </c>
      <c r="H3165" s="4">
        <v>26401730</v>
      </c>
      <c r="I3165" s="4">
        <v>30466515</v>
      </c>
      <c r="J3165" s="3">
        <v>0.1539590398053461</v>
      </c>
      <c r="K3165" s="3">
        <v>-0.13341811493700542</v>
      </c>
      <c r="L3165" t="s">
        <v>54</v>
      </c>
    </row>
    <row r="3166" spans="1:12" x14ac:dyDescent="0.25">
      <c r="A3166" t="s">
        <v>487</v>
      </c>
      <c r="B3166" t="s">
        <v>463</v>
      </c>
      <c r="C3166" t="s">
        <v>464</v>
      </c>
      <c r="D3166" t="s">
        <v>172</v>
      </c>
      <c r="E3166" t="s">
        <v>176</v>
      </c>
      <c r="F3166">
        <v>2</v>
      </c>
      <c r="G3166" t="s">
        <v>499</v>
      </c>
      <c r="H3166" s="4">
        <v>26401730</v>
      </c>
      <c r="I3166" s="4">
        <v>23951796</v>
      </c>
      <c r="J3166" s="3">
        <v>0.09279444945463801</v>
      </c>
      <c r="K3166" s="3">
        <v>0.1022860248141726</v>
      </c>
      <c r="L3166" t="s">
        <v>54</v>
      </c>
    </row>
    <row r="3167" spans="1:12" x14ac:dyDescent="0.25">
      <c r="A3167" t="s">
        <v>487</v>
      </c>
      <c r="B3167" t="s">
        <v>463</v>
      </c>
      <c r="C3167" t="s">
        <v>464</v>
      </c>
      <c r="D3167" t="s">
        <v>172</v>
      </c>
      <c r="E3167" t="s">
        <v>178</v>
      </c>
      <c r="F3167">
        <v>3</v>
      </c>
      <c r="G3167" t="s">
        <v>488</v>
      </c>
      <c r="H3167" s="4">
        <v>21289799</v>
      </c>
      <c r="I3167" s="4">
        <v>23374393.107116017</v>
      </c>
      <c r="J3167" s="3">
        <v>0.09791516148724642</v>
      </c>
      <c r="K3167" s="3">
        <v>-0.08918281204406506</v>
      </c>
      <c r="L3167" t="s">
        <v>54</v>
      </c>
    </row>
    <row r="3168" spans="1:12" x14ac:dyDescent="0.25">
      <c r="A3168" t="s">
        <v>487</v>
      </c>
      <c r="B3168" t="s">
        <v>463</v>
      </c>
      <c r="C3168" t="s">
        <v>464</v>
      </c>
      <c r="D3168" t="s">
        <v>172</v>
      </c>
      <c r="E3168" t="s">
        <v>178</v>
      </c>
      <c r="F3168">
        <v>3</v>
      </c>
      <c r="G3168" t="s">
        <v>498</v>
      </c>
      <c r="H3168" s="4">
        <v>21289799</v>
      </c>
      <c r="I3168" s="4">
        <v>20572088</v>
      </c>
      <c r="J3168" s="3">
        <v>0.03371149722925989</v>
      </c>
      <c r="K3168" s="3">
        <v>0.03488761082491967</v>
      </c>
      <c r="L3168" t="s">
        <v>54</v>
      </c>
    </row>
    <row r="3169" spans="1:12" x14ac:dyDescent="0.25">
      <c r="A3169" t="s">
        <v>487</v>
      </c>
      <c r="B3169" t="s">
        <v>463</v>
      </c>
      <c r="C3169" t="s">
        <v>464</v>
      </c>
      <c r="D3169" t="s">
        <v>172</v>
      </c>
      <c r="E3169" t="s">
        <v>178</v>
      </c>
      <c r="F3169">
        <v>3</v>
      </c>
      <c r="G3169" t="s">
        <v>499</v>
      </c>
      <c r="H3169" s="4">
        <v>21289799</v>
      </c>
      <c r="I3169" s="4">
        <v>23951796</v>
      </c>
      <c r="J3169" s="3">
        <v>0.12503626736917525</v>
      </c>
      <c r="K3169" s="3">
        <v>-0.1111397658864496</v>
      </c>
      <c r="L3169" t="s">
        <v>54</v>
      </c>
    </row>
    <row r="3170" spans="1:12" x14ac:dyDescent="0.25">
      <c r="A3170" t="s">
        <v>487</v>
      </c>
      <c r="B3170" t="s">
        <v>463</v>
      </c>
      <c r="C3170" t="s">
        <v>464</v>
      </c>
      <c r="D3170" t="s">
        <v>174</v>
      </c>
      <c r="E3170" t="s">
        <v>176</v>
      </c>
      <c r="F3170">
        <v>1</v>
      </c>
      <c r="G3170" t="s">
        <v>488</v>
      </c>
      <c r="H3170" s="4">
        <v>26401730</v>
      </c>
      <c r="I3170" s="4">
        <v>33674422.59442647</v>
      </c>
      <c r="J3170" s="3">
        <v>0.275462728935811</v>
      </c>
      <c r="K3170" s="3">
        <v>-0.21597081803060192</v>
      </c>
      <c r="L3170" t="s">
        <v>54</v>
      </c>
    </row>
    <row r="3171" spans="1:12" x14ac:dyDescent="0.25">
      <c r="A3171" t="s">
        <v>487</v>
      </c>
      <c r="B3171" t="s">
        <v>463</v>
      </c>
      <c r="C3171" t="s">
        <v>464</v>
      </c>
      <c r="D3171" t="s">
        <v>174</v>
      </c>
      <c r="E3171" t="s">
        <v>176</v>
      </c>
      <c r="F3171">
        <v>1</v>
      </c>
      <c r="G3171" t="s">
        <v>498</v>
      </c>
      <c r="H3171" s="4">
        <v>26401730</v>
      </c>
      <c r="I3171" s="4">
        <v>30466515</v>
      </c>
      <c r="J3171" s="3">
        <v>0.1539590398053461</v>
      </c>
      <c r="K3171" s="3">
        <v>-0.13341811493700542</v>
      </c>
      <c r="L3171" t="s">
        <v>54</v>
      </c>
    </row>
    <row r="3172" spans="1:12" x14ac:dyDescent="0.25">
      <c r="A3172" t="s">
        <v>487</v>
      </c>
      <c r="B3172" t="s">
        <v>463</v>
      </c>
      <c r="C3172" t="s">
        <v>464</v>
      </c>
      <c r="D3172" t="s">
        <v>174</v>
      </c>
      <c r="E3172" t="s">
        <v>176</v>
      </c>
      <c r="F3172">
        <v>1</v>
      </c>
      <c r="G3172" t="s">
        <v>499</v>
      </c>
      <c r="H3172" s="4">
        <v>26401730</v>
      </c>
      <c r="I3172" s="4">
        <v>25795317</v>
      </c>
      <c r="J3172" s="3">
        <v>0.022968684249100344</v>
      </c>
      <c r="K3172" s="3">
        <v>0.0235086469377368</v>
      </c>
      <c r="L3172" t="s">
        <v>54</v>
      </c>
    </row>
    <row r="3173" spans="1:12" x14ac:dyDescent="0.25">
      <c r="A3173" t="s">
        <v>487</v>
      </c>
      <c r="B3173" t="s">
        <v>463</v>
      </c>
      <c r="C3173" t="s">
        <v>464</v>
      </c>
      <c r="D3173" t="s">
        <v>174</v>
      </c>
      <c r="E3173" t="s">
        <v>178</v>
      </c>
      <c r="F3173">
        <v>2</v>
      </c>
      <c r="G3173" t="s">
        <v>488</v>
      </c>
      <c r="H3173" s="4">
        <v>21289799</v>
      </c>
      <c r="I3173" s="4">
        <v>22738182.72164472</v>
      </c>
      <c r="J3173" s="3">
        <v>0.06803181756881398</v>
      </c>
      <c r="K3173" s="3">
        <v>-0.06369830603331314</v>
      </c>
      <c r="L3173" t="s">
        <v>54</v>
      </c>
    </row>
    <row r="3174" spans="1:12" x14ac:dyDescent="0.25">
      <c r="A3174" t="s">
        <v>487</v>
      </c>
      <c r="B3174" t="s">
        <v>463</v>
      </c>
      <c r="C3174" t="s">
        <v>464</v>
      </c>
      <c r="D3174" t="s">
        <v>174</v>
      </c>
      <c r="E3174" t="s">
        <v>178</v>
      </c>
      <c r="F3174">
        <v>2</v>
      </c>
      <c r="G3174" t="s">
        <v>498</v>
      </c>
      <c r="H3174" s="4">
        <v>21289799</v>
      </c>
      <c r="I3174" s="4">
        <v>20572088</v>
      </c>
      <c r="J3174" s="3">
        <v>0.03371149722925989</v>
      </c>
      <c r="K3174" s="3">
        <v>0.03488761082491967</v>
      </c>
      <c r="L3174" t="s">
        <v>54</v>
      </c>
    </row>
    <row r="3175" spans="1:12" x14ac:dyDescent="0.25">
      <c r="A3175" t="s">
        <v>487</v>
      </c>
      <c r="B3175" t="s">
        <v>463</v>
      </c>
      <c r="C3175" t="s">
        <v>464</v>
      </c>
      <c r="D3175" t="s">
        <v>174</v>
      </c>
      <c r="E3175" t="s">
        <v>178</v>
      </c>
      <c r="F3175">
        <v>2</v>
      </c>
      <c r="G3175" t="s">
        <v>499</v>
      </c>
      <c r="H3175" s="4">
        <v>21289799</v>
      </c>
      <c r="I3175" s="4">
        <v>25795317</v>
      </c>
      <c r="J3175" s="3">
        <v>0.21162801959755467</v>
      </c>
      <c r="K3175" s="3">
        <v>-0.17466418420056634</v>
      </c>
      <c r="L3175" t="s">
        <v>54</v>
      </c>
    </row>
    <row r="3176" spans="1:12" x14ac:dyDescent="0.25">
      <c r="A3176" t="s">
        <v>487</v>
      </c>
      <c r="B3176" t="s">
        <v>463</v>
      </c>
      <c r="C3176" t="s">
        <v>464</v>
      </c>
      <c r="D3176" t="s">
        <v>174</v>
      </c>
      <c r="E3176" t="s">
        <v>180</v>
      </c>
      <c r="F3176">
        <v>3</v>
      </c>
      <c r="G3176" t="s">
        <v>488</v>
      </c>
      <c r="H3176" s="4">
        <v>16189183</v>
      </c>
      <c r="I3176" s="4">
        <v>20289090.196857627</v>
      </c>
      <c r="J3176" s="3">
        <v>0.2532497901134126</v>
      </c>
      <c r="K3176" s="3">
        <v>-0.20207447239268622</v>
      </c>
      <c r="L3176" t="s">
        <v>54</v>
      </c>
    </row>
    <row r="3177" spans="1:12" x14ac:dyDescent="0.25">
      <c r="A3177" t="s">
        <v>487</v>
      </c>
      <c r="B3177" t="s">
        <v>463</v>
      </c>
      <c r="C3177" t="s">
        <v>464</v>
      </c>
      <c r="D3177" t="s">
        <v>174</v>
      </c>
      <c r="E3177" t="s">
        <v>180</v>
      </c>
      <c r="F3177">
        <v>3</v>
      </c>
      <c r="G3177" t="s">
        <v>498</v>
      </c>
      <c r="H3177" s="4">
        <v>16189183</v>
      </c>
      <c r="I3177" s="4">
        <v>18356302</v>
      </c>
      <c r="J3177" s="3">
        <v>0.13386215969020795</v>
      </c>
      <c r="K3177" s="3">
        <v>-0.11805858282349027</v>
      </c>
      <c r="L3177" t="s">
        <v>54</v>
      </c>
    </row>
    <row r="3178" spans="1:12" x14ac:dyDescent="0.25">
      <c r="A3178" t="s">
        <v>487</v>
      </c>
      <c r="B3178" t="s">
        <v>463</v>
      </c>
      <c r="C3178" t="s">
        <v>464</v>
      </c>
      <c r="D3178" t="s">
        <v>174</v>
      </c>
      <c r="E3178" t="s">
        <v>180</v>
      </c>
      <c r="F3178">
        <v>3</v>
      </c>
      <c r="G3178" t="s">
        <v>499</v>
      </c>
      <c r="H3178" s="4">
        <v>16189183</v>
      </c>
      <c r="I3178" s="4">
        <v>25795317</v>
      </c>
      <c r="J3178" s="3">
        <v>0.5933674355277841</v>
      </c>
      <c r="K3178" s="3">
        <v>-0.37239836982813584</v>
      </c>
      <c r="L3178" t="s">
        <v>54</v>
      </c>
    </row>
    <row r="3179" spans="1:12" x14ac:dyDescent="0.25">
      <c r="A3179" t="s">
        <v>487</v>
      </c>
      <c r="B3179" t="s">
        <v>463</v>
      </c>
      <c r="C3179" t="s">
        <v>464</v>
      </c>
      <c r="D3179" t="s">
        <v>176</v>
      </c>
      <c r="E3179" t="s">
        <v>178</v>
      </c>
      <c r="F3179">
        <v>1</v>
      </c>
      <c r="G3179" t="s">
        <v>488</v>
      </c>
      <c r="H3179" s="4">
        <v>21289799</v>
      </c>
      <c r="I3179" s="4">
        <v>22368459.571213704</v>
      </c>
      <c r="J3179" s="3">
        <v>0.05066560615314891</v>
      </c>
      <c r="K3179" s="3">
        <v>-0.0482223895561341</v>
      </c>
      <c r="L3179" t="s">
        <v>54</v>
      </c>
    </row>
    <row r="3180" spans="1:12" x14ac:dyDescent="0.25">
      <c r="A3180" t="s">
        <v>487</v>
      </c>
      <c r="B3180" t="s">
        <v>463</v>
      </c>
      <c r="C3180" t="s">
        <v>464</v>
      </c>
      <c r="D3180" t="s">
        <v>176</v>
      </c>
      <c r="E3180" t="s">
        <v>178</v>
      </c>
      <c r="F3180">
        <v>1</v>
      </c>
      <c r="G3180" t="s">
        <v>498</v>
      </c>
      <c r="H3180" s="4">
        <v>21289799</v>
      </c>
      <c r="I3180" s="4">
        <v>20572088</v>
      </c>
      <c r="J3180" s="3">
        <v>0.03371149722925989</v>
      </c>
      <c r="K3180" s="3">
        <v>0.03488761082491967</v>
      </c>
      <c r="L3180" t="s">
        <v>54</v>
      </c>
    </row>
    <row r="3181" spans="1:12" x14ac:dyDescent="0.25">
      <c r="A3181" t="s">
        <v>487</v>
      </c>
      <c r="B3181" t="s">
        <v>463</v>
      </c>
      <c r="C3181" t="s">
        <v>464</v>
      </c>
      <c r="D3181" t="s">
        <v>176</v>
      </c>
      <c r="E3181" t="s">
        <v>178</v>
      </c>
      <c r="F3181">
        <v>1</v>
      </c>
      <c r="G3181" t="s">
        <v>499</v>
      </c>
      <c r="H3181" s="4">
        <v>21289799</v>
      </c>
      <c r="I3181" s="4">
        <v>26401730</v>
      </c>
      <c r="J3181" s="3">
        <v>0.24011175493014283</v>
      </c>
      <c r="K3181" s="3">
        <v>-0.19362106195313716</v>
      </c>
      <c r="L3181" t="s">
        <v>54</v>
      </c>
    </row>
    <row r="3182" spans="1:12" x14ac:dyDescent="0.25">
      <c r="A3182" t="s">
        <v>487</v>
      </c>
      <c r="B3182" t="s">
        <v>463</v>
      </c>
      <c r="C3182" t="s">
        <v>464</v>
      </c>
      <c r="D3182" t="s">
        <v>176</v>
      </c>
      <c r="E3182" t="s">
        <v>180</v>
      </c>
      <c r="F3182">
        <v>2</v>
      </c>
      <c r="G3182" t="s">
        <v>488</v>
      </c>
      <c r="H3182" s="4">
        <v>16189183</v>
      </c>
      <c r="I3182" s="4">
        <v>19959189.323125064</v>
      </c>
      <c r="J3182" s="3">
        <v>0.23287193202554227</v>
      </c>
      <c r="K3182" s="3">
        <v>-0.18888574390930143</v>
      </c>
      <c r="L3182" t="s">
        <v>54</v>
      </c>
    </row>
    <row r="3183" spans="1:12" x14ac:dyDescent="0.25">
      <c r="A3183" t="s">
        <v>487</v>
      </c>
      <c r="B3183" t="s">
        <v>463</v>
      </c>
      <c r="C3183" t="s">
        <v>464</v>
      </c>
      <c r="D3183" t="s">
        <v>176</v>
      </c>
      <c r="E3183" t="s">
        <v>180</v>
      </c>
      <c r="F3183">
        <v>2</v>
      </c>
      <c r="G3183" t="s">
        <v>498</v>
      </c>
      <c r="H3183" s="4">
        <v>16189183</v>
      </c>
      <c r="I3183" s="4">
        <v>18356302</v>
      </c>
      <c r="J3183" s="3">
        <v>0.13386215969020795</v>
      </c>
      <c r="K3183" s="3">
        <v>-0.11805858282349027</v>
      </c>
      <c r="L3183" t="s">
        <v>54</v>
      </c>
    </row>
    <row r="3184" spans="1:12" x14ac:dyDescent="0.25">
      <c r="A3184" t="s">
        <v>487</v>
      </c>
      <c r="B3184" t="s">
        <v>463</v>
      </c>
      <c r="C3184" t="s">
        <v>464</v>
      </c>
      <c r="D3184" t="s">
        <v>176</v>
      </c>
      <c r="E3184" t="s">
        <v>180</v>
      </c>
      <c r="F3184">
        <v>2</v>
      </c>
      <c r="G3184" t="s">
        <v>499</v>
      </c>
      <c r="H3184" s="4">
        <v>16189183</v>
      </c>
      <c r="I3184" s="4">
        <v>26401730</v>
      </c>
      <c r="J3184" s="3">
        <v>0.630825348011694</v>
      </c>
      <c r="K3184" s="3">
        <v>-0.38681355350577407</v>
      </c>
      <c r="L3184" t="s">
        <v>54</v>
      </c>
    </row>
    <row r="3185" spans="1:12" x14ac:dyDescent="0.25">
      <c r="A3185" t="s">
        <v>487</v>
      </c>
      <c r="B3185" t="s">
        <v>463</v>
      </c>
      <c r="C3185" t="s">
        <v>464</v>
      </c>
      <c r="D3185" t="s">
        <v>176</v>
      </c>
      <c r="E3185" t="s">
        <v>182</v>
      </c>
      <c r="F3185">
        <v>3</v>
      </c>
      <c r="G3185" t="s">
        <v>488</v>
      </c>
      <c r="H3185" s="4">
        <v>15580189</v>
      </c>
      <c r="I3185" s="4">
        <v>16792845.859158326</v>
      </c>
      <c r="J3185" s="3">
        <v>0.07783325729606527</v>
      </c>
      <c r="K3185" s="3">
        <v>-0.0722127070854389</v>
      </c>
      <c r="L3185" t="s">
        <v>54</v>
      </c>
    </row>
    <row r="3186" spans="1:12" x14ac:dyDescent="0.25">
      <c r="A3186" t="s">
        <v>487</v>
      </c>
      <c r="B3186" t="s">
        <v>463</v>
      </c>
      <c r="C3186" t="s">
        <v>464</v>
      </c>
      <c r="D3186" t="s">
        <v>176</v>
      </c>
      <c r="E3186" t="s">
        <v>182</v>
      </c>
      <c r="F3186">
        <v>3</v>
      </c>
      <c r="G3186" t="s">
        <v>498</v>
      </c>
      <c r="H3186" s="4">
        <v>15580189</v>
      </c>
      <c r="I3186" s="4">
        <v>15444242</v>
      </c>
      <c r="J3186" s="3">
        <v>0.008725632275706026</v>
      </c>
      <c r="K3186" s="3">
        <v>0.00880243912261929</v>
      </c>
      <c r="L3186" t="s">
        <v>54</v>
      </c>
    </row>
    <row r="3187" spans="1:12" x14ac:dyDescent="0.25">
      <c r="A3187" t="s">
        <v>487</v>
      </c>
      <c r="B3187" t="s">
        <v>463</v>
      </c>
      <c r="C3187" t="s">
        <v>464</v>
      </c>
      <c r="D3187" t="s">
        <v>176</v>
      </c>
      <c r="E3187" t="s">
        <v>182</v>
      </c>
      <c r="F3187">
        <v>3</v>
      </c>
      <c r="G3187" t="s">
        <v>499</v>
      </c>
      <c r="H3187" s="4">
        <v>15580189</v>
      </c>
      <c r="I3187" s="4">
        <v>26401730</v>
      </c>
      <c r="J3187" s="3">
        <v>0.6945705857611868</v>
      </c>
      <c r="K3187" s="3">
        <v>-0.4098799965002293</v>
      </c>
      <c r="L3187" t="s">
        <v>54</v>
      </c>
    </row>
    <row r="3188" spans="1:12" x14ac:dyDescent="0.25">
      <c r="A3188" t="s">
        <v>487</v>
      </c>
      <c r="B3188" t="s">
        <v>463</v>
      </c>
      <c r="C3188" t="s">
        <v>464</v>
      </c>
      <c r="D3188" t="s">
        <v>178</v>
      </c>
      <c r="E3188" t="s">
        <v>180</v>
      </c>
      <c r="F3188">
        <v>1</v>
      </c>
      <c r="G3188" t="s">
        <v>488</v>
      </c>
      <c r="H3188" s="4">
        <v>16189183</v>
      </c>
      <c r="I3188" s="4">
        <v>19872869.770112634</v>
      </c>
      <c r="J3188" s="3">
        <v>0.22754000434195065</v>
      </c>
      <c r="K3188" s="3">
        <v>-0.18536259799038354</v>
      </c>
      <c r="L3188" t="s">
        <v>54</v>
      </c>
    </row>
    <row r="3189" spans="1:12" x14ac:dyDescent="0.25">
      <c r="A3189" t="s">
        <v>487</v>
      </c>
      <c r="B3189" t="s">
        <v>463</v>
      </c>
      <c r="C3189" t="s">
        <v>464</v>
      </c>
      <c r="D3189" t="s">
        <v>178</v>
      </c>
      <c r="E3189" t="s">
        <v>180</v>
      </c>
      <c r="F3189">
        <v>1</v>
      </c>
      <c r="G3189" t="s">
        <v>498</v>
      </c>
      <c r="H3189" s="4">
        <v>16189183</v>
      </c>
      <c r="I3189" s="4">
        <v>18356302</v>
      </c>
      <c r="J3189" s="3">
        <v>0.13386215969020795</v>
      </c>
      <c r="K3189" s="3">
        <v>-0.11805858282349027</v>
      </c>
      <c r="L3189" t="s">
        <v>54</v>
      </c>
    </row>
    <row r="3190" spans="1:12" x14ac:dyDescent="0.25">
      <c r="A3190" t="s">
        <v>487</v>
      </c>
      <c r="B3190" t="s">
        <v>463</v>
      </c>
      <c r="C3190" t="s">
        <v>464</v>
      </c>
      <c r="D3190" t="s">
        <v>178</v>
      </c>
      <c r="E3190" t="s">
        <v>180</v>
      </c>
      <c r="F3190">
        <v>1</v>
      </c>
      <c r="G3190" t="s">
        <v>499</v>
      </c>
      <c r="H3190" s="4">
        <v>16189183</v>
      </c>
      <c r="I3190" s="4">
        <v>21289799</v>
      </c>
      <c r="J3190" s="3">
        <v>0.3150632122695753</v>
      </c>
      <c r="K3190" s="3">
        <v>-0.23958027973866733</v>
      </c>
      <c r="L3190" t="s">
        <v>54</v>
      </c>
    </row>
    <row r="3191" spans="1:12" x14ac:dyDescent="0.25">
      <c r="A3191" t="s">
        <v>487</v>
      </c>
      <c r="B3191" t="s">
        <v>463</v>
      </c>
      <c r="C3191" t="s">
        <v>464</v>
      </c>
      <c r="D3191" t="s">
        <v>178</v>
      </c>
      <c r="E3191" t="s">
        <v>182</v>
      </c>
      <c r="F3191">
        <v>2</v>
      </c>
      <c r="G3191" t="s">
        <v>488</v>
      </c>
      <c r="H3191" s="4">
        <v>15580189</v>
      </c>
      <c r="I3191" s="4">
        <v>16720220.116453951</v>
      </c>
      <c r="J3191" s="3">
        <v>0.07317184126931651</v>
      </c>
      <c r="K3191" s="3">
        <v>-0.06818278159700034</v>
      </c>
      <c r="L3191" t="s">
        <v>54</v>
      </c>
    </row>
    <row r="3192" spans="1:12" x14ac:dyDescent="0.25">
      <c r="A3192" t="s">
        <v>487</v>
      </c>
      <c r="B3192" t="s">
        <v>463</v>
      </c>
      <c r="C3192" t="s">
        <v>464</v>
      </c>
      <c r="D3192" t="s">
        <v>178</v>
      </c>
      <c r="E3192" t="s">
        <v>182</v>
      </c>
      <c r="F3192">
        <v>2</v>
      </c>
      <c r="G3192" t="s">
        <v>498</v>
      </c>
      <c r="H3192" s="4">
        <v>15580189</v>
      </c>
      <c r="I3192" s="4">
        <v>15444242</v>
      </c>
      <c r="J3192" s="3">
        <v>0.008725632275706026</v>
      </c>
      <c r="K3192" s="3">
        <v>0.00880243912261929</v>
      </c>
      <c r="L3192" t="s">
        <v>54</v>
      </c>
    </row>
    <row r="3193" spans="1:12" x14ac:dyDescent="0.25">
      <c r="A3193" t="s">
        <v>487</v>
      </c>
      <c r="B3193" t="s">
        <v>463</v>
      </c>
      <c r="C3193" t="s">
        <v>464</v>
      </c>
      <c r="D3193" t="s">
        <v>178</v>
      </c>
      <c r="E3193" t="s">
        <v>182</v>
      </c>
      <c r="F3193">
        <v>2</v>
      </c>
      <c r="G3193" t="s">
        <v>499</v>
      </c>
      <c r="H3193" s="4">
        <v>15580189</v>
      </c>
      <c r="I3193" s="4">
        <v>21289799</v>
      </c>
      <c r="J3193" s="3">
        <v>0.36646602939155615</v>
      </c>
      <c r="K3193" s="3">
        <v>-0.26818524684051737</v>
      </c>
      <c r="L3193" t="s">
        <v>54</v>
      </c>
    </row>
    <row r="3194" spans="1:12" x14ac:dyDescent="0.25">
      <c r="A3194" t="s">
        <v>487</v>
      </c>
      <c r="B3194" t="s">
        <v>463</v>
      </c>
      <c r="C3194" t="s">
        <v>464</v>
      </c>
      <c r="D3194" t="s">
        <v>178</v>
      </c>
      <c r="E3194" t="s">
        <v>184</v>
      </c>
      <c r="F3194">
        <v>3</v>
      </c>
      <c r="G3194" t="s">
        <v>488</v>
      </c>
      <c r="H3194" s="4">
        <v>16229866</v>
      </c>
      <c r="I3194" s="4">
        <v>18385786.25822898</v>
      </c>
      <c r="J3194" s="3">
        <v>0.13283660248513326</v>
      </c>
      <c r="K3194" s="3">
        <v>-0.11726016108035894</v>
      </c>
      <c r="L3194" t="s">
        <v>54</v>
      </c>
    </row>
    <row r="3195" spans="1:12" x14ac:dyDescent="0.25">
      <c r="A3195" t="s">
        <v>487</v>
      </c>
      <c r="B3195" t="s">
        <v>463</v>
      </c>
      <c r="C3195" t="s">
        <v>464</v>
      </c>
      <c r="D3195" t="s">
        <v>178</v>
      </c>
      <c r="E3195" t="s">
        <v>184</v>
      </c>
      <c r="F3195">
        <v>3</v>
      </c>
      <c r="G3195" t="s">
        <v>498</v>
      </c>
      <c r="H3195" s="4">
        <v>16229866</v>
      </c>
      <c r="I3195" s="4">
        <v>16982703</v>
      </c>
      <c r="J3195" s="3">
        <v>0.04638590361744207</v>
      </c>
      <c r="K3195" s="3">
        <v>-0.04432963351004843</v>
      </c>
      <c r="L3195" t="s">
        <v>54</v>
      </c>
    </row>
    <row r="3196" spans="1:12" x14ac:dyDescent="0.25">
      <c r="A3196" t="s">
        <v>487</v>
      </c>
      <c r="B3196" t="s">
        <v>463</v>
      </c>
      <c r="C3196" t="s">
        <v>464</v>
      </c>
      <c r="D3196" t="s">
        <v>178</v>
      </c>
      <c r="E3196" t="s">
        <v>184</v>
      </c>
      <c r="F3196">
        <v>3</v>
      </c>
      <c r="G3196" t="s">
        <v>499</v>
      </c>
      <c r="H3196" s="4">
        <v>16229866</v>
      </c>
      <c r="I3196" s="4">
        <v>21289799</v>
      </c>
      <c r="J3196" s="3">
        <v>0.3117667761397414</v>
      </c>
      <c r="K3196" s="3">
        <v>-0.23766936456281246</v>
      </c>
      <c r="L3196" t="s">
        <v>54</v>
      </c>
    </row>
    <row r="3197" spans="1:12" x14ac:dyDescent="0.25">
      <c r="A3197" t="s">
        <v>487</v>
      </c>
      <c r="B3197" t="s">
        <v>463</v>
      </c>
      <c r="C3197" t="s">
        <v>464</v>
      </c>
      <c r="D3197" t="s">
        <v>180</v>
      </c>
      <c r="E3197" t="s">
        <v>182</v>
      </c>
      <c r="F3197">
        <v>1</v>
      </c>
      <c r="G3197" t="s">
        <v>488</v>
      </c>
      <c r="H3197" s="4">
        <v>15580189</v>
      </c>
      <c r="I3197" s="4">
        <v>16263690.585628284</v>
      </c>
      <c r="J3197" s="3">
        <v>0.04386991618832635</v>
      </c>
      <c r="K3197" s="3">
        <v>-0.04202622904251961</v>
      </c>
      <c r="L3197" t="s">
        <v>54</v>
      </c>
    </row>
    <row r="3198" spans="1:12" x14ac:dyDescent="0.25">
      <c r="A3198" t="s">
        <v>487</v>
      </c>
      <c r="B3198" t="s">
        <v>463</v>
      </c>
      <c r="C3198" t="s">
        <v>464</v>
      </c>
      <c r="D3198" t="s">
        <v>180</v>
      </c>
      <c r="E3198" t="s">
        <v>182</v>
      </c>
      <c r="F3198">
        <v>1</v>
      </c>
      <c r="G3198" t="s">
        <v>498</v>
      </c>
      <c r="H3198" s="4">
        <v>15580189</v>
      </c>
      <c r="I3198" s="4">
        <v>15444242</v>
      </c>
      <c r="J3198" s="3">
        <v>0.008725632275706026</v>
      </c>
      <c r="K3198" s="3">
        <v>0.00880243912261929</v>
      </c>
      <c r="L3198" t="s">
        <v>54</v>
      </c>
    </row>
    <row r="3199" spans="1:12" x14ac:dyDescent="0.25">
      <c r="A3199" t="s">
        <v>487</v>
      </c>
      <c r="B3199" t="s">
        <v>463</v>
      </c>
      <c r="C3199" t="s">
        <v>464</v>
      </c>
      <c r="D3199" t="s">
        <v>180</v>
      </c>
      <c r="E3199" t="s">
        <v>182</v>
      </c>
      <c r="F3199">
        <v>1</v>
      </c>
      <c r="G3199" t="s">
        <v>499</v>
      </c>
      <c r="H3199" s="4">
        <v>15580189</v>
      </c>
      <c r="I3199" s="4">
        <v>16189183</v>
      </c>
      <c r="J3199" s="3">
        <v>0.03908771581654112</v>
      </c>
      <c r="K3199" s="3">
        <v>-0.03761733992382445</v>
      </c>
      <c r="L3199" t="s">
        <v>54</v>
      </c>
    </row>
    <row r="3200" spans="1:12" x14ac:dyDescent="0.25">
      <c r="A3200" t="s">
        <v>487</v>
      </c>
      <c r="B3200" t="s">
        <v>463</v>
      </c>
      <c r="C3200" t="s">
        <v>464</v>
      </c>
      <c r="D3200" t="s">
        <v>180</v>
      </c>
      <c r="E3200" t="s">
        <v>184</v>
      </c>
      <c r="F3200">
        <v>2</v>
      </c>
      <c r="G3200" t="s">
        <v>488</v>
      </c>
      <c r="H3200" s="4">
        <v>16229866</v>
      </c>
      <c r="I3200" s="4">
        <v>17883780.045639094</v>
      </c>
      <c r="J3200" s="3">
        <v>0.10190558847738447</v>
      </c>
      <c r="K3200" s="3">
        <v>-0.09248123391242423</v>
      </c>
      <c r="L3200" t="s">
        <v>54</v>
      </c>
    </row>
    <row r="3201" spans="1:12" x14ac:dyDescent="0.25">
      <c r="A3201" t="s">
        <v>487</v>
      </c>
      <c r="B3201" t="s">
        <v>463</v>
      </c>
      <c r="C3201" t="s">
        <v>464</v>
      </c>
      <c r="D3201" t="s">
        <v>180</v>
      </c>
      <c r="E3201" t="s">
        <v>184</v>
      </c>
      <c r="F3201">
        <v>2</v>
      </c>
      <c r="G3201" t="s">
        <v>498</v>
      </c>
      <c r="H3201" s="4">
        <v>16229866</v>
      </c>
      <c r="I3201" s="4">
        <v>16982703</v>
      </c>
      <c r="J3201" s="3">
        <v>0.04638590361744207</v>
      </c>
      <c r="K3201" s="3">
        <v>-0.04432963351004843</v>
      </c>
      <c r="L3201" t="s">
        <v>54</v>
      </c>
    </row>
    <row r="3202" spans="1:12" x14ac:dyDescent="0.25">
      <c r="A3202" t="s">
        <v>487</v>
      </c>
      <c r="B3202" t="s">
        <v>463</v>
      </c>
      <c r="C3202" t="s">
        <v>464</v>
      </c>
      <c r="D3202" t="s">
        <v>180</v>
      </c>
      <c r="E3202" t="s">
        <v>184</v>
      </c>
      <c r="F3202">
        <v>2</v>
      </c>
      <c r="G3202" t="s">
        <v>499</v>
      </c>
      <c r="H3202" s="4">
        <v>16229866</v>
      </c>
      <c r="I3202" s="4">
        <v>16189183</v>
      </c>
      <c r="J3202" s="3">
        <v>0.0025066750397076598</v>
      </c>
      <c r="K3202" s="3">
        <v>0.002512974249534396</v>
      </c>
      <c r="L3202" t="s">
        <v>54</v>
      </c>
    </row>
    <row r="3203" spans="1:12" x14ac:dyDescent="0.25">
      <c r="A3203" t="s">
        <v>487</v>
      </c>
      <c r="B3203" t="s">
        <v>463</v>
      </c>
      <c r="C3203" t="s">
        <v>464</v>
      </c>
      <c r="D3203" t="s">
        <v>180</v>
      </c>
      <c r="E3203" t="s">
        <v>186</v>
      </c>
      <c r="F3203">
        <v>3</v>
      </c>
      <c r="G3203" t="s">
        <v>488</v>
      </c>
      <c r="H3203" s="4">
        <v>25140269</v>
      </c>
      <c r="I3203" s="4">
        <v>26086082.324688796</v>
      </c>
      <c r="J3203" s="3">
        <v>0.0376214480715698</v>
      </c>
      <c r="K3203" s="3">
        <v>-0.03625739246378306</v>
      </c>
      <c r="L3203" t="s">
        <v>54</v>
      </c>
    </row>
    <row r="3204" spans="1:12" x14ac:dyDescent="0.25">
      <c r="A3204" t="s">
        <v>487</v>
      </c>
      <c r="B3204" t="s">
        <v>463</v>
      </c>
      <c r="C3204" t="s">
        <v>464</v>
      </c>
      <c r="D3204" t="s">
        <v>180</v>
      </c>
      <c r="E3204" t="s">
        <v>186</v>
      </c>
      <c r="F3204">
        <v>3</v>
      </c>
      <c r="G3204" t="s">
        <v>498</v>
      </c>
      <c r="H3204" s="4">
        <v>25140269</v>
      </c>
      <c r="I3204" s="4">
        <v>24771731</v>
      </c>
      <c r="J3204" s="3">
        <v>0.014659270352278252</v>
      </c>
      <c r="K3204" s="3">
        <v>0.014877361618370553</v>
      </c>
      <c r="L3204" t="s">
        <v>54</v>
      </c>
    </row>
    <row r="3205" spans="1:12" x14ac:dyDescent="0.25">
      <c r="A3205" t="s">
        <v>487</v>
      </c>
      <c r="B3205" t="s">
        <v>463</v>
      </c>
      <c r="C3205" t="s">
        <v>464</v>
      </c>
      <c r="D3205" t="s">
        <v>180</v>
      </c>
      <c r="E3205" t="s">
        <v>186</v>
      </c>
      <c r="F3205">
        <v>3</v>
      </c>
      <c r="G3205" t="s">
        <v>499</v>
      </c>
      <c r="H3205" s="4">
        <v>25140269</v>
      </c>
      <c r="I3205" s="4">
        <v>16189183</v>
      </c>
      <c r="J3205" s="3">
        <v>0.3560457527323992</v>
      </c>
      <c r="K3205" s="3">
        <v>0.5529053566199109</v>
      </c>
      <c r="L3205" t="s">
        <v>54</v>
      </c>
    </row>
    <row r="3206" spans="1:12" x14ac:dyDescent="0.25">
      <c r="A3206" t="s">
        <v>487</v>
      </c>
      <c r="B3206" t="s">
        <v>463</v>
      </c>
      <c r="C3206" t="s">
        <v>464</v>
      </c>
      <c r="D3206" t="s">
        <v>182</v>
      </c>
      <c r="E3206" t="s">
        <v>184</v>
      </c>
      <c r="F3206">
        <v>1</v>
      </c>
      <c r="G3206" t="s">
        <v>488</v>
      </c>
      <c r="H3206" s="4">
        <v>16229866</v>
      </c>
      <c r="I3206" s="4">
        <v>17582844.621366333</v>
      </c>
      <c r="J3206" s="3">
        <v>0.08336351152660984</v>
      </c>
      <c r="K3206" s="3">
        <v>-0.07694879017029017</v>
      </c>
      <c r="L3206" t="s">
        <v>54</v>
      </c>
    </row>
    <row r="3207" spans="1:12" x14ac:dyDescent="0.25">
      <c r="A3207" t="s">
        <v>487</v>
      </c>
      <c r="B3207" t="s">
        <v>463</v>
      </c>
      <c r="C3207" t="s">
        <v>464</v>
      </c>
      <c r="D3207" t="s">
        <v>182</v>
      </c>
      <c r="E3207" t="s">
        <v>184</v>
      </c>
      <c r="F3207">
        <v>1</v>
      </c>
      <c r="G3207" t="s">
        <v>498</v>
      </c>
      <c r="H3207" s="4">
        <v>16229866</v>
      </c>
      <c r="I3207" s="4">
        <v>16982703</v>
      </c>
      <c r="J3207" s="3">
        <v>0.04638590361744207</v>
      </c>
      <c r="K3207" s="3">
        <v>-0.04432963351004843</v>
      </c>
      <c r="L3207" t="s">
        <v>54</v>
      </c>
    </row>
    <row r="3208" spans="1:12" x14ac:dyDescent="0.25">
      <c r="A3208" t="s">
        <v>487</v>
      </c>
      <c r="B3208" t="s">
        <v>463</v>
      </c>
      <c r="C3208" t="s">
        <v>464</v>
      </c>
      <c r="D3208" t="s">
        <v>182</v>
      </c>
      <c r="E3208" t="s">
        <v>184</v>
      </c>
      <c r="F3208">
        <v>1</v>
      </c>
      <c r="G3208" t="s">
        <v>499</v>
      </c>
      <c r="H3208" s="4">
        <v>16229866</v>
      </c>
      <c r="I3208" s="4">
        <v>15580189</v>
      </c>
      <c r="J3208" s="3">
        <v>0.04002972051648485</v>
      </c>
      <c r="K3208" s="3">
        <v>0.0416989164893956</v>
      </c>
      <c r="L3208" t="s">
        <v>54</v>
      </c>
    </row>
    <row r="3209" spans="1:12" x14ac:dyDescent="0.25">
      <c r="A3209" t="s">
        <v>487</v>
      </c>
      <c r="B3209" t="s">
        <v>463</v>
      </c>
      <c r="C3209" t="s">
        <v>464</v>
      </c>
      <c r="D3209" t="s">
        <v>182</v>
      </c>
      <c r="E3209" t="s">
        <v>186</v>
      </c>
      <c r="F3209">
        <v>2</v>
      </c>
      <c r="G3209" t="s">
        <v>488</v>
      </c>
      <c r="H3209" s="4">
        <v>25140269</v>
      </c>
      <c r="I3209" s="4">
        <v>25647124.440395832</v>
      </c>
      <c r="J3209" s="3">
        <v>0.020161098530641502</v>
      </c>
      <c r="K3209" s="3">
        <v>-0.019762661563629446</v>
      </c>
      <c r="L3209" t="s">
        <v>54</v>
      </c>
    </row>
    <row r="3210" spans="1:12" x14ac:dyDescent="0.25">
      <c r="A3210" t="s">
        <v>487</v>
      </c>
      <c r="B3210" t="s">
        <v>463</v>
      </c>
      <c r="C3210" t="s">
        <v>464</v>
      </c>
      <c r="D3210" t="s">
        <v>182</v>
      </c>
      <c r="E3210" t="s">
        <v>186</v>
      </c>
      <c r="F3210">
        <v>2</v>
      </c>
      <c r="G3210" t="s">
        <v>498</v>
      </c>
      <c r="H3210" s="4">
        <v>25140269</v>
      </c>
      <c r="I3210" s="4">
        <v>24771731</v>
      </c>
      <c r="J3210" s="3">
        <v>0.014659270352278252</v>
      </c>
      <c r="K3210" s="3">
        <v>0.014877361618370553</v>
      </c>
      <c r="L3210" t="s">
        <v>54</v>
      </c>
    </row>
    <row r="3211" spans="1:12" x14ac:dyDescent="0.25">
      <c r="A3211" t="s">
        <v>487</v>
      </c>
      <c r="B3211" t="s">
        <v>463</v>
      </c>
      <c r="C3211" t="s">
        <v>464</v>
      </c>
      <c r="D3211" t="s">
        <v>182</v>
      </c>
      <c r="E3211" t="s">
        <v>186</v>
      </c>
      <c r="F3211">
        <v>2</v>
      </c>
      <c r="G3211" t="s">
        <v>499</v>
      </c>
      <c r="H3211" s="4">
        <v>25140269</v>
      </c>
      <c r="I3211" s="4">
        <v>15580189</v>
      </c>
      <c r="J3211" s="3">
        <v>0.380269598547255</v>
      </c>
      <c r="K3211" s="3">
        <v>0.6136048798894544</v>
      </c>
      <c r="L3211" t="s">
        <v>54</v>
      </c>
    </row>
    <row r="3212" spans="1:12" x14ac:dyDescent="0.25">
      <c r="A3212" t="s">
        <v>487</v>
      </c>
      <c r="B3212" t="s">
        <v>463</v>
      </c>
      <c r="C3212" t="s">
        <v>464</v>
      </c>
      <c r="D3212" t="s">
        <v>182</v>
      </c>
      <c r="E3212" t="s">
        <v>188</v>
      </c>
      <c r="F3212">
        <v>3</v>
      </c>
      <c r="G3212" t="s">
        <v>488</v>
      </c>
      <c r="H3212" s="4">
        <v>30389929</v>
      </c>
      <c r="I3212" s="4">
        <v>36983235.1291802</v>
      </c>
      <c r="J3212" s="3">
        <v>0.21695694416331807</v>
      </c>
      <c r="K3212" s="3">
        <v>-0.17827824164517198</v>
      </c>
      <c r="L3212" t="s">
        <v>54</v>
      </c>
    </row>
    <row r="3213" spans="1:12" x14ac:dyDescent="0.25">
      <c r="A3213" t="s">
        <v>487</v>
      </c>
      <c r="B3213" t="s">
        <v>463</v>
      </c>
      <c r="C3213" t="s">
        <v>464</v>
      </c>
      <c r="D3213" t="s">
        <v>182</v>
      </c>
      <c r="E3213" t="s">
        <v>188</v>
      </c>
      <c r="F3213">
        <v>3</v>
      </c>
      <c r="G3213" t="s">
        <v>498</v>
      </c>
      <c r="H3213" s="4">
        <v>30389929</v>
      </c>
      <c r="I3213" s="4">
        <v>35720915</v>
      </c>
      <c r="J3213" s="3">
        <v>0.17541949505706314</v>
      </c>
      <c r="K3213" s="3">
        <v>-0.14923990608863183</v>
      </c>
      <c r="L3213" t="s">
        <v>54</v>
      </c>
    </row>
    <row r="3214" spans="1:12" x14ac:dyDescent="0.25">
      <c r="A3214" t="s">
        <v>487</v>
      </c>
      <c r="B3214" t="s">
        <v>463</v>
      </c>
      <c r="C3214" t="s">
        <v>464</v>
      </c>
      <c r="D3214" t="s">
        <v>182</v>
      </c>
      <c r="E3214" t="s">
        <v>188</v>
      </c>
      <c r="F3214">
        <v>3</v>
      </c>
      <c r="G3214" t="s">
        <v>499</v>
      </c>
      <c r="H3214" s="4">
        <v>30389929</v>
      </c>
      <c r="I3214" s="4">
        <v>15580189</v>
      </c>
      <c r="J3214" s="3">
        <v>0.4873239420862089</v>
      </c>
      <c r="K3214" s="3">
        <v>0.9505494445542348</v>
      </c>
      <c r="L3214" t="s">
        <v>54</v>
      </c>
    </row>
    <row r="3215" spans="1:12" x14ac:dyDescent="0.25">
      <c r="A3215" t="s">
        <v>487</v>
      </c>
      <c r="B3215" t="s">
        <v>463</v>
      </c>
      <c r="C3215" t="s">
        <v>464</v>
      </c>
      <c r="D3215" t="s">
        <v>184</v>
      </c>
      <c r="E3215" t="s">
        <v>186</v>
      </c>
      <c r="F3215">
        <v>1</v>
      </c>
      <c r="G3215" t="s">
        <v>488</v>
      </c>
      <c r="H3215" s="4">
        <v>25140269</v>
      </c>
      <c r="I3215" s="4">
        <v>24708512.17368652</v>
      </c>
      <c r="J3215" s="3">
        <v>0.017173914340911815</v>
      </c>
      <c r="K3215" s="3">
        <v>0.01747401151791255</v>
      </c>
      <c r="L3215" t="s">
        <v>54</v>
      </c>
    </row>
    <row r="3216" spans="1:12" x14ac:dyDescent="0.25">
      <c r="A3216" t="s">
        <v>487</v>
      </c>
      <c r="B3216" t="s">
        <v>463</v>
      </c>
      <c r="C3216" t="s">
        <v>464</v>
      </c>
      <c r="D3216" t="s">
        <v>184</v>
      </c>
      <c r="E3216" t="s">
        <v>186</v>
      </c>
      <c r="F3216">
        <v>1</v>
      </c>
      <c r="G3216" t="s">
        <v>498</v>
      </c>
      <c r="H3216" s="4">
        <v>25140269</v>
      </c>
      <c r="I3216" s="4">
        <v>24771731</v>
      </c>
      <c r="J3216" s="3">
        <v>0.014659270352278252</v>
      </c>
      <c r="K3216" s="3">
        <v>0.014877361618370553</v>
      </c>
      <c r="L3216" t="s">
        <v>54</v>
      </c>
    </row>
    <row r="3217" spans="1:12" x14ac:dyDescent="0.25">
      <c r="A3217" t="s">
        <v>487</v>
      </c>
      <c r="B3217" t="s">
        <v>463</v>
      </c>
      <c r="C3217" t="s">
        <v>464</v>
      </c>
      <c r="D3217" t="s">
        <v>184</v>
      </c>
      <c r="E3217" t="s">
        <v>186</v>
      </c>
      <c r="F3217">
        <v>1</v>
      </c>
      <c r="G3217" t="s">
        <v>499</v>
      </c>
      <c r="H3217" s="4">
        <v>25140269</v>
      </c>
      <c r="I3217" s="4">
        <v>16229866</v>
      </c>
      <c r="J3217" s="3">
        <v>0.3544275122911374</v>
      </c>
      <c r="K3217" s="3">
        <v>0.5490127275234435</v>
      </c>
      <c r="L3217" t="s">
        <v>54</v>
      </c>
    </row>
    <row r="3218" spans="1:12" x14ac:dyDescent="0.25">
      <c r="A3218" t="s">
        <v>487</v>
      </c>
      <c r="B3218" t="s">
        <v>463</v>
      </c>
      <c r="C3218" t="s">
        <v>464</v>
      </c>
      <c r="D3218" t="s">
        <v>184</v>
      </c>
      <c r="E3218" t="s">
        <v>188</v>
      </c>
      <c r="F3218">
        <v>2</v>
      </c>
      <c r="G3218" t="s">
        <v>488</v>
      </c>
      <c r="H3218" s="4">
        <v>30389929</v>
      </c>
      <c r="I3218" s="4">
        <v>35629753.25110391</v>
      </c>
      <c r="J3218" s="3">
        <v>0.1724197595559999</v>
      </c>
      <c r="K3218" s="3">
        <v>-0.1470631641531664</v>
      </c>
      <c r="L3218" t="s">
        <v>54</v>
      </c>
    </row>
    <row r="3219" spans="1:12" x14ac:dyDescent="0.25">
      <c r="A3219" t="s">
        <v>487</v>
      </c>
      <c r="B3219" t="s">
        <v>463</v>
      </c>
      <c r="C3219" t="s">
        <v>464</v>
      </c>
      <c r="D3219" t="s">
        <v>184</v>
      </c>
      <c r="E3219" t="s">
        <v>188</v>
      </c>
      <c r="F3219">
        <v>2</v>
      </c>
      <c r="G3219" t="s">
        <v>498</v>
      </c>
      <c r="H3219" s="4">
        <v>30389929</v>
      </c>
      <c r="I3219" s="4">
        <v>35720915</v>
      </c>
      <c r="J3219" s="3">
        <v>0.17541949505706314</v>
      </c>
      <c r="K3219" s="3">
        <v>-0.14923990608863183</v>
      </c>
      <c r="L3219" t="s">
        <v>54</v>
      </c>
    </row>
    <row r="3220" spans="1:12" x14ac:dyDescent="0.25">
      <c r="A3220" t="s">
        <v>487</v>
      </c>
      <c r="B3220" t="s">
        <v>463</v>
      </c>
      <c r="C3220" t="s">
        <v>464</v>
      </c>
      <c r="D3220" t="s">
        <v>184</v>
      </c>
      <c r="E3220" t="s">
        <v>188</v>
      </c>
      <c r="F3220">
        <v>2</v>
      </c>
      <c r="G3220" t="s">
        <v>499</v>
      </c>
      <c r="H3220" s="4">
        <v>30389929</v>
      </c>
      <c r="I3220" s="4">
        <v>16229866</v>
      </c>
      <c r="J3220" s="3">
        <v>0.46594590596114915</v>
      </c>
      <c r="K3220" s="3">
        <v>0.8724694954351441</v>
      </c>
      <c r="L3220" t="s">
        <v>54</v>
      </c>
    </row>
    <row r="3221" spans="1:12" x14ac:dyDescent="0.25">
      <c r="A3221" t="s">
        <v>487</v>
      </c>
      <c r="B3221" t="s">
        <v>463</v>
      </c>
      <c r="C3221" t="s">
        <v>464</v>
      </c>
      <c r="D3221" t="s">
        <v>184</v>
      </c>
      <c r="E3221" t="s">
        <v>190</v>
      </c>
      <c r="F3221">
        <v>3</v>
      </c>
      <c r="G3221" t="s">
        <v>488</v>
      </c>
      <c r="H3221" s="4">
        <v>40741067</v>
      </c>
      <c r="I3221" s="4">
        <v>40454823.89817277</v>
      </c>
      <c r="J3221" s="3">
        <v>0.007025910780079142</v>
      </c>
      <c r="K3221" s="3">
        <v>0.007075623479358548</v>
      </c>
      <c r="L3221" t="s">
        <v>54</v>
      </c>
    </row>
    <row r="3222" spans="1:12" x14ac:dyDescent="0.25">
      <c r="A3222" t="s">
        <v>487</v>
      </c>
      <c r="B3222" t="s">
        <v>463</v>
      </c>
      <c r="C3222" t="s">
        <v>464</v>
      </c>
      <c r="D3222" t="s">
        <v>184</v>
      </c>
      <c r="E3222" t="s">
        <v>190</v>
      </c>
      <c r="F3222">
        <v>3</v>
      </c>
      <c r="G3222" t="s">
        <v>498</v>
      </c>
      <c r="H3222" s="4">
        <v>40741067</v>
      </c>
      <c r="I3222" s="4">
        <v>40558331</v>
      </c>
      <c r="J3222" s="3">
        <v>0.004485302262702153</v>
      </c>
      <c r="K3222" s="3">
        <v>0.004505510840670441</v>
      </c>
      <c r="L3222" t="s">
        <v>54</v>
      </c>
    </row>
    <row r="3223" spans="1:12" x14ac:dyDescent="0.25">
      <c r="A3223" t="s">
        <v>487</v>
      </c>
      <c r="B3223" t="s">
        <v>463</v>
      </c>
      <c r="C3223" t="s">
        <v>464</v>
      </c>
      <c r="D3223" t="s">
        <v>184</v>
      </c>
      <c r="E3223" t="s">
        <v>190</v>
      </c>
      <c r="F3223">
        <v>3</v>
      </c>
      <c r="G3223" t="s">
        <v>499</v>
      </c>
      <c r="H3223" s="4">
        <v>40741067</v>
      </c>
      <c r="I3223" s="4">
        <v>16229866</v>
      </c>
      <c r="J3223" s="3">
        <v>0.601633752007526</v>
      </c>
      <c r="K3223" s="3">
        <v>1.510252826486676</v>
      </c>
      <c r="L3223" t="s">
        <v>54</v>
      </c>
    </row>
    <row r="3224" spans="1:12" x14ac:dyDescent="0.25">
      <c r="A3224" t="s">
        <v>487</v>
      </c>
      <c r="B3224" t="s">
        <v>463</v>
      </c>
      <c r="C3224" t="s">
        <v>464</v>
      </c>
      <c r="D3224" t="s">
        <v>186</v>
      </c>
      <c r="E3224" t="s">
        <v>188</v>
      </c>
      <c r="F3224">
        <v>1</v>
      </c>
      <c r="G3224" t="s">
        <v>488</v>
      </c>
      <c r="H3224" s="4">
        <v>30389929</v>
      </c>
      <c r="I3224" s="4">
        <v>34821688.5298061</v>
      </c>
      <c r="J3224" s="3">
        <v>0.1458298744234019</v>
      </c>
      <c r="K3224" s="3">
        <v>-0.12727009277602017</v>
      </c>
      <c r="L3224" t="s">
        <v>54</v>
      </c>
    </row>
    <row r="3225" spans="1:12" x14ac:dyDescent="0.25">
      <c r="A3225" t="s">
        <v>487</v>
      </c>
      <c r="B3225" t="s">
        <v>463</v>
      </c>
      <c r="C3225" t="s">
        <v>464</v>
      </c>
      <c r="D3225" t="s">
        <v>186</v>
      </c>
      <c r="E3225" t="s">
        <v>188</v>
      </c>
      <c r="F3225">
        <v>1</v>
      </c>
      <c r="G3225" t="s">
        <v>498</v>
      </c>
      <c r="H3225" s="4">
        <v>30389929</v>
      </c>
      <c r="I3225" s="4">
        <v>35720915</v>
      </c>
      <c r="J3225" s="3">
        <v>0.17541949505706314</v>
      </c>
      <c r="K3225" s="3">
        <v>-0.14923990608863183</v>
      </c>
      <c r="L3225" t="s">
        <v>54</v>
      </c>
    </row>
    <row r="3226" spans="1:12" x14ac:dyDescent="0.25">
      <c r="A3226" t="s">
        <v>487</v>
      </c>
      <c r="B3226" t="s">
        <v>463</v>
      </c>
      <c r="C3226" t="s">
        <v>464</v>
      </c>
      <c r="D3226" t="s">
        <v>186</v>
      </c>
      <c r="E3226" t="s">
        <v>188</v>
      </c>
      <c r="F3226">
        <v>1</v>
      </c>
      <c r="G3226" t="s">
        <v>499</v>
      </c>
      <c r="H3226" s="4">
        <v>30389929</v>
      </c>
      <c r="I3226" s="4">
        <v>25140269</v>
      </c>
      <c r="J3226" s="3">
        <v>0.17274341114781808</v>
      </c>
      <c r="K3226" s="3">
        <v>0.20881479032702474</v>
      </c>
      <c r="L3226" t="s">
        <v>54</v>
      </c>
    </row>
    <row r="3227" spans="1:12" x14ac:dyDescent="0.25">
      <c r="A3227" t="s">
        <v>487</v>
      </c>
      <c r="B3227" t="s">
        <v>463</v>
      </c>
      <c r="C3227" t="s">
        <v>464</v>
      </c>
      <c r="D3227" t="s">
        <v>186</v>
      </c>
      <c r="E3227" t="s">
        <v>190</v>
      </c>
      <c r="F3227">
        <v>2</v>
      </c>
      <c r="G3227" t="s">
        <v>488</v>
      </c>
      <c r="H3227" s="4">
        <v>40741067</v>
      </c>
      <c r="I3227" s="4">
        <v>39537329.0233685</v>
      </c>
      <c r="J3227" s="3">
        <v>0.029546059179831982</v>
      </c>
      <c r="K3227" s="3">
        <v>0.030445606882549697</v>
      </c>
      <c r="L3227" t="s">
        <v>54</v>
      </c>
    </row>
    <row r="3228" spans="1:12" x14ac:dyDescent="0.25">
      <c r="A3228" t="s">
        <v>487</v>
      </c>
      <c r="B3228" t="s">
        <v>463</v>
      </c>
      <c r="C3228" t="s">
        <v>464</v>
      </c>
      <c r="D3228" t="s">
        <v>186</v>
      </c>
      <c r="E3228" t="s">
        <v>190</v>
      </c>
      <c r="F3228">
        <v>2</v>
      </c>
      <c r="G3228" t="s">
        <v>498</v>
      </c>
      <c r="H3228" s="4">
        <v>40741067</v>
      </c>
      <c r="I3228" s="4">
        <v>40558331</v>
      </c>
      <c r="J3228" s="3">
        <v>0.004485302262702153</v>
      </c>
      <c r="K3228" s="3">
        <v>0.004505510840670441</v>
      </c>
      <c r="L3228" t="s">
        <v>54</v>
      </c>
    </row>
    <row r="3229" spans="1:12" x14ac:dyDescent="0.25">
      <c r="A3229" t="s">
        <v>487</v>
      </c>
      <c r="B3229" t="s">
        <v>463</v>
      </c>
      <c r="C3229" t="s">
        <v>464</v>
      </c>
      <c r="D3229" t="s">
        <v>186</v>
      </c>
      <c r="E3229" t="s">
        <v>190</v>
      </c>
      <c r="F3229">
        <v>2</v>
      </c>
      <c r="G3229" t="s">
        <v>499</v>
      </c>
      <c r="H3229" s="4">
        <v>40741067</v>
      </c>
      <c r="I3229" s="4">
        <v>25140269</v>
      </c>
      <c r="J3229" s="3">
        <v>0.3829256116438973</v>
      </c>
      <c r="K3229" s="3">
        <v>0.6205501619732072</v>
      </c>
      <c r="L3229" t="s">
        <v>54</v>
      </c>
    </row>
    <row r="3230" spans="1:12" x14ac:dyDescent="0.25">
      <c r="A3230" t="s">
        <v>487</v>
      </c>
      <c r="B3230" t="s">
        <v>463</v>
      </c>
      <c r="C3230" t="s">
        <v>464</v>
      </c>
      <c r="D3230" t="s">
        <v>186</v>
      </c>
      <c r="E3230" t="s">
        <v>192</v>
      </c>
      <c r="F3230">
        <v>3</v>
      </c>
      <c r="G3230" t="s">
        <v>488</v>
      </c>
      <c r="H3230" s="4">
        <v>40844730</v>
      </c>
      <c r="I3230" s="4">
        <v>43464600.16745223</v>
      </c>
      <c r="J3230" s="3">
        <v>0.0641421835192014</v>
      </c>
      <c r="K3230" s="3">
        <v>-0.06027595232347447</v>
      </c>
      <c r="L3230" t="s">
        <v>54</v>
      </c>
    </row>
    <row r="3231" spans="1:12" x14ac:dyDescent="0.25">
      <c r="A3231" t="s">
        <v>487</v>
      </c>
      <c r="B3231" t="s">
        <v>463</v>
      </c>
      <c r="C3231" t="s">
        <v>464</v>
      </c>
      <c r="D3231" t="s">
        <v>186</v>
      </c>
      <c r="E3231" t="s">
        <v>192</v>
      </c>
      <c r="F3231">
        <v>3</v>
      </c>
      <c r="G3231" t="s">
        <v>498</v>
      </c>
      <c r="H3231" s="4">
        <v>40844730</v>
      </c>
      <c r="I3231" s="4">
        <v>44587019</v>
      </c>
      <c r="J3231" s="3">
        <v>0.09162232190052426</v>
      </c>
      <c r="K3231" s="3">
        <v>-0.08393225391453059</v>
      </c>
      <c r="L3231" t="s">
        <v>54</v>
      </c>
    </row>
    <row r="3232" spans="1:12" x14ac:dyDescent="0.25">
      <c r="A3232" t="s">
        <v>487</v>
      </c>
      <c r="B3232" t="s">
        <v>463</v>
      </c>
      <c r="C3232" t="s">
        <v>464</v>
      </c>
      <c r="D3232" t="s">
        <v>186</v>
      </c>
      <c r="E3232" t="s">
        <v>192</v>
      </c>
      <c r="F3232">
        <v>3</v>
      </c>
      <c r="G3232" t="s">
        <v>499</v>
      </c>
      <c r="H3232" s="4">
        <v>40844730</v>
      </c>
      <c r="I3232" s="4">
        <v>25140269</v>
      </c>
      <c r="J3232" s="3">
        <v>0.3844917324707496</v>
      </c>
      <c r="K3232" s="3">
        <v>0.6246735466513903</v>
      </c>
      <c r="L3232" t="s">
        <v>54</v>
      </c>
    </row>
    <row r="3233" spans="1:12" x14ac:dyDescent="0.25">
      <c r="A3233" t="s">
        <v>487</v>
      </c>
      <c r="B3233" t="s">
        <v>463</v>
      </c>
      <c r="C3233" t="s">
        <v>464</v>
      </c>
      <c r="D3233" t="s">
        <v>188</v>
      </c>
      <c r="E3233" t="s">
        <v>190</v>
      </c>
      <c r="F3233">
        <v>1</v>
      </c>
      <c r="G3233" t="s">
        <v>488</v>
      </c>
      <c r="H3233" s="4">
        <v>40741067</v>
      </c>
      <c r="I3233" s="4">
        <v>39020532.38348441</v>
      </c>
      <c r="J3233" s="3">
        <v>0.042230966030310194</v>
      </c>
      <c r="K3233" s="3">
        <v>0.04409305848537871</v>
      </c>
      <c r="L3233" t="s">
        <v>54</v>
      </c>
    </row>
    <row r="3234" spans="1:12" x14ac:dyDescent="0.25">
      <c r="A3234" t="s">
        <v>487</v>
      </c>
      <c r="B3234" t="s">
        <v>463</v>
      </c>
      <c r="C3234" t="s">
        <v>464</v>
      </c>
      <c r="D3234" t="s">
        <v>188</v>
      </c>
      <c r="E3234" t="s">
        <v>190</v>
      </c>
      <c r="F3234">
        <v>1</v>
      </c>
      <c r="G3234" t="s">
        <v>498</v>
      </c>
      <c r="H3234" s="4">
        <v>40741067</v>
      </c>
      <c r="I3234" s="4">
        <v>40558331</v>
      </c>
      <c r="J3234" s="3">
        <v>0.004485302262702153</v>
      </c>
      <c r="K3234" s="3">
        <v>0.004505510840670441</v>
      </c>
      <c r="L3234" t="s">
        <v>54</v>
      </c>
    </row>
    <row r="3235" spans="1:12" x14ac:dyDescent="0.25">
      <c r="A3235" t="s">
        <v>487</v>
      </c>
      <c r="B3235" t="s">
        <v>463</v>
      </c>
      <c r="C3235" t="s">
        <v>464</v>
      </c>
      <c r="D3235" t="s">
        <v>188</v>
      </c>
      <c r="E3235" t="s">
        <v>190</v>
      </c>
      <c r="F3235">
        <v>1</v>
      </c>
      <c r="G3235" t="s">
        <v>499</v>
      </c>
      <c r="H3235" s="4">
        <v>40741067</v>
      </c>
      <c r="I3235" s="4">
        <v>30389929</v>
      </c>
      <c r="J3235" s="3">
        <v>0.2540713526231407</v>
      </c>
      <c r="K3235" s="3">
        <v>0.3406107990578063</v>
      </c>
      <c r="L3235" t="s">
        <v>54</v>
      </c>
    </row>
    <row r="3236" spans="1:12" x14ac:dyDescent="0.25">
      <c r="A3236" t="s">
        <v>487</v>
      </c>
      <c r="B3236" t="s">
        <v>463</v>
      </c>
      <c r="C3236" t="s">
        <v>464</v>
      </c>
      <c r="D3236" t="s">
        <v>188</v>
      </c>
      <c r="E3236" t="s">
        <v>192</v>
      </c>
      <c r="F3236">
        <v>2</v>
      </c>
      <c r="G3236" t="s">
        <v>488</v>
      </c>
      <c r="H3236" s="4">
        <v>40844730</v>
      </c>
      <c r="I3236" s="4">
        <v>42896469.74804103</v>
      </c>
      <c r="J3236" s="3">
        <v>0.05023266766706565</v>
      </c>
      <c r="K3236" s="3">
        <v>-0.047830037298925376</v>
      </c>
      <c r="L3236" t="s">
        <v>54</v>
      </c>
    </row>
    <row r="3237" spans="1:12" x14ac:dyDescent="0.25">
      <c r="A3237" t="s">
        <v>487</v>
      </c>
      <c r="B3237" t="s">
        <v>463</v>
      </c>
      <c r="C3237" t="s">
        <v>464</v>
      </c>
      <c r="D3237" t="s">
        <v>188</v>
      </c>
      <c r="E3237" t="s">
        <v>192</v>
      </c>
      <c r="F3237">
        <v>2</v>
      </c>
      <c r="G3237" t="s">
        <v>498</v>
      </c>
      <c r="H3237" s="4">
        <v>40844730</v>
      </c>
      <c r="I3237" s="4">
        <v>44587019</v>
      </c>
      <c r="J3237" s="3">
        <v>0.09162232190052426</v>
      </c>
      <c r="K3237" s="3">
        <v>-0.08393225391453059</v>
      </c>
      <c r="L3237" t="s">
        <v>54</v>
      </c>
    </row>
    <row r="3238" spans="1:12" x14ac:dyDescent="0.25">
      <c r="A3238" t="s">
        <v>487</v>
      </c>
      <c r="B3238" t="s">
        <v>463</v>
      </c>
      <c r="C3238" t="s">
        <v>464</v>
      </c>
      <c r="D3238" t="s">
        <v>188</v>
      </c>
      <c r="E3238" t="s">
        <v>192</v>
      </c>
      <c r="F3238">
        <v>2</v>
      </c>
      <c r="G3238" t="s">
        <v>499</v>
      </c>
      <c r="H3238" s="4">
        <v>40844730</v>
      </c>
      <c r="I3238" s="4">
        <v>30389929</v>
      </c>
      <c r="J3238" s="3">
        <v>0.25596450264207893</v>
      </c>
      <c r="K3238" s="3">
        <v>0.3440218962012053</v>
      </c>
      <c r="L3238" t="s">
        <v>54</v>
      </c>
    </row>
    <row r="3239" spans="1:12" x14ac:dyDescent="0.25">
      <c r="A3239" t="s">
        <v>487</v>
      </c>
      <c r="B3239" t="s">
        <v>463</v>
      </c>
      <c r="C3239" t="s">
        <v>464</v>
      </c>
      <c r="D3239" t="s">
        <v>188</v>
      </c>
      <c r="E3239" t="s">
        <v>194</v>
      </c>
      <c r="F3239">
        <v>3</v>
      </c>
      <c r="G3239" t="s">
        <v>488</v>
      </c>
      <c r="H3239" s="4">
        <v>31905493</v>
      </c>
      <c r="I3239" s="4">
        <v>36716940.890870035</v>
      </c>
      <c r="J3239" s="3">
        <v>0.15080312004174437</v>
      </c>
      <c r="K3239" s="3">
        <v>-0.1310416329391548</v>
      </c>
      <c r="L3239" t="s">
        <v>54</v>
      </c>
    </row>
    <row r="3240" spans="1:12" x14ac:dyDescent="0.25">
      <c r="A3240" t="s">
        <v>487</v>
      </c>
      <c r="B3240" t="s">
        <v>463</v>
      </c>
      <c r="C3240" t="s">
        <v>464</v>
      </c>
      <c r="D3240" t="s">
        <v>188</v>
      </c>
      <c r="E3240" t="s">
        <v>194</v>
      </c>
      <c r="F3240">
        <v>3</v>
      </c>
      <c r="G3240" t="s">
        <v>498</v>
      </c>
      <c r="H3240" s="4">
        <v>31905493</v>
      </c>
      <c r="I3240" s="4">
        <v>38163955</v>
      </c>
      <c r="J3240" s="3">
        <v>0.19615625434780148</v>
      </c>
      <c r="K3240" s="3">
        <v>-0.16398882138918777</v>
      </c>
      <c r="L3240" t="s">
        <v>54</v>
      </c>
    </row>
    <row r="3241" spans="1:12" x14ac:dyDescent="0.25">
      <c r="A3241" t="s">
        <v>487</v>
      </c>
      <c r="B3241" t="s">
        <v>463</v>
      </c>
      <c r="C3241" t="s">
        <v>464</v>
      </c>
      <c r="D3241" t="s">
        <v>188</v>
      </c>
      <c r="E3241" t="s">
        <v>194</v>
      </c>
      <c r="F3241">
        <v>3</v>
      </c>
      <c r="G3241" t="s">
        <v>499</v>
      </c>
      <c r="H3241" s="4">
        <v>31905493</v>
      </c>
      <c r="I3241" s="4">
        <v>30389929</v>
      </c>
      <c r="J3241" s="3">
        <v>0.04750166374172623</v>
      </c>
      <c r="K3241" s="3">
        <v>0.04987060022417295</v>
      </c>
      <c r="L3241" t="s">
        <v>54</v>
      </c>
    </row>
    <row r="3242" spans="1:12" x14ac:dyDescent="0.25">
      <c r="A3242" t="s">
        <v>487</v>
      </c>
      <c r="B3242" t="s">
        <v>463</v>
      </c>
      <c r="C3242" t="s">
        <v>464</v>
      </c>
      <c r="D3242" t="s">
        <v>190</v>
      </c>
      <c r="E3242" t="s">
        <v>192</v>
      </c>
      <c r="F3242">
        <v>1</v>
      </c>
      <c r="G3242" t="s">
        <v>488</v>
      </c>
      <c r="H3242" s="4">
        <v>40844730</v>
      </c>
      <c r="I3242" s="4">
        <v>42405269.091937274</v>
      </c>
      <c r="J3242" s="3">
        <v>0.03820662033846897</v>
      </c>
      <c r="K3242" s="3">
        <v>-0.03680059401471849</v>
      </c>
      <c r="L3242" t="s">
        <v>54</v>
      </c>
    </row>
    <row r="3243" spans="1:12" x14ac:dyDescent="0.25">
      <c r="A3243" t="s">
        <v>487</v>
      </c>
      <c r="B3243" t="s">
        <v>463</v>
      </c>
      <c r="C3243" t="s">
        <v>464</v>
      </c>
      <c r="D3243" t="s">
        <v>190</v>
      </c>
      <c r="E3243" t="s">
        <v>192</v>
      </c>
      <c r="F3243">
        <v>1</v>
      </c>
      <c r="G3243" t="s">
        <v>498</v>
      </c>
      <c r="H3243" s="4">
        <v>40844730</v>
      </c>
      <c r="I3243" s="4">
        <v>44587019</v>
      </c>
      <c r="J3243" s="3">
        <v>0.09162232190052426</v>
      </c>
      <c r="K3243" s="3">
        <v>-0.08393225391453059</v>
      </c>
      <c r="L3243" t="s">
        <v>54</v>
      </c>
    </row>
    <row r="3244" spans="1:12" x14ac:dyDescent="0.25">
      <c r="A3244" t="s">
        <v>487</v>
      </c>
      <c r="B3244" t="s">
        <v>463</v>
      </c>
      <c r="C3244" t="s">
        <v>464</v>
      </c>
      <c r="D3244" t="s">
        <v>190</v>
      </c>
      <c r="E3244" t="s">
        <v>192</v>
      </c>
      <c r="F3244">
        <v>1</v>
      </c>
      <c r="G3244" t="s">
        <v>499</v>
      </c>
      <c r="H3244" s="4">
        <v>40844730</v>
      </c>
      <c r="I3244" s="4">
        <v>40741067</v>
      </c>
      <c r="J3244" s="3">
        <v>0.0025379773596250974</v>
      </c>
      <c r="K3244" s="3">
        <v>0.002544435078246723</v>
      </c>
      <c r="L3244" t="s">
        <v>54</v>
      </c>
    </row>
    <row r="3245" spans="1:12" x14ac:dyDescent="0.25">
      <c r="A3245" t="s">
        <v>487</v>
      </c>
      <c r="B3245" t="s">
        <v>463</v>
      </c>
      <c r="C3245" t="s">
        <v>464</v>
      </c>
      <c r="D3245" t="s">
        <v>190</v>
      </c>
      <c r="E3245" t="s">
        <v>194</v>
      </c>
      <c r="F3245">
        <v>2</v>
      </c>
      <c r="G3245" t="s">
        <v>488</v>
      </c>
      <c r="H3245" s="4">
        <v>31905493</v>
      </c>
      <c r="I3245" s="4">
        <v>36296501.03738905</v>
      </c>
      <c r="J3245" s="3">
        <v>0.1376254564500554</v>
      </c>
      <c r="K3245" s="3">
        <v>-0.12097606964555255</v>
      </c>
      <c r="L3245" t="s">
        <v>54</v>
      </c>
    </row>
    <row r="3246" spans="1:12" x14ac:dyDescent="0.25">
      <c r="A3246" t="s">
        <v>487</v>
      </c>
      <c r="B3246" t="s">
        <v>463</v>
      </c>
      <c r="C3246" t="s">
        <v>464</v>
      </c>
      <c r="D3246" t="s">
        <v>190</v>
      </c>
      <c r="E3246" t="s">
        <v>194</v>
      </c>
      <c r="F3246">
        <v>2</v>
      </c>
      <c r="G3246" t="s">
        <v>498</v>
      </c>
      <c r="H3246" s="4">
        <v>31905493</v>
      </c>
      <c r="I3246" s="4">
        <v>38163955</v>
      </c>
      <c r="J3246" s="3">
        <v>0.19615625434780148</v>
      </c>
      <c r="K3246" s="3">
        <v>-0.16398882138918777</v>
      </c>
      <c r="L3246" t="s">
        <v>54</v>
      </c>
    </row>
    <row r="3247" spans="1:12" x14ac:dyDescent="0.25">
      <c r="A3247" t="s">
        <v>487</v>
      </c>
      <c r="B3247" t="s">
        <v>463</v>
      </c>
      <c r="C3247" t="s">
        <v>464</v>
      </c>
      <c r="D3247" t="s">
        <v>190</v>
      </c>
      <c r="E3247" t="s">
        <v>194</v>
      </c>
      <c r="F3247">
        <v>2</v>
      </c>
      <c r="G3247" t="s">
        <v>499</v>
      </c>
      <c r="H3247" s="4">
        <v>31905493</v>
      </c>
      <c r="I3247" s="4">
        <v>40741067</v>
      </c>
      <c r="J3247" s="3">
        <v>0.2769295556724355</v>
      </c>
      <c r="K3247" s="3">
        <v>-0.21687144325405125</v>
      </c>
      <c r="L3247" t="s">
        <v>54</v>
      </c>
    </row>
    <row r="3248" spans="1:12" x14ac:dyDescent="0.25">
      <c r="A3248" t="s">
        <v>487</v>
      </c>
      <c r="B3248" t="s">
        <v>463</v>
      </c>
      <c r="C3248" t="s">
        <v>464</v>
      </c>
      <c r="D3248" t="s">
        <v>190</v>
      </c>
      <c r="E3248" t="s">
        <v>196</v>
      </c>
      <c r="F3248">
        <v>3</v>
      </c>
      <c r="G3248" t="s">
        <v>488</v>
      </c>
      <c r="H3248" s="4">
        <v>26022414</v>
      </c>
      <c r="I3248" s="4">
        <v>22779777.105421353</v>
      </c>
      <c r="J3248" s="3">
        <v>0.12460938076608293</v>
      </c>
      <c r="K3248" s="3">
        <v>0.14234717396804258</v>
      </c>
      <c r="L3248" t="s">
        <v>54</v>
      </c>
    </row>
    <row r="3249" spans="1:12" x14ac:dyDescent="0.25">
      <c r="A3249" t="s">
        <v>487</v>
      </c>
      <c r="B3249" t="s">
        <v>463</v>
      </c>
      <c r="C3249" t="s">
        <v>464</v>
      </c>
      <c r="D3249" t="s">
        <v>190</v>
      </c>
      <c r="E3249" t="s">
        <v>196</v>
      </c>
      <c r="F3249">
        <v>3</v>
      </c>
      <c r="G3249" t="s">
        <v>498</v>
      </c>
      <c r="H3249" s="4">
        <v>26022414</v>
      </c>
      <c r="I3249" s="4">
        <v>23951796</v>
      </c>
      <c r="J3249" s="3">
        <v>0.07957055790442809</v>
      </c>
      <c r="K3249" s="3">
        <v>0.08644938358693435</v>
      </c>
      <c r="L3249" t="s">
        <v>54</v>
      </c>
    </row>
    <row r="3250" spans="1:12" x14ac:dyDescent="0.25">
      <c r="A3250" t="s">
        <v>487</v>
      </c>
      <c r="B3250" t="s">
        <v>463</v>
      </c>
      <c r="C3250" t="s">
        <v>464</v>
      </c>
      <c r="D3250" t="s">
        <v>190</v>
      </c>
      <c r="E3250" t="s">
        <v>196</v>
      </c>
      <c r="F3250">
        <v>3</v>
      </c>
      <c r="G3250" t="s">
        <v>499</v>
      </c>
      <c r="H3250" s="4">
        <v>26022414</v>
      </c>
      <c r="I3250" s="4">
        <v>40741067</v>
      </c>
      <c r="J3250" s="3">
        <v>0.565614435309499</v>
      </c>
      <c r="K3250" s="3">
        <v>-0.3612731350408668</v>
      </c>
      <c r="L3250" t="s">
        <v>54</v>
      </c>
    </row>
    <row r="3251" spans="1:12" x14ac:dyDescent="0.25">
      <c r="A3251" t="s">
        <v>487</v>
      </c>
      <c r="B3251" t="s">
        <v>463</v>
      </c>
      <c r="C3251" t="s">
        <v>464</v>
      </c>
      <c r="D3251" t="s">
        <v>192</v>
      </c>
      <c r="E3251" t="s">
        <v>194</v>
      </c>
      <c r="F3251">
        <v>1</v>
      </c>
      <c r="G3251" t="s">
        <v>488</v>
      </c>
      <c r="H3251" s="4">
        <v>31905493</v>
      </c>
      <c r="I3251" s="4">
        <v>35750098.797411345</v>
      </c>
      <c r="J3251" s="3">
        <v>0.12049980852548949</v>
      </c>
      <c r="K3251" s="3">
        <v>-0.10754112370983802</v>
      </c>
      <c r="L3251" t="s">
        <v>54</v>
      </c>
    </row>
    <row r="3252" spans="1:12" x14ac:dyDescent="0.25">
      <c r="A3252" t="s">
        <v>487</v>
      </c>
      <c r="B3252" t="s">
        <v>463</v>
      </c>
      <c r="C3252" t="s">
        <v>464</v>
      </c>
      <c r="D3252" t="s">
        <v>192</v>
      </c>
      <c r="E3252" t="s">
        <v>194</v>
      </c>
      <c r="F3252">
        <v>1</v>
      </c>
      <c r="G3252" t="s">
        <v>498</v>
      </c>
      <c r="H3252" s="4">
        <v>31905493</v>
      </c>
      <c r="I3252" s="4">
        <v>38163955</v>
      </c>
      <c r="J3252" s="3">
        <v>0.19615625434780148</v>
      </c>
      <c r="K3252" s="3">
        <v>-0.16398882138918777</v>
      </c>
      <c r="L3252" t="s">
        <v>54</v>
      </c>
    </row>
    <row r="3253" spans="1:12" x14ac:dyDescent="0.25">
      <c r="A3253" t="s">
        <v>487</v>
      </c>
      <c r="B3253" t="s">
        <v>463</v>
      </c>
      <c r="C3253" t="s">
        <v>464</v>
      </c>
      <c r="D3253" t="s">
        <v>192</v>
      </c>
      <c r="E3253" t="s">
        <v>194</v>
      </c>
      <c r="F3253">
        <v>1</v>
      </c>
      <c r="G3253" t="s">
        <v>499</v>
      </c>
      <c r="H3253" s="4">
        <v>31905493</v>
      </c>
      <c r="I3253" s="4">
        <v>40844730</v>
      </c>
      <c r="J3253" s="3">
        <v>0.2801786200263384</v>
      </c>
      <c r="K3253" s="3">
        <v>-0.21885900580074835</v>
      </c>
      <c r="L3253" t="s">
        <v>54</v>
      </c>
    </row>
    <row r="3254" spans="1:12" x14ac:dyDescent="0.25">
      <c r="A3254" t="s">
        <v>487</v>
      </c>
      <c r="B3254" t="s">
        <v>463</v>
      </c>
      <c r="C3254" t="s">
        <v>464</v>
      </c>
      <c r="D3254" t="s">
        <v>192</v>
      </c>
      <c r="E3254" t="s">
        <v>196</v>
      </c>
      <c r="F3254">
        <v>2</v>
      </c>
      <c r="G3254" t="s">
        <v>488</v>
      </c>
      <c r="H3254" s="4">
        <v>26022414</v>
      </c>
      <c r="I3254" s="4">
        <v>22436853.658784624</v>
      </c>
      <c r="J3254" s="3">
        <v>0.1377873836460897</v>
      </c>
      <c r="K3254" s="3">
        <v>0.15980673563877945</v>
      </c>
      <c r="L3254" t="s">
        <v>54</v>
      </c>
    </row>
    <row r="3255" spans="1:12" x14ac:dyDescent="0.25">
      <c r="A3255" t="s">
        <v>487</v>
      </c>
      <c r="B3255" t="s">
        <v>463</v>
      </c>
      <c r="C3255" t="s">
        <v>464</v>
      </c>
      <c r="D3255" t="s">
        <v>192</v>
      </c>
      <c r="E3255" t="s">
        <v>196</v>
      </c>
      <c r="F3255">
        <v>2</v>
      </c>
      <c r="G3255" t="s">
        <v>498</v>
      </c>
      <c r="H3255" s="4">
        <v>26022414</v>
      </c>
      <c r="I3255" s="4">
        <v>23951796</v>
      </c>
      <c r="J3255" s="3">
        <v>0.07957055790442809</v>
      </c>
      <c r="K3255" s="3">
        <v>0.08644938358693435</v>
      </c>
      <c r="L3255" t="s">
        <v>54</v>
      </c>
    </row>
    <row r="3256" spans="1:12" x14ac:dyDescent="0.25">
      <c r="A3256" t="s">
        <v>487</v>
      </c>
      <c r="B3256" t="s">
        <v>463</v>
      </c>
      <c r="C3256" t="s">
        <v>464</v>
      </c>
      <c r="D3256" t="s">
        <v>192</v>
      </c>
      <c r="E3256" t="s">
        <v>196</v>
      </c>
      <c r="F3256">
        <v>2</v>
      </c>
      <c r="G3256" t="s">
        <v>499</v>
      </c>
      <c r="H3256" s="4">
        <v>26022414</v>
      </c>
      <c r="I3256" s="4">
        <v>40844730</v>
      </c>
      <c r="J3256" s="3">
        <v>0.5695980395977098</v>
      </c>
      <c r="K3256" s="3">
        <v>-0.36289420936311734</v>
      </c>
      <c r="L3256" t="s">
        <v>54</v>
      </c>
    </row>
    <row r="3257" spans="1:12" x14ac:dyDescent="0.25">
      <c r="A3257" t="s">
        <v>487</v>
      </c>
      <c r="B3257" t="s">
        <v>463</v>
      </c>
      <c r="C3257" t="s">
        <v>464</v>
      </c>
      <c r="D3257" t="s">
        <v>192</v>
      </c>
      <c r="E3257" t="s">
        <v>198</v>
      </c>
      <c r="F3257">
        <v>3</v>
      </c>
      <c r="G3257" t="s">
        <v>488</v>
      </c>
      <c r="H3257" s="4">
        <v>40075385</v>
      </c>
      <c r="I3257" s="4">
        <v>24163772.62944955</v>
      </c>
      <c r="J3257" s="3">
        <v>0.3970420339205837</v>
      </c>
      <c r="K3257" s="3">
        <v>0.6584904027427491</v>
      </c>
      <c r="L3257" t="s">
        <v>54</v>
      </c>
    </row>
    <row r="3258" spans="1:12" x14ac:dyDescent="0.25">
      <c r="A3258" t="s">
        <v>487</v>
      </c>
      <c r="B3258" t="s">
        <v>463</v>
      </c>
      <c r="C3258" t="s">
        <v>464</v>
      </c>
      <c r="D3258" t="s">
        <v>192</v>
      </c>
      <c r="E3258" t="s">
        <v>198</v>
      </c>
      <c r="F3258">
        <v>3</v>
      </c>
      <c r="G3258" t="s">
        <v>498</v>
      </c>
      <c r="H3258" s="4">
        <v>40075385</v>
      </c>
      <c r="I3258" s="4">
        <v>25795317</v>
      </c>
      <c r="J3258" s="3">
        <v>0.35633015128862766</v>
      </c>
      <c r="K3258" s="3">
        <v>0.553591491044673</v>
      </c>
      <c r="L3258" t="s">
        <v>54</v>
      </c>
    </row>
    <row r="3259" spans="1:12" x14ac:dyDescent="0.25">
      <c r="A3259" t="s">
        <v>487</v>
      </c>
      <c r="B3259" t="s">
        <v>463</v>
      </c>
      <c r="C3259" t="s">
        <v>464</v>
      </c>
      <c r="D3259" t="s">
        <v>192</v>
      </c>
      <c r="E3259" t="s">
        <v>198</v>
      </c>
      <c r="F3259">
        <v>3</v>
      </c>
      <c r="G3259" t="s">
        <v>499</v>
      </c>
      <c r="H3259" s="4">
        <v>40075385</v>
      </c>
      <c r="I3259" s="4">
        <v>40844730</v>
      </c>
      <c r="J3259" s="3">
        <v>0.01919744501518825</v>
      </c>
      <c r="K3259" s="3">
        <v>-0.018835844918059196</v>
      </c>
      <c r="L3259" t="s">
        <v>54</v>
      </c>
    </row>
    <row r="3260" spans="1:12" x14ac:dyDescent="0.25">
      <c r="A3260" t="s">
        <v>487</v>
      </c>
      <c r="B3260" t="s">
        <v>463</v>
      </c>
      <c r="C3260" t="s">
        <v>464</v>
      </c>
      <c r="D3260" t="s">
        <v>194</v>
      </c>
      <c r="E3260" t="s">
        <v>196</v>
      </c>
      <c r="F3260">
        <v>1</v>
      </c>
      <c r="G3260" t="s">
        <v>488</v>
      </c>
      <c r="H3260" s="4">
        <v>26022414</v>
      </c>
      <c r="I3260" s="4">
        <v>21942638.479744084</v>
      </c>
      <c r="J3260" s="3">
        <v>0.15677928728118443</v>
      </c>
      <c r="K3260" s="3">
        <v>0.18592912260857236</v>
      </c>
      <c r="L3260" t="s">
        <v>54</v>
      </c>
    </row>
    <row r="3261" spans="1:12" x14ac:dyDescent="0.25">
      <c r="A3261" t="s">
        <v>487</v>
      </c>
      <c r="B3261" t="s">
        <v>463</v>
      </c>
      <c r="C3261" t="s">
        <v>464</v>
      </c>
      <c r="D3261" t="s">
        <v>194</v>
      </c>
      <c r="E3261" t="s">
        <v>196</v>
      </c>
      <c r="F3261">
        <v>1</v>
      </c>
      <c r="G3261" t="s">
        <v>498</v>
      </c>
      <c r="H3261" s="4">
        <v>26022414</v>
      </c>
      <c r="I3261" s="4">
        <v>23951796</v>
      </c>
      <c r="J3261" s="3">
        <v>0.07957055790442809</v>
      </c>
      <c r="K3261" s="3">
        <v>0.08644938358693435</v>
      </c>
      <c r="L3261" t="s">
        <v>54</v>
      </c>
    </row>
    <row r="3262" spans="1:12" x14ac:dyDescent="0.25">
      <c r="A3262" t="s">
        <v>487</v>
      </c>
      <c r="B3262" t="s">
        <v>463</v>
      </c>
      <c r="C3262" t="s">
        <v>464</v>
      </c>
      <c r="D3262" t="s">
        <v>194</v>
      </c>
      <c r="E3262" t="s">
        <v>196</v>
      </c>
      <c r="F3262">
        <v>1</v>
      </c>
      <c r="G3262" t="s">
        <v>499</v>
      </c>
      <c r="H3262" s="4">
        <v>26022414</v>
      </c>
      <c r="I3262" s="4">
        <v>31905493</v>
      </c>
      <c r="J3262" s="3">
        <v>0.22607737314455145</v>
      </c>
      <c r="K3262" s="3">
        <v>-0.1843907881316863</v>
      </c>
      <c r="L3262" t="s">
        <v>54</v>
      </c>
    </row>
    <row r="3263" spans="1:12" x14ac:dyDescent="0.25">
      <c r="A3263" t="s">
        <v>487</v>
      </c>
      <c r="B3263" t="s">
        <v>463</v>
      </c>
      <c r="C3263" t="s">
        <v>464</v>
      </c>
      <c r="D3263" t="s">
        <v>194</v>
      </c>
      <c r="E3263" t="s">
        <v>198</v>
      </c>
      <c r="F3263">
        <v>2</v>
      </c>
      <c r="G3263" t="s">
        <v>488</v>
      </c>
      <c r="H3263" s="4">
        <v>40075385</v>
      </c>
      <c r="I3263" s="4">
        <v>23631518.713728055</v>
      </c>
      <c r="J3263" s="3">
        <v>0.41032335151045823</v>
      </c>
      <c r="K3263" s="3">
        <v>0.6958446676860996</v>
      </c>
      <c r="L3263" t="s">
        <v>54</v>
      </c>
    </row>
    <row r="3264" spans="1:12" x14ac:dyDescent="0.25">
      <c r="A3264" t="s">
        <v>487</v>
      </c>
      <c r="B3264" t="s">
        <v>463</v>
      </c>
      <c r="C3264" t="s">
        <v>464</v>
      </c>
      <c r="D3264" t="s">
        <v>194</v>
      </c>
      <c r="E3264" t="s">
        <v>198</v>
      </c>
      <c r="F3264">
        <v>2</v>
      </c>
      <c r="G3264" t="s">
        <v>498</v>
      </c>
      <c r="H3264" s="4">
        <v>40075385</v>
      </c>
      <c r="I3264" s="4">
        <v>25795317</v>
      </c>
      <c r="J3264" s="3">
        <v>0.35633015128862766</v>
      </c>
      <c r="K3264" s="3">
        <v>0.553591491044673</v>
      </c>
      <c r="L3264" t="s">
        <v>54</v>
      </c>
    </row>
    <row r="3265" spans="1:12" x14ac:dyDescent="0.25">
      <c r="A3265" t="s">
        <v>487</v>
      </c>
      <c r="B3265" t="s">
        <v>463</v>
      </c>
      <c r="C3265" t="s">
        <v>464</v>
      </c>
      <c r="D3265" t="s">
        <v>194</v>
      </c>
      <c r="E3265" t="s">
        <v>198</v>
      </c>
      <c r="F3265">
        <v>2</v>
      </c>
      <c r="G3265" t="s">
        <v>499</v>
      </c>
      <c r="H3265" s="4">
        <v>40075385</v>
      </c>
      <c r="I3265" s="4">
        <v>31905493</v>
      </c>
      <c r="J3265" s="3">
        <v>0.20386309451549872</v>
      </c>
      <c r="K3265" s="3">
        <v>0.2560653740721073</v>
      </c>
      <c r="L3265" t="s">
        <v>54</v>
      </c>
    </row>
    <row r="3266" spans="1:12" x14ac:dyDescent="0.25">
      <c r="A3266" t="s">
        <v>487</v>
      </c>
      <c r="B3266" t="s">
        <v>463</v>
      </c>
      <c r="C3266" t="s">
        <v>464</v>
      </c>
      <c r="D3266" t="s">
        <v>194</v>
      </c>
      <c r="E3266" t="s">
        <v>200</v>
      </c>
      <c r="F3266">
        <v>3</v>
      </c>
      <c r="G3266" t="s">
        <v>488</v>
      </c>
      <c r="H3266" s="4">
        <v>29351565</v>
      </c>
      <c r="I3266" s="4">
        <v>24187063.74377161</v>
      </c>
      <c r="J3266" s="3">
        <v>0.17595318192499756</v>
      </c>
      <c r="K3266" s="3">
        <v>0.2135232829804857</v>
      </c>
      <c r="L3266" t="s">
        <v>54</v>
      </c>
    </row>
    <row r="3267" spans="1:12" x14ac:dyDescent="0.25">
      <c r="A3267" t="s">
        <v>487</v>
      </c>
      <c r="B3267" t="s">
        <v>463</v>
      </c>
      <c r="C3267" t="s">
        <v>464</v>
      </c>
      <c r="D3267" t="s">
        <v>194</v>
      </c>
      <c r="E3267" t="s">
        <v>200</v>
      </c>
      <c r="F3267">
        <v>3</v>
      </c>
      <c r="G3267" t="s">
        <v>498</v>
      </c>
      <c r="H3267" s="4">
        <v>29351565</v>
      </c>
      <c r="I3267" s="4">
        <v>26401730</v>
      </c>
      <c r="J3267" s="3">
        <v>0.10050009258450103</v>
      </c>
      <c r="K3267" s="3">
        <v>0.11172885261685503</v>
      </c>
      <c r="L3267" t="s">
        <v>54</v>
      </c>
    </row>
    <row r="3268" spans="1:12" x14ac:dyDescent="0.25">
      <c r="A3268" t="s">
        <v>487</v>
      </c>
      <c r="B3268" t="s">
        <v>463</v>
      </c>
      <c r="C3268" t="s">
        <v>464</v>
      </c>
      <c r="D3268" t="s">
        <v>194</v>
      </c>
      <c r="E3268" t="s">
        <v>200</v>
      </c>
      <c r="F3268">
        <v>3</v>
      </c>
      <c r="G3268" t="s">
        <v>499</v>
      </c>
      <c r="H3268" s="4">
        <v>29351565</v>
      </c>
      <c r="I3268" s="4">
        <v>31905493</v>
      </c>
      <c r="J3268" s="3">
        <v>0.08701164656807908</v>
      </c>
      <c r="K3268" s="3">
        <v>-0.08004665528910648</v>
      </c>
      <c r="L3268" t="s">
        <v>54</v>
      </c>
    </row>
    <row r="3269" spans="1:12" x14ac:dyDescent="0.25">
      <c r="A3269" t="s">
        <v>487</v>
      </c>
      <c r="B3269" t="s">
        <v>463</v>
      </c>
      <c r="C3269" t="s">
        <v>464</v>
      </c>
      <c r="D3269" t="s">
        <v>196</v>
      </c>
      <c r="E3269" t="s">
        <v>198</v>
      </c>
      <c r="F3269">
        <v>1</v>
      </c>
      <c r="G3269" t="s">
        <v>488</v>
      </c>
      <c r="H3269" s="4">
        <v>40075385</v>
      </c>
      <c r="I3269" s="4">
        <v>24241705.56181723</v>
      </c>
      <c r="J3269" s="3">
        <v>0.39509737556314856</v>
      </c>
      <c r="K3269" s="3">
        <v>0.6531586400885167</v>
      </c>
      <c r="L3269" t="s">
        <v>54</v>
      </c>
    </row>
    <row r="3270" spans="1:12" x14ac:dyDescent="0.25">
      <c r="A3270" t="s">
        <v>487</v>
      </c>
      <c r="B3270" t="s">
        <v>463</v>
      </c>
      <c r="C3270" t="s">
        <v>464</v>
      </c>
      <c r="D3270" t="s">
        <v>196</v>
      </c>
      <c r="E3270" t="s">
        <v>198</v>
      </c>
      <c r="F3270">
        <v>1</v>
      </c>
      <c r="G3270" t="s">
        <v>498</v>
      </c>
      <c r="H3270" s="4">
        <v>40075385</v>
      </c>
      <c r="I3270" s="4">
        <v>25795317</v>
      </c>
      <c r="J3270" s="3">
        <v>0.35633015128862766</v>
      </c>
      <c r="K3270" s="3">
        <v>0.553591491044673</v>
      </c>
      <c r="L3270" t="s">
        <v>54</v>
      </c>
    </row>
    <row r="3271" spans="1:12" x14ac:dyDescent="0.25">
      <c r="A3271" t="s">
        <v>487</v>
      </c>
      <c r="B3271" t="s">
        <v>463</v>
      </c>
      <c r="C3271" t="s">
        <v>464</v>
      </c>
      <c r="D3271" t="s">
        <v>196</v>
      </c>
      <c r="E3271" t="s">
        <v>198</v>
      </c>
      <c r="F3271">
        <v>1</v>
      </c>
      <c r="G3271" t="s">
        <v>499</v>
      </c>
      <c r="H3271" s="4">
        <v>40075385</v>
      </c>
      <c r="I3271" s="4">
        <v>26022414</v>
      </c>
      <c r="J3271" s="3">
        <v>0.35066340597850776</v>
      </c>
      <c r="K3271" s="3">
        <v>0.5400333343401577</v>
      </c>
      <c r="L3271" t="s">
        <v>54</v>
      </c>
    </row>
    <row r="3272" spans="1:12" x14ac:dyDescent="0.25">
      <c r="A3272" t="s">
        <v>487</v>
      </c>
      <c r="B3272" t="s">
        <v>463</v>
      </c>
      <c r="C3272" t="s">
        <v>464</v>
      </c>
      <c r="D3272" t="s">
        <v>196</v>
      </c>
      <c r="E3272" t="s">
        <v>200</v>
      </c>
      <c r="F3272">
        <v>2</v>
      </c>
      <c r="G3272" t="s">
        <v>488</v>
      </c>
      <c r="H3272" s="4">
        <v>29351565</v>
      </c>
      <c r="I3272" s="4">
        <v>24811595.25903856</v>
      </c>
      <c r="J3272" s="3">
        <v>0.15467555958128434</v>
      </c>
      <c r="K3272" s="3">
        <v>0.18297774462154281</v>
      </c>
      <c r="L3272" t="s">
        <v>54</v>
      </c>
    </row>
    <row r="3273" spans="1:12" x14ac:dyDescent="0.25">
      <c r="A3273" t="s">
        <v>487</v>
      </c>
      <c r="B3273" t="s">
        <v>463</v>
      </c>
      <c r="C3273" t="s">
        <v>464</v>
      </c>
      <c r="D3273" t="s">
        <v>196</v>
      </c>
      <c r="E3273" t="s">
        <v>200</v>
      </c>
      <c r="F3273">
        <v>2</v>
      </c>
      <c r="G3273" t="s">
        <v>498</v>
      </c>
      <c r="H3273" s="4">
        <v>29351565</v>
      </c>
      <c r="I3273" s="4">
        <v>26401730</v>
      </c>
      <c r="J3273" s="3">
        <v>0.10050009258450103</v>
      </c>
      <c r="K3273" s="3">
        <v>0.11172885261685503</v>
      </c>
      <c r="L3273" t="s">
        <v>54</v>
      </c>
    </row>
    <row r="3274" spans="1:12" x14ac:dyDescent="0.25">
      <c r="A3274" t="s">
        <v>487</v>
      </c>
      <c r="B3274" t="s">
        <v>463</v>
      </c>
      <c r="C3274" t="s">
        <v>464</v>
      </c>
      <c r="D3274" t="s">
        <v>196</v>
      </c>
      <c r="E3274" t="s">
        <v>200</v>
      </c>
      <c r="F3274">
        <v>2</v>
      </c>
      <c r="G3274" t="s">
        <v>499</v>
      </c>
      <c r="H3274" s="4">
        <v>29351565</v>
      </c>
      <c r="I3274" s="4">
        <v>26022414</v>
      </c>
      <c r="J3274" s="3">
        <v>0.11342328765093104</v>
      </c>
      <c r="K3274" s="3">
        <v>0.12793398029867636</v>
      </c>
      <c r="L3274" t="s">
        <v>54</v>
      </c>
    </row>
    <row r="3275" spans="1:12" x14ac:dyDescent="0.25">
      <c r="A3275" t="s">
        <v>487</v>
      </c>
      <c r="B3275" t="s">
        <v>463</v>
      </c>
      <c r="C3275" t="s">
        <v>464</v>
      </c>
      <c r="D3275" t="s">
        <v>196</v>
      </c>
      <c r="E3275" t="s">
        <v>202</v>
      </c>
      <c r="F3275">
        <v>3</v>
      </c>
      <c r="G3275" t="s">
        <v>488</v>
      </c>
      <c r="H3275" s="4">
        <v>23736986</v>
      </c>
      <c r="I3275" s="4">
        <v>20007547.836232092</v>
      </c>
      <c r="J3275" s="3">
        <v>0.15711506775830375</v>
      </c>
      <c r="K3275" s="3">
        <v>0.18640156176531486</v>
      </c>
      <c r="L3275" t="s">
        <v>54</v>
      </c>
    </row>
    <row r="3276" spans="1:12" x14ac:dyDescent="0.25">
      <c r="A3276" t="s">
        <v>487</v>
      </c>
      <c r="B3276" t="s">
        <v>463</v>
      </c>
      <c r="C3276" t="s">
        <v>464</v>
      </c>
      <c r="D3276" t="s">
        <v>196</v>
      </c>
      <c r="E3276" t="s">
        <v>202</v>
      </c>
      <c r="F3276">
        <v>3</v>
      </c>
      <c r="G3276" t="s">
        <v>498</v>
      </c>
      <c r="H3276" s="4">
        <v>23736986</v>
      </c>
      <c r="I3276" s="4">
        <v>21289799</v>
      </c>
      <c r="J3276" s="3">
        <v>0.10309594486848499</v>
      </c>
      <c r="K3276" s="3">
        <v>0.11494645863025761</v>
      </c>
      <c r="L3276" t="s">
        <v>54</v>
      </c>
    </row>
    <row r="3277" spans="1:12" x14ac:dyDescent="0.25">
      <c r="A3277" t="s">
        <v>487</v>
      </c>
      <c r="B3277" t="s">
        <v>463</v>
      </c>
      <c r="C3277" t="s">
        <v>464</v>
      </c>
      <c r="D3277" t="s">
        <v>196</v>
      </c>
      <c r="E3277" t="s">
        <v>202</v>
      </c>
      <c r="F3277">
        <v>3</v>
      </c>
      <c r="G3277" t="s">
        <v>499</v>
      </c>
      <c r="H3277" s="4">
        <v>23736986</v>
      </c>
      <c r="I3277" s="4">
        <v>26022414</v>
      </c>
      <c r="J3277" s="3">
        <v>0.09628130546986884</v>
      </c>
      <c r="K3277" s="3">
        <v>-0.08782536470290574</v>
      </c>
      <c r="L3277" t="s">
        <v>54</v>
      </c>
    </row>
    <row r="3278" spans="1:12" x14ac:dyDescent="0.25">
      <c r="A3278" t="s">
        <v>487</v>
      </c>
      <c r="B3278" t="s">
        <v>463</v>
      </c>
      <c r="C3278" t="s">
        <v>464</v>
      </c>
      <c r="D3278" t="s">
        <v>198</v>
      </c>
      <c r="E3278" t="s">
        <v>200</v>
      </c>
      <c r="F3278">
        <v>1</v>
      </c>
      <c r="G3278" t="s">
        <v>488</v>
      </c>
      <c r="H3278" s="4">
        <v>29351565</v>
      </c>
      <c r="I3278" s="4">
        <v>26424053.728410475</v>
      </c>
      <c r="J3278" s="3">
        <v>0.09973952910482031</v>
      </c>
      <c r="K3278" s="3">
        <v>0.11078963514375309</v>
      </c>
      <c r="L3278" t="s">
        <v>54</v>
      </c>
    </row>
    <row r="3279" spans="1:12" x14ac:dyDescent="0.25">
      <c r="A3279" t="s">
        <v>487</v>
      </c>
      <c r="B3279" t="s">
        <v>463</v>
      </c>
      <c r="C3279" t="s">
        <v>464</v>
      </c>
      <c r="D3279" t="s">
        <v>198</v>
      </c>
      <c r="E3279" t="s">
        <v>200</v>
      </c>
      <c r="F3279">
        <v>1</v>
      </c>
      <c r="G3279" t="s">
        <v>498</v>
      </c>
      <c r="H3279" s="4">
        <v>29351565</v>
      </c>
      <c r="I3279" s="4">
        <v>26401730</v>
      </c>
      <c r="J3279" s="3">
        <v>0.10050009258450103</v>
      </c>
      <c r="K3279" s="3">
        <v>0.11172885261685503</v>
      </c>
      <c r="L3279" t="s">
        <v>54</v>
      </c>
    </row>
    <row r="3280" spans="1:12" x14ac:dyDescent="0.25">
      <c r="A3280" t="s">
        <v>487</v>
      </c>
      <c r="B3280" t="s">
        <v>463</v>
      </c>
      <c r="C3280" t="s">
        <v>464</v>
      </c>
      <c r="D3280" t="s">
        <v>198</v>
      </c>
      <c r="E3280" t="s">
        <v>200</v>
      </c>
      <c r="F3280">
        <v>1</v>
      </c>
      <c r="G3280" t="s">
        <v>499</v>
      </c>
      <c r="H3280" s="4">
        <v>29351565</v>
      </c>
      <c r="I3280" s="4">
        <v>40075385</v>
      </c>
      <c r="J3280" s="3">
        <v>0.3653576904672715</v>
      </c>
      <c r="K3280" s="3">
        <v>-0.26759119095175254</v>
      </c>
      <c r="L3280" t="s">
        <v>54</v>
      </c>
    </row>
    <row r="3281" spans="1:12" x14ac:dyDescent="0.25">
      <c r="A3281" t="s">
        <v>487</v>
      </c>
      <c r="B3281" t="s">
        <v>463</v>
      </c>
      <c r="C3281" t="s">
        <v>464</v>
      </c>
      <c r="D3281" t="s">
        <v>198</v>
      </c>
      <c r="E3281" t="s">
        <v>202</v>
      </c>
      <c r="F3281">
        <v>2</v>
      </c>
      <c r="G3281" t="s">
        <v>488</v>
      </c>
      <c r="H3281" s="4">
        <v>23736986</v>
      </c>
      <c r="I3281" s="4">
        <v>21307800.384408884</v>
      </c>
      <c r="J3281" s="3">
        <v>0.102337576286691</v>
      </c>
      <c r="K3281" s="3">
        <v>0.11400452283984104</v>
      </c>
      <c r="L3281" t="s">
        <v>54</v>
      </c>
    </row>
    <row r="3282" spans="1:12" x14ac:dyDescent="0.25">
      <c r="A3282" t="s">
        <v>487</v>
      </c>
      <c r="B3282" t="s">
        <v>463</v>
      </c>
      <c r="C3282" t="s">
        <v>464</v>
      </c>
      <c r="D3282" t="s">
        <v>198</v>
      </c>
      <c r="E3282" t="s">
        <v>202</v>
      </c>
      <c r="F3282">
        <v>2</v>
      </c>
      <c r="G3282" t="s">
        <v>498</v>
      </c>
      <c r="H3282" s="4">
        <v>23736986</v>
      </c>
      <c r="I3282" s="4">
        <v>21289799</v>
      </c>
      <c r="J3282" s="3">
        <v>0.10309594486848499</v>
      </c>
      <c r="K3282" s="3">
        <v>0.11494645863025761</v>
      </c>
      <c r="L3282" t="s">
        <v>54</v>
      </c>
    </row>
    <row r="3283" spans="1:12" x14ac:dyDescent="0.25">
      <c r="A3283" t="s">
        <v>487</v>
      </c>
      <c r="B3283" t="s">
        <v>463</v>
      </c>
      <c r="C3283" t="s">
        <v>464</v>
      </c>
      <c r="D3283" t="s">
        <v>198</v>
      </c>
      <c r="E3283" t="s">
        <v>202</v>
      </c>
      <c r="F3283">
        <v>2</v>
      </c>
      <c r="G3283" t="s">
        <v>499</v>
      </c>
      <c r="H3283" s="4">
        <v>23736986</v>
      </c>
      <c r="I3283" s="4">
        <v>40075385</v>
      </c>
      <c r="J3283" s="3">
        <v>0.688309754237543</v>
      </c>
      <c r="K3283" s="3">
        <v>-0.40769162916338797</v>
      </c>
      <c r="L3283" t="s">
        <v>54</v>
      </c>
    </row>
    <row r="3284" spans="1:12" x14ac:dyDescent="0.25">
      <c r="A3284" t="s">
        <v>487</v>
      </c>
      <c r="B3284" t="s">
        <v>463</v>
      </c>
      <c r="C3284" t="s">
        <v>464</v>
      </c>
      <c r="D3284" t="s">
        <v>198</v>
      </c>
      <c r="E3284" t="s">
        <v>204</v>
      </c>
      <c r="F3284">
        <v>3</v>
      </c>
      <c r="G3284" t="s">
        <v>488</v>
      </c>
      <c r="H3284" s="4">
        <v>16661879</v>
      </c>
      <c r="I3284" s="4">
        <v>16202871.60769652</v>
      </c>
      <c r="J3284" s="3">
        <v>0.02754835707926338</v>
      </c>
      <c r="K3284" s="3">
        <v>0.02832876809845527</v>
      </c>
      <c r="L3284" t="s">
        <v>54</v>
      </c>
    </row>
    <row r="3285" spans="1:12" x14ac:dyDescent="0.25">
      <c r="A3285" t="s">
        <v>487</v>
      </c>
      <c r="B3285" t="s">
        <v>463</v>
      </c>
      <c r="C3285" t="s">
        <v>464</v>
      </c>
      <c r="D3285" t="s">
        <v>198</v>
      </c>
      <c r="E3285" t="s">
        <v>204</v>
      </c>
      <c r="F3285">
        <v>3</v>
      </c>
      <c r="G3285" t="s">
        <v>498</v>
      </c>
      <c r="H3285" s="4">
        <v>16661879</v>
      </c>
      <c r="I3285" s="4">
        <v>16189183</v>
      </c>
      <c r="J3285" s="3">
        <v>0.02836990954021452</v>
      </c>
      <c r="K3285" s="3">
        <v>0.029198261579969787</v>
      </c>
      <c r="L3285" t="s">
        <v>54</v>
      </c>
    </row>
    <row r="3286" spans="1:12" x14ac:dyDescent="0.25">
      <c r="A3286" t="s">
        <v>487</v>
      </c>
      <c r="B3286" t="s">
        <v>463</v>
      </c>
      <c r="C3286" t="s">
        <v>464</v>
      </c>
      <c r="D3286" t="s">
        <v>198</v>
      </c>
      <c r="E3286" t="s">
        <v>204</v>
      </c>
      <c r="F3286">
        <v>3</v>
      </c>
      <c r="G3286" t="s">
        <v>499</v>
      </c>
      <c r="H3286" s="4">
        <v>16661879</v>
      </c>
      <c r="I3286" s="4">
        <v>40075385</v>
      </c>
      <c r="J3286" s="3">
        <v>1.4052140217798965</v>
      </c>
      <c r="K3286" s="3">
        <v>-0.5842365831295195</v>
      </c>
      <c r="L3286" t="s">
        <v>54</v>
      </c>
    </row>
    <row r="3287" spans="1:12" x14ac:dyDescent="0.25">
      <c r="A3287" t="s">
        <v>487</v>
      </c>
      <c r="B3287" t="s">
        <v>463</v>
      </c>
      <c r="C3287" t="s">
        <v>464</v>
      </c>
      <c r="D3287" t="s">
        <v>200</v>
      </c>
      <c r="E3287" t="s">
        <v>202</v>
      </c>
      <c r="F3287">
        <v>1</v>
      </c>
      <c r="G3287" t="s">
        <v>488</v>
      </c>
      <c r="H3287" s="4">
        <v>23736986</v>
      </c>
      <c r="I3287" s="4">
        <v>21742727.856465653</v>
      </c>
      <c r="J3287" s="3">
        <v>0.08401480051150333</v>
      </c>
      <c r="K3287" s="3">
        <v>0.09172069653354527</v>
      </c>
      <c r="L3287" t="s">
        <v>54</v>
      </c>
    </row>
    <row r="3288" spans="1:12" x14ac:dyDescent="0.25">
      <c r="A3288" t="s">
        <v>487</v>
      </c>
      <c r="B3288" t="s">
        <v>463</v>
      </c>
      <c r="C3288" t="s">
        <v>464</v>
      </c>
      <c r="D3288" t="s">
        <v>200</v>
      </c>
      <c r="E3288" t="s">
        <v>202</v>
      </c>
      <c r="F3288">
        <v>1</v>
      </c>
      <c r="G3288" t="s">
        <v>498</v>
      </c>
      <c r="H3288" s="4">
        <v>23736986</v>
      </c>
      <c r="I3288" s="4">
        <v>21289799</v>
      </c>
      <c r="J3288" s="3">
        <v>0.10309594486848499</v>
      </c>
      <c r="K3288" s="3">
        <v>0.11494645863025761</v>
      </c>
      <c r="L3288" t="s">
        <v>54</v>
      </c>
    </row>
    <row r="3289" spans="1:12" x14ac:dyDescent="0.25">
      <c r="A3289" t="s">
        <v>487</v>
      </c>
      <c r="B3289" t="s">
        <v>463</v>
      </c>
      <c r="C3289" t="s">
        <v>464</v>
      </c>
      <c r="D3289" t="s">
        <v>200</v>
      </c>
      <c r="E3289" t="s">
        <v>202</v>
      </c>
      <c r="F3289">
        <v>1</v>
      </c>
      <c r="G3289" t="s">
        <v>499</v>
      </c>
      <c r="H3289" s="4">
        <v>23736986</v>
      </c>
      <c r="I3289" s="4">
        <v>29351565</v>
      </c>
      <c r="J3289" s="3">
        <v>0.23653293640565823</v>
      </c>
      <c r="K3289" s="3">
        <v>-0.19128721075009117</v>
      </c>
      <c r="L3289" t="s">
        <v>54</v>
      </c>
    </row>
    <row r="3290" spans="1:12" x14ac:dyDescent="0.25">
      <c r="A3290" t="s">
        <v>487</v>
      </c>
      <c r="B3290" t="s">
        <v>463</v>
      </c>
      <c r="C3290" t="s">
        <v>464</v>
      </c>
      <c r="D3290" t="s">
        <v>200</v>
      </c>
      <c r="E3290" t="s">
        <v>204</v>
      </c>
      <c r="F3290">
        <v>2</v>
      </c>
      <c r="G3290" t="s">
        <v>488</v>
      </c>
      <c r="H3290" s="4">
        <v>16661879</v>
      </c>
      <c r="I3290" s="4">
        <v>16533599.034331897</v>
      </c>
      <c r="J3290" s="3">
        <v>0.007699009557571672</v>
      </c>
      <c r="K3290" s="3">
        <v>0.007758744203348001</v>
      </c>
      <c r="L3290" t="s">
        <v>54</v>
      </c>
    </row>
    <row r="3291" spans="1:12" x14ac:dyDescent="0.25">
      <c r="A3291" t="s">
        <v>487</v>
      </c>
      <c r="B3291" t="s">
        <v>463</v>
      </c>
      <c r="C3291" t="s">
        <v>464</v>
      </c>
      <c r="D3291" t="s">
        <v>200</v>
      </c>
      <c r="E3291" t="s">
        <v>204</v>
      </c>
      <c r="F3291">
        <v>2</v>
      </c>
      <c r="G3291" t="s">
        <v>498</v>
      </c>
      <c r="H3291" s="4">
        <v>16661879</v>
      </c>
      <c r="I3291" s="4">
        <v>16189183</v>
      </c>
      <c r="J3291" s="3">
        <v>0.02836990954021452</v>
      </c>
      <c r="K3291" s="3">
        <v>0.029198261579969787</v>
      </c>
      <c r="L3291" t="s">
        <v>54</v>
      </c>
    </row>
    <row r="3292" spans="1:12" x14ac:dyDescent="0.25">
      <c r="A3292" t="s">
        <v>487</v>
      </c>
      <c r="B3292" t="s">
        <v>463</v>
      </c>
      <c r="C3292" t="s">
        <v>464</v>
      </c>
      <c r="D3292" t="s">
        <v>200</v>
      </c>
      <c r="E3292" t="s">
        <v>204</v>
      </c>
      <c r="F3292">
        <v>2</v>
      </c>
      <c r="G3292" t="s">
        <v>499</v>
      </c>
      <c r="H3292" s="4">
        <v>16661879</v>
      </c>
      <c r="I3292" s="4">
        <v>29351565</v>
      </c>
      <c r="J3292" s="3">
        <v>0.7615999371979595</v>
      </c>
      <c r="K3292" s="3">
        <v>-0.43233422136093935</v>
      </c>
      <c r="L3292" t="s">
        <v>54</v>
      </c>
    </row>
    <row r="3293" spans="1:12" x14ac:dyDescent="0.25">
      <c r="A3293" t="s">
        <v>487</v>
      </c>
      <c r="B3293" t="s">
        <v>463</v>
      </c>
      <c r="C3293" t="s">
        <v>464</v>
      </c>
      <c r="D3293" t="s">
        <v>200</v>
      </c>
      <c r="E3293" t="s">
        <v>206</v>
      </c>
      <c r="F3293">
        <v>3</v>
      </c>
      <c r="G3293" t="s">
        <v>488</v>
      </c>
      <c r="H3293" s="4">
        <v>12329381</v>
      </c>
      <c r="I3293" s="4">
        <v>15911649.019293219</v>
      </c>
      <c r="J3293" s="3">
        <v>0.2905472723483214</v>
      </c>
      <c r="K3293" s="3">
        <v>-0.2251349319576897</v>
      </c>
      <c r="L3293" t="s">
        <v>54</v>
      </c>
    </row>
    <row r="3294" spans="1:12" x14ac:dyDescent="0.25">
      <c r="A3294" t="s">
        <v>487</v>
      </c>
      <c r="B3294" t="s">
        <v>463</v>
      </c>
      <c r="C3294" t="s">
        <v>464</v>
      </c>
      <c r="D3294" t="s">
        <v>200</v>
      </c>
      <c r="E3294" t="s">
        <v>206</v>
      </c>
      <c r="F3294">
        <v>3</v>
      </c>
      <c r="G3294" t="s">
        <v>498</v>
      </c>
      <c r="H3294" s="4">
        <v>12329381</v>
      </c>
      <c r="I3294" s="4">
        <v>15580189</v>
      </c>
      <c r="J3294" s="3">
        <v>0.26366352049628444</v>
      </c>
      <c r="K3294" s="3">
        <v>-0.20865010045770305</v>
      </c>
      <c r="L3294" t="s">
        <v>54</v>
      </c>
    </row>
    <row r="3295" spans="1:12" x14ac:dyDescent="0.25">
      <c r="A3295" t="s">
        <v>487</v>
      </c>
      <c r="B3295" t="s">
        <v>463</v>
      </c>
      <c r="C3295" t="s">
        <v>464</v>
      </c>
      <c r="D3295" t="s">
        <v>200</v>
      </c>
      <c r="E3295" t="s">
        <v>206</v>
      </c>
      <c r="F3295">
        <v>3</v>
      </c>
      <c r="G3295" t="s">
        <v>499</v>
      </c>
      <c r="H3295" s="4">
        <v>12329381</v>
      </c>
      <c r="I3295" s="4">
        <v>29351565</v>
      </c>
      <c r="J3295" s="3">
        <v>1.380619513664149</v>
      </c>
      <c r="K3295" s="3">
        <v>-0.5799412740002109</v>
      </c>
      <c r="L3295" t="s">
        <v>54</v>
      </c>
    </row>
    <row r="3296" spans="1:12" x14ac:dyDescent="0.25">
      <c r="A3296" t="s">
        <v>487</v>
      </c>
      <c r="B3296" t="s">
        <v>463</v>
      </c>
      <c r="C3296" t="s">
        <v>464</v>
      </c>
      <c r="D3296" t="s">
        <v>202</v>
      </c>
      <c r="E3296" t="s">
        <v>204</v>
      </c>
      <c r="F3296">
        <v>1</v>
      </c>
      <c r="G3296" t="s">
        <v>488</v>
      </c>
      <c r="H3296" s="4">
        <v>16661879</v>
      </c>
      <c r="I3296" s="4">
        <v>16641606.312489377</v>
      </c>
      <c r="J3296" s="3">
        <v>0.001216710762971131</v>
      </c>
      <c r="K3296" s="3">
        <v>0.0012181929514465315</v>
      </c>
      <c r="L3296" t="s">
        <v>54</v>
      </c>
    </row>
    <row r="3297" spans="1:12" x14ac:dyDescent="0.25">
      <c r="A3297" t="s">
        <v>487</v>
      </c>
      <c r="B3297" t="s">
        <v>463</v>
      </c>
      <c r="C3297" t="s">
        <v>464</v>
      </c>
      <c r="D3297" t="s">
        <v>202</v>
      </c>
      <c r="E3297" t="s">
        <v>204</v>
      </c>
      <c r="F3297">
        <v>1</v>
      </c>
      <c r="G3297" t="s">
        <v>498</v>
      </c>
      <c r="H3297" s="4">
        <v>16661879</v>
      </c>
      <c r="I3297" s="4">
        <v>16189183</v>
      </c>
      <c r="J3297" s="3">
        <v>0.02836990954021452</v>
      </c>
      <c r="K3297" s="3">
        <v>0.029198261579969787</v>
      </c>
      <c r="L3297" t="s">
        <v>54</v>
      </c>
    </row>
    <row r="3298" spans="1:12" x14ac:dyDescent="0.25">
      <c r="A3298" t="s">
        <v>487</v>
      </c>
      <c r="B3298" t="s">
        <v>463</v>
      </c>
      <c r="C3298" t="s">
        <v>464</v>
      </c>
      <c r="D3298" t="s">
        <v>202</v>
      </c>
      <c r="E3298" t="s">
        <v>204</v>
      </c>
      <c r="F3298">
        <v>1</v>
      </c>
      <c r="G3298" t="s">
        <v>499</v>
      </c>
      <c r="H3298" s="4">
        <v>16661879</v>
      </c>
      <c r="I3298" s="4">
        <v>23736986</v>
      </c>
      <c r="J3298" s="3">
        <v>0.424628398753826</v>
      </c>
      <c r="K3298" s="3">
        <v>-0.29806256784243795</v>
      </c>
      <c r="L3298" t="s">
        <v>54</v>
      </c>
    </row>
    <row r="3299" spans="1:12" x14ac:dyDescent="0.25">
      <c r="A3299" t="s">
        <v>487</v>
      </c>
      <c r="B3299" t="s">
        <v>463</v>
      </c>
      <c r="C3299" t="s">
        <v>464</v>
      </c>
      <c r="D3299" t="s">
        <v>202</v>
      </c>
      <c r="E3299" t="s">
        <v>206</v>
      </c>
      <c r="F3299">
        <v>2</v>
      </c>
      <c r="G3299" t="s">
        <v>488</v>
      </c>
      <c r="H3299" s="4">
        <v>12329381</v>
      </c>
      <c r="I3299" s="4">
        <v>16015593.350954002</v>
      </c>
      <c r="J3299" s="3">
        <v>0.2989778928037021</v>
      </c>
      <c r="K3299" s="3">
        <v>-0.23016395772401557</v>
      </c>
      <c r="L3299" t="s">
        <v>54</v>
      </c>
    </row>
    <row r="3300" spans="1:12" x14ac:dyDescent="0.25">
      <c r="A3300" t="s">
        <v>487</v>
      </c>
      <c r="B3300" t="s">
        <v>463</v>
      </c>
      <c r="C3300" t="s">
        <v>464</v>
      </c>
      <c r="D3300" t="s">
        <v>202</v>
      </c>
      <c r="E3300" t="s">
        <v>206</v>
      </c>
      <c r="F3300">
        <v>2</v>
      </c>
      <c r="G3300" t="s">
        <v>498</v>
      </c>
      <c r="H3300" s="4">
        <v>12329381</v>
      </c>
      <c r="I3300" s="4">
        <v>15580189</v>
      </c>
      <c r="J3300" s="3">
        <v>0.26366352049628444</v>
      </c>
      <c r="K3300" s="3">
        <v>-0.20865010045770305</v>
      </c>
      <c r="L3300" t="s">
        <v>54</v>
      </c>
    </row>
    <row r="3301" spans="1:12" x14ac:dyDescent="0.25">
      <c r="A3301" t="s">
        <v>487</v>
      </c>
      <c r="B3301" t="s">
        <v>463</v>
      </c>
      <c r="C3301" t="s">
        <v>464</v>
      </c>
      <c r="D3301" t="s">
        <v>202</v>
      </c>
      <c r="E3301" t="s">
        <v>206</v>
      </c>
      <c r="F3301">
        <v>2</v>
      </c>
      <c r="G3301" t="s">
        <v>499</v>
      </c>
      <c r="H3301" s="4">
        <v>12329381</v>
      </c>
      <c r="I3301" s="4">
        <v>23736986</v>
      </c>
      <c r="J3301" s="3">
        <v>0.9252374470380954</v>
      </c>
      <c r="K3301" s="3">
        <v>-0.480583550076661</v>
      </c>
      <c r="L3301" t="s">
        <v>54</v>
      </c>
    </row>
    <row r="3302" spans="1:12" x14ac:dyDescent="0.25">
      <c r="A3302" t="s">
        <v>487</v>
      </c>
      <c r="B3302" t="s">
        <v>463</v>
      </c>
      <c r="C3302" t="s">
        <v>464</v>
      </c>
      <c r="D3302" t="s">
        <v>202</v>
      </c>
      <c r="E3302" t="s">
        <v>208</v>
      </c>
      <c r="F3302">
        <v>3</v>
      </c>
      <c r="G3302" t="s">
        <v>488</v>
      </c>
      <c r="H3302" s="4">
        <v>15000037</v>
      </c>
      <c r="I3302" s="4">
        <v>16683426.240623552</v>
      </c>
      <c r="J3302" s="3">
        <v>0.11222567255157787</v>
      </c>
      <c r="K3302" s="3">
        <v>-0.10090189007606598</v>
      </c>
      <c r="L3302" t="s">
        <v>54</v>
      </c>
    </row>
    <row r="3303" spans="1:12" x14ac:dyDescent="0.25">
      <c r="A3303" t="s">
        <v>487</v>
      </c>
      <c r="B3303" t="s">
        <v>463</v>
      </c>
      <c r="C3303" t="s">
        <v>464</v>
      </c>
      <c r="D3303" t="s">
        <v>202</v>
      </c>
      <c r="E3303" t="s">
        <v>208</v>
      </c>
      <c r="F3303">
        <v>3</v>
      </c>
      <c r="G3303" t="s">
        <v>498</v>
      </c>
      <c r="H3303" s="4">
        <v>15000037</v>
      </c>
      <c r="I3303" s="4">
        <v>16229866</v>
      </c>
      <c r="J3303" s="3">
        <v>0.08198839776195219</v>
      </c>
      <c r="K3303" s="3">
        <v>-0.07577567183857217</v>
      </c>
      <c r="L3303" t="s">
        <v>54</v>
      </c>
    </row>
    <row r="3304" spans="1:12" x14ac:dyDescent="0.25">
      <c r="A3304" t="s">
        <v>487</v>
      </c>
      <c r="B3304" t="s">
        <v>463</v>
      </c>
      <c r="C3304" t="s">
        <v>464</v>
      </c>
      <c r="D3304" t="s">
        <v>202</v>
      </c>
      <c r="E3304" t="s">
        <v>208</v>
      </c>
      <c r="F3304">
        <v>3</v>
      </c>
      <c r="G3304" t="s">
        <v>499</v>
      </c>
      <c r="H3304" s="4">
        <v>15000037</v>
      </c>
      <c r="I3304" s="4">
        <v>23736986</v>
      </c>
      <c r="J3304" s="3">
        <v>0.5824618299274862</v>
      </c>
      <c r="K3304" s="3">
        <v>-0.3680732254718438</v>
      </c>
      <c r="L3304" t="s">
        <v>54</v>
      </c>
    </row>
    <row r="3305" spans="1:12" x14ac:dyDescent="0.25">
      <c r="A3305" t="s">
        <v>487</v>
      </c>
      <c r="B3305" t="s">
        <v>463</v>
      </c>
      <c r="C3305" t="s">
        <v>464</v>
      </c>
      <c r="D3305" t="s">
        <v>204</v>
      </c>
      <c r="E3305" t="s">
        <v>206</v>
      </c>
      <c r="F3305">
        <v>1</v>
      </c>
      <c r="G3305" t="s">
        <v>488</v>
      </c>
      <c r="H3305" s="4">
        <v>12329381</v>
      </c>
      <c r="I3305" s="4">
        <v>16206784.139899794</v>
      </c>
      <c r="J3305" s="3">
        <v>0.3144848180050397</v>
      </c>
      <c r="K3305" s="3">
        <v>-0.2392456829454488</v>
      </c>
      <c r="L3305" t="s">
        <v>54</v>
      </c>
    </row>
    <row r="3306" spans="1:12" x14ac:dyDescent="0.25">
      <c r="A3306" t="s">
        <v>487</v>
      </c>
      <c r="B3306" t="s">
        <v>463</v>
      </c>
      <c r="C3306" t="s">
        <v>464</v>
      </c>
      <c r="D3306" t="s">
        <v>204</v>
      </c>
      <c r="E3306" t="s">
        <v>206</v>
      </c>
      <c r="F3306">
        <v>1</v>
      </c>
      <c r="G3306" t="s">
        <v>498</v>
      </c>
      <c r="H3306" s="4">
        <v>12329381</v>
      </c>
      <c r="I3306" s="4">
        <v>15580189</v>
      </c>
      <c r="J3306" s="3">
        <v>0.26366352049628444</v>
      </c>
      <c r="K3306" s="3">
        <v>-0.20865010045770305</v>
      </c>
      <c r="L3306" t="s">
        <v>54</v>
      </c>
    </row>
    <row r="3307" spans="1:12" x14ac:dyDescent="0.25">
      <c r="A3307" t="s">
        <v>487</v>
      </c>
      <c r="B3307" t="s">
        <v>463</v>
      </c>
      <c r="C3307" t="s">
        <v>464</v>
      </c>
      <c r="D3307" t="s">
        <v>204</v>
      </c>
      <c r="E3307" t="s">
        <v>206</v>
      </c>
      <c r="F3307">
        <v>1</v>
      </c>
      <c r="G3307" t="s">
        <v>499</v>
      </c>
      <c r="H3307" s="4">
        <v>12329381</v>
      </c>
      <c r="I3307" s="4">
        <v>16661879</v>
      </c>
      <c r="J3307" s="3">
        <v>0.3513962298675011</v>
      </c>
      <c r="K3307" s="3">
        <v>-0.2600245746593166</v>
      </c>
      <c r="L3307" t="s">
        <v>54</v>
      </c>
    </row>
    <row r="3308" spans="1:12" x14ac:dyDescent="0.25">
      <c r="A3308" t="s">
        <v>487</v>
      </c>
      <c r="B3308" t="s">
        <v>463</v>
      </c>
      <c r="C3308" t="s">
        <v>464</v>
      </c>
      <c r="D3308" t="s">
        <v>204</v>
      </c>
      <c r="E3308" t="s">
        <v>208</v>
      </c>
      <c r="F3308">
        <v>2</v>
      </c>
      <c r="G3308" t="s">
        <v>488</v>
      </c>
      <c r="H3308" s="4">
        <v>15000037</v>
      </c>
      <c r="I3308" s="4">
        <v>16882589.478311136</v>
      </c>
      <c r="J3308" s="3">
        <v>0.12550318897954293</v>
      </c>
      <c r="K3308" s="3">
        <v>-0.11150851477669521</v>
      </c>
      <c r="L3308" t="s">
        <v>54</v>
      </c>
    </row>
    <row r="3309" spans="1:12" x14ac:dyDescent="0.25">
      <c r="A3309" t="s">
        <v>487</v>
      </c>
      <c r="B3309" t="s">
        <v>463</v>
      </c>
      <c r="C3309" t="s">
        <v>464</v>
      </c>
      <c r="D3309" t="s">
        <v>204</v>
      </c>
      <c r="E3309" t="s">
        <v>208</v>
      </c>
      <c r="F3309">
        <v>2</v>
      </c>
      <c r="G3309" t="s">
        <v>498</v>
      </c>
      <c r="H3309" s="4">
        <v>15000037</v>
      </c>
      <c r="I3309" s="4">
        <v>16229866</v>
      </c>
      <c r="J3309" s="3">
        <v>0.08198839776195219</v>
      </c>
      <c r="K3309" s="3">
        <v>-0.07577567183857217</v>
      </c>
      <c r="L3309" t="s">
        <v>54</v>
      </c>
    </row>
    <row r="3310" spans="1:12" x14ac:dyDescent="0.25">
      <c r="A3310" t="s">
        <v>487</v>
      </c>
      <c r="B3310" t="s">
        <v>463</v>
      </c>
      <c r="C3310" t="s">
        <v>464</v>
      </c>
      <c r="D3310" t="s">
        <v>204</v>
      </c>
      <c r="E3310" t="s">
        <v>208</v>
      </c>
      <c r="F3310">
        <v>2</v>
      </c>
      <c r="G3310" t="s">
        <v>499</v>
      </c>
      <c r="H3310" s="4">
        <v>15000037</v>
      </c>
      <c r="I3310" s="4">
        <v>16661879</v>
      </c>
      <c r="J3310" s="3">
        <v>0.11078919338665631</v>
      </c>
      <c r="K3310" s="3">
        <v>-0.0997391710742828</v>
      </c>
      <c r="L3310" t="s">
        <v>54</v>
      </c>
    </row>
    <row r="3311" spans="1:12" x14ac:dyDescent="0.25">
      <c r="A3311" t="s">
        <v>487</v>
      </c>
      <c r="B3311" t="s">
        <v>463</v>
      </c>
      <c r="C3311" t="s">
        <v>464</v>
      </c>
      <c r="D3311" t="s">
        <v>204</v>
      </c>
      <c r="E3311" t="s">
        <v>210</v>
      </c>
      <c r="F3311">
        <v>3</v>
      </c>
      <c r="G3311" t="s">
        <v>488</v>
      </c>
      <c r="H3311" s="4">
        <v>24298007</v>
      </c>
      <c r="I3311" s="4">
        <v>26151345.975457326</v>
      </c>
      <c r="J3311" s="3">
        <v>0.07627534947443737</v>
      </c>
      <c r="K3311" s="3">
        <v>-0.07086973562265814</v>
      </c>
      <c r="L3311" t="s">
        <v>54</v>
      </c>
    </row>
    <row r="3312" spans="1:12" x14ac:dyDescent="0.25">
      <c r="A3312" t="s">
        <v>487</v>
      </c>
      <c r="B3312" t="s">
        <v>463</v>
      </c>
      <c r="C3312" t="s">
        <v>464</v>
      </c>
      <c r="D3312" t="s">
        <v>204</v>
      </c>
      <c r="E3312" t="s">
        <v>210</v>
      </c>
      <c r="F3312">
        <v>3</v>
      </c>
      <c r="G3312" t="s">
        <v>498</v>
      </c>
      <c r="H3312" s="4">
        <v>24298007</v>
      </c>
      <c r="I3312" s="4">
        <v>25140269</v>
      </c>
      <c r="J3312" s="3">
        <v>0.034663830659033064</v>
      </c>
      <c r="K3312" s="3">
        <v>-0.033502505482339906</v>
      </c>
      <c r="L3312" t="s">
        <v>54</v>
      </c>
    </row>
    <row r="3313" spans="1:12" x14ac:dyDescent="0.25">
      <c r="A3313" t="s">
        <v>487</v>
      </c>
      <c r="B3313" t="s">
        <v>463</v>
      </c>
      <c r="C3313" t="s">
        <v>464</v>
      </c>
      <c r="D3313" t="s">
        <v>204</v>
      </c>
      <c r="E3313" t="s">
        <v>210</v>
      </c>
      <c r="F3313">
        <v>3</v>
      </c>
      <c r="G3313" t="s">
        <v>499</v>
      </c>
      <c r="H3313" s="4">
        <v>24298007</v>
      </c>
      <c r="I3313" s="4">
        <v>16661879</v>
      </c>
      <c r="J3313" s="3">
        <v>0.31426972590797264</v>
      </c>
      <c r="K3313" s="3">
        <v>0.458299331065842</v>
      </c>
      <c r="L3313" t="s">
        <v>54</v>
      </c>
    </row>
    <row r="3314" spans="1:12" x14ac:dyDescent="0.25">
      <c r="A3314" t="s">
        <v>487</v>
      </c>
      <c r="B3314" t="s">
        <v>463</v>
      </c>
      <c r="C3314" t="s">
        <v>464</v>
      </c>
      <c r="D3314" t="s">
        <v>206</v>
      </c>
      <c r="E3314" t="s">
        <v>208</v>
      </c>
      <c r="F3314">
        <v>1</v>
      </c>
      <c r="G3314" t="s">
        <v>488</v>
      </c>
      <c r="H3314" s="4">
        <v>15000037</v>
      </c>
      <c r="I3314" s="4">
        <v>16588487.346748777</v>
      </c>
      <c r="J3314" s="3">
        <v>0.1058964285720613</v>
      </c>
      <c r="K3314" s="3">
        <v>-0.0957561900338129</v>
      </c>
      <c r="L3314" t="s">
        <v>54</v>
      </c>
    </row>
    <row r="3315" spans="1:12" x14ac:dyDescent="0.25">
      <c r="A3315" t="s">
        <v>487</v>
      </c>
      <c r="B3315" t="s">
        <v>463</v>
      </c>
      <c r="C3315" t="s">
        <v>464</v>
      </c>
      <c r="D3315" t="s">
        <v>206</v>
      </c>
      <c r="E3315" t="s">
        <v>208</v>
      </c>
      <c r="F3315">
        <v>1</v>
      </c>
      <c r="G3315" t="s">
        <v>498</v>
      </c>
      <c r="H3315" s="4">
        <v>15000037</v>
      </c>
      <c r="I3315" s="4">
        <v>16229866</v>
      </c>
      <c r="J3315" s="3">
        <v>0.08198839776195219</v>
      </c>
      <c r="K3315" s="3">
        <v>-0.07577567183857217</v>
      </c>
      <c r="L3315" t="s">
        <v>54</v>
      </c>
    </row>
    <row r="3316" spans="1:12" x14ac:dyDescent="0.25">
      <c r="A3316" t="s">
        <v>487</v>
      </c>
      <c r="B3316" t="s">
        <v>463</v>
      </c>
      <c r="C3316" t="s">
        <v>464</v>
      </c>
      <c r="D3316" t="s">
        <v>206</v>
      </c>
      <c r="E3316" t="s">
        <v>208</v>
      </c>
      <c r="F3316">
        <v>1</v>
      </c>
      <c r="G3316" t="s">
        <v>499</v>
      </c>
      <c r="H3316" s="4">
        <v>15000037</v>
      </c>
      <c r="I3316" s="4">
        <v>12329381</v>
      </c>
      <c r="J3316" s="3">
        <v>0.1780432941598744</v>
      </c>
      <c r="K3316" s="3">
        <v>0.21660909010760557</v>
      </c>
      <c r="L3316" t="s">
        <v>54</v>
      </c>
    </row>
    <row r="3317" spans="1:12" x14ac:dyDescent="0.25">
      <c r="A3317" t="s">
        <v>487</v>
      </c>
      <c r="B3317" t="s">
        <v>463</v>
      </c>
      <c r="C3317" t="s">
        <v>464</v>
      </c>
      <c r="D3317" t="s">
        <v>206</v>
      </c>
      <c r="E3317" t="s">
        <v>210</v>
      </c>
      <c r="F3317">
        <v>2</v>
      </c>
      <c r="G3317" t="s">
        <v>488</v>
      </c>
      <c r="H3317" s="4">
        <v>24298007</v>
      </c>
      <c r="I3317" s="4">
        <v>25695778.030475453</v>
      </c>
      <c r="J3317" s="3">
        <v>0.057526159675378004</v>
      </c>
      <c r="K3317" s="3">
        <v>-0.05439691410852327</v>
      </c>
      <c r="L3317" t="s">
        <v>54</v>
      </c>
    </row>
    <row r="3318" spans="1:12" x14ac:dyDescent="0.25">
      <c r="A3318" t="s">
        <v>487</v>
      </c>
      <c r="B3318" t="s">
        <v>463</v>
      </c>
      <c r="C3318" t="s">
        <v>464</v>
      </c>
      <c r="D3318" t="s">
        <v>206</v>
      </c>
      <c r="E3318" t="s">
        <v>210</v>
      </c>
      <c r="F3318">
        <v>2</v>
      </c>
      <c r="G3318" t="s">
        <v>498</v>
      </c>
      <c r="H3318" s="4">
        <v>24298007</v>
      </c>
      <c r="I3318" s="4">
        <v>25140269</v>
      </c>
      <c r="J3318" s="3">
        <v>0.034663830659033064</v>
      </c>
      <c r="K3318" s="3">
        <v>-0.033502505482339906</v>
      </c>
      <c r="L3318" t="s">
        <v>54</v>
      </c>
    </row>
    <row r="3319" spans="1:12" x14ac:dyDescent="0.25">
      <c r="A3319" t="s">
        <v>487</v>
      </c>
      <c r="B3319" t="s">
        <v>463</v>
      </c>
      <c r="C3319" t="s">
        <v>464</v>
      </c>
      <c r="D3319" t="s">
        <v>206</v>
      </c>
      <c r="E3319" t="s">
        <v>210</v>
      </c>
      <c r="F3319">
        <v>2</v>
      </c>
      <c r="G3319" t="s">
        <v>499</v>
      </c>
      <c r="H3319" s="4">
        <v>24298007</v>
      </c>
      <c r="I3319" s="4">
        <v>12329381</v>
      </c>
      <c r="J3319" s="3">
        <v>0.49257644875976864</v>
      </c>
      <c r="K3319" s="3">
        <v>0.9707402180206776</v>
      </c>
      <c r="L3319" t="s">
        <v>54</v>
      </c>
    </row>
    <row r="3320" spans="1:12" x14ac:dyDescent="0.25">
      <c r="A3320" t="s">
        <v>487</v>
      </c>
      <c r="B3320" t="s">
        <v>463</v>
      </c>
      <c r="C3320" t="s">
        <v>464</v>
      </c>
      <c r="D3320" t="s">
        <v>206</v>
      </c>
      <c r="E3320" t="s">
        <v>212</v>
      </c>
      <c r="F3320">
        <v>3</v>
      </c>
      <c r="G3320" t="s">
        <v>488</v>
      </c>
      <c r="H3320" s="4">
        <v>31768646</v>
      </c>
      <c r="I3320" s="4">
        <v>31061436.532198954</v>
      </c>
      <c r="J3320" s="3">
        <v>0.02226124046335011</v>
      </c>
      <c r="K3320" s="3">
        <v>0.0227680863075324</v>
      </c>
      <c r="L3320" t="s">
        <v>54</v>
      </c>
    </row>
    <row r="3321" spans="1:12" x14ac:dyDescent="0.25">
      <c r="A3321" t="s">
        <v>487</v>
      </c>
      <c r="B3321" t="s">
        <v>463</v>
      </c>
      <c r="C3321" t="s">
        <v>464</v>
      </c>
      <c r="D3321" t="s">
        <v>206</v>
      </c>
      <c r="E3321" t="s">
        <v>212</v>
      </c>
      <c r="F3321">
        <v>3</v>
      </c>
      <c r="G3321" t="s">
        <v>498</v>
      </c>
      <c r="H3321" s="4">
        <v>31768646</v>
      </c>
      <c r="I3321" s="4">
        <v>30389929</v>
      </c>
      <c r="J3321" s="3">
        <v>0.04339867050046766</v>
      </c>
      <c r="K3321" s="3">
        <v>0.045367562392133264</v>
      </c>
      <c r="L3321" t="s">
        <v>54</v>
      </c>
    </row>
    <row r="3322" spans="1:12" x14ac:dyDescent="0.25">
      <c r="A3322" t="s">
        <v>487</v>
      </c>
      <c r="B3322" t="s">
        <v>463</v>
      </c>
      <c r="C3322" t="s">
        <v>464</v>
      </c>
      <c r="D3322" t="s">
        <v>206</v>
      </c>
      <c r="E3322" t="s">
        <v>212</v>
      </c>
      <c r="F3322">
        <v>3</v>
      </c>
      <c r="G3322" t="s">
        <v>499</v>
      </c>
      <c r="H3322" s="4">
        <v>31768646</v>
      </c>
      <c r="I3322" s="4">
        <v>12329381</v>
      </c>
      <c r="J3322" s="3">
        <v>0.6119009604627154</v>
      </c>
      <c r="K3322" s="3">
        <v>1.576661877834743</v>
      </c>
      <c r="L3322" t="s">
        <v>54</v>
      </c>
    </row>
    <row r="3323" spans="1:12" x14ac:dyDescent="0.25">
      <c r="A3323" t="s">
        <v>487</v>
      </c>
      <c r="B3323" t="s">
        <v>463</v>
      </c>
      <c r="C3323" t="s">
        <v>464</v>
      </c>
      <c r="D3323" t="s">
        <v>208</v>
      </c>
      <c r="E3323" t="s">
        <v>210</v>
      </c>
      <c r="F3323">
        <v>1</v>
      </c>
      <c r="G3323" t="s">
        <v>488</v>
      </c>
      <c r="H3323" s="4">
        <v>24298007</v>
      </c>
      <c r="I3323" s="4">
        <v>25629897.875261832</v>
      </c>
      <c r="J3323" s="3">
        <v>0.05481481980237441</v>
      </c>
      <c r="K3323" s="3">
        <v>-0.05196629661748996</v>
      </c>
      <c r="L3323" t="s">
        <v>54</v>
      </c>
    </row>
    <row r="3324" spans="1:12" x14ac:dyDescent="0.25">
      <c r="A3324" t="s">
        <v>487</v>
      </c>
      <c r="B3324" t="s">
        <v>463</v>
      </c>
      <c r="C3324" t="s">
        <v>464</v>
      </c>
      <c r="D3324" t="s">
        <v>208</v>
      </c>
      <c r="E3324" t="s">
        <v>210</v>
      </c>
      <c r="F3324">
        <v>1</v>
      </c>
      <c r="G3324" t="s">
        <v>498</v>
      </c>
      <c r="H3324" s="4">
        <v>24298007</v>
      </c>
      <c r="I3324" s="4">
        <v>25140269</v>
      </c>
      <c r="J3324" s="3">
        <v>0.034663830659033064</v>
      </c>
      <c r="K3324" s="3">
        <v>-0.033502505482339906</v>
      </c>
      <c r="L3324" t="s">
        <v>54</v>
      </c>
    </row>
    <row r="3325" spans="1:12" x14ac:dyDescent="0.25">
      <c r="A3325" t="s">
        <v>487</v>
      </c>
      <c r="B3325" t="s">
        <v>463</v>
      </c>
      <c r="C3325" t="s">
        <v>464</v>
      </c>
      <c r="D3325" t="s">
        <v>208</v>
      </c>
      <c r="E3325" t="s">
        <v>210</v>
      </c>
      <c r="F3325">
        <v>1</v>
      </c>
      <c r="G3325" t="s">
        <v>499</v>
      </c>
      <c r="H3325" s="4">
        <v>24298007</v>
      </c>
      <c r="I3325" s="4">
        <v>15000037</v>
      </c>
      <c r="J3325" s="3">
        <v>0.38266389502645215</v>
      </c>
      <c r="K3325" s="3">
        <v>0.619863137670927</v>
      </c>
      <c r="L3325" t="s">
        <v>54</v>
      </c>
    </row>
    <row r="3326" spans="1:12" x14ac:dyDescent="0.25">
      <c r="A3326" t="s">
        <v>487</v>
      </c>
      <c r="B3326" t="s">
        <v>463</v>
      </c>
      <c r="C3326" t="s">
        <v>464</v>
      </c>
      <c r="D3326" t="s">
        <v>208</v>
      </c>
      <c r="E3326" t="s">
        <v>212</v>
      </c>
      <c r="F3326">
        <v>2</v>
      </c>
      <c r="G3326" t="s">
        <v>488</v>
      </c>
      <c r="H3326" s="4">
        <v>31768646</v>
      </c>
      <c r="I3326" s="4">
        <v>30981799.62618769</v>
      </c>
      <c r="J3326" s="3">
        <v>0.024768017302730195</v>
      </c>
      <c r="K3326" s="3">
        <v>0.025397051924227806</v>
      </c>
      <c r="L3326" t="s">
        <v>54</v>
      </c>
    </row>
    <row r="3327" spans="1:12" x14ac:dyDescent="0.25">
      <c r="A3327" t="s">
        <v>487</v>
      </c>
      <c r="B3327" t="s">
        <v>463</v>
      </c>
      <c r="C3327" t="s">
        <v>464</v>
      </c>
      <c r="D3327" t="s">
        <v>208</v>
      </c>
      <c r="E3327" t="s">
        <v>212</v>
      </c>
      <c r="F3327">
        <v>2</v>
      </c>
      <c r="G3327" t="s">
        <v>498</v>
      </c>
      <c r="H3327" s="4">
        <v>31768646</v>
      </c>
      <c r="I3327" s="4">
        <v>30389929</v>
      </c>
      <c r="J3327" s="3">
        <v>0.04339867050046766</v>
      </c>
      <c r="K3327" s="3">
        <v>0.045367562392133264</v>
      </c>
      <c r="L3327" t="s">
        <v>54</v>
      </c>
    </row>
    <row r="3328" spans="1:12" x14ac:dyDescent="0.25">
      <c r="A3328" t="s">
        <v>487</v>
      </c>
      <c r="B3328" t="s">
        <v>463</v>
      </c>
      <c r="C3328" t="s">
        <v>464</v>
      </c>
      <c r="D3328" t="s">
        <v>208</v>
      </c>
      <c r="E3328" t="s">
        <v>212</v>
      </c>
      <c r="F3328">
        <v>2</v>
      </c>
      <c r="G3328" t="s">
        <v>499</v>
      </c>
      <c r="H3328" s="4">
        <v>31768646</v>
      </c>
      <c r="I3328" s="4">
        <v>15000037</v>
      </c>
      <c r="J3328" s="3">
        <v>0.5278351806369085</v>
      </c>
      <c r="K3328" s="3">
        <v>1.1179045091688773</v>
      </c>
      <c r="L3328" t="s">
        <v>54</v>
      </c>
    </row>
    <row r="3329" spans="1:12" x14ac:dyDescent="0.25">
      <c r="A3329" t="s">
        <v>487</v>
      </c>
      <c r="B3329" t="s">
        <v>463</v>
      </c>
      <c r="C3329" t="s">
        <v>464</v>
      </c>
      <c r="D3329" t="s">
        <v>208</v>
      </c>
      <c r="E3329" t="s">
        <v>214</v>
      </c>
      <c r="F3329">
        <v>3</v>
      </c>
      <c r="G3329" t="s">
        <v>488</v>
      </c>
      <c r="H3329" s="4">
        <v>35094596</v>
      </c>
      <c r="I3329" s="4">
        <v>41534535.15311232</v>
      </c>
      <c r="J3329" s="3">
        <v>0.18350230198154502</v>
      </c>
      <c r="K3329" s="3">
        <v>-0.15505022818654937</v>
      </c>
      <c r="L3329" t="s">
        <v>54</v>
      </c>
    </row>
    <row r="3330" spans="1:12" x14ac:dyDescent="0.25">
      <c r="A3330" t="s">
        <v>487</v>
      </c>
      <c r="B3330" t="s">
        <v>463</v>
      </c>
      <c r="C3330" t="s">
        <v>464</v>
      </c>
      <c r="D3330" t="s">
        <v>208</v>
      </c>
      <c r="E3330" t="s">
        <v>214</v>
      </c>
      <c r="F3330">
        <v>3</v>
      </c>
      <c r="G3330" t="s">
        <v>498</v>
      </c>
      <c r="H3330" s="4">
        <v>35094596</v>
      </c>
      <c r="I3330" s="4">
        <v>40741067</v>
      </c>
      <c r="J3330" s="3">
        <v>0.16089289074591426</v>
      </c>
      <c r="K3330" s="3">
        <v>-0.13859408738607656</v>
      </c>
      <c r="L3330" t="s">
        <v>54</v>
      </c>
    </row>
    <row r="3331" spans="1:12" x14ac:dyDescent="0.25">
      <c r="A3331" t="s">
        <v>487</v>
      </c>
      <c r="B3331" t="s">
        <v>463</v>
      </c>
      <c r="C3331" t="s">
        <v>464</v>
      </c>
      <c r="D3331" t="s">
        <v>208</v>
      </c>
      <c r="E3331" t="s">
        <v>214</v>
      </c>
      <c r="F3331">
        <v>3</v>
      </c>
      <c r="G3331" t="s">
        <v>499</v>
      </c>
      <c r="H3331" s="4">
        <v>35094596</v>
      </c>
      <c r="I3331" s="4">
        <v>15000037</v>
      </c>
      <c r="J3331" s="3">
        <v>0.5725827133043503</v>
      </c>
      <c r="K3331" s="3">
        <v>1.3396339622362265</v>
      </c>
      <c r="L3331" t="s">
        <v>54</v>
      </c>
    </row>
    <row r="3332" spans="1:12" x14ac:dyDescent="0.25">
      <c r="A3332" t="s">
        <v>487</v>
      </c>
      <c r="B3332" t="s">
        <v>463</v>
      </c>
      <c r="C3332" t="s">
        <v>464</v>
      </c>
      <c r="D3332" t="s">
        <v>210</v>
      </c>
      <c r="E3332" t="s">
        <v>212</v>
      </c>
      <c r="F3332">
        <v>1</v>
      </c>
      <c r="G3332" t="s">
        <v>488</v>
      </c>
      <c r="H3332" s="4">
        <v>31768646</v>
      </c>
      <c r="I3332" s="4">
        <v>30859277.899002694</v>
      </c>
      <c r="J3332" s="3">
        <v>0.028624704401859193</v>
      </c>
      <c r="K3332" s="3">
        <v>0.02946822359141123</v>
      </c>
      <c r="L3332" t="s">
        <v>54</v>
      </c>
    </row>
    <row r="3333" spans="1:12" x14ac:dyDescent="0.25">
      <c r="A3333" t="s">
        <v>487</v>
      </c>
      <c r="B3333" t="s">
        <v>463</v>
      </c>
      <c r="C3333" t="s">
        <v>464</v>
      </c>
      <c r="D3333" t="s">
        <v>210</v>
      </c>
      <c r="E3333" t="s">
        <v>212</v>
      </c>
      <c r="F3333">
        <v>1</v>
      </c>
      <c r="G3333" t="s">
        <v>498</v>
      </c>
      <c r="H3333" s="4">
        <v>31768646</v>
      </c>
      <c r="I3333" s="4">
        <v>30389929</v>
      </c>
      <c r="J3333" s="3">
        <v>0.04339867050046766</v>
      </c>
      <c r="K3333" s="3">
        <v>0.045367562392133264</v>
      </c>
      <c r="L3333" t="s">
        <v>54</v>
      </c>
    </row>
    <row r="3334" spans="1:12" x14ac:dyDescent="0.25">
      <c r="A3334" t="s">
        <v>487</v>
      </c>
      <c r="B3334" t="s">
        <v>463</v>
      </c>
      <c r="C3334" t="s">
        <v>464</v>
      </c>
      <c r="D3334" t="s">
        <v>210</v>
      </c>
      <c r="E3334" t="s">
        <v>212</v>
      </c>
      <c r="F3334">
        <v>1</v>
      </c>
      <c r="G3334" t="s">
        <v>499</v>
      </c>
      <c r="H3334" s="4">
        <v>31768646</v>
      </c>
      <c r="I3334" s="4">
        <v>24298007</v>
      </c>
      <c r="J3334" s="3">
        <v>0.23515761420867606</v>
      </c>
      <c r="K3334" s="3">
        <v>0.3074589203962284</v>
      </c>
      <c r="L3334" t="s">
        <v>54</v>
      </c>
    </row>
    <row r="3335" spans="1:12" x14ac:dyDescent="0.25">
      <c r="A3335" t="s">
        <v>487</v>
      </c>
      <c r="B3335" t="s">
        <v>463</v>
      </c>
      <c r="C3335" t="s">
        <v>464</v>
      </c>
      <c r="D3335" t="s">
        <v>210</v>
      </c>
      <c r="E3335" t="s">
        <v>214</v>
      </c>
      <c r="F3335">
        <v>2</v>
      </c>
      <c r="G3335" t="s">
        <v>488</v>
      </c>
      <c r="H3335" s="4">
        <v>35094596</v>
      </c>
      <c r="I3335" s="4">
        <v>41370281.2025289</v>
      </c>
      <c r="J3335" s="3">
        <v>0.17882198166717467</v>
      </c>
      <c r="K3335" s="3">
        <v>-0.1516954929990971</v>
      </c>
      <c r="L3335" t="s">
        <v>54</v>
      </c>
    </row>
    <row r="3336" spans="1:12" x14ac:dyDescent="0.25">
      <c r="A3336" t="s">
        <v>487</v>
      </c>
      <c r="B3336" t="s">
        <v>463</v>
      </c>
      <c r="C3336" t="s">
        <v>464</v>
      </c>
      <c r="D3336" t="s">
        <v>210</v>
      </c>
      <c r="E3336" t="s">
        <v>214</v>
      </c>
      <c r="F3336">
        <v>2</v>
      </c>
      <c r="G3336" t="s">
        <v>498</v>
      </c>
      <c r="H3336" s="4">
        <v>35094596</v>
      </c>
      <c r="I3336" s="4">
        <v>40741067</v>
      </c>
      <c r="J3336" s="3">
        <v>0.16089289074591426</v>
      </c>
      <c r="K3336" s="3">
        <v>-0.13859408738607656</v>
      </c>
      <c r="L3336" t="s">
        <v>54</v>
      </c>
    </row>
    <row r="3337" spans="1:12" x14ac:dyDescent="0.25">
      <c r="A3337" t="s">
        <v>487</v>
      </c>
      <c r="B3337" t="s">
        <v>463</v>
      </c>
      <c r="C3337" t="s">
        <v>464</v>
      </c>
      <c r="D3337" t="s">
        <v>210</v>
      </c>
      <c r="E3337" t="s">
        <v>214</v>
      </c>
      <c r="F3337">
        <v>2</v>
      </c>
      <c r="G3337" t="s">
        <v>499</v>
      </c>
      <c r="H3337" s="4">
        <v>35094596</v>
      </c>
      <c r="I3337" s="4">
        <v>24298007</v>
      </c>
      <c r="J3337" s="3">
        <v>0.30764249287839074</v>
      </c>
      <c r="K3337" s="3">
        <v>0.44434051731074076</v>
      </c>
      <c r="L3337" t="s">
        <v>54</v>
      </c>
    </row>
    <row r="3338" spans="1:12" x14ac:dyDescent="0.25">
      <c r="A3338" t="s">
        <v>487</v>
      </c>
      <c r="B3338" t="s">
        <v>463</v>
      </c>
      <c r="C3338" t="s">
        <v>464</v>
      </c>
      <c r="D3338" t="s">
        <v>210</v>
      </c>
      <c r="E3338" t="s">
        <v>216</v>
      </c>
      <c r="F3338">
        <v>3</v>
      </c>
      <c r="G3338" t="s">
        <v>488</v>
      </c>
      <c r="H3338" s="4">
        <v>44417082</v>
      </c>
      <c r="I3338" s="4">
        <v>41475545.19721755</v>
      </c>
      <c r="J3338" s="3">
        <v>0.06622535003047822</v>
      </c>
      <c r="K3338" s="3">
        <v>0.07092219737667949</v>
      </c>
      <c r="L3338" t="s">
        <v>54</v>
      </c>
    </row>
    <row r="3339" spans="1:12" x14ac:dyDescent="0.25">
      <c r="A3339" t="s">
        <v>487</v>
      </c>
      <c r="B3339" t="s">
        <v>463</v>
      </c>
      <c r="C3339" t="s">
        <v>464</v>
      </c>
      <c r="D3339" t="s">
        <v>210</v>
      </c>
      <c r="E3339" t="s">
        <v>216</v>
      </c>
      <c r="F3339">
        <v>3</v>
      </c>
      <c r="G3339" t="s">
        <v>498</v>
      </c>
      <c r="H3339" s="4">
        <v>44417082</v>
      </c>
      <c r="I3339" s="4">
        <v>40844730</v>
      </c>
      <c r="J3339" s="3">
        <v>0.08042743555283528</v>
      </c>
      <c r="K3339" s="3">
        <v>0.08746176067267429</v>
      </c>
      <c r="L3339" t="s">
        <v>54</v>
      </c>
    </row>
    <row r="3340" spans="1:12" x14ac:dyDescent="0.25">
      <c r="A3340" t="s">
        <v>487</v>
      </c>
      <c r="B3340" t="s">
        <v>463</v>
      </c>
      <c r="C3340" t="s">
        <v>464</v>
      </c>
      <c r="D3340" t="s">
        <v>210</v>
      </c>
      <c r="E3340" t="s">
        <v>216</v>
      </c>
      <c r="F3340">
        <v>3</v>
      </c>
      <c r="G3340" t="s">
        <v>499</v>
      </c>
      <c r="H3340" s="4">
        <v>44417082</v>
      </c>
      <c r="I3340" s="4">
        <v>24298007</v>
      </c>
      <c r="J3340" s="3">
        <v>0.45295805339036005</v>
      </c>
      <c r="K3340" s="3">
        <v>0.828013383978365</v>
      </c>
      <c r="L3340" t="s">
        <v>54</v>
      </c>
    </row>
    <row r="3341" spans="1:12" x14ac:dyDescent="0.25">
      <c r="A3341" t="s">
        <v>487</v>
      </c>
      <c r="B3341" t="s">
        <v>463</v>
      </c>
      <c r="C3341" t="s">
        <v>464</v>
      </c>
      <c r="D3341" t="s">
        <v>212</v>
      </c>
      <c r="E3341" t="s">
        <v>214</v>
      </c>
      <c r="F3341">
        <v>1</v>
      </c>
      <c r="G3341" t="s">
        <v>488</v>
      </c>
      <c r="H3341" s="4">
        <v>35094596</v>
      </c>
      <c r="I3341" s="4">
        <v>42030990.86186849</v>
      </c>
      <c r="J3341" s="3">
        <v>0.197648517220956</v>
      </c>
      <c r="K3341" s="3">
        <v>-0.1650304863062687</v>
      </c>
      <c r="L3341" t="s">
        <v>54</v>
      </c>
    </row>
    <row r="3342" spans="1:12" x14ac:dyDescent="0.25">
      <c r="A3342" t="s">
        <v>487</v>
      </c>
      <c r="B3342" t="s">
        <v>463</v>
      </c>
      <c r="C3342" t="s">
        <v>464</v>
      </c>
      <c r="D3342" t="s">
        <v>212</v>
      </c>
      <c r="E3342" t="s">
        <v>214</v>
      </c>
      <c r="F3342">
        <v>1</v>
      </c>
      <c r="G3342" t="s">
        <v>498</v>
      </c>
      <c r="H3342" s="4">
        <v>35094596</v>
      </c>
      <c r="I3342" s="4">
        <v>40741067</v>
      </c>
      <c r="J3342" s="3">
        <v>0.16089289074591426</v>
      </c>
      <c r="K3342" s="3">
        <v>-0.13859408738607656</v>
      </c>
      <c r="L3342" t="s">
        <v>54</v>
      </c>
    </row>
    <row r="3343" spans="1:12" x14ac:dyDescent="0.25">
      <c r="A3343" t="s">
        <v>487</v>
      </c>
      <c r="B3343" t="s">
        <v>463</v>
      </c>
      <c r="C3343" t="s">
        <v>464</v>
      </c>
      <c r="D3343" t="s">
        <v>212</v>
      </c>
      <c r="E3343" t="s">
        <v>214</v>
      </c>
      <c r="F3343">
        <v>1</v>
      </c>
      <c r="G3343" t="s">
        <v>499</v>
      </c>
      <c r="H3343" s="4">
        <v>35094596</v>
      </c>
      <c r="I3343" s="4">
        <v>31768646</v>
      </c>
      <c r="J3343" s="3">
        <v>0.09477100121055675</v>
      </c>
      <c r="K3343" s="3">
        <v>0.10469284715502197</v>
      </c>
      <c r="L3343" t="s">
        <v>54</v>
      </c>
    </row>
    <row r="3344" spans="1:12" x14ac:dyDescent="0.25">
      <c r="A3344" t="s">
        <v>487</v>
      </c>
      <c r="B3344" t="s">
        <v>463</v>
      </c>
      <c r="C3344" t="s">
        <v>464</v>
      </c>
      <c r="D3344" t="s">
        <v>212</v>
      </c>
      <c r="E3344" t="s">
        <v>216</v>
      </c>
      <c r="F3344">
        <v>2</v>
      </c>
      <c r="G3344" t="s">
        <v>488</v>
      </c>
      <c r="H3344" s="4">
        <v>44417082</v>
      </c>
      <c r="I3344" s="4">
        <v>42137935.9893909</v>
      </c>
      <c r="J3344" s="3">
        <v>0.05131237595952606</v>
      </c>
      <c r="K3344" s="3">
        <v>0.05408774675586673</v>
      </c>
      <c r="L3344" t="s">
        <v>54</v>
      </c>
    </row>
    <row r="3345" spans="1:12" x14ac:dyDescent="0.25">
      <c r="A3345" t="s">
        <v>487</v>
      </c>
      <c r="B3345" t="s">
        <v>463</v>
      </c>
      <c r="C3345" t="s">
        <v>464</v>
      </c>
      <c r="D3345" t="s">
        <v>212</v>
      </c>
      <c r="E3345" t="s">
        <v>216</v>
      </c>
      <c r="F3345">
        <v>2</v>
      </c>
      <c r="G3345" t="s">
        <v>498</v>
      </c>
      <c r="H3345" s="4">
        <v>44417082</v>
      </c>
      <c r="I3345" s="4">
        <v>40844730</v>
      </c>
      <c r="J3345" s="3">
        <v>0.08042743555283528</v>
      </c>
      <c r="K3345" s="3">
        <v>0.08746176067267429</v>
      </c>
      <c r="L3345" t="s">
        <v>54</v>
      </c>
    </row>
    <row r="3346" spans="1:12" x14ac:dyDescent="0.25">
      <c r="A3346" t="s">
        <v>487</v>
      </c>
      <c r="B3346" t="s">
        <v>463</v>
      </c>
      <c r="C3346" t="s">
        <v>464</v>
      </c>
      <c r="D3346" t="s">
        <v>212</v>
      </c>
      <c r="E3346" t="s">
        <v>216</v>
      </c>
      <c r="F3346">
        <v>2</v>
      </c>
      <c r="G3346" t="s">
        <v>499</v>
      </c>
      <c r="H3346" s="4">
        <v>44417082</v>
      </c>
      <c r="I3346" s="4">
        <v>31768646</v>
      </c>
      <c r="J3346" s="3">
        <v>0.28476512707430895</v>
      </c>
      <c r="K3346" s="3">
        <v>0.3981421178604842</v>
      </c>
      <c r="L3346" t="s">
        <v>54</v>
      </c>
    </row>
    <row r="3347" spans="1:12" x14ac:dyDescent="0.25">
      <c r="A3347" t="s">
        <v>487</v>
      </c>
      <c r="B3347" t="s">
        <v>463</v>
      </c>
      <c r="C3347" t="s">
        <v>464</v>
      </c>
      <c r="D3347" t="s">
        <v>212</v>
      </c>
      <c r="E3347" t="s">
        <v>218</v>
      </c>
      <c r="F3347">
        <v>3</v>
      </c>
      <c r="G3347" t="s">
        <v>488</v>
      </c>
      <c r="H3347" s="4">
        <v>34140407</v>
      </c>
      <c r="I3347" s="4">
        <v>32915669.212257236</v>
      </c>
      <c r="J3347" s="3">
        <v>0.03587355557134289</v>
      </c>
      <c r="K3347" s="3">
        <v>0.03720835143423705</v>
      </c>
      <c r="L3347" t="s">
        <v>54</v>
      </c>
    </row>
    <row r="3348" spans="1:12" x14ac:dyDescent="0.25">
      <c r="A3348" t="s">
        <v>487</v>
      </c>
      <c r="B3348" t="s">
        <v>463</v>
      </c>
      <c r="C3348" t="s">
        <v>464</v>
      </c>
      <c r="D3348" t="s">
        <v>212</v>
      </c>
      <c r="E3348" t="s">
        <v>218</v>
      </c>
      <c r="F3348">
        <v>3</v>
      </c>
      <c r="G3348" t="s">
        <v>498</v>
      </c>
      <c r="H3348" s="4">
        <v>34140407</v>
      </c>
      <c r="I3348" s="4">
        <v>31905493</v>
      </c>
      <c r="J3348" s="3">
        <v>0.06546242990014735</v>
      </c>
      <c r="K3348" s="3">
        <v>0.07004793814030706</v>
      </c>
      <c r="L3348" t="s">
        <v>54</v>
      </c>
    </row>
    <row r="3349" spans="1:12" x14ac:dyDescent="0.25">
      <c r="A3349" t="s">
        <v>487</v>
      </c>
      <c r="B3349" t="s">
        <v>463</v>
      </c>
      <c r="C3349" t="s">
        <v>464</v>
      </c>
      <c r="D3349" t="s">
        <v>212</v>
      </c>
      <c r="E3349" t="s">
        <v>218</v>
      </c>
      <c r="F3349">
        <v>3</v>
      </c>
      <c r="G3349" t="s">
        <v>499</v>
      </c>
      <c r="H3349" s="4">
        <v>34140407</v>
      </c>
      <c r="I3349" s="4">
        <v>31768646</v>
      </c>
      <c r="J3349" s="3">
        <v>0.06947078867571789</v>
      </c>
      <c r="K3349" s="3">
        <v>0.07465728945451437</v>
      </c>
      <c r="L3349" t="s">
        <v>54</v>
      </c>
    </row>
    <row r="3350" spans="1:12" x14ac:dyDescent="0.25">
      <c r="A3350" t="s">
        <v>487</v>
      </c>
      <c r="B3350" t="s">
        <v>463</v>
      </c>
      <c r="C3350" t="s">
        <v>464</v>
      </c>
      <c r="D3350" t="s">
        <v>214</v>
      </c>
      <c r="E3350" t="s">
        <v>216</v>
      </c>
      <c r="F3350">
        <v>1</v>
      </c>
      <c r="G3350" t="s">
        <v>488</v>
      </c>
      <c r="H3350" s="4">
        <v>44417082</v>
      </c>
      <c r="I3350" s="4">
        <v>41650863.95166758</v>
      </c>
      <c r="J3350" s="3">
        <v>0.062278248002253345</v>
      </c>
      <c r="K3350" s="3">
        <v>0.06641442183630075</v>
      </c>
      <c r="L3350" t="s">
        <v>54</v>
      </c>
    </row>
    <row r="3351" spans="1:12" x14ac:dyDescent="0.25">
      <c r="A3351" t="s">
        <v>487</v>
      </c>
      <c r="B3351" t="s">
        <v>463</v>
      </c>
      <c r="C3351" t="s">
        <v>464</v>
      </c>
      <c r="D3351" t="s">
        <v>214</v>
      </c>
      <c r="E3351" t="s">
        <v>216</v>
      </c>
      <c r="F3351">
        <v>1</v>
      </c>
      <c r="G3351" t="s">
        <v>498</v>
      </c>
      <c r="H3351" s="4">
        <v>44417082</v>
      </c>
      <c r="I3351" s="4">
        <v>40844730</v>
      </c>
      <c r="J3351" s="3">
        <v>0.08042743555283528</v>
      </c>
      <c r="K3351" s="3">
        <v>0.08746176067267429</v>
      </c>
      <c r="L3351" t="s">
        <v>54</v>
      </c>
    </row>
    <row r="3352" spans="1:12" x14ac:dyDescent="0.25">
      <c r="A3352" t="s">
        <v>487</v>
      </c>
      <c r="B3352" t="s">
        <v>463</v>
      </c>
      <c r="C3352" t="s">
        <v>464</v>
      </c>
      <c r="D3352" t="s">
        <v>214</v>
      </c>
      <c r="E3352" t="s">
        <v>216</v>
      </c>
      <c r="F3352">
        <v>1</v>
      </c>
      <c r="G3352" t="s">
        <v>499</v>
      </c>
      <c r="H3352" s="4">
        <v>44417082</v>
      </c>
      <c r="I3352" s="4">
        <v>35094596</v>
      </c>
      <c r="J3352" s="3">
        <v>0.209885151843158</v>
      </c>
      <c r="K3352" s="3">
        <v>0.2656387895161979</v>
      </c>
      <c r="L3352" t="s">
        <v>54</v>
      </c>
    </row>
    <row r="3353" spans="1:12" x14ac:dyDescent="0.25">
      <c r="A3353" t="s">
        <v>487</v>
      </c>
      <c r="B3353" t="s">
        <v>463</v>
      </c>
      <c r="C3353" t="s">
        <v>464</v>
      </c>
      <c r="D3353" t="s">
        <v>214</v>
      </c>
      <c r="E3353" t="s">
        <v>218</v>
      </c>
      <c r="F3353">
        <v>2</v>
      </c>
      <c r="G3353" t="s">
        <v>488</v>
      </c>
      <c r="H3353" s="4">
        <v>34140407</v>
      </c>
      <c r="I3353" s="4">
        <v>32535197.276463386</v>
      </c>
      <c r="J3353" s="3">
        <v>0.047017884805433466</v>
      </c>
      <c r="K3353" s="3">
        <v>0.04933763609596599</v>
      </c>
      <c r="L3353" t="s">
        <v>54</v>
      </c>
    </row>
    <row r="3354" spans="1:12" x14ac:dyDescent="0.25">
      <c r="A3354" t="s">
        <v>487</v>
      </c>
      <c r="B3354" t="s">
        <v>463</v>
      </c>
      <c r="C3354" t="s">
        <v>464</v>
      </c>
      <c r="D3354" t="s">
        <v>214</v>
      </c>
      <c r="E3354" t="s">
        <v>218</v>
      </c>
      <c r="F3354">
        <v>2</v>
      </c>
      <c r="G3354" t="s">
        <v>498</v>
      </c>
      <c r="H3354" s="4">
        <v>34140407</v>
      </c>
      <c r="I3354" s="4">
        <v>31905493</v>
      </c>
      <c r="J3354" s="3">
        <v>0.06546242990014735</v>
      </c>
      <c r="K3354" s="3">
        <v>0.07004793814030706</v>
      </c>
      <c r="L3354" t="s">
        <v>54</v>
      </c>
    </row>
    <row r="3355" spans="1:12" x14ac:dyDescent="0.25">
      <c r="A3355" t="s">
        <v>487</v>
      </c>
      <c r="B3355" t="s">
        <v>463</v>
      </c>
      <c r="C3355" t="s">
        <v>464</v>
      </c>
      <c r="D3355" t="s">
        <v>214</v>
      </c>
      <c r="E3355" t="s">
        <v>218</v>
      </c>
      <c r="F3355">
        <v>2</v>
      </c>
      <c r="G3355" t="s">
        <v>499</v>
      </c>
      <c r="H3355" s="4">
        <v>34140407</v>
      </c>
      <c r="I3355" s="4">
        <v>35094596</v>
      </c>
      <c r="J3355" s="3">
        <v>0.027948963818738307</v>
      </c>
      <c r="K3355" s="3">
        <v>-0.02718905782531305</v>
      </c>
      <c r="L3355" t="s">
        <v>54</v>
      </c>
    </row>
    <row r="3356" spans="1:12" x14ac:dyDescent="0.25">
      <c r="A3356" t="s">
        <v>487</v>
      </c>
      <c r="B3356" t="s">
        <v>463</v>
      </c>
      <c r="C3356" t="s">
        <v>464</v>
      </c>
      <c r="D3356" t="s">
        <v>214</v>
      </c>
      <c r="E3356" t="s">
        <v>220</v>
      </c>
      <c r="F3356">
        <v>3</v>
      </c>
      <c r="G3356" t="s">
        <v>488</v>
      </c>
      <c r="H3356" s="4">
        <v>29554764</v>
      </c>
      <c r="I3356" s="4">
        <v>26536006.60863641</v>
      </c>
      <c r="J3356" s="3">
        <v>0.10214114351796519</v>
      </c>
      <c r="K3356" s="3">
        <v>0.11376080191286606</v>
      </c>
      <c r="L3356" t="s">
        <v>54</v>
      </c>
    </row>
    <row r="3357" spans="1:12" x14ac:dyDescent="0.25">
      <c r="A3357" t="s">
        <v>487</v>
      </c>
      <c r="B3357" t="s">
        <v>463</v>
      </c>
      <c r="C3357" t="s">
        <v>464</v>
      </c>
      <c r="D3357" t="s">
        <v>214</v>
      </c>
      <c r="E3357" t="s">
        <v>220</v>
      </c>
      <c r="F3357">
        <v>3</v>
      </c>
      <c r="G3357" t="s">
        <v>498</v>
      </c>
      <c r="H3357" s="4">
        <v>29554764</v>
      </c>
      <c r="I3357" s="4">
        <v>26022414</v>
      </c>
      <c r="J3357" s="3">
        <v>0.11951880245093481</v>
      </c>
      <c r="K3357" s="3">
        <v>0.13574259482613718</v>
      </c>
      <c r="L3357" t="s">
        <v>54</v>
      </c>
    </row>
    <row r="3358" spans="1:12" x14ac:dyDescent="0.25">
      <c r="A3358" t="s">
        <v>487</v>
      </c>
      <c r="B3358" t="s">
        <v>463</v>
      </c>
      <c r="C3358" t="s">
        <v>464</v>
      </c>
      <c r="D3358" t="s">
        <v>214</v>
      </c>
      <c r="E3358" t="s">
        <v>220</v>
      </c>
      <c r="F3358">
        <v>3</v>
      </c>
      <c r="G3358" t="s">
        <v>499</v>
      </c>
      <c r="H3358" s="4">
        <v>29554764</v>
      </c>
      <c r="I3358" s="4">
        <v>35094596</v>
      </c>
      <c r="J3358" s="3">
        <v>0.18744294490052432</v>
      </c>
      <c r="K3358" s="3">
        <v>-0.1578542747721045</v>
      </c>
      <c r="L3358" t="s">
        <v>54</v>
      </c>
    </row>
    <row r="3359" spans="1:12" x14ac:dyDescent="0.25">
      <c r="A3359" t="s">
        <v>487</v>
      </c>
      <c r="B3359" t="s">
        <v>463</v>
      </c>
      <c r="C3359" t="s">
        <v>464</v>
      </c>
      <c r="D3359" t="s">
        <v>216</v>
      </c>
      <c r="E3359" t="s">
        <v>218</v>
      </c>
      <c r="F3359">
        <v>1</v>
      </c>
      <c r="G3359" t="s">
        <v>488</v>
      </c>
      <c r="H3359" s="4">
        <v>34140407</v>
      </c>
      <c r="I3359" s="4">
        <v>32990898.154184546</v>
      </c>
      <c r="J3359" s="3">
        <v>0.03367003931193479</v>
      </c>
      <c r="K3359" s="3">
        <v>0.034843211616827435</v>
      </c>
      <c r="L3359" t="s">
        <v>54</v>
      </c>
    </row>
    <row r="3360" spans="1:12" x14ac:dyDescent="0.25">
      <c r="A3360" t="s">
        <v>487</v>
      </c>
      <c r="B3360" t="s">
        <v>463</v>
      </c>
      <c r="C3360" t="s">
        <v>464</v>
      </c>
      <c r="D3360" t="s">
        <v>216</v>
      </c>
      <c r="E3360" t="s">
        <v>218</v>
      </c>
      <c r="F3360">
        <v>1</v>
      </c>
      <c r="G3360" t="s">
        <v>498</v>
      </c>
      <c r="H3360" s="4">
        <v>34140407</v>
      </c>
      <c r="I3360" s="4">
        <v>31905493</v>
      </c>
      <c r="J3360" s="3">
        <v>0.06546242990014735</v>
      </c>
      <c r="K3360" s="3">
        <v>0.07004793814030706</v>
      </c>
      <c r="L3360" t="s">
        <v>54</v>
      </c>
    </row>
    <row r="3361" spans="1:12" x14ac:dyDescent="0.25">
      <c r="A3361" t="s">
        <v>487</v>
      </c>
      <c r="B3361" t="s">
        <v>463</v>
      </c>
      <c r="C3361" t="s">
        <v>464</v>
      </c>
      <c r="D3361" t="s">
        <v>216</v>
      </c>
      <c r="E3361" t="s">
        <v>218</v>
      </c>
      <c r="F3361">
        <v>1</v>
      </c>
      <c r="G3361" t="s">
        <v>499</v>
      </c>
      <c r="H3361" s="4">
        <v>34140407</v>
      </c>
      <c r="I3361" s="4">
        <v>44417082</v>
      </c>
      <c r="J3361" s="3">
        <v>0.30101208225197784</v>
      </c>
      <c r="K3361" s="3">
        <v>-0.2313676301383328</v>
      </c>
      <c r="L3361" t="s">
        <v>54</v>
      </c>
    </row>
    <row r="3362" spans="1:12" x14ac:dyDescent="0.25">
      <c r="A3362" t="s">
        <v>487</v>
      </c>
      <c r="B3362" t="s">
        <v>463</v>
      </c>
      <c r="C3362" t="s">
        <v>464</v>
      </c>
      <c r="D3362" t="s">
        <v>216</v>
      </c>
      <c r="E3362" t="s">
        <v>220</v>
      </c>
      <c r="F3362">
        <v>2</v>
      </c>
      <c r="G3362" t="s">
        <v>488</v>
      </c>
      <c r="H3362" s="4">
        <v>29554764</v>
      </c>
      <c r="I3362" s="4">
        <v>26907680.442362264</v>
      </c>
      <c r="J3362" s="3">
        <v>0.08956537624992493</v>
      </c>
      <c r="K3362" s="3">
        <v>0.0983765049279493</v>
      </c>
      <c r="L3362" t="s">
        <v>54</v>
      </c>
    </row>
    <row r="3363" spans="1:12" x14ac:dyDescent="0.25">
      <c r="A3363" t="s">
        <v>487</v>
      </c>
      <c r="B3363" t="s">
        <v>463</v>
      </c>
      <c r="C3363" t="s">
        <v>464</v>
      </c>
      <c r="D3363" t="s">
        <v>216</v>
      </c>
      <c r="E3363" t="s">
        <v>220</v>
      </c>
      <c r="F3363">
        <v>2</v>
      </c>
      <c r="G3363" t="s">
        <v>498</v>
      </c>
      <c r="H3363" s="4">
        <v>29554764</v>
      </c>
      <c r="I3363" s="4">
        <v>26022414</v>
      </c>
      <c r="J3363" s="3">
        <v>0.11951880245093481</v>
      </c>
      <c r="K3363" s="3">
        <v>0.13574259482613718</v>
      </c>
      <c r="L3363" t="s">
        <v>54</v>
      </c>
    </row>
    <row r="3364" spans="1:12" x14ac:dyDescent="0.25">
      <c r="A3364" t="s">
        <v>487</v>
      </c>
      <c r="B3364" t="s">
        <v>463</v>
      </c>
      <c r="C3364" t="s">
        <v>464</v>
      </c>
      <c r="D3364" t="s">
        <v>216</v>
      </c>
      <c r="E3364" t="s">
        <v>220</v>
      </c>
      <c r="F3364">
        <v>2</v>
      </c>
      <c r="G3364" t="s">
        <v>499</v>
      </c>
      <c r="H3364" s="4">
        <v>29554764</v>
      </c>
      <c r="I3364" s="4">
        <v>44417082</v>
      </c>
      <c r="J3364" s="3">
        <v>0.5028738514034489</v>
      </c>
      <c r="K3364" s="3">
        <v>-0.3346081581856278</v>
      </c>
      <c r="L3364" t="s">
        <v>54</v>
      </c>
    </row>
    <row r="3365" spans="1:12" x14ac:dyDescent="0.25">
      <c r="A3365" t="s">
        <v>487</v>
      </c>
      <c r="B3365" t="s">
        <v>463</v>
      </c>
      <c r="C3365" t="s">
        <v>464</v>
      </c>
      <c r="D3365" t="s">
        <v>216</v>
      </c>
      <c r="E3365" t="s">
        <v>222</v>
      </c>
      <c r="F3365">
        <v>3</v>
      </c>
      <c r="G3365" t="s">
        <v>488</v>
      </c>
      <c r="H3365" s="4">
        <v>34592981</v>
      </c>
      <c r="I3365" s="4">
        <v>41438724.8310106</v>
      </c>
      <c r="J3365" s="3">
        <v>0.19789401297941345</v>
      </c>
      <c r="K3365" s="3">
        <v>-0.165201604511913</v>
      </c>
      <c r="L3365" t="s">
        <v>54</v>
      </c>
    </row>
    <row r="3366" spans="1:12" x14ac:dyDescent="0.25">
      <c r="A3366" t="s">
        <v>487</v>
      </c>
      <c r="B3366" t="s">
        <v>463</v>
      </c>
      <c r="C3366" t="s">
        <v>464</v>
      </c>
      <c r="D3366" t="s">
        <v>216</v>
      </c>
      <c r="E3366" t="s">
        <v>222</v>
      </c>
      <c r="F3366">
        <v>3</v>
      </c>
      <c r="G3366" t="s">
        <v>498</v>
      </c>
      <c r="H3366" s="4">
        <v>34592981</v>
      </c>
      <c r="I3366" s="4">
        <v>40075385</v>
      </c>
      <c r="J3366" s="3">
        <v>0.1584831327488082</v>
      </c>
      <c r="K3366" s="3">
        <v>-0.13680227900493033</v>
      </c>
      <c r="L3366" t="s">
        <v>54</v>
      </c>
    </row>
    <row r="3367" spans="1:12" x14ac:dyDescent="0.25">
      <c r="A3367" t="s">
        <v>487</v>
      </c>
      <c r="B3367" t="s">
        <v>463</v>
      </c>
      <c r="C3367" t="s">
        <v>464</v>
      </c>
      <c r="D3367" t="s">
        <v>216</v>
      </c>
      <c r="E3367" t="s">
        <v>222</v>
      </c>
      <c r="F3367">
        <v>3</v>
      </c>
      <c r="G3367" t="s">
        <v>499</v>
      </c>
      <c r="H3367" s="4">
        <v>34592981</v>
      </c>
      <c r="I3367" s="4">
        <v>44417082</v>
      </c>
      <c r="J3367" s="3">
        <v>0.2839911657223181</v>
      </c>
      <c r="K3367" s="3">
        <v>-0.22117844211377957</v>
      </c>
      <c r="L3367" t="s">
        <v>54</v>
      </c>
    </row>
    <row r="3368" spans="1:12" x14ac:dyDescent="0.25">
      <c r="A3368" t="s">
        <v>487</v>
      </c>
      <c r="B3368" t="s">
        <v>463</v>
      </c>
      <c r="C3368" t="s">
        <v>464</v>
      </c>
      <c r="D3368" t="s">
        <v>218</v>
      </c>
      <c r="E3368" t="s">
        <v>220</v>
      </c>
      <c r="F3368">
        <v>1</v>
      </c>
      <c r="G3368" t="s">
        <v>488</v>
      </c>
      <c r="H3368" s="4">
        <v>29554764</v>
      </c>
      <c r="I3368" s="4">
        <v>27415197.22967018</v>
      </c>
      <c r="J3368" s="3">
        <v>0.07239329572483888</v>
      </c>
      <c r="K3368" s="3">
        <v>0.07804309239162684</v>
      </c>
      <c r="L3368" t="s">
        <v>54</v>
      </c>
    </row>
    <row r="3369" spans="1:12" x14ac:dyDescent="0.25">
      <c r="A3369" t="s">
        <v>487</v>
      </c>
      <c r="B3369" t="s">
        <v>463</v>
      </c>
      <c r="C3369" t="s">
        <v>464</v>
      </c>
      <c r="D3369" t="s">
        <v>218</v>
      </c>
      <c r="E3369" t="s">
        <v>220</v>
      </c>
      <c r="F3369">
        <v>1</v>
      </c>
      <c r="G3369" t="s">
        <v>498</v>
      </c>
      <c r="H3369" s="4">
        <v>29554764</v>
      </c>
      <c r="I3369" s="4">
        <v>26022414</v>
      </c>
      <c r="J3369" s="3">
        <v>0.11951880245093481</v>
      </c>
      <c r="K3369" s="3">
        <v>0.13574259482613718</v>
      </c>
      <c r="L3369" t="s">
        <v>54</v>
      </c>
    </row>
    <row r="3370" spans="1:12" x14ac:dyDescent="0.25">
      <c r="A3370" t="s">
        <v>487</v>
      </c>
      <c r="B3370" t="s">
        <v>463</v>
      </c>
      <c r="C3370" t="s">
        <v>464</v>
      </c>
      <c r="D3370" t="s">
        <v>218</v>
      </c>
      <c r="E3370" t="s">
        <v>220</v>
      </c>
      <c r="F3370">
        <v>1</v>
      </c>
      <c r="G3370" t="s">
        <v>499</v>
      </c>
      <c r="H3370" s="4">
        <v>29554764</v>
      </c>
      <c r="I3370" s="4">
        <v>34140407</v>
      </c>
      <c r="J3370" s="3">
        <v>0.15515749000736395</v>
      </c>
      <c r="K3370" s="3">
        <v>-0.13431717436760493</v>
      </c>
      <c r="L3370" t="s">
        <v>54</v>
      </c>
    </row>
    <row r="3371" spans="1:12" x14ac:dyDescent="0.25">
      <c r="A3371" t="s">
        <v>487</v>
      </c>
      <c r="B3371" t="s">
        <v>463</v>
      </c>
      <c r="C3371" t="s">
        <v>464</v>
      </c>
      <c r="D3371" t="s">
        <v>218</v>
      </c>
      <c r="E3371" t="s">
        <v>222</v>
      </c>
      <c r="F3371">
        <v>2</v>
      </c>
      <c r="G3371" t="s">
        <v>488</v>
      </c>
      <c r="H3371" s="4">
        <v>34592981</v>
      </c>
      <c r="I3371" s="4">
        <v>42220317.60120202</v>
      </c>
      <c r="J3371" s="3">
        <v>0.22048798284258933</v>
      </c>
      <c r="K3371" s="3">
        <v>-0.18065559509161216</v>
      </c>
      <c r="L3371" t="s">
        <v>54</v>
      </c>
    </row>
    <row r="3372" spans="1:12" x14ac:dyDescent="0.25">
      <c r="A3372" t="s">
        <v>487</v>
      </c>
      <c r="B3372" t="s">
        <v>463</v>
      </c>
      <c r="C3372" t="s">
        <v>464</v>
      </c>
      <c r="D3372" t="s">
        <v>218</v>
      </c>
      <c r="E3372" t="s">
        <v>222</v>
      </c>
      <c r="F3372">
        <v>2</v>
      </c>
      <c r="G3372" t="s">
        <v>498</v>
      </c>
      <c r="H3372" s="4">
        <v>34592981</v>
      </c>
      <c r="I3372" s="4">
        <v>40075385</v>
      </c>
      <c r="J3372" s="3">
        <v>0.1584831327488082</v>
      </c>
      <c r="K3372" s="3">
        <v>-0.13680227900493033</v>
      </c>
      <c r="L3372" t="s">
        <v>54</v>
      </c>
    </row>
    <row r="3373" spans="1:12" x14ac:dyDescent="0.25">
      <c r="A3373" t="s">
        <v>487</v>
      </c>
      <c r="B3373" t="s">
        <v>463</v>
      </c>
      <c r="C3373" t="s">
        <v>464</v>
      </c>
      <c r="D3373" t="s">
        <v>218</v>
      </c>
      <c r="E3373" t="s">
        <v>222</v>
      </c>
      <c r="F3373">
        <v>2</v>
      </c>
      <c r="G3373" t="s">
        <v>499</v>
      </c>
      <c r="H3373" s="4">
        <v>34592981</v>
      </c>
      <c r="I3373" s="4">
        <v>34140407</v>
      </c>
      <c r="J3373" s="3">
        <v>0.013082827409410018</v>
      </c>
      <c r="K3373" s="3">
        <v>0.013256256728280949</v>
      </c>
      <c r="L3373" t="s">
        <v>54</v>
      </c>
    </row>
    <row r="3374" spans="1:12" x14ac:dyDescent="0.25">
      <c r="A3374" t="s">
        <v>487</v>
      </c>
      <c r="B3374" t="s">
        <v>463</v>
      </c>
      <c r="C3374" t="s">
        <v>464</v>
      </c>
      <c r="D3374" t="s">
        <v>218</v>
      </c>
      <c r="E3374" t="s">
        <v>224</v>
      </c>
      <c r="F3374">
        <v>3</v>
      </c>
      <c r="G3374" t="s">
        <v>488</v>
      </c>
      <c r="H3374" s="4">
        <v>27669325</v>
      </c>
      <c r="I3374" s="4">
        <v>30922532.53193513</v>
      </c>
      <c r="J3374" s="3">
        <v>0.11757451733770626</v>
      </c>
      <c r="K3374" s="3">
        <v>-0.10520508074736089</v>
      </c>
      <c r="L3374" t="s">
        <v>54</v>
      </c>
    </row>
    <row r="3375" spans="1:12" x14ac:dyDescent="0.25">
      <c r="A3375" t="s">
        <v>487</v>
      </c>
      <c r="B3375" t="s">
        <v>463</v>
      </c>
      <c r="C3375" t="s">
        <v>464</v>
      </c>
      <c r="D3375" t="s">
        <v>218</v>
      </c>
      <c r="E3375" t="s">
        <v>224</v>
      </c>
      <c r="F3375">
        <v>3</v>
      </c>
      <c r="G3375" t="s">
        <v>498</v>
      </c>
      <c r="H3375" s="4">
        <v>27669325</v>
      </c>
      <c r="I3375" s="4">
        <v>29351565</v>
      </c>
      <c r="J3375" s="3">
        <v>0.060798013684829684</v>
      </c>
      <c r="K3375" s="3">
        <v>-0.05731346863446634</v>
      </c>
      <c r="L3375" t="s">
        <v>54</v>
      </c>
    </row>
    <row r="3376" spans="1:12" x14ac:dyDescent="0.25">
      <c r="A3376" t="s">
        <v>487</v>
      </c>
      <c r="B3376" t="s">
        <v>463</v>
      </c>
      <c r="C3376" t="s">
        <v>464</v>
      </c>
      <c r="D3376" t="s">
        <v>218</v>
      </c>
      <c r="E3376" t="s">
        <v>224</v>
      </c>
      <c r="F3376">
        <v>3</v>
      </c>
      <c r="G3376" t="s">
        <v>499</v>
      </c>
      <c r="H3376" s="4">
        <v>27669325</v>
      </c>
      <c r="I3376" s="4">
        <v>34140407</v>
      </c>
      <c r="J3376" s="3">
        <v>0.23387205867869926</v>
      </c>
      <c r="K3376" s="3">
        <v>-0.18954320023191287</v>
      </c>
      <c r="L3376" t="s">
        <v>54</v>
      </c>
    </row>
    <row r="3377" spans="1:12" x14ac:dyDescent="0.25">
      <c r="A3377" t="s">
        <v>487</v>
      </c>
      <c r="B3377" t="s">
        <v>463</v>
      </c>
      <c r="C3377" t="s">
        <v>464</v>
      </c>
      <c r="D3377" t="s">
        <v>220</v>
      </c>
      <c r="E3377" t="s">
        <v>222</v>
      </c>
      <c r="F3377">
        <v>1</v>
      </c>
      <c r="G3377" t="s">
        <v>488</v>
      </c>
      <c r="H3377" s="4">
        <v>34592981</v>
      </c>
      <c r="I3377" s="4">
        <v>42384937.96939346</v>
      </c>
      <c r="J3377" s="3">
        <v>0.22524676232422589</v>
      </c>
      <c r="K3377" s="3">
        <v>-0.18383787596952728</v>
      </c>
      <c r="L3377" t="s">
        <v>54</v>
      </c>
    </row>
    <row r="3378" spans="1:12" x14ac:dyDescent="0.25">
      <c r="A3378" t="s">
        <v>487</v>
      </c>
      <c r="B3378" t="s">
        <v>463</v>
      </c>
      <c r="C3378" t="s">
        <v>464</v>
      </c>
      <c r="D3378" t="s">
        <v>220</v>
      </c>
      <c r="E3378" t="s">
        <v>222</v>
      </c>
      <c r="F3378">
        <v>1</v>
      </c>
      <c r="G3378" t="s">
        <v>498</v>
      </c>
      <c r="H3378" s="4">
        <v>34592981</v>
      </c>
      <c r="I3378" s="4">
        <v>40075385</v>
      </c>
      <c r="J3378" s="3">
        <v>0.1584831327488082</v>
      </c>
      <c r="K3378" s="3">
        <v>-0.13680227900493033</v>
      </c>
      <c r="L3378" t="s">
        <v>54</v>
      </c>
    </row>
    <row r="3379" spans="1:12" x14ac:dyDescent="0.25">
      <c r="A3379" t="s">
        <v>487</v>
      </c>
      <c r="B3379" t="s">
        <v>463</v>
      </c>
      <c r="C3379" t="s">
        <v>464</v>
      </c>
      <c r="D3379" t="s">
        <v>220</v>
      </c>
      <c r="E3379" t="s">
        <v>222</v>
      </c>
      <c r="F3379">
        <v>1</v>
      </c>
      <c r="G3379" t="s">
        <v>499</v>
      </c>
      <c r="H3379" s="4">
        <v>34592981</v>
      </c>
      <c r="I3379" s="4">
        <v>29554764</v>
      </c>
      <c r="J3379" s="3">
        <v>0.14564275336664395</v>
      </c>
      <c r="K3379" s="3">
        <v>0.1704705542564982</v>
      </c>
      <c r="L3379" t="s">
        <v>54</v>
      </c>
    </row>
    <row r="3380" spans="1:12" x14ac:dyDescent="0.25">
      <c r="A3380" t="s">
        <v>487</v>
      </c>
      <c r="B3380" t="s">
        <v>463</v>
      </c>
      <c r="C3380" t="s">
        <v>464</v>
      </c>
      <c r="D3380" t="s">
        <v>220</v>
      </c>
      <c r="E3380" t="s">
        <v>224</v>
      </c>
      <c r="F3380">
        <v>2</v>
      </c>
      <c r="G3380" t="s">
        <v>488</v>
      </c>
      <c r="H3380" s="4">
        <v>27669325</v>
      </c>
      <c r="I3380" s="4">
        <v>31043101.93974731</v>
      </c>
      <c r="J3380" s="3">
        <v>0.12193202905193065</v>
      </c>
      <c r="K3380" s="3">
        <v>-0.10868040656167666</v>
      </c>
      <c r="L3380" t="s">
        <v>54</v>
      </c>
    </row>
    <row r="3381" spans="1:12" x14ac:dyDescent="0.25">
      <c r="A3381" t="s">
        <v>487</v>
      </c>
      <c r="B3381" t="s">
        <v>463</v>
      </c>
      <c r="C3381" t="s">
        <v>464</v>
      </c>
      <c r="D3381" t="s">
        <v>220</v>
      </c>
      <c r="E3381" t="s">
        <v>224</v>
      </c>
      <c r="F3381">
        <v>2</v>
      </c>
      <c r="G3381" t="s">
        <v>498</v>
      </c>
      <c r="H3381" s="4">
        <v>27669325</v>
      </c>
      <c r="I3381" s="4">
        <v>29351565</v>
      </c>
      <c r="J3381" s="3">
        <v>0.060798013684829684</v>
      </c>
      <c r="K3381" s="3">
        <v>-0.05731346863446634</v>
      </c>
      <c r="L3381" t="s">
        <v>54</v>
      </c>
    </row>
    <row r="3382" spans="1:12" x14ac:dyDescent="0.25">
      <c r="A3382" t="s">
        <v>487</v>
      </c>
      <c r="B3382" t="s">
        <v>463</v>
      </c>
      <c r="C3382" t="s">
        <v>464</v>
      </c>
      <c r="D3382" t="s">
        <v>220</v>
      </c>
      <c r="E3382" t="s">
        <v>224</v>
      </c>
      <c r="F3382">
        <v>2</v>
      </c>
      <c r="G3382" t="s">
        <v>499</v>
      </c>
      <c r="H3382" s="4">
        <v>27669325</v>
      </c>
      <c r="I3382" s="4">
        <v>29554764</v>
      </c>
      <c r="J3382" s="3">
        <v>0.06814185022583673</v>
      </c>
      <c r="K3382" s="3">
        <v>-0.06379475742049573</v>
      </c>
      <c r="L3382" t="s">
        <v>54</v>
      </c>
    </row>
    <row r="3383" spans="1:12" x14ac:dyDescent="0.25">
      <c r="A3383" t="s">
        <v>487</v>
      </c>
      <c r="B3383" t="s">
        <v>463</v>
      </c>
      <c r="C3383" t="s">
        <v>464</v>
      </c>
      <c r="D3383" t="s">
        <v>220</v>
      </c>
      <c r="E3383" t="s">
        <v>226</v>
      </c>
      <c r="F3383">
        <v>3</v>
      </c>
      <c r="G3383" t="s">
        <v>488</v>
      </c>
      <c r="H3383" s="4">
        <v>24690782</v>
      </c>
      <c r="I3383" s="4">
        <v>25104953.556662302</v>
      </c>
      <c r="J3383" s="3">
        <v>0.01677433937338649</v>
      </c>
      <c r="K3383" s="3">
        <v>-0.01649760298211707</v>
      </c>
      <c r="L3383" t="s">
        <v>54</v>
      </c>
    </row>
    <row r="3384" spans="1:12" x14ac:dyDescent="0.25">
      <c r="A3384" t="s">
        <v>487</v>
      </c>
      <c r="B3384" t="s">
        <v>463</v>
      </c>
      <c r="C3384" t="s">
        <v>464</v>
      </c>
      <c r="D3384" t="s">
        <v>220</v>
      </c>
      <c r="E3384" t="s">
        <v>226</v>
      </c>
      <c r="F3384">
        <v>3</v>
      </c>
      <c r="G3384" t="s">
        <v>498</v>
      </c>
      <c r="H3384" s="4">
        <v>24690782</v>
      </c>
      <c r="I3384" s="4">
        <v>23736986</v>
      </c>
      <c r="J3384" s="3">
        <v>0.03862963919085268</v>
      </c>
      <c r="K3384" s="3">
        <v>0.040181849540628284</v>
      </c>
      <c r="L3384" t="s">
        <v>54</v>
      </c>
    </row>
    <row r="3385" spans="1:12" x14ac:dyDescent="0.25">
      <c r="A3385" t="s">
        <v>487</v>
      </c>
      <c r="B3385" t="s">
        <v>463</v>
      </c>
      <c r="C3385" t="s">
        <v>464</v>
      </c>
      <c r="D3385" t="s">
        <v>220</v>
      </c>
      <c r="E3385" t="s">
        <v>226</v>
      </c>
      <c r="F3385">
        <v>3</v>
      </c>
      <c r="G3385" t="s">
        <v>499</v>
      </c>
      <c r="H3385" s="4">
        <v>24690782</v>
      </c>
      <c r="I3385" s="4">
        <v>29554764</v>
      </c>
      <c r="J3385" s="3">
        <v>0.19699586671657462</v>
      </c>
      <c r="K3385" s="3">
        <v>-0.16457522719518247</v>
      </c>
      <c r="L3385" t="s">
        <v>54</v>
      </c>
    </row>
    <row r="3386" spans="1:12" x14ac:dyDescent="0.25">
      <c r="A3386" t="s">
        <v>487</v>
      </c>
      <c r="B3386" t="s">
        <v>463</v>
      </c>
      <c r="C3386" t="s">
        <v>464</v>
      </c>
      <c r="D3386" t="s">
        <v>222</v>
      </c>
      <c r="E3386" t="s">
        <v>224</v>
      </c>
      <c r="F3386">
        <v>1</v>
      </c>
      <c r="G3386" t="s">
        <v>488</v>
      </c>
      <c r="H3386" s="4">
        <v>27669325</v>
      </c>
      <c r="I3386" s="4">
        <v>29354423.804980144</v>
      </c>
      <c r="J3386" s="3">
        <v>0.060901334057847235</v>
      </c>
      <c r="K3386" s="3">
        <v>-0.0574052761578736</v>
      </c>
      <c r="L3386" t="s">
        <v>54</v>
      </c>
    </row>
    <row r="3387" spans="1:12" x14ac:dyDescent="0.25">
      <c r="A3387" t="s">
        <v>487</v>
      </c>
      <c r="B3387" t="s">
        <v>463</v>
      </c>
      <c r="C3387" t="s">
        <v>464</v>
      </c>
      <c r="D3387" t="s">
        <v>222</v>
      </c>
      <c r="E3387" t="s">
        <v>224</v>
      </c>
      <c r="F3387">
        <v>1</v>
      </c>
      <c r="G3387" t="s">
        <v>498</v>
      </c>
      <c r="H3387" s="4">
        <v>27669325</v>
      </c>
      <c r="I3387" s="4">
        <v>29351565</v>
      </c>
      <c r="J3387" s="3">
        <v>0.060798013684829684</v>
      </c>
      <c r="K3387" s="3">
        <v>-0.05731346863446634</v>
      </c>
      <c r="L3387" t="s">
        <v>54</v>
      </c>
    </row>
    <row r="3388" spans="1:12" x14ac:dyDescent="0.25">
      <c r="A3388" t="s">
        <v>487</v>
      </c>
      <c r="B3388" t="s">
        <v>463</v>
      </c>
      <c r="C3388" t="s">
        <v>464</v>
      </c>
      <c r="D3388" t="s">
        <v>222</v>
      </c>
      <c r="E3388" t="s">
        <v>224</v>
      </c>
      <c r="F3388">
        <v>1</v>
      </c>
      <c r="G3388" t="s">
        <v>499</v>
      </c>
      <c r="H3388" s="4">
        <v>27669325</v>
      </c>
      <c r="I3388" s="4">
        <v>34592981</v>
      </c>
      <c r="J3388" s="3">
        <v>0.2502285834583966</v>
      </c>
      <c r="K3388" s="3">
        <v>-0.20014626666606153</v>
      </c>
      <c r="L3388" t="s">
        <v>54</v>
      </c>
    </row>
    <row r="3389" spans="1:12" x14ac:dyDescent="0.25">
      <c r="A3389" t="s">
        <v>487</v>
      </c>
      <c r="B3389" t="s">
        <v>463</v>
      </c>
      <c r="C3389" t="s">
        <v>464</v>
      </c>
      <c r="D3389" t="s">
        <v>222</v>
      </c>
      <c r="E3389" t="s">
        <v>226</v>
      </c>
      <c r="F3389">
        <v>2</v>
      </c>
      <c r="G3389" t="s">
        <v>488</v>
      </c>
      <c r="H3389" s="4">
        <v>24690782</v>
      </c>
      <c r="I3389" s="4">
        <v>23739297.952149414</v>
      </c>
      <c r="J3389" s="3">
        <v>0.03853600294436144</v>
      </c>
      <c r="K3389" s="3">
        <v>0.0400805470224294</v>
      </c>
      <c r="L3389" t="s">
        <v>54</v>
      </c>
    </row>
    <row r="3390" spans="1:12" x14ac:dyDescent="0.25">
      <c r="A3390" t="s">
        <v>487</v>
      </c>
      <c r="B3390" t="s">
        <v>463</v>
      </c>
      <c r="C3390" t="s">
        <v>464</v>
      </c>
      <c r="D3390" t="s">
        <v>222</v>
      </c>
      <c r="E3390" t="s">
        <v>226</v>
      </c>
      <c r="F3390">
        <v>2</v>
      </c>
      <c r="G3390" t="s">
        <v>498</v>
      </c>
      <c r="H3390" s="4">
        <v>24690782</v>
      </c>
      <c r="I3390" s="4">
        <v>23736986</v>
      </c>
      <c r="J3390" s="3">
        <v>0.03862963919085268</v>
      </c>
      <c r="K3390" s="3">
        <v>0.040181849540628284</v>
      </c>
      <c r="L3390" t="s">
        <v>54</v>
      </c>
    </row>
    <row r="3391" spans="1:12" x14ac:dyDescent="0.25">
      <c r="A3391" t="s">
        <v>487</v>
      </c>
      <c r="B3391" t="s">
        <v>463</v>
      </c>
      <c r="C3391" t="s">
        <v>464</v>
      </c>
      <c r="D3391" t="s">
        <v>222</v>
      </c>
      <c r="E3391" t="s">
        <v>226</v>
      </c>
      <c r="F3391">
        <v>2</v>
      </c>
      <c r="G3391" t="s">
        <v>499</v>
      </c>
      <c r="H3391" s="4">
        <v>24690782</v>
      </c>
      <c r="I3391" s="4">
        <v>34592981</v>
      </c>
      <c r="J3391" s="3">
        <v>0.4010484155584866</v>
      </c>
      <c r="K3391" s="3">
        <v>-0.28624879133717906</v>
      </c>
      <c r="L3391" t="s">
        <v>54</v>
      </c>
    </row>
    <row r="3392" spans="1:12" x14ac:dyDescent="0.25">
      <c r="A3392" t="s">
        <v>487</v>
      </c>
      <c r="B3392" t="s">
        <v>463</v>
      </c>
      <c r="C3392" t="s">
        <v>464</v>
      </c>
      <c r="D3392" t="s">
        <v>222</v>
      </c>
      <c r="E3392" t="s">
        <v>228</v>
      </c>
      <c r="F3392">
        <v>3</v>
      </c>
      <c r="G3392" t="s">
        <v>488</v>
      </c>
      <c r="H3392" s="4">
        <v>15375352</v>
      </c>
      <c r="I3392" s="4">
        <v>16663501.845755031</v>
      </c>
      <c r="J3392" s="3">
        <v>0.08378018569949042</v>
      </c>
      <c r="K3392" s="3">
        <v>-0.07730366988156112</v>
      </c>
      <c r="L3392" t="s">
        <v>54</v>
      </c>
    </row>
    <row r="3393" spans="1:12" x14ac:dyDescent="0.25">
      <c r="A3393" t="s">
        <v>487</v>
      </c>
      <c r="B3393" t="s">
        <v>463</v>
      </c>
      <c r="C3393" t="s">
        <v>464</v>
      </c>
      <c r="D3393" t="s">
        <v>222</v>
      </c>
      <c r="E3393" t="s">
        <v>228</v>
      </c>
      <c r="F3393">
        <v>3</v>
      </c>
      <c r="G3393" t="s">
        <v>498</v>
      </c>
      <c r="H3393" s="4">
        <v>15375352</v>
      </c>
      <c r="I3393" s="4">
        <v>16661879</v>
      </c>
      <c r="J3393" s="3">
        <v>0.08367463717253433</v>
      </c>
      <c r="K3393" s="3">
        <v>-0.07721380043631333</v>
      </c>
      <c r="L3393" t="s">
        <v>54</v>
      </c>
    </row>
    <row r="3394" spans="1:12" x14ac:dyDescent="0.25">
      <c r="A3394" t="s">
        <v>487</v>
      </c>
      <c r="B3394" t="s">
        <v>463</v>
      </c>
      <c r="C3394" t="s">
        <v>464</v>
      </c>
      <c r="D3394" t="s">
        <v>222</v>
      </c>
      <c r="E3394" t="s">
        <v>228</v>
      </c>
      <c r="F3394">
        <v>3</v>
      </c>
      <c r="G3394" t="s">
        <v>499</v>
      </c>
      <c r="H3394" s="4">
        <v>15375352</v>
      </c>
      <c r="I3394" s="4">
        <v>34592981</v>
      </c>
      <c r="J3394" s="3">
        <v>1.2498984738690861</v>
      </c>
      <c r="K3394" s="3">
        <v>-0.555535500106221</v>
      </c>
      <c r="L3394" t="s">
        <v>54</v>
      </c>
    </row>
    <row r="3395" spans="1:12" x14ac:dyDescent="0.25">
      <c r="A3395" t="s">
        <v>487</v>
      </c>
      <c r="B3395" t="s">
        <v>463</v>
      </c>
      <c r="C3395" t="s">
        <v>464</v>
      </c>
      <c r="D3395" t="s">
        <v>224</v>
      </c>
      <c r="E3395" t="s">
        <v>226</v>
      </c>
      <c r="F3395">
        <v>1</v>
      </c>
      <c r="G3395" t="s">
        <v>488</v>
      </c>
      <c r="H3395" s="4">
        <v>24690782</v>
      </c>
      <c r="I3395" s="4">
        <v>23404918.35107024</v>
      </c>
      <c r="J3395" s="3">
        <v>0.05207869272547787</v>
      </c>
      <c r="K3395" s="3">
        <v>0.05493989039577064</v>
      </c>
      <c r="L3395" t="s">
        <v>54</v>
      </c>
    </row>
    <row r="3396" spans="1:12" x14ac:dyDescent="0.25">
      <c r="A3396" t="s">
        <v>487</v>
      </c>
      <c r="B3396" t="s">
        <v>463</v>
      </c>
      <c r="C3396" t="s">
        <v>464</v>
      </c>
      <c r="D3396" t="s">
        <v>224</v>
      </c>
      <c r="E3396" t="s">
        <v>226</v>
      </c>
      <c r="F3396">
        <v>1</v>
      </c>
      <c r="G3396" t="s">
        <v>498</v>
      </c>
      <c r="H3396" s="4">
        <v>24690782</v>
      </c>
      <c r="I3396" s="4">
        <v>23736986</v>
      </c>
      <c r="J3396" s="3">
        <v>0.03862963919085268</v>
      </c>
      <c r="K3396" s="3">
        <v>0.040181849540628284</v>
      </c>
      <c r="L3396" t="s">
        <v>54</v>
      </c>
    </row>
    <row r="3397" spans="1:12" x14ac:dyDescent="0.25">
      <c r="A3397" t="s">
        <v>487</v>
      </c>
      <c r="B3397" t="s">
        <v>463</v>
      </c>
      <c r="C3397" t="s">
        <v>464</v>
      </c>
      <c r="D3397" t="s">
        <v>224</v>
      </c>
      <c r="E3397" t="s">
        <v>226</v>
      </c>
      <c r="F3397">
        <v>1</v>
      </c>
      <c r="G3397" t="s">
        <v>499</v>
      </c>
      <c r="H3397" s="4">
        <v>24690782</v>
      </c>
      <c r="I3397" s="4">
        <v>27669325</v>
      </c>
      <c r="J3397" s="3">
        <v>0.12063380576605472</v>
      </c>
      <c r="K3397" s="3">
        <v>-0.10764783745176291</v>
      </c>
      <c r="L3397" t="s">
        <v>54</v>
      </c>
    </row>
    <row r="3398" spans="1:12" x14ac:dyDescent="0.25">
      <c r="A3398" t="s">
        <v>487</v>
      </c>
      <c r="B3398" t="s">
        <v>463</v>
      </c>
      <c r="C3398" t="s">
        <v>464</v>
      </c>
      <c r="D3398" t="s">
        <v>224</v>
      </c>
      <c r="E3398" t="s">
        <v>228</v>
      </c>
      <c r="F3398">
        <v>2</v>
      </c>
      <c r="G3398" t="s">
        <v>488</v>
      </c>
      <c r="H3398" s="4">
        <v>15375352</v>
      </c>
      <c r="I3398" s="4">
        <v>16428788.287207644</v>
      </c>
      <c r="J3398" s="3">
        <v>0.06851461268708804</v>
      </c>
      <c r="K3398" s="3">
        <v>-0.06412136237874023</v>
      </c>
      <c r="L3398" t="s">
        <v>54</v>
      </c>
    </row>
    <row r="3399" spans="1:12" x14ac:dyDescent="0.25">
      <c r="A3399" t="s">
        <v>487</v>
      </c>
      <c r="B3399" t="s">
        <v>463</v>
      </c>
      <c r="C3399" t="s">
        <v>464</v>
      </c>
      <c r="D3399" t="s">
        <v>224</v>
      </c>
      <c r="E3399" t="s">
        <v>228</v>
      </c>
      <c r="F3399">
        <v>2</v>
      </c>
      <c r="G3399" t="s">
        <v>498</v>
      </c>
      <c r="H3399" s="4">
        <v>15375352</v>
      </c>
      <c r="I3399" s="4">
        <v>16661879</v>
      </c>
      <c r="J3399" s="3">
        <v>0.08367463717253433</v>
      </c>
      <c r="K3399" s="3">
        <v>-0.07721380043631333</v>
      </c>
      <c r="L3399" t="s">
        <v>54</v>
      </c>
    </row>
    <row r="3400" spans="1:12" x14ac:dyDescent="0.25">
      <c r="A3400" t="s">
        <v>487</v>
      </c>
      <c r="B3400" t="s">
        <v>463</v>
      </c>
      <c r="C3400" t="s">
        <v>464</v>
      </c>
      <c r="D3400" t="s">
        <v>224</v>
      </c>
      <c r="E3400" t="s">
        <v>228</v>
      </c>
      <c r="F3400">
        <v>2</v>
      </c>
      <c r="G3400" t="s">
        <v>499</v>
      </c>
      <c r="H3400" s="4">
        <v>15375352</v>
      </c>
      <c r="I3400" s="4">
        <v>27669325</v>
      </c>
      <c r="J3400" s="3">
        <v>0.7995896939465191</v>
      </c>
      <c r="K3400" s="3">
        <v>-0.44431777790025595</v>
      </c>
      <c r="L3400" t="s">
        <v>54</v>
      </c>
    </row>
    <row r="3401" spans="1:12" x14ac:dyDescent="0.25">
      <c r="A3401" t="s">
        <v>487</v>
      </c>
      <c r="B3401" t="s">
        <v>463</v>
      </c>
      <c r="C3401" t="s">
        <v>464</v>
      </c>
      <c r="D3401" t="s">
        <v>224</v>
      </c>
      <c r="E3401" t="s">
        <v>230</v>
      </c>
      <c r="F3401">
        <v>3</v>
      </c>
      <c r="G3401" t="s">
        <v>488</v>
      </c>
      <c r="H3401" s="4">
        <v>12582627</v>
      </c>
      <c r="I3401" s="4">
        <v>12156899.600658514</v>
      </c>
      <c r="J3401" s="3">
        <v>0.03383454022291898</v>
      </c>
      <c r="K3401" s="3">
        <v>0.035019405714136656</v>
      </c>
      <c r="L3401" t="s">
        <v>54</v>
      </c>
    </row>
    <row r="3402" spans="1:12" x14ac:dyDescent="0.25">
      <c r="A3402" t="s">
        <v>487</v>
      </c>
      <c r="B3402" t="s">
        <v>463</v>
      </c>
      <c r="C3402" t="s">
        <v>464</v>
      </c>
      <c r="D3402" t="s">
        <v>224</v>
      </c>
      <c r="E3402" t="s">
        <v>230</v>
      </c>
      <c r="F3402">
        <v>3</v>
      </c>
      <c r="G3402" t="s">
        <v>498</v>
      </c>
      <c r="H3402" s="4">
        <v>12582627</v>
      </c>
      <c r="I3402" s="4">
        <v>12329381</v>
      </c>
      <c r="J3402" s="3">
        <v>0.020126639691377644</v>
      </c>
      <c r="K3402" s="3">
        <v>0.02054004171012316</v>
      </c>
      <c r="L3402" t="s">
        <v>54</v>
      </c>
    </row>
    <row r="3403" spans="1:12" x14ac:dyDescent="0.25">
      <c r="A3403" t="s">
        <v>487</v>
      </c>
      <c r="B3403" t="s">
        <v>463</v>
      </c>
      <c r="C3403" t="s">
        <v>464</v>
      </c>
      <c r="D3403" t="s">
        <v>224</v>
      </c>
      <c r="E3403" t="s">
        <v>230</v>
      </c>
      <c r="F3403">
        <v>3</v>
      </c>
      <c r="G3403" t="s">
        <v>499</v>
      </c>
      <c r="H3403" s="4">
        <v>12582627</v>
      </c>
      <c r="I3403" s="4">
        <v>27669325</v>
      </c>
      <c r="J3403" s="3">
        <v>1.1990101907972</v>
      </c>
      <c r="K3403" s="3">
        <v>-0.5452499473695148</v>
      </c>
      <c r="L3403" t="s">
        <v>54</v>
      </c>
    </row>
    <row r="3404" spans="1:12" x14ac:dyDescent="0.25">
      <c r="A3404" t="s">
        <v>487</v>
      </c>
      <c r="B3404" t="s">
        <v>463</v>
      </c>
      <c r="C3404" t="s">
        <v>464</v>
      </c>
      <c r="D3404" t="s">
        <v>226</v>
      </c>
      <c r="E3404" t="s">
        <v>228</v>
      </c>
      <c r="F3404">
        <v>1</v>
      </c>
      <c r="G3404" t="s">
        <v>488</v>
      </c>
      <c r="H3404" s="4">
        <v>15375352</v>
      </c>
      <c r="I3404" s="4">
        <v>16324978.381363168</v>
      </c>
      <c r="J3404" s="3">
        <v>0.06176290346804212</v>
      </c>
      <c r="K3404" s="3">
        <v>-0.05817014633521816</v>
      </c>
      <c r="L3404" t="s">
        <v>54</v>
      </c>
    </row>
    <row r="3405" spans="1:12" x14ac:dyDescent="0.25">
      <c r="A3405" t="s">
        <v>487</v>
      </c>
      <c r="B3405" t="s">
        <v>463</v>
      </c>
      <c r="C3405" t="s">
        <v>464</v>
      </c>
      <c r="D3405" t="s">
        <v>226</v>
      </c>
      <c r="E3405" t="s">
        <v>228</v>
      </c>
      <c r="F3405">
        <v>1</v>
      </c>
      <c r="G3405" t="s">
        <v>498</v>
      </c>
      <c r="H3405" s="4">
        <v>15375352</v>
      </c>
      <c r="I3405" s="4">
        <v>16661879</v>
      </c>
      <c r="J3405" s="3">
        <v>0.08367463717253433</v>
      </c>
      <c r="K3405" s="3">
        <v>-0.07721380043631333</v>
      </c>
      <c r="L3405" t="s">
        <v>54</v>
      </c>
    </row>
    <row r="3406" spans="1:12" x14ac:dyDescent="0.25">
      <c r="A3406" t="s">
        <v>487</v>
      </c>
      <c r="B3406" t="s">
        <v>463</v>
      </c>
      <c r="C3406" t="s">
        <v>464</v>
      </c>
      <c r="D3406" t="s">
        <v>226</v>
      </c>
      <c r="E3406" t="s">
        <v>228</v>
      </c>
      <c r="F3406">
        <v>1</v>
      </c>
      <c r="G3406" t="s">
        <v>499</v>
      </c>
      <c r="H3406" s="4">
        <v>15375352</v>
      </c>
      <c r="I3406" s="4">
        <v>24690782</v>
      </c>
      <c r="J3406" s="3">
        <v>0.6058677550926964</v>
      </c>
      <c r="K3406" s="3">
        <v>-0.37728371665182575</v>
      </c>
      <c r="L3406" t="s">
        <v>54</v>
      </c>
    </row>
    <row r="3407" spans="1:12" x14ac:dyDescent="0.25">
      <c r="A3407" t="s">
        <v>487</v>
      </c>
      <c r="B3407" t="s">
        <v>463</v>
      </c>
      <c r="C3407" t="s">
        <v>464</v>
      </c>
      <c r="D3407" t="s">
        <v>226</v>
      </c>
      <c r="E3407" t="s">
        <v>230</v>
      </c>
      <c r="F3407">
        <v>2</v>
      </c>
      <c r="G3407" t="s">
        <v>488</v>
      </c>
      <c r="H3407" s="4">
        <v>12582627</v>
      </c>
      <c r="I3407" s="4">
        <v>12080082.821426671</v>
      </c>
      <c r="J3407" s="3">
        <v>0.039939527617987004</v>
      </c>
      <c r="K3407" s="3">
        <v>0.04160105406578479</v>
      </c>
      <c r="L3407" t="s">
        <v>54</v>
      </c>
    </row>
    <row r="3408" spans="1:12" x14ac:dyDescent="0.25">
      <c r="A3408" t="s">
        <v>487</v>
      </c>
      <c r="B3408" t="s">
        <v>463</v>
      </c>
      <c r="C3408" t="s">
        <v>464</v>
      </c>
      <c r="D3408" t="s">
        <v>226</v>
      </c>
      <c r="E3408" t="s">
        <v>230</v>
      </c>
      <c r="F3408">
        <v>2</v>
      </c>
      <c r="G3408" t="s">
        <v>498</v>
      </c>
      <c r="H3408" s="4">
        <v>12582627</v>
      </c>
      <c r="I3408" s="4">
        <v>12329381</v>
      </c>
      <c r="J3408" s="3">
        <v>0.020126639691377644</v>
      </c>
      <c r="K3408" s="3">
        <v>0.02054004171012316</v>
      </c>
      <c r="L3408" t="s">
        <v>54</v>
      </c>
    </row>
    <row r="3409" spans="1:12" x14ac:dyDescent="0.25">
      <c r="A3409" t="s">
        <v>487</v>
      </c>
      <c r="B3409" t="s">
        <v>463</v>
      </c>
      <c r="C3409" t="s">
        <v>464</v>
      </c>
      <c r="D3409" t="s">
        <v>226</v>
      </c>
      <c r="E3409" t="s">
        <v>230</v>
      </c>
      <c r="F3409">
        <v>2</v>
      </c>
      <c r="G3409" t="s">
        <v>499</v>
      </c>
      <c r="H3409" s="4">
        <v>12582627</v>
      </c>
      <c r="I3409" s="4">
        <v>24690782</v>
      </c>
      <c r="J3409" s="3">
        <v>0.9622914992234929</v>
      </c>
      <c r="K3409" s="3">
        <v>-0.4903917178483857</v>
      </c>
      <c r="L3409" t="s">
        <v>54</v>
      </c>
    </row>
    <row r="3410" spans="1:12" x14ac:dyDescent="0.25">
      <c r="A3410" t="s">
        <v>487</v>
      </c>
      <c r="B3410" t="s">
        <v>463</v>
      </c>
      <c r="C3410" t="s">
        <v>464</v>
      </c>
      <c r="D3410" t="s">
        <v>226</v>
      </c>
      <c r="E3410" t="s">
        <v>232</v>
      </c>
      <c r="F3410">
        <v>3</v>
      </c>
      <c r="G3410" t="s">
        <v>488</v>
      </c>
      <c r="H3410" s="4">
        <v>16402554</v>
      </c>
      <c r="I3410" s="4">
        <v>14696738.56980042</v>
      </c>
      <c r="J3410" s="3">
        <v>0.10399694036670022</v>
      </c>
      <c r="K3410" s="3">
        <v>0.11606761745798307</v>
      </c>
      <c r="L3410" t="s">
        <v>54</v>
      </c>
    </row>
    <row r="3411" spans="1:12" x14ac:dyDescent="0.25">
      <c r="A3411" t="s">
        <v>487</v>
      </c>
      <c r="B3411" t="s">
        <v>463</v>
      </c>
      <c r="C3411" t="s">
        <v>464</v>
      </c>
      <c r="D3411" t="s">
        <v>226</v>
      </c>
      <c r="E3411" t="s">
        <v>232</v>
      </c>
      <c r="F3411">
        <v>3</v>
      </c>
      <c r="G3411" t="s">
        <v>498</v>
      </c>
      <c r="H3411" s="4">
        <v>16402554</v>
      </c>
      <c r="I3411" s="4">
        <v>15000037</v>
      </c>
      <c r="J3411" s="3">
        <v>0.08550601327086013</v>
      </c>
      <c r="K3411" s="3">
        <v>0.09350090269777335</v>
      </c>
      <c r="L3411" t="s">
        <v>54</v>
      </c>
    </row>
    <row r="3412" spans="1:12" x14ac:dyDescent="0.25">
      <c r="A3412" t="s">
        <v>487</v>
      </c>
      <c r="B3412" t="s">
        <v>463</v>
      </c>
      <c r="C3412" t="s">
        <v>464</v>
      </c>
      <c r="D3412" t="s">
        <v>226</v>
      </c>
      <c r="E3412" t="s">
        <v>232</v>
      </c>
      <c r="F3412">
        <v>3</v>
      </c>
      <c r="G3412" t="s">
        <v>499</v>
      </c>
      <c r="H3412" s="4">
        <v>16402554</v>
      </c>
      <c r="I3412" s="4">
        <v>24690782</v>
      </c>
      <c r="J3412" s="3">
        <v>0.5053010647000461</v>
      </c>
      <c r="K3412" s="3">
        <v>-0.3356810651035678</v>
      </c>
      <c r="L3412" t="s">
        <v>54</v>
      </c>
    </row>
    <row r="3413" spans="1:12" x14ac:dyDescent="0.25">
      <c r="A3413" t="s">
        <v>487</v>
      </c>
      <c r="B3413" t="s">
        <v>463</v>
      </c>
      <c r="C3413" t="s">
        <v>464</v>
      </c>
      <c r="D3413" t="s">
        <v>228</v>
      </c>
      <c r="E3413" t="s">
        <v>230</v>
      </c>
      <c r="F3413">
        <v>1</v>
      </c>
      <c r="G3413" t="s">
        <v>488</v>
      </c>
      <c r="H3413" s="4">
        <v>12582627</v>
      </c>
      <c r="I3413" s="4">
        <v>11970749.916793806</v>
      </c>
      <c r="J3413" s="3">
        <v>0.04862872301675902</v>
      </c>
      <c r="K3413" s="3">
        <v>0.05111434851276853</v>
      </c>
      <c r="L3413" t="s">
        <v>54</v>
      </c>
    </row>
    <row r="3414" spans="1:12" x14ac:dyDescent="0.25">
      <c r="A3414" t="s">
        <v>487</v>
      </c>
      <c r="B3414" t="s">
        <v>463</v>
      </c>
      <c r="C3414" t="s">
        <v>464</v>
      </c>
      <c r="D3414" t="s">
        <v>228</v>
      </c>
      <c r="E3414" t="s">
        <v>230</v>
      </c>
      <c r="F3414">
        <v>1</v>
      </c>
      <c r="G3414" t="s">
        <v>498</v>
      </c>
      <c r="H3414" s="4">
        <v>12582627</v>
      </c>
      <c r="I3414" s="4">
        <v>12329381</v>
      </c>
      <c r="J3414" s="3">
        <v>0.020126639691377644</v>
      </c>
      <c r="K3414" s="3">
        <v>0.02054004171012316</v>
      </c>
      <c r="L3414" t="s">
        <v>54</v>
      </c>
    </row>
    <row r="3415" spans="1:12" x14ac:dyDescent="0.25">
      <c r="A3415" t="s">
        <v>487</v>
      </c>
      <c r="B3415" t="s">
        <v>463</v>
      </c>
      <c r="C3415" t="s">
        <v>464</v>
      </c>
      <c r="D3415" t="s">
        <v>228</v>
      </c>
      <c r="E3415" t="s">
        <v>230</v>
      </c>
      <c r="F3415">
        <v>1</v>
      </c>
      <c r="G3415" t="s">
        <v>499</v>
      </c>
      <c r="H3415" s="4">
        <v>12582627</v>
      </c>
      <c r="I3415" s="4">
        <v>15375352</v>
      </c>
      <c r="J3415" s="3">
        <v>0.22195086924217017</v>
      </c>
      <c r="K3415" s="3">
        <v>-0.18163649196454168</v>
      </c>
      <c r="L3415" t="s">
        <v>54</v>
      </c>
    </row>
    <row r="3416" spans="1:12" x14ac:dyDescent="0.25">
      <c r="A3416" t="s">
        <v>487</v>
      </c>
      <c r="B3416" t="s">
        <v>463</v>
      </c>
      <c r="C3416" t="s">
        <v>464</v>
      </c>
      <c r="D3416" t="s">
        <v>228</v>
      </c>
      <c r="E3416" t="s">
        <v>232</v>
      </c>
      <c r="F3416">
        <v>2</v>
      </c>
      <c r="G3416" t="s">
        <v>488</v>
      </c>
      <c r="H3416" s="4">
        <v>16402554</v>
      </c>
      <c r="I3416" s="4">
        <v>14563723.164176207</v>
      </c>
      <c r="J3416" s="3">
        <v>0.11210637293581188</v>
      </c>
      <c r="K3416" s="3">
        <v>0.12626104019519832</v>
      </c>
      <c r="L3416" t="s">
        <v>54</v>
      </c>
    </row>
    <row r="3417" spans="1:12" x14ac:dyDescent="0.25">
      <c r="A3417" t="s">
        <v>487</v>
      </c>
      <c r="B3417" t="s">
        <v>463</v>
      </c>
      <c r="C3417" t="s">
        <v>464</v>
      </c>
      <c r="D3417" t="s">
        <v>228</v>
      </c>
      <c r="E3417" t="s">
        <v>232</v>
      </c>
      <c r="F3417">
        <v>2</v>
      </c>
      <c r="G3417" t="s">
        <v>498</v>
      </c>
      <c r="H3417" s="4">
        <v>16402554</v>
      </c>
      <c r="I3417" s="4">
        <v>15000037</v>
      </c>
      <c r="J3417" s="3">
        <v>0.08550601327086013</v>
      </c>
      <c r="K3417" s="3">
        <v>0.09350090269777335</v>
      </c>
      <c r="L3417" t="s">
        <v>54</v>
      </c>
    </row>
    <row r="3418" spans="1:12" x14ac:dyDescent="0.25">
      <c r="A3418" t="s">
        <v>487</v>
      </c>
      <c r="B3418" t="s">
        <v>463</v>
      </c>
      <c r="C3418" t="s">
        <v>464</v>
      </c>
      <c r="D3418" t="s">
        <v>228</v>
      </c>
      <c r="E3418" t="s">
        <v>232</v>
      </c>
      <c r="F3418">
        <v>2</v>
      </c>
      <c r="G3418" t="s">
        <v>499</v>
      </c>
      <c r="H3418" s="4">
        <v>16402554</v>
      </c>
      <c r="I3418" s="4">
        <v>15375352</v>
      </c>
      <c r="J3418" s="3">
        <v>0.06262451566993774</v>
      </c>
      <c r="K3418" s="3">
        <v>0.06680835664770472</v>
      </c>
      <c r="L3418" t="s">
        <v>54</v>
      </c>
    </row>
    <row r="3419" spans="1:12" x14ac:dyDescent="0.25">
      <c r="A3419" t="s">
        <v>487</v>
      </c>
      <c r="B3419" t="s">
        <v>463</v>
      </c>
      <c r="C3419" t="s">
        <v>464</v>
      </c>
      <c r="D3419" t="s">
        <v>228</v>
      </c>
      <c r="E3419" t="s">
        <v>234</v>
      </c>
      <c r="F3419">
        <v>3</v>
      </c>
      <c r="G3419" t="s">
        <v>488</v>
      </c>
      <c r="H3419" s="4">
        <v>21583839</v>
      </c>
      <c r="I3419" s="4">
        <v>23591238.300893236</v>
      </c>
      <c r="J3419" s="3">
        <v>0.0930047384477449</v>
      </c>
      <c r="K3419" s="3">
        <v>-0.08509088311897683</v>
      </c>
      <c r="L3419" t="s">
        <v>54</v>
      </c>
    </row>
    <row r="3420" spans="1:12" x14ac:dyDescent="0.25">
      <c r="A3420" t="s">
        <v>487</v>
      </c>
      <c r="B3420" t="s">
        <v>463</v>
      </c>
      <c r="C3420" t="s">
        <v>464</v>
      </c>
      <c r="D3420" t="s">
        <v>228</v>
      </c>
      <c r="E3420" t="s">
        <v>234</v>
      </c>
      <c r="F3420">
        <v>3</v>
      </c>
      <c r="G3420" t="s">
        <v>498</v>
      </c>
      <c r="H3420" s="4">
        <v>21583839</v>
      </c>
      <c r="I3420" s="4">
        <v>24298007</v>
      </c>
      <c r="J3420" s="3">
        <v>0.12575001138583364</v>
      </c>
      <c r="K3420" s="3">
        <v>-0.1117033178894055</v>
      </c>
      <c r="L3420" t="s">
        <v>54</v>
      </c>
    </row>
    <row r="3421" spans="1:12" x14ac:dyDescent="0.25">
      <c r="A3421" t="s">
        <v>487</v>
      </c>
      <c r="B3421" t="s">
        <v>463</v>
      </c>
      <c r="C3421" t="s">
        <v>464</v>
      </c>
      <c r="D3421" t="s">
        <v>228</v>
      </c>
      <c r="E3421" t="s">
        <v>234</v>
      </c>
      <c r="F3421">
        <v>3</v>
      </c>
      <c r="G3421" t="s">
        <v>499</v>
      </c>
      <c r="H3421" s="4">
        <v>21583839</v>
      </c>
      <c r="I3421" s="4">
        <v>15375352</v>
      </c>
      <c r="J3421" s="3">
        <v>0.2876451682205376</v>
      </c>
      <c r="K3421" s="3">
        <v>0.403794787917701</v>
      </c>
      <c r="L3421" t="s">
        <v>54</v>
      </c>
    </row>
    <row r="3422" spans="1:12" x14ac:dyDescent="0.25">
      <c r="A3422" t="s">
        <v>487</v>
      </c>
      <c r="B3422" t="s">
        <v>463</v>
      </c>
      <c r="C3422" t="s">
        <v>464</v>
      </c>
      <c r="D3422" t="s">
        <v>230</v>
      </c>
      <c r="E3422" t="s">
        <v>232</v>
      </c>
      <c r="F3422">
        <v>1</v>
      </c>
      <c r="G3422" t="s">
        <v>488</v>
      </c>
      <c r="H3422" s="4">
        <v>16402554</v>
      </c>
      <c r="I3422" s="4">
        <v>14850211.548555594</v>
      </c>
      <c r="J3422" s="3">
        <v>0.09464028903330579</v>
      </c>
      <c r="K3422" s="3">
        <v>0.10453335606491038</v>
      </c>
      <c r="L3422" t="s">
        <v>54</v>
      </c>
    </row>
    <row r="3423" spans="1:12" x14ac:dyDescent="0.25">
      <c r="A3423" t="s">
        <v>487</v>
      </c>
      <c r="B3423" t="s">
        <v>463</v>
      </c>
      <c r="C3423" t="s">
        <v>464</v>
      </c>
      <c r="D3423" t="s">
        <v>230</v>
      </c>
      <c r="E3423" t="s">
        <v>232</v>
      </c>
      <c r="F3423">
        <v>1</v>
      </c>
      <c r="G3423" t="s">
        <v>498</v>
      </c>
      <c r="H3423" s="4">
        <v>16402554</v>
      </c>
      <c r="I3423" s="4">
        <v>15000037</v>
      </c>
      <c r="J3423" s="3">
        <v>0.08550601327086013</v>
      </c>
      <c r="K3423" s="3">
        <v>0.09350090269777335</v>
      </c>
      <c r="L3423" t="s">
        <v>54</v>
      </c>
    </row>
    <row r="3424" spans="1:12" x14ac:dyDescent="0.25">
      <c r="A3424" t="s">
        <v>487</v>
      </c>
      <c r="B3424" t="s">
        <v>463</v>
      </c>
      <c r="C3424" t="s">
        <v>464</v>
      </c>
      <c r="D3424" t="s">
        <v>230</v>
      </c>
      <c r="E3424" t="s">
        <v>232</v>
      </c>
      <c r="F3424">
        <v>1</v>
      </c>
      <c r="G3424" t="s">
        <v>499</v>
      </c>
      <c r="H3424" s="4">
        <v>16402554</v>
      </c>
      <c r="I3424" s="4">
        <v>12582627</v>
      </c>
      <c r="J3424" s="3">
        <v>0.23288611029721348</v>
      </c>
      <c r="K3424" s="3">
        <v>0.30358739872047386</v>
      </c>
      <c r="L3424" t="s">
        <v>54</v>
      </c>
    </row>
    <row r="3425" spans="1:12" x14ac:dyDescent="0.25">
      <c r="A3425" t="s">
        <v>487</v>
      </c>
      <c r="B3425" t="s">
        <v>463</v>
      </c>
      <c r="C3425" t="s">
        <v>464</v>
      </c>
      <c r="D3425" t="s">
        <v>230</v>
      </c>
      <c r="E3425" t="s">
        <v>234</v>
      </c>
      <c r="F3425">
        <v>2</v>
      </c>
      <c r="G3425" t="s">
        <v>488</v>
      </c>
      <c r="H3425" s="4">
        <v>21583839</v>
      </c>
      <c r="I3425" s="4">
        <v>24055310.2741203</v>
      </c>
      <c r="J3425" s="3">
        <v>0.11450563887732396</v>
      </c>
      <c r="K3425" s="3">
        <v>-0.10274119294063781</v>
      </c>
      <c r="L3425" t="s">
        <v>54</v>
      </c>
    </row>
    <row r="3426" spans="1:12" x14ac:dyDescent="0.25">
      <c r="A3426" t="s">
        <v>487</v>
      </c>
      <c r="B3426" t="s">
        <v>463</v>
      </c>
      <c r="C3426" t="s">
        <v>464</v>
      </c>
      <c r="D3426" t="s">
        <v>230</v>
      </c>
      <c r="E3426" t="s">
        <v>234</v>
      </c>
      <c r="F3426">
        <v>2</v>
      </c>
      <c r="G3426" t="s">
        <v>498</v>
      </c>
      <c r="H3426" s="4">
        <v>21583839</v>
      </c>
      <c r="I3426" s="4">
        <v>24298007</v>
      </c>
      <c r="J3426" s="3">
        <v>0.12575001138583364</v>
      </c>
      <c r="K3426" s="3">
        <v>-0.1117033178894055</v>
      </c>
      <c r="L3426" t="s">
        <v>54</v>
      </c>
    </row>
    <row r="3427" spans="1:12" x14ac:dyDescent="0.25">
      <c r="A3427" t="s">
        <v>487</v>
      </c>
      <c r="B3427" t="s">
        <v>463</v>
      </c>
      <c r="C3427" t="s">
        <v>464</v>
      </c>
      <c r="D3427" t="s">
        <v>230</v>
      </c>
      <c r="E3427" t="s">
        <v>234</v>
      </c>
      <c r="F3427">
        <v>2</v>
      </c>
      <c r="G3427" t="s">
        <v>499</v>
      </c>
      <c r="H3427" s="4">
        <v>21583839</v>
      </c>
      <c r="I3427" s="4">
        <v>12582627</v>
      </c>
      <c r="J3427" s="3">
        <v>0.41703480089895034</v>
      </c>
      <c r="K3427" s="3">
        <v>0.7153682613336627</v>
      </c>
      <c r="L3427" t="s">
        <v>54</v>
      </c>
    </row>
    <row r="3428" spans="1:12" x14ac:dyDescent="0.25">
      <c r="A3428" t="s">
        <v>487</v>
      </c>
      <c r="B3428" t="s">
        <v>463</v>
      </c>
      <c r="C3428" t="s">
        <v>464</v>
      </c>
      <c r="D3428" t="s">
        <v>230</v>
      </c>
      <c r="E3428" t="s">
        <v>236</v>
      </c>
      <c r="F3428">
        <v>3</v>
      </c>
      <c r="G3428" t="s">
        <v>488</v>
      </c>
      <c r="H3428" s="4">
        <v>33624275</v>
      </c>
      <c r="I3428" s="4">
        <v>31451330.00079763</v>
      </c>
      <c r="J3428" s="3">
        <v>0.06462429299077439</v>
      </c>
      <c r="K3428" s="3">
        <v>0.06908912911305383</v>
      </c>
      <c r="L3428" t="s">
        <v>54</v>
      </c>
    </row>
    <row r="3429" spans="1:12" x14ac:dyDescent="0.25">
      <c r="A3429" t="s">
        <v>487</v>
      </c>
      <c r="B3429" t="s">
        <v>463</v>
      </c>
      <c r="C3429" t="s">
        <v>464</v>
      </c>
      <c r="D3429" t="s">
        <v>230</v>
      </c>
      <c r="E3429" t="s">
        <v>236</v>
      </c>
      <c r="F3429">
        <v>3</v>
      </c>
      <c r="G3429" t="s">
        <v>498</v>
      </c>
      <c r="H3429" s="4">
        <v>33624275</v>
      </c>
      <c r="I3429" s="4">
        <v>31768646</v>
      </c>
      <c r="J3429" s="3">
        <v>0.05518718247456637</v>
      </c>
      <c r="K3429" s="3">
        <v>0.0584107046929227</v>
      </c>
      <c r="L3429" t="s">
        <v>54</v>
      </c>
    </row>
    <row r="3430" spans="1:12" x14ac:dyDescent="0.25">
      <c r="A3430" t="s">
        <v>487</v>
      </c>
      <c r="B3430" t="s">
        <v>463</v>
      </c>
      <c r="C3430" t="s">
        <v>464</v>
      </c>
      <c r="D3430" t="s">
        <v>230</v>
      </c>
      <c r="E3430" t="s">
        <v>236</v>
      </c>
      <c r="F3430">
        <v>3</v>
      </c>
      <c r="G3430" t="s">
        <v>499</v>
      </c>
      <c r="H3430" s="4">
        <v>33624275</v>
      </c>
      <c r="I3430" s="4">
        <v>12582627</v>
      </c>
      <c r="J3430" s="3">
        <v>0.6257874110296802</v>
      </c>
      <c r="K3430" s="3">
        <v>1.672277816071318</v>
      </c>
      <c r="L3430" t="s">
        <v>54</v>
      </c>
    </row>
    <row r="3431" spans="1:12" x14ac:dyDescent="0.25">
      <c r="A3431" t="s">
        <v>487</v>
      </c>
      <c r="B3431" t="s">
        <v>463</v>
      </c>
      <c r="C3431" t="s">
        <v>464</v>
      </c>
      <c r="D3431" t="s">
        <v>232</v>
      </c>
      <c r="E3431" t="s">
        <v>234</v>
      </c>
      <c r="F3431">
        <v>1</v>
      </c>
      <c r="G3431" t="s">
        <v>488</v>
      </c>
      <c r="H3431" s="4">
        <v>21583839</v>
      </c>
      <c r="I3431" s="4">
        <v>24398067.22353865</v>
      </c>
      <c r="J3431" s="3">
        <v>0.13038589768662787</v>
      </c>
      <c r="K3431" s="3">
        <v>-0.11534635910928022</v>
      </c>
      <c r="L3431" t="s">
        <v>54</v>
      </c>
    </row>
    <row r="3432" spans="1:12" x14ac:dyDescent="0.25">
      <c r="A3432" t="s">
        <v>487</v>
      </c>
      <c r="B3432" t="s">
        <v>463</v>
      </c>
      <c r="C3432" t="s">
        <v>464</v>
      </c>
      <c r="D3432" t="s">
        <v>232</v>
      </c>
      <c r="E3432" t="s">
        <v>234</v>
      </c>
      <c r="F3432">
        <v>1</v>
      </c>
      <c r="G3432" t="s">
        <v>498</v>
      </c>
      <c r="H3432" s="4">
        <v>21583839</v>
      </c>
      <c r="I3432" s="4">
        <v>24298007</v>
      </c>
      <c r="J3432" s="3">
        <v>0.12575001138583364</v>
      </c>
      <c r="K3432" s="3">
        <v>-0.1117033178894055</v>
      </c>
      <c r="L3432" t="s">
        <v>54</v>
      </c>
    </row>
    <row r="3433" spans="1:12" x14ac:dyDescent="0.25">
      <c r="A3433" t="s">
        <v>487</v>
      </c>
      <c r="B3433" t="s">
        <v>463</v>
      </c>
      <c r="C3433" t="s">
        <v>464</v>
      </c>
      <c r="D3433" t="s">
        <v>232</v>
      </c>
      <c r="E3433" t="s">
        <v>234</v>
      </c>
      <c r="F3433">
        <v>1</v>
      </c>
      <c r="G3433" t="s">
        <v>499</v>
      </c>
      <c r="H3433" s="4">
        <v>21583839</v>
      </c>
      <c r="I3433" s="4">
        <v>16402554</v>
      </c>
      <c r="J3433" s="3">
        <v>0.2400539125592996</v>
      </c>
      <c r="K3433" s="3">
        <v>0.315882819224372</v>
      </c>
      <c r="L3433" t="s">
        <v>54</v>
      </c>
    </row>
    <row r="3434" spans="1:12" x14ac:dyDescent="0.25">
      <c r="A3434" t="s">
        <v>487</v>
      </c>
      <c r="B3434" t="s">
        <v>463</v>
      </c>
      <c r="C3434" t="s">
        <v>464</v>
      </c>
      <c r="D3434" t="s">
        <v>232</v>
      </c>
      <c r="E3434" t="s">
        <v>236</v>
      </c>
      <c r="F3434">
        <v>2</v>
      </c>
      <c r="G3434" t="s">
        <v>488</v>
      </c>
      <c r="H3434" s="4">
        <v>33624275</v>
      </c>
      <c r="I3434" s="4">
        <v>31899470.631842446</v>
      </c>
      <c r="J3434" s="3">
        <v>0.05129640321337945</v>
      </c>
      <c r="K3434" s="3">
        <v>0.054069999720805194</v>
      </c>
      <c r="L3434" t="s">
        <v>54</v>
      </c>
    </row>
    <row r="3435" spans="1:12" x14ac:dyDescent="0.25">
      <c r="A3435" t="s">
        <v>487</v>
      </c>
      <c r="B3435" t="s">
        <v>463</v>
      </c>
      <c r="C3435" t="s">
        <v>464</v>
      </c>
      <c r="D3435" t="s">
        <v>232</v>
      </c>
      <c r="E3435" t="s">
        <v>236</v>
      </c>
      <c r="F3435">
        <v>2</v>
      </c>
      <c r="G3435" t="s">
        <v>498</v>
      </c>
      <c r="H3435" s="4">
        <v>33624275</v>
      </c>
      <c r="I3435" s="4">
        <v>31768646</v>
      </c>
      <c r="J3435" s="3">
        <v>0.05518718247456637</v>
      </c>
      <c r="K3435" s="3">
        <v>0.0584107046929227</v>
      </c>
      <c r="L3435" t="s">
        <v>54</v>
      </c>
    </row>
    <row r="3436" spans="1:12" x14ac:dyDescent="0.25">
      <c r="A3436" t="s">
        <v>487</v>
      </c>
      <c r="B3436" t="s">
        <v>463</v>
      </c>
      <c r="C3436" t="s">
        <v>464</v>
      </c>
      <c r="D3436" t="s">
        <v>232</v>
      </c>
      <c r="E3436" t="s">
        <v>236</v>
      </c>
      <c r="F3436">
        <v>2</v>
      </c>
      <c r="G3436" t="s">
        <v>499</v>
      </c>
      <c r="H3436" s="4">
        <v>33624275</v>
      </c>
      <c r="I3436" s="4">
        <v>16402554</v>
      </c>
      <c r="J3436" s="3">
        <v>0.5121811845757269</v>
      </c>
      <c r="K3436" s="3">
        <v>1.0499414298529364</v>
      </c>
      <c r="L3436" t="s">
        <v>54</v>
      </c>
    </row>
    <row r="3437" spans="1:12" x14ac:dyDescent="0.25">
      <c r="A3437" t="s">
        <v>487</v>
      </c>
      <c r="B3437" t="s">
        <v>463</v>
      </c>
      <c r="C3437" t="s">
        <v>464</v>
      </c>
      <c r="D3437" t="s">
        <v>232</v>
      </c>
      <c r="E3437" t="s">
        <v>238</v>
      </c>
      <c r="F3437">
        <v>3</v>
      </c>
      <c r="G3437" t="s">
        <v>488</v>
      </c>
      <c r="H3437" s="4">
        <v>36135958</v>
      </c>
      <c r="I3437" s="4">
        <v>35239117.03502804</v>
      </c>
      <c r="J3437" s="3">
        <v>0.02481851913188408</v>
      </c>
      <c r="K3437" s="3">
        <v>0.02545015427260821</v>
      </c>
      <c r="L3437" t="s">
        <v>54</v>
      </c>
    </row>
    <row r="3438" spans="1:12" x14ac:dyDescent="0.25">
      <c r="A3438" t="s">
        <v>487</v>
      </c>
      <c r="B3438" t="s">
        <v>463</v>
      </c>
      <c r="C3438" t="s">
        <v>464</v>
      </c>
      <c r="D3438" t="s">
        <v>232</v>
      </c>
      <c r="E3438" t="s">
        <v>238</v>
      </c>
      <c r="F3438">
        <v>3</v>
      </c>
      <c r="G3438" t="s">
        <v>498</v>
      </c>
      <c r="H3438" s="4">
        <v>36135958</v>
      </c>
      <c r="I3438" s="4">
        <v>35094596</v>
      </c>
      <c r="J3438" s="3">
        <v>0.028817888265201104</v>
      </c>
      <c r="K3438" s="3">
        <v>0.029673001507126623</v>
      </c>
      <c r="L3438" t="s">
        <v>54</v>
      </c>
    </row>
    <row r="3439" spans="1:12" x14ac:dyDescent="0.25">
      <c r="A3439" t="s">
        <v>487</v>
      </c>
      <c r="B3439" t="s">
        <v>463</v>
      </c>
      <c r="C3439" t="s">
        <v>464</v>
      </c>
      <c r="D3439" t="s">
        <v>232</v>
      </c>
      <c r="E3439" t="s">
        <v>238</v>
      </c>
      <c r="F3439">
        <v>3</v>
      </c>
      <c r="G3439" t="s">
        <v>499</v>
      </c>
      <c r="H3439" s="4">
        <v>36135958</v>
      </c>
      <c r="I3439" s="4">
        <v>16402554</v>
      </c>
      <c r="J3439" s="3">
        <v>0.5460877500466433</v>
      </c>
      <c r="K3439" s="3">
        <v>1.2030689854762862</v>
      </c>
      <c r="L3439" t="s">
        <v>54</v>
      </c>
    </row>
    <row r="3440" spans="1:12" x14ac:dyDescent="0.25">
      <c r="A3440" t="s">
        <v>487</v>
      </c>
      <c r="B3440" t="s">
        <v>463</v>
      </c>
      <c r="C3440" t="s">
        <v>464</v>
      </c>
      <c r="D3440" t="s">
        <v>234</v>
      </c>
      <c r="E3440" t="s">
        <v>236</v>
      </c>
      <c r="F3440">
        <v>1</v>
      </c>
      <c r="G3440" t="s">
        <v>488</v>
      </c>
      <c r="H3440" s="4">
        <v>33624275</v>
      </c>
      <c r="I3440" s="4">
        <v>31692442.804653075</v>
      </c>
      <c r="J3440" s="3">
        <v>0.057453497371970856</v>
      </c>
      <c r="K3440" s="3">
        <v>0.06095561037230284</v>
      </c>
      <c r="L3440" t="s">
        <v>54</v>
      </c>
    </row>
    <row r="3441" spans="1:12" x14ac:dyDescent="0.25">
      <c r="A3441" t="s">
        <v>487</v>
      </c>
      <c r="B3441" t="s">
        <v>463</v>
      </c>
      <c r="C3441" t="s">
        <v>464</v>
      </c>
      <c r="D3441" t="s">
        <v>234</v>
      </c>
      <c r="E3441" t="s">
        <v>236</v>
      </c>
      <c r="F3441">
        <v>1</v>
      </c>
      <c r="G3441" t="s">
        <v>498</v>
      </c>
      <c r="H3441" s="4">
        <v>33624275</v>
      </c>
      <c r="I3441" s="4">
        <v>31768646</v>
      </c>
      <c r="J3441" s="3">
        <v>0.05518718247456637</v>
      </c>
      <c r="K3441" s="3">
        <v>0.0584107046929227</v>
      </c>
      <c r="L3441" t="s">
        <v>54</v>
      </c>
    </row>
    <row r="3442" spans="1:12" x14ac:dyDescent="0.25">
      <c r="A3442" t="s">
        <v>487</v>
      </c>
      <c r="B3442" t="s">
        <v>463</v>
      </c>
      <c r="C3442" t="s">
        <v>464</v>
      </c>
      <c r="D3442" t="s">
        <v>234</v>
      </c>
      <c r="E3442" t="s">
        <v>236</v>
      </c>
      <c r="F3442">
        <v>1</v>
      </c>
      <c r="G3442" t="s">
        <v>499</v>
      </c>
      <c r="H3442" s="4">
        <v>33624275</v>
      </c>
      <c r="I3442" s="4">
        <v>21583839</v>
      </c>
      <c r="J3442" s="3">
        <v>0.35808760188881394</v>
      </c>
      <c r="K3442" s="3">
        <v>0.557844969099334</v>
      </c>
      <c r="L3442" t="s">
        <v>54</v>
      </c>
    </row>
    <row r="3443" spans="1:12" x14ac:dyDescent="0.25">
      <c r="A3443" t="s">
        <v>487</v>
      </c>
      <c r="B3443" t="s">
        <v>463</v>
      </c>
      <c r="C3443" t="s">
        <v>464</v>
      </c>
      <c r="D3443" t="s">
        <v>234</v>
      </c>
      <c r="E3443" t="s">
        <v>238</v>
      </c>
      <c r="F3443">
        <v>2</v>
      </c>
      <c r="G3443" t="s">
        <v>488</v>
      </c>
      <c r="H3443" s="4">
        <v>36135958</v>
      </c>
      <c r="I3443" s="4">
        <v>35010414.875169896</v>
      </c>
      <c r="J3443" s="3">
        <v>0.031147454976289943</v>
      </c>
      <c r="K3443" s="3">
        <v>0.03214880854292197</v>
      </c>
      <c r="L3443" t="s">
        <v>54</v>
      </c>
    </row>
    <row r="3444" spans="1:12" x14ac:dyDescent="0.25">
      <c r="A3444" t="s">
        <v>487</v>
      </c>
      <c r="B3444" t="s">
        <v>463</v>
      </c>
      <c r="C3444" t="s">
        <v>464</v>
      </c>
      <c r="D3444" t="s">
        <v>234</v>
      </c>
      <c r="E3444" t="s">
        <v>238</v>
      </c>
      <c r="F3444">
        <v>2</v>
      </c>
      <c r="G3444" t="s">
        <v>498</v>
      </c>
      <c r="H3444" s="4">
        <v>36135958</v>
      </c>
      <c r="I3444" s="4">
        <v>35094596</v>
      </c>
      <c r="J3444" s="3">
        <v>0.028817888265201104</v>
      </c>
      <c r="K3444" s="3">
        <v>0.029673001507126623</v>
      </c>
      <c r="L3444" t="s">
        <v>54</v>
      </c>
    </row>
    <row r="3445" spans="1:12" x14ac:dyDescent="0.25">
      <c r="A3445" t="s">
        <v>487</v>
      </c>
      <c r="B3445" t="s">
        <v>463</v>
      </c>
      <c r="C3445" t="s">
        <v>464</v>
      </c>
      <c r="D3445" t="s">
        <v>234</v>
      </c>
      <c r="E3445" t="s">
        <v>238</v>
      </c>
      <c r="F3445">
        <v>2</v>
      </c>
      <c r="G3445" t="s">
        <v>499</v>
      </c>
      <c r="H3445" s="4">
        <v>36135958</v>
      </c>
      <c r="I3445" s="4">
        <v>21583839</v>
      </c>
      <c r="J3445" s="3">
        <v>0.4027046688508992</v>
      </c>
      <c r="K3445" s="3">
        <v>0.674213655874657</v>
      </c>
      <c r="L3445" t="s">
        <v>54</v>
      </c>
    </row>
    <row r="3446" spans="1:12" x14ac:dyDescent="0.25">
      <c r="A3446" t="s">
        <v>487</v>
      </c>
      <c r="B3446" t="s">
        <v>463</v>
      </c>
      <c r="C3446" t="s">
        <v>464</v>
      </c>
      <c r="D3446" t="s">
        <v>234</v>
      </c>
      <c r="E3446" t="s">
        <v>240</v>
      </c>
      <c r="F3446">
        <v>3</v>
      </c>
      <c r="G3446" t="s">
        <v>488</v>
      </c>
      <c r="H3446" s="4">
        <v>40477406</v>
      </c>
      <c r="I3446" s="4">
        <v>44310539.10306991</v>
      </c>
      <c r="J3446" s="3">
        <v>0.09469809164821257</v>
      </c>
      <c r="K3446" s="3">
        <v>-0.08650612654821757</v>
      </c>
      <c r="L3446" t="s">
        <v>54</v>
      </c>
    </row>
    <row r="3447" spans="1:12" x14ac:dyDescent="0.25">
      <c r="A3447" t="s">
        <v>487</v>
      </c>
      <c r="B3447" t="s">
        <v>463</v>
      </c>
      <c r="C3447" t="s">
        <v>464</v>
      </c>
      <c r="D3447" t="s">
        <v>234</v>
      </c>
      <c r="E3447" t="s">
        <v>240</v>
      </c>
      <c r="F3447">
        <v>3</v>
      </c>
      <c r="G3447" t="s">
        <v>498</v>
      </c>
      <c r="H3447" s="4">
        <v>40477406</v>
      </c>
      <c r="I3447" s="4">
        <v>44417082</v>
      </c>
      <c r="J3447" s="3">
        <v>0.09733024888007892</v>
      </c>
      <c r="K3447" s="3">
        <v>-0.0886973169466648</v>
      </c>
      <c r="L3447" t="s">
        <v>54</v>
      </c>
    </row>
    <row r="3448" spans="1:12" x14ac:dyDescent="0.25">
      <c r="A3448" t="s">
        <v>487</v>
      </c>
      <c r="B3448" t="s">
        <v>463</v>
      </c>
      <c r="C3448" t="s">
        <v>464</v>
      </c>
      <c r="D3448" t="s">
        <v>234</v>
      </c>
      <c r="E3448" t="s">
        <v>240</v>
      </c>
      <c r="F3448">
        <v>3</v>
      </c>
      <c r="G3448" t="s">
        <v>499</v>
      </c>
      <c r="H3448" s="4">
        <v>40477406</v>
      </c>
      <c r="I3448" s="4">
        <v>21583839</v>
      </c>
      <c r="J3448" s="3">
        <v>0.4667682262050093</v>
      </c>
      <c r="K3448" s="3">
        <v>0.8753571132549682</v>
      </c>
      <c r="L3448" t="s">
        <v>54</v>
      </c>
    </row>
    <row r="3449" spans="1:12" x14ac:dyDescent="0.25">
      <c r="A3449" t="s">
        <v>487</v>
      </c>
      <c r="B3449" t="s">
        <v>463</v>
      </c>
      <c r="C3449" t="s">
        <v>464</v>
      </c>
      <c r="D3449" t="s">
        <v>236</v>
      </c>
      <c r="E3449" t="s">
        <v>238</v>
      </c>
      <c r="F3449">
        <v>1</v>
      </c>
      <c r="G3449" t="s">
        <v>488</v>
      </c>
      <c r="H3449" s="4">
        <v>36135958</v>
      </c>
      <c r="I3449" s="4">
        <v>35048560.19263796</v>
      </c>
      <c r="J3449" s="3">
        <v>0.030091849436011696</v>
      </c>
      <c r="K3449" s="3">
        <v>0.03102546299720618</v>
      </c>
      <c r="L3449" t="s">
        <v>54</v>
      </c>
    </row>
    <row r="3450" spans="1:12" x14ac:dyDescent="0.25">
      <c r="A3450" t="s">
        <v>487</v>
      </c>
      <c r="B3450" t="s">
        <v>463</v>
      </c>
      <c r="C3450" t="s">
        <v>464</v>
      </c>
      <c r="D3450" t="s">
        <v>236</v>
      </c>
      <c r="E3450" t="s">
        <v>238</v>
      </c>
      <c r="F3450">
        <v>1</v>
      </c>
      <c r="G3450" t="s">
        <v>498</v>
      </c>
      <c r="H3450" s="4">
        <v>36135958</v>
      </c>
      <c r="I3450" s="4">
        <v>35094596</v>
      </c>
      <c r="J3450" s="3">
        <v>0.028817888265201104</v>
      </c>
      <c r="K3450" s="3">
        <v>0.029673001507126623</v>
      </c>
      <c r="L3450" t="s">
        <v>54</v>
      </c>
    </row>
    <row r="3451" spans="1:12" x14ac:dyDescent="0.25">
      <c r="A3451" t="s">
        <v>487</v>
      </c>
      <c r="B3451" t="s">
        <v>463</v>
      </c>
      <c r="C3451" t="s">
        <v>464</v>
      </c>
      <c r="D3451" t="s">
        <v>236</v>
      </c>
      <c r="E3451" t="s">
        <v>238</v>
      </c>
      <c r="F3451">
        <v>1</v>
      </c>
      <c r="G3451" t="s">
        <v>499</v>
      </c>
      <c r="H3451" s="4">
        <v>36135958</v>
      </c>
      <c r="I3451" s="4">
        <v>33624275</v>
      </c>
      <c r="J3451" s="3">
        <v>0.06950647330285252</v>
      </c>
      <c r="K3451" s="3">
        <v>0.07469850279299703</v>
      </c>
      <c r="L3451" t="s">
        <v>54</v>
      </c>
    </row>
    <row r="3452" spans="1:12" x14ac:dyDescent="0.25">
      <c r="A3452" t="s">
        <v>487</v>
      </c>
      <c r="B3452" t="s">
        <v>463</v>
      </c>
      <c r="C3452" t="s">
        <v>464</v>
      </c>
      <c r="D3452" t="s">
        <v>236</v>
      </c>
      <c r="E3452" t="s">
        <v>240</v>
      </c>
      <c r="F3452">
        <v>2</v>
      </c>
      <c r="G3452" t="s">
        <v>488</v>
      </c>
      <c r="H3452" s="4">
        <v>40477406</v>
      </c>
      <c r="I3452" s="4">
        <v>44358817.2964959</v>
      </c>
      <c r="J3452" s="3">
        <v>0.09589081119713797</v>
      </c>
      <c r="K3452" s="3">
        <v>-0.0875003332607452</v>
      </c>
      <c r="L3452" t="s">
        <v>54</v>
      </c>
    </row>
    <row r="3453" spans="1:12" x14ac:dyDescent="0.25">
      <c r="A3453" t="s">
        <v>487</v>
      </c>
      <c r="B3453" t="s">
        <v>463</v>
      </c>
      <c r="C3453" t="s">
        <v>464</v>
      </c>
      <c r="D3453" t="s">
        <v>236</v>
      </c>
      <c r="E3453" t="s">
        <v>240</v>
      </c>
      <c r="F3453">
        <v>2</v>
      </c>
      <c r="G3453" t="s">
        <v>498</v>
      </c>
      <c r="H3453" s="4">
        <v>40477406</v>
      </c>
      <c r="I3453" s="4">
        <v>44417082</v>
      </c>
      <c r="J3453" s="3">
        <v>0.09733024888007892</v>
      </c>
      <c r="K3453" s="3">
        <v>-0.0886973169466648</v>
      </c>
      <c r="L3453" t="s">
        <v>54</v>
      </c>
    </row>
    <row r="3454" spans="1:12" x14ac:dyDescent="0.25">
      <c r="A3454" t="s">
        <v>487</v>
      </c>
      <c r="B3454" t="s">
        <v>463</v>
      </c>
      <c r="C3454" t="s">
        <v>464</v>
      </c>
      <c r="D3454" t="s">
        <v>236</v>
      </c>
      <c r="E3454" t="s">
        <v>240</v>
      </c>
      <c r="F3454">
        <v>2</v>
      </c>
      <c r="G3454" t="s">
        <v>499</v>
      </c>
      <c r="H3454" s="4">
        <v>40477406</v>
      </c>
      <c r="I3454" s="4">
        <v>33624275</v>
      </c>
      <c r="J3454" s="3">
        <v>0.16930756382955964</v>
      </c>
      <c r="K3454" s="3">
        <v>0.20381498188436778</v>
      </c>
      <c r="L3454" t="s">
        <v>54</v>
      </c>
    </row>
    <row r="3455" spans="1:12" x14ac:dyDescent="0.25">
      <c r="A3455" t="s">
        <v>487</v>
      </c>
      <c r="B3455" t="s">
        <v>463</v>
      </c>
      <c r="C3455" t="s">
        <v>464</v>
      </c>
      <c r="D3455" t="s">
        <v>236</v>
      </c>
      <c r="E3455" t="s">
        <v>242</v>
      </c>
      <c r="F3455">
        <v>3</v>
      </c>
      <c r="G3455" t="s">
        <v>488</v>
      </c>
      <c r="H3455" s="4">
        <v>34301975</v>
      </c>
      <c r="I3455" s="4">
        <v>34095622.86286636</v>
      </c>
      <c r="J3455" s="3">
        <v>0.006015750904536635</v>
      </c>
      <c r="K3455" s="3">
        <v>0.006052159186638052</v>
      </c>
      <c r="L3455" t="s">
        <v>54</v>
      </c>
    </row>
    <row r="3456" spans="1:12" x14ac:dyDescent="0.25">
      <c r="A3456" t="s">
        <v>487</v>
      </c>
      <c r="B3456" t="s">
        <v>463</v>
      </c>
      <c r="C3456" t="s">
        <v>464</v>
      </c>
      <c r="D3456" t="s">
        <v>236</v>
      </c>
      <c r="E3456" t="s">
        <v>242</v>
      </c>
      <c r="F3456">
        <v>3</v>
      </c>
      <c r="G3456" t="s">
        <v>498</v>
      </c>
      <c r="H3456" s="4">
        <v>34301975</v>
      </c>
      <c r="I3456" s="4">
        <v>34140407</v>
      </c>
      <c r="J3456" s="3">
        <v>0.004710166105595961</v>
      </c>
      <c r="K3456" s="3">
        <v>0.0047324567630374174</v>
      </c>
      <c r="L3456" t="s">
        <v>54</v>
      </c>
    </row>
    <row r="3457" spans="1:12" x14ac:dyDescent="0.25">
      <c r="A3457" t="s">
        <v>487</v>
      </c>
      <c r="B3457" t="s">
        <v>463</v>
      </c>
      <c r="C3457" t="s">
        <v>464</v>
      </c>
      <c r="D3457" t="s">
        <v>236</v>
      </c>
      <c r="E3457" t="s">
        <v>242</v>
      </c>
      <c r="F3457">
        <v>3</v>
      </c>
      <c r="G3457" t="s">
        <v>499</v>
      </c>
      <c r="H3457" s="4">
        <v>34301975</v>
      </c>
      <c r="I3457" s="4">
        <v>33624275</v>
      </c>
      <c r="J3457" s="3">
        <v>0.0197568798881114</v>
      </c>
      <c r="K3457" s="3">
        <v>0.020155081410677258</v>
      </c>
      <c r="L3457" t="s">
        <v>54</v>
      </c>
    </row>
    <row r="3458" spans="1:12" x14ac:dyDescent="0.25">
      <c r="A3458" t="s">
        <v>487</v>
      </c>
      <c r="B3458" t="s">
        <v>463</v>
      </c>
      <c r="C3458" t="s">
        <v>464</v>
      </c>
      <c r="D3458" t="s">
        <v>238</v>
      </c>
      <c r="E3458" t="s">
        <v>240</v>
      </c>
      <c r="F3458">
        <v>1</v>
      </c>
      <c r="G3458" t="s">
        <v>488</v>
      </c>
      <c r="H3458" s="4">
        <v>40477406</v>
      </c>
      <c r="I3458" s="4">
        <v>44981645.05360179</v>
      </c>
      <c r="J3458" s="3">
        <v>0.11127785840826328</v>
      </c>
      <c r="K3458" s="3">
        <v>-0.10013504504413677</v>
      </c>
      <c r="L3458" t="s">
        <v>54</v>
      </c>
    </row>
    <row r="3459" spans="1:12" x14ac:dyDescent="0.25">
      <c r="A3459" t="s">
        <v>487</v>
      </c>
      <c r="B3459" t="s">
        <v>463</v>
      </c>
      <c r="C3459" t="s">
        <v>464</v>
      </c>
      <c r="D3459" t="s">
        <v>238</v>
      </c>
      <c r="E3459" t="s">
        <v>240</v>
      </c>
      <c r="F3459">
        <v>1</v>
      </c>
      <c r="G3459" t="s">
        <v>498</v>
      </c>
      <c r="H3459" s="4">
        <v>40477406</v>
      </c>
      <c r="I3459" s="4">
        <v>44417082</v>
      </c>
      <c r="J3459" s="3">
        <v>0.09733024888007892</v>
      </c>
      <c r="K3459" s="3">
        <v>-0.0886973169466648</v>
      </c>
      <c r="L3459" t="s">
        <v>54</v>
      </c>
    </row>
    <row r="3460" spans="1:12" x14ac:dyDescent="0.25">
      <c r="A3460" t="s">
        <v>487</v>
      </c>
      <c r="B3460" t="s">
        <v>463</v>
      </c>
      <c r="C3460" t="s">
        <v>464</v>
      </c>
      <c r="D3460" t="s">
        <v>238</v>
      </c>
      <c r="E3460" t="s">
        <v>240</v>
      </c>
      <c r="F3460">
        <v>1</v>
      </c>
      <c r="G3460" t="s">
        <v>499</v>
      </c>
      <c r="H3460" s="4">
        <v>40477406</v>
      </c>
      <c r="I3460" s="4">
        <v>36135958</v>
      </c>
      <c r="J3460" s="3">
        <v>0.1072560825661605</v>
      </c>
      <c r="K3460" s="3">
        <v>0.12014204798444807</v>
      </c>
      <c r="L3460" t="s">
        <v>54</v>
      </c>
    </row>
    <row r="3461" spans="1:12" x14ac:dyDescent="0.25">
      <c r="A3461" t="s">
        <v>487</v>
      </c>
      <c r="B3461" t="s">
        <v>463</v>
      </c>
      <c r="C3461" t="s">
        <v>464</v>
      </c>
      <c r="D3461" t="s">
        <v>238</v>
      </c>
      <c r="E3461" t="s">
        <v>242</v>
      </c>
      <c r="F3461">
        <v>2</v>
      </c>
      <c r="G3461" t="s">
        <v>488</v>
      </c>
      <c r="H3461" s="4">
        <v>34301975</v>
      </c>
      <c r="I3461" s="4">
        <v>34574348.43782628</v>
      </c>
      <c r="J3461" s="3">
        <v>0.007940459341664242</v>
      </c>
      <c r="K3461" s="3">
        <v>-0.007877905156074942</v>
      </c>
      <c r="L3461" t="s">
        <v>54</v>
      </c>
    </row>
    <row r="3462" spans="1:12" x14ac:dyDescent="0.25">
      <c r="A3462" t="s">
        <v>487</v>
      </c>
      <c r="B3462" t="s">
        <v>463</v>
      </c>
      <c r="C3462" t="s">
        <v>464</v>
      </c>
      <c r="D3462" t="s">
        <v>238</v>
      </c>
      <c r="E3462" t="s">
        <v>242</v>
      </c>
      <c r="F3462">
        <v>2</v>
      </c>
      <c r="G3462" t="s">
        <v>498</v>
      </c>
      <c r="H3462" s="4">
        <v>34301975</v>
      </c>
      <c r="I3462" s="4">
        <v>34140407</v>
      </c>
      <c r="J3462" s="3">
        <v>0.004710166105595961</v>
      </c>
      <c r="K3462" s="3">
        <v>0.0047324567630374174</v>
      </c>
      <c r="L3462" t="s">
        <v>54</v>
      </c>
    </row>
    <row r="3463" spans="1:12" x14ac:dyDescent="0.25">
      <c r="A3463" t="s">
        <v>487</v>
      </c>
      <c r="B3463" t="s">
        <v>463</v>
      </c>
      <c r="C3463" t="s">
        <v>464</v>
      </c>
      <c r="D3463" t="s">
        <v>238</v>
      </c>
      <c r="E3463" t="s">
        <v>242</v>
      </c>
      <c r="F3463">
        <v>2</v>
      </c>
      <c r="G3463" t="s">
        <v>499</v>
      </c>
      <c r="H3463" s="4">
        <v>34301975</v>
      </c>
      <c r="I3463" s="4">
        <v>36135958</v>
      </c>
      <c r="J3463" s="3">
        <v>0.05346581355738263</v>
      </c>
      <c r="K3463" s="3">
        <v>-0.05075230052016332</v>
      </c>
      <c r="L3463" t="s">
        <v>54</v>
      </c>
    </row>
    <row r="3464" spans="1:12" x14ac:dyDescent="0.25">
      <c r="A3464" t="s">
        <v>487</v>
      </c>
      <c r="B3464" t="s">
        <v>463</v>
      </c>
      <c r="C3464" t="s">
        <v>464</v>
      </c>
      <c r="D3464" t="s">
        <v>238</v>
      </c>
      <c r="E3464" t="s">
        <v>244</v>
      </c>
      <c r="F3464">
        <v>3</v>
      </c>
      <c r="G3464" t="s">
        <v>488</v>
      </c>
      <c r="H3464" s="4">
        <v>27594916</v>
      </c>
      <c r="I3464" s="4">
        <v>29930419.65005644</v>
      </c>
      <c r="J3464" s="3">
        <v>0.08463528753109596</v>
      </c>
      <c r="K3464" s="3">
        <v>-0.07803110271633082</v>
      </c>
      <c r="L3464" t="s">
        <v>54</v>
      </c>
    </row>
    <row r="3465" spans="1:12" x14ac:dyDescent="0.25">
      <c r="A3465" t="s">
        <v>487</v>
      </c>
      <c r="B3465" t="s">
        <v>463</v>
      </c>
      <c r="C3465" t="s">
        <v>464</v>
      </c>
      <c r="D3465" t="s">
        <v>238</v>
      </c>
      <c r="E3465" t="s">
        <v>244</v>
      </c>
      <c r="F3465">
        <v>3</v>
      </c>
      <c r="G3465" t="s">
        <v>498</v>
      </c>
      <c r="H3465" s="4">
        <v>27594916</v>
      </c>
      <c r="I3465" s="4">
        <v>29554764</v>
      </c>
      <c r="J3465" s="3">
        <v>0.071022067978029</v>
      </c>
      <c r="K3465" s="3">
        <v>-0.0663124225928517</v>
      </c>
      <c r="L3465" t="s">
        <v>54</v>
      </c>
    </row>
    <row r="3466" spans="1:12" x14ac:dyDescent="0.25">
      <c r="A3466" t="s">
        <v>487</v>
      </c>
      <c r="B3466" t="s">
        <v>463</v>
      </c>
      <c r="C3466" t="s">
        <v>464</v>
      </c>
      <c r="D3466" t="s">
        <v>238</v>
      </c>
      <c r="E3466" t="s">
        <v>244</v>
      </c>
      <c r="F3466">
        <v>3</v>
      </c>
      <c r="G3466" t="s">
        <v>499</v>
      </c>
      <c r="H3466" s="4">
        <v>27594916</v>
      </c>
      <c r="I3466" s="4">
        <v>36135958</v>
      </c>
      <c r="J3466" s="3">
        <v>0.30951505704891435</v>
      </c>
      <c r="K3466" s="3">
        <v>-0.23635853240697258</v>
      </c>
      <c r="L3466" t="s">
        <v>54</v>
      </c>
    </row>
    <row r="3467" spans="1:12" x14ac:dyDescent="0.25">
      <c r="A3467" t="s">
        <v>487</v>
      </c>
      <c r="B3467" t="s">
        <v>463</v>
      </c>
      <c r="C3467" t="s">
        <v>464</v>
      </c>
      <c r="D3467" t="s">
        <v>240</v>
      </c>
      <c r="E3467" t="s">
        <v>242</v>
      </c>
      <c r="F3467">
        <v>1</v>
      </c>
      <c r="G3467" t="s">
        <v>488</v>
      </c>
      <c r="H3467" s="4">
        <v>34301975</v>
      </c>
      <c r="I3467" s="4">
        <v>34073169.88727055</v>
      </c>
      <c r="J3467" s="3">
        <v>0.006670318916897716</v>
      </c>
      <c r="K3467" s="3">
        <v>0.006715110847814962</v>
      </c>
      <c r="L3467" t="s">
        <v>54</v>
      </c>
    </row>
    <row r="3468" spans="1:12" x14ac:dyDescent="0.25">
      <c r="A3468" t="s">
        <v>487</v>
      </c>
      <c r="B3468" t="s">
        <v>463</v>
      </c>
      <c r="C3468" t="s">
        <v>464</v>
      </c>
      <c r="D3468" t="s">
        <v>240</v>
      </c>
      <c r="E3468" t="s">
        <v>242</v>
      </c>
      <c r="F3468">
        <v>1</v>
      </c>
      <c r="G3468" t="s">
        <v>498</v>
      </c>
      <c r="H3468" s="4">
        <v>34301975</v>
      </c>
      <c r="I3468" s="4">
        <v>34140407</v>
      </c>
      <c r="J3468" s="3">
        <v>0.004710166105595961</v>
      </c>
      <c r="K3468" s="3">
        <v>0.0047324567630374174</v>
      </c>
      <c r="L3468" t="s">
        <v>54</v>
      </c>
    </row>
    <row r="3469" spans="1:12" x14ac:dyDescent="0.25">
      <c r="A3469" t="s">
        <v>487</v>
      </c>
      <c r="B3469" t="s">
        <v>463</v>
      </c>
      <c r="C3469" t="s">
        <v>464</v>
      </c>
      <c r="D3469" t="s">
        <v>240</v>
      </c>
      <c r="E3469" t="s">
        <v>242</v>
      </c>
      <c r="F3469">
        <v>1</v>
      </c>
      <c r="G3469" t="s">
        <v>499</v>
      </c>
      <c r="H3469" s="4">
        <v>34301975</v>
      </c>
      <c r="I3469" s="4">
        <v>40477406</v>
      </c>
      <c r="J3469" s="3">
        <v>0.18003135387976932</v>
      </c>
      <c r="K3469" s="3">
        <v>-0.15256489015131058</v>
      </c>
      <c r="L3469" t="s">
        <v>54</v>
      </c>
    </row>
    <row r="3470" spans="1:12" x14ac:dyDescent="0.25">
      <c r="A3470" t="s">
        <v>487</v>
      </c>
      <c r="B3470" t="s">
        <v>463</v>
      </c>
      <c r="C3470" t="s">
        <v>464</v>
      </c>
      <c r="D3470" t="s">
        <v>240</v>
      </c>
      <c r="E3470" t="s">
        <v>244</v>
      </c>
      <c r="F3470">
        <v>2</v>
      </c>
      <c r="G3470" t="s">
        <v>488</v>
      </c>
      <c r="H3470" s="4">
        <v>27594916</v>
      </c>
      <c r="I3470" s="4">
        <v>29496557.986265004</v>
      </c>
      <c r="J3470" s="3">
        <v>0.06891276589734877</v>
      </c>
      <c r="K3470" s="3">
        <v>-0.06446996246648502</v>
      </c>
      <c r="L3470" t="s">
        <v>54</v>
      </c>
    </row>
    <row r="3471" spans="1:12" x14ac:dyDescent="0.25">
      <c r="A3471" t="s">
        <v>487</v>
      </c>
      <c r="B3471" t="s">
        <v>463</v>
      </c>
      <c r="C3471" t="s">
        <v>464</v>
      </c>
      <c r="D3471" t="s">
        <v>240</v>
      </c>
      <c r="E3471" t="s">
        <v>244</v>
      </c>
      <c r="F3471">
        <v>2</v>
      </c>
      <c r="G3471" t="s">
        <v>498</v>
      </c>
      <c r="H3471" s="4">
        <v>27594916</v>
      </c>
      <c r="I3471" s="4">
        <v>29554764</v>
      </c>
      <c r="J3471" s="3">
        <v>0.071022067978029</v>
      </c>
      <c r="K3471" s="3">
        <v>-0.0663124225928517</v>
      </c>
      <c r="L3471" t="s">
        <v>54</v>
      </c>
    </row>
    <row r="3472" spans="1:12" x14ac:dyDescent="0.25">
      <c r="A3472" t="s">
        <v>487</v>
      </c>
      <c r="B3472" t="s">
        <v>463</v>
      </c>
      <c r="C3472" t="s">
        <v>464</v>
      </c>
      <c r="D3472" t="s">
        <v>240</v>
      </c>
      <c r="E3472" t="s">
        <v>244</v>
      </c>
      <c r="F3472">
        <v>2</v>
      </c>
      <c r="G3472" t="s">
        <v>499</v>
      </c>
      <c r="H3472" s="4">
        <v>27594916</v>
      </c>
      <c r="I3472" s="4">
        <v>40477406</v>
      </c>
      <c r="J3472" s="3">
        <v>0.4668428778692423</v>
      </c>
      <c r="K3472" s="3">
        <v>-0.3182637247060743</v>
      </c>
      <c r="L3472" t="s">
        <v>54</v>
      </c>
    </row>
    <row r="3473" spans="1:12" x14ac:dyDescent="0.25">
      <c r="A3473" t="s">
        <v>487</v>
      </c>
      <c r="B3473" t="s">
        <v>463</v>
      </c>
      <c r="C3473" t="s">
        <v>464</v>
      </c>
      <c r="D3473" t="s">
        <v>240</v>
      </c>
      <c r="E3473" t="s">
        <v>246</v>
      </c>
      <c r="F3473">
        <v>3</v>
      </c>
      <c r="G3473" t="s">
        <v>488</v>
      </c>
      <c r="H3473" s="4">
        <v>29871876</v>
      </c>
      <c r="I3473" s="4">
        <v>34524852.574842535</v>
      </c>
      <c r="J3473" s="3">
        <v>0.1557644580086813</v>
      </c>
      <c r="K3473" s="3">
        <v>-0.13477180140757652</v>
      </c>
      <c r="L3473" t="s">
        <v>54</v>
      </c>
    </row>
    <row r="3474" spans="1:12" x14ac:dyDescent="0.25">
      <c r="A3474" t="s">
        <v>487</v>
      </c>
      <c r="B3474" t="s">
        <v>463</v>
      </c>
      <c r="C3474" t="s">
        <v>464</v>
      </c>
      <c r="D3474" t="s">
        <v>240</v>
      </c>
      <c r="E3474" t="s">
        <v>246</v>
      </c>
      <c r="F3474">
        <v>3</v>
      </c>
      <c r="G3474" t="s">
        <v>498</v>
      </c>
      <c r="H3474" s="4">
        <v>29871876</v>
      </c>
      <c r="I3474" s="4">
        <v>34592981</v>
      </c>
      <c r="J3474" s="3">
        <v>0.15804514587567248</v>
      </c>
      <c r="K3474" s="3">
        <v>-0.13647580704305304</v>
      </c>
      <c r="L3474" t="s">
        <v>54</v>
      </c>
    </row>
    <row r="3475" spans="1:12" x14ac:dyDescent="0.25">
      <c r="A3475" t="s">
        <v>487</v>
      </c>
      <c r="B3475" t="s">
        <v>463</v>
      </c>
      <c r="C3475" t="s">
        <v>464</v>
      </c>
      <c r="D3475" t="s">
        <v>240</v>
      </c>
      <c r="E3475" t="s">
        <v>246</v>
      </c>
      <c r="F3475">
        <v>3</v>
      </c>
      <c r="G3475" t="s">
        <v>499</v>
      </c>
      <c r="H3475" s="4">
        <v>29871876</v>
      </c>
      <c r="I3475" s="4">
        <v>40477406</v>
      </c>
      <c r="J3475" s="3">
        <v>0.3550339456417133</v>
      </c>
      <c r="K3475" s="3">
        <v>-0.26201110812288714</v>
      </c>
      <c r="L3475" t="s">
        <v>54</v>
      </c>
    </row>
    <row r="3476" spans="1:12" x14ac:dyDescent="0.25">
      <c r="A3476" t="s">
        <v>487</v>
      </c>
      <c r="B3476" t="s">
        <v>463</v>
      </c>
      <c r="C3476" t="s">
        <v>464</v>
      </c>
      <c r="D3476" t="s">
        <v>242</v>
      </c>
      <c r="E3476" t="s">
        <v>244</v>
      </c>
      <c r="F3476">
        <v>1</v>
      </c>
      <c r="G3476" t="s">
        <v>488</v>
      </c>
      <c r="H3476" s="4">
        <v>27594916</v>
      </c>
      <c r="I3476" s="4">
        <v>29335692.68312737</v>
      </c>
      <c r="J3476" s="3">
        <v>0.06308323906937675</v>
      </c>
      <c r="K3476" s="3">
        <v>-0.0593398868037839</v>
      </c>
      <c r="L3476" t="s">
        <v>54</v>
      </c>
    </row>
    <row r="3477" spans="1:12" x14ac:dyDescent="0.25">
      <c r="A3477" t="s">
        <v>487</v>
      </c>
      <c r="B3477" t="s">
        <v>463</v>
      </c>
      <c r="C3477" t="s">
        <v>464</v>
      </c>
      <c r="D3477" t="s">
        <v>242</v>
      </c>
      <c r="E3477" t="s">
        <v>244</v>
      </c>
      <c r="F3477">
        <v>1</v>
      </c>
      <c r="G3477" t="s">
        <v>498</v>
      </c>
      <c r="H3477" s="4">
        <v>27594916</v>
      </c>
      <c r="I3477" s="4">
        <v>29554764</v>
      </c>
      <c r="J3477" s="3">
        <v>0.071022067978029</v>
      </c>
      <c r="K3477" s="3">
        <v>-0.0663124225928517</v>
      </c>
      <c r="L3477" t="s">
        <v>54</v>
      </c>
    </row>
    <row r="3478" spans="1:12" x14ac:dyDescent="0.25">
      <c r="A3478" t="s">
        <v>487</v>
      </c>
      <c r="B3478" t="s">
        <v>463</v>
      </c>
      <c r="C3478" t="s">
        <v>464</v>
      </c>
      <c r="D3478" t="s">
        <v>242</v>
      </c>
      <c r="E3478" t="s">
        <v>244</v>
      </c>
      <c r="F3478">
        <v>1</v>
      </c>
      <c r="G3478" t="s">
        <v>499</v>
      </c>
      <c r="H3478" s="4">
        <v>27594916</v>
      </c>
      <c r="I3478" s="4">
        <v>34301975</v>
      </c>
      <c r="J3478" s="3">
        <v>0.24305415533788904</v>
      </c>
      <c r="K3478" s="3">
        <v>-0.19552982007595773</v>
      </c>
      <c r="L3478" t="s">
        <v>54</v>
      </c>
    </row>
    <row r="3479" spans="1:12" x14ac:dyDescent="0.25">
      <c r="A3479" t="s">
        <v>487</v>
      </c>
      <c r="B3479" t="s">
        <v>463</v>
      </c>
      <c r="C3479" t="s">
        <v>464</v>
      </c>
      <c r="D3479" t="s">
        <v>242</v>
      </c>
      <c r="E3479" t="s">
        <v>246</v>
      </c>
      <c r="F3479">
        <v>2</v>
      </c>
      <c r="G3479" t="s">
        <v>488</v>
      </c>
      <c r="H3479" s="4">
        <v>29871876</v>
      </c>
      <c r="I3479" s="4">
        <v>34336564.47431839</v>
      </c>
      <c r="J3479" s="3">
        <v>0.14946126832872475</v>
      </c>
      <c r="K3479" s="3">
        <v>-0.13002723314552045</v>
      </c>
      <c r="L3479" t="s">
        <v>54</v>
      </c>
    </row>
    <row r="3480" spans="1:12" x14ac:dyDescent="0.25">
      <c r="A3480" t="s">
        <v>487</v>
      </c>
      <c r="B3480" t="s">
        <v>463</v>
      </c>
      <c r="C3480" t="s">
        <v>464</v>
      </c>
      <c r="D3480" t="s">
        <v>242</v>
      </c>
      <c r="E3480" t="s">
        <v>246</v>
      </c>
      <c r="F3480">
        <v>2</v>
      </c>
      <c r="G3480" t="s">
        <v>498</v>
      </c>
      <c r="H3480" s="4">
        <v>29871876</v>
      </c>
      <c r="I3480" s="4">
        <v>34592981</v>
      </c>
      <c r="J3480" s="3">
        <v>0.15804514587567248</v>
      </c>
      <c r="K3480" s="3">
        <v>-0.13647580704305304</v>
      </c>
      <c r="L3480" t="s">
        <v>54</v>
      </c>
    </row>
    <row r="3481" spans="1:12" x14ac:dyDescent="0.25">
      <c r="A3481" t="s">
        <v>487</v>
      </c>
      <c r="B3481" t="s">
        <v>463</v>
      </c>
      <c r="C3481" t="s">
        <v>464</v>
      </c>
      <c r="D3481" t="s">
        <v>242</v>
      </c>
      <c r="E3481" t="s">
        <v>246</v>
      </c>
      <c r="F3481">
        <v>2</v>
      </c>
      <c r="G3481" t="s">
        <v>499</v>
      </c>
      <c r="H3481" s="4">
        <v>29871876</v>
      </c>
      <c r="I3481" s="4">
        <v>34301975</v>
      </c>
      <c r="J3481" s="3">
        <v>0.14830334057358835</v>
      </c>
      <c r="K3481" s="3">
        <v>-0.1291499687700198</v>
      </c>
      <c r="L3481" t="s">
        <v>54</v>
      </c>
    </row>
    <row r="3482" spans="1:12" x14ac:dyDescent="0.25">
      <c r="A3482" t="s">
        <v>487</v>
      </c>
      <c r="B3482" t="s">
        <v>463</v>
      </c>
      <c r="C3482" t="s">
        <v>464</v>
      </c>
      <c r="D3482" t="s">
        <v>242</v>
      </c>
      <c r="E3482" t="s">
        <v>248</v>
      </c>
      <c r="F3482">
        <v>3</v>
      </c>
      <c r="G3482" t="s">
        <v>488</v>
      </c>
      <c r="H3482" s="4">
        <v>29668648</v>
      </c>
      <c r="I3482" s="4">
        <v>27464229.284645047</v>
      </c>
      <c r="J3482" s="3">
        <v>0.07430128650806579</v>
      </c>
      <c r="K3482" s="3">
        <v>0.08026508563221978</v>
      </c>
      <c r="L3482" t="s">
        <v>54</v>
      </c>
    </row>
    <row r="3483" spans="1:12" x14ac:dyDescent="0.25">
      <c r="A3483" t="s">
        <v>487</v>
      </c>
      <c r="B3483" t="s">
        <v>463</v>
      </c>
      <c r="C3483" t="s">
        <v>464</v>
      </c>
      <c r="D3483" t="s">
        <v>242</v>
      </c>
      <c r="E3483" t="s">
        <v>248</v>
      </c>
      <c r="F3483">
        <v>3</v>
      </c>
      <c r="G3483" t="s">
        <v>498</v>
      </c>
      <c r="H3483" s="4">
        <v>29668648</v>
      </c>
      <c r="I3483" s="4">
        <v>27669325</v>
      </c>
      <c r="J3483" s="3">
        <v>0.06738840947521438</v>
      </c>
      <c r="K3483" s="3">
        <v>0.07225774390954603</v>
      </c>
      <c r="L3483" t="s">
        <v>54</v>
      </c>
    </row>
    <row r="3484" spans="1:12" x14ac:dyDescent="0.25">
      <c r="A3484" t="s">
        <v>487</v>
      </c>
      <c r="B3484" t="s">
        <v>463</v>
      </c>
      <c r="C3484" t="s">
        <v>464</v>
      </c>
      <c r="D3484" t="s">
        <v>242</v>
      </c>
      <c r="E3484" t="s">
        <v>248</v>
      </c>
      <c r="F3484">
        <v>3</v>
      </c>
      <c r="G3484" t="s">
        <v>499</v>
      </c>
      <c r="H3484" s="4">
        <v>29668648</v>
      </c>
      <c r="I3484" s="4">
        <v>34301975</v>
      </c>
      <c r="J3484" s="3">
        <v>0.15616913180539943</v>
      </c>
      <c r="K3484" s="3">
        <v>-0.1350746422035466</v>
      </c>
      <c r="L3484" t="s">
        <v>54</v>
      </c>
    </row>
    <row r="3485" spans="1:12" x14ac:dyDescent="0.25">
      <c r="A3485" t="s">
        <v>487</v>
      </c>
      <c r="B3485" t="s">
        <v>463</v>
      </c>
      <c r="C3485" t="s">
        <v>464</v>
      </c>
      <c r="D3485" t="s">
        <v>244</v>
      </c>
      <c r="E3485" t="s">
        <v>246</v>
      </c>
      <c r="F3485">
        <v>1</v>
      </c>
      <c r="G3485" t="s">
        <v>488</v>
      </c>
      <c r="H3485" s="4">
        <v>29871876</v>
      </c>
      <c r="I3485" s="4">
        <v>33754090.69277424</v>
      </c>
      <c r="J3485" s="3">
        <v>0.12996219898523426</v>
      </c>
      <c r="K3485" s="3">
        <v>-0.11501464305792457</v>
      </c>
      <c r="L3485" t="s">
        <v>54</v>
      </c>
    </row>
    <row r="3486" spans="1:12" x14ac:dyDescent="0.25">
      <c r="A3486" t="s">
        <v>487</v>
      </c>
      <c r="B3486" t="s">
        <v>463</v>
      </c>
      <c r="C3486" t="s">
        <v>464</v>
      </c>
      <c r="D3486" t="s">
        <v>244</v>
      </c>
      <c r="E3486" t="s">
        <v>246</v>
      </c>
      <c r="F3486">
        <v>1</v>
      </c>
      <c r="G3486" t="s">
        <v>498</v>
      </c>
      <c r="H3486" s="4">
        <v>29871876</v>
      </c>
      <c r="I3486" s="4">
        <v>34592981</v>
      </c>
      <c r="J3486" s="3">
        <v>0.15804514587567248</v>
      </c>
      <c r="K3486" s="3">
        <v>-0.13647580704305304</v>
      </c>
      <c r="L3486" t="s">
        <v>54</v>
      </c>
    </row>
    <row r="3487" spans="1:12" x14ac:dyDescent="0.25">
      <c r="A3487" t="s">
        <v>487</v>
      </c>
      <c r="B3487" t="s">
        <v>463</v>
      </c>
      <c r="C3487" t="s">
        <v>464</v>
      </c>
      <c r="D3487" t="s">
        <v>244</v>
      </c>
      <c r="E3487" t="s">
        <v>246</v>
      </c>
      <c r="F3487">
        <v>1</v>
      </c>
      <c r="G3487" t="s">
        <v>499</v>
      </c>
      <c r="H3487" s="4">
        <v>29871876</v>
      </c>
      <c r="I3487" s="4">
        <v>27594916</v>
      </c>
      <c r="J3487" s="3">
        <v>0.07622420500138659</v>
      </c>
      <c r="K3487" s="3">
        <v>0.08251374999655733</v>
      </c>
      <c r="L3487" t="s">
        <v>54</v>
      </c>
    </row>
    <row r="3488" spans="1:12" x14ac:dyDescent="0.25">
      <c r="A3488" t="s">
        <v>487</v>
      </c>
      <c r="B3488" t="s">
        <v>463</v>
      </c>
      <c r="C3488" t="s">
        <v>464</v>
      </c>
      <c r="D3488" t="s">
        <v>244</v>
      </c>
      <c r="E3488" t="s">
        <v>248</v>
      </c>
      <c r="F3488">
        <v>2</v>
      </c>
      <c r="G3488" t="s">
        <v>488</v>
      </c>
      <c r="H3488" s="4">
        <v>29668648</v>
      </c>
      <c r="I3488" s="4">
        <v>26998335.455907825</v>
      </c>
      <c r="J3488" s="3">
        <v>0.09000452410545215</v>
      </c>
      <c r="K3488" s="3">
        <v>0.0989065621639223</v>
      </c>
      <c r="L3488" t="s">
        <v>54</v>
      </c>
    </row>
    <row r="3489" spans="1:12" x14ac:dyDescent="0.25">
      <c r="A3489" t="s">
        <v>487</v>
      </c>
      <c r="B3489" t="s">
        <v>463</v>
      </c>
      <c r="C3489" t="s">
        <v>464</v>
      </c>
      <c r="D3489" t="s">
        <v>244</v>
      </c>
      <c r="E3489" t="s">
        <v>248</v>
      </c>
      <c r="F3489">
        <v>2</v>
      </c>
      <c r="G3489" t="s">
        <v>498</v>
      </c>
      <c r="H3489" s="4">
        <v>29668648</v>
      </c>
      <c r="I3489" s="4">
        <v>27669325</v>
      </c>
      <c r="J3489" s="3">
        <v>0.06738840947521438</v>
      </c>
      <c r="K3489" s="3">
        <v>0.07225774390954603</v>
      </c>
      <c r="L3489" t="s">
        <v>54</v>
      </c>
    </row>
    <row r="3490" spans="1:12" x14ac:dyDescent="0.25">
      <c r="A3490" t="s">
        <v>487</v>
      </c>
      <c r="B3490" t="s">
        <v>463</v>
      </c>
      <c r="C3490" t="s">
        <v>464</v>
      </c>
      <c r="D3490" t="s">
        <v>244</v>
      </c>
      <c r="E3490" t="s">
        <v>248</v>
      </c>
      <c r="F3490">
        <v>2</v>
      </c>
      <c r="G3490" t="s">
        <v>499</v>
      </c>
      <c r="H3490" s="4">
        <v>29668648</v>
      </c>
      <c r="I3490" s="4">
        <v>27594916</v>
      </c>
      <c r="J3490" s="3">
        <v>0.06989641051388658</v>
      </c>
      <c r="K3490" s="3">
        <v>0.07514906006599187</v>
      </c>
      <c r="L3490" t="s">
        <v>54</v>
      </c>
    </row>
    <row r="3491" spans="1:12" x14ac:dyDescent="0.25">
      <c r="A3491" t="s">
        <v>487</v>
      </c>
      <c r="B3491" t="s">
        <v>463</v>
      </c>
      <c r="C3491" t="s">
        <v>464</v>
      </c>
      <c r="D3491" t="s">
        <v>244</v>
      </c>
      <c r="E3491" t="s">
        <v>250</v>
      </c>
      <c r="F3491">
        <v>3</v>
      </c>
      <c r="G3491" t="s">
        <v>488</v>
      </c>
      <c r="H3491" s="4">
        <v>21688024</v>
      </c>
      <c r="I3491" s="4">
        <v>24092023.029282093</v>
      </c>
      <c r="J3491" s="3">
        <v>0.11084453933111163</v>
      </c>
      <c r="K3491" s="3">
        <v>-0.09978402504265449</v>
      </c>
      <c r="L3491" t="s">
        <v>54</v>
      </c>
    </row>
    <row r="3492" spans="1:12" x14ac:dyDescent="0.25">
      <c r="A3492" t="s">
        <v>487</v>
      </c>
      <c r="B3492" t="s">
        <v>463</v>
      </c>
      <c r="C3492" t="s">
        <v>464</v>
      </c>
      <c r="D3492" t="s">
        <v>244</v>
      </c>
      <c r="E3492" t="s">
        <v>250</v>
      </c>
      <c r="F3492">
        <v>3</v>
      </c>
      <c r="G3492" t="s">
        <v>498</v>
      </c>
      <c r="H3492" s="4">
        <v>21688024</v>
      </c>
      <c r="I3492" s="4">
        <v>24690782</v>
      </c>
      <c r="J3492" s="3">
        <v>0.1384523550877664</v>
      </c>
      <c r="K3492" s="3">
        <v>-0.12161453614551374</v>
      </c>
      <c r="L3492" t="s">
        <v>54</v>
      </c>
    </row>
    <row r="3493" spans="1:12" x14ac:dyDescent="0.25">
      <c r="A3493" t="s">
        <v>487</v>
      </c>
      <c r="B3493" t="s">
        <v>463</v>
      </c>
      <c r="C3493" t="s">
        <v>464</v>
      </c>
      <c r="D3493" t="s">
        <v>244</v>
      </c>
      <c r="E3493" t="s">
        <v>250</v>
      </c>
      <c r="F3493">
        <v>3</v>
      </c>
      <c r="G3493" t="s">
        <v>499</v>
      </c>
      <c r="H3493" s="4">
        <v>21688024</v>
      </c>
      <c r="I3493" s="4">
        <v>27594916</v>
      </c>
      <c r="J3493" s="3">
        <v>0.27235731572410654</v>
      </c>
      <c r="K3493" s="3">
        <v>-0.2140572560539775</v>
      </c>
      <c r="L3493" t="s">
        <v>54</v>
      </c>
    </row>
    <row r="3494" spans="1:12" x14ac:dyDescent="0.25">
      <c r="A3494" t="s">
        <v>487</v>
      </c>
      <c r="B3494" t="s">
        <v>463</v>
      </c>
      <c r="C3494" t="s">
        <v>464</v>
      </c>
      <c r="D3494" t="s">
        <v>246</v>
      </c>
      <c r="E3494" t="s">
        <v>248</v>
      </c>
      <c r="F3494">
        <v>1</v>
      </c>
      <c r="G3494" t="s">
        <v>488</v>
      </c>
      <c r="H3494" s="4">
        <v>29668648</v>
      </c>
      <c r="I3494" s="4">
        <v>26999088.227475874</v>
      </c>
      <c r="J3494" s="3">
        <v>0.0899791514774831</v>
      </c>
      <c r="K3494" s="3">
        <v>0.09887592314348688</v>
      </c>
      <c r="L3494" t="s">
        <v>54</v>
      </c>
    </row>
    <row r="3495" spans="1:12" x14ac:dyDescent="0.25">
      <c r="A3495" t="s">
        <v>487</v>
      </c>
      <c r="B3495" t="s">
        <v>463</v>
      </c>
      <c r="C3495" t="s">
        <v>464</v>
      </c>
      <c r="D3495" t="s">
        <v>246</v>
      </c>
      <c r="E3495" t="s">
        <v>248</v>
      </c>
      <c r="F3495">
        <v>1</v>
      </c>
      <c r="G3495" t="s">
        <v>498</v>
      </c>
      <c r="H3495" s="4">
        <v>29668648</v>
      </c>
      <c r="I3495" s="4">
        <v>27669325</v>
      </c>
      <c r="J3495" s="3">
        <v>0.06738840947521438</v>
      </c>
      <c r="K3495" s="3">
        <v>0.07225774390954603</v>
      </c>
      <c r="L3495" t="s">
        <v>54</v>
      </c>
    </row>
    <row r="3496" spans="1:12" x14ac:dyDescent="0.25">
      <c r="A3496" t="s">
        <v>487</v>
      </c>
      <c r="B3496" t="s">
        <v>463</v>
      </c>
      <c r="C3496" t="s">
        <v>464</v>
      </c>
      <c r="D3496" t="s">
        <v>246</v>
      </c>
      <c r="E3496" t="s">
        <v>248</v>
      </c>
      <c r="F3496">
        <v>1</v>
      </c>
      <c r="G3496" t="s">
        <v>499</v>
      </c>
      <c r="H3496" s="4">
        <v>29668648</v>
      </c>
      <c r="I3496" s="4">
        <v>29871876</v>
      </c>
      <c r="J3496" s="3">
        <v>0.00684992453987118</v>
      </c>
      <c r="K3496" s="3">
        <v>-0.006803322295526401</v>
      </c>
      <c r="L3496" t="s">
        <v>54</v>
      </c>
    </row>
    <row r="3497" spans="1:12" x14ac:dyDescent="0.25">
      <c r="A3497" t="s">
        <v>487</v>
      </c>
      <c r="B3497" t="s">
        <v>463</v>
      </c>
      <c r="C3497" t="s">
        <v>464</v>
      </c>
      <c r="D3497" t="s">
        <v>246</v>
      </c>
      <c r="E3497" t="s">
        <v>250</v>
      </c>
      <c r="F3497">
        <v>2</v>
      </c>
      <c r="G3497" t="s">
        <v>488</v>
      </c>
      <c r="H3497" s="4">
        <v>21688024</v>
      </c>
      <c r="I3497" s="4">
        <v>24092694.766618747</v>
      </c>
      <c r="J3497" s="3">
        <v>0.1108755120622675</v>
      </c>
      <c r="K3497" s="3">
        <v>-0.09980912429731609</v>
      </c>
      <c r="L3497" t="s">
        <v>54</v>
      </c>
    </row>
    <row r="3498" spans="1:12" x14ac:dyDescent="0.25">
      <c r="A3498" t="s">
        <v>487</v>
      </c>
      <c r="B3498" t="s">
        <v>463</v>
      </c>
      <c r="C3498" t="s">
        <v>464</v>
      </c>
      <c r="D3498" t="s">
        <v>246</v>
      </c>
      <c r="E3498" t="s">
        <v>250</v>
      </c>
      <c r="F3498">
        <v>2</v>
      </c>
      <c r="G3498" t="s">
        <v>498</v>
      </c>
      <c r="H3498" s="4">
        <v>21688024</v>
      </c>
      <c r="I3498" s="4">
        <v>24690782</v>
      </c>
      <c r="J3498" s="3">
        <v>0.1384523550877664</v>
      </c>
      <c r="K3498" s="3">
        <v>-0.12161453614551374</v>
      </c>
      <c r="L3498" t="s">
        <v>54</v>
      </c>
    </row>
    <row r="3499" spans="1:12" x14ac:dyDescent="0.25">
      <c r="A3499" t="s">
        <v>487</v>
      </c>
      <c r="B3499" t="s">
        <v>463</v>
      </c>
      <c r="C3499" t="s">
        <v>464</v>
      </c>
      <c r="D3499" t="s">
        <v>246</v>
      </c>
      <c r="E3499" t="s">
        <v>250</v>
      </c>
      <c r="F3499">
        <v>2</v>
      </c>
      <c r="G3499" t="s">
        <v>499</v>
      </c>
      <c r="H3499" s="4">
        <v>21688024</v>
      </c>
      <c r="I3499" s="4">
        <v>29871876</v>
      </c>
      <c r="J3499" s="3">
        <v>0.37734428918005625</v>
      </c>
      <c r="K3499" s="3">
        <v>-0.2739651168878714</v>
      </c>
      <c r="L3499" t="s">
        <v>54</v>
      </c>
    </row>
    <row r="3500" spans="1:12" x14ac:dyDescent="0.25">
      <c r="A3500" t="s">
        <v>487</v>
      </c>
      <c r="B3500" t="s">
        <v>463</v>
      </c>
      <c r="C3500" t="s">
        <v>464</v>
      </c>
      <c r="D3500" t="s">
        <v>246</v>
      </c>
      <c r="E3500" t="s">
        <v>252</v>
      </c>
      <c r="F3500">
        <v>3</v>
      </c>
      <c r="G3500" t="s">
        <v>488</v>
      </c>
      <c r="H3500" s="4">
        <v>14457212</v>
      </c>
      <c r="I3500" s="4">
        <v>15002913.340910833</v>
      </c>
      <c r="J3500" s="3">
        <v>0.0377459596574245</v>
      </c>
      <c r="K3500" s="3">
        <v>-0.036373024925951056</v>
      </c>
      <c r="L3500" t="s">
        <v>54</v>
      </c>
    </row>
    <row r="3501" spans="1:12" x14ac:dyDescent="0.25">
      <c r="A3501" t="s">
        <v>487</v>
      </c>
      <c r="B3501" t="s">
        <v>463</v>
      </c>
      <c r="C3501" t="s">
        <v>464</v>
      </c>
      <c r="D3501" t="s">
        <v>246</v>
      </c>
      <c r="E3501" t="s">
        <v>252</v>
      </c>
      <c r="F3501">
        <v>3</v>
      </c>
      <c r="G3501" t="s">
        <v>498</v>
      </c>
      <c r="H3501" s="4">
        <v>14457212</v>
      </c>
      <c r="I3501" s="4">
        <v>15375352</v>
      </c>
      <c r="J3501" s="3">
        <v>0.06350740377881987</v>
      </c>
      <c r="K3501" s="3">
        <v>-0.059715055629295515</v>
      </c>
      <c r="L3501" t="s">
        <v>54</v>
      </c>
    </row>
    <row r="3502" spans="1:12" x14ac:dyDescent="0.25">
      <c r="A3502" t="s">
        <v>487</v>
      </c>
      <c r="B3502" t="s">
        <v>463</v>
      </c>
      <c r="C3502" t="s">
        <v>464</v>
      </c>
      <c r="D3502" t="s">
        <v>246</v>
      </c>
      <c r="E3502" t="s">
        <v>252</v>
      </c>
      <c r="F3502">
        <v>3</v>
      </c>
      <c r="G3502" t="s">
        <v>499</v>
      </c>
      <c r="H3502" s="4">
        <v>14457212</v>
      </c>
      <c r="I3502" s="4">
        <v>29871876</v>
      </c>
      <c r="J3502" s="3">
        <v>1.066226600260133</v>
      </c>
      <c r="K3502" s="3">
        <v>-0.5160259770762305</v>
      </c>
      <c r="L3502" t="s">
        <v>54</v>
      </c>
    </row>
    <row r="3503" spans="1:12" x14ac:dyDescent="0.25">
      <c r="A3503" t="s">
        <v>487</v>
      </c>
      <c r="B3503" t="s">
        <v>463</v>
      </c>
      <c r="C3503" t="s">
        <v>464</v>
      </c>
      <c r="D3503" t="s">
        <v>248</v>
      </c>
      <c r="E3503" t="s">
        <v>250</v>
      </c>
      <c r="F3503">
        <v>1</v>
      </c>
      <c r="G3503" t="s">
        <v>488</v>
      </c>
      <c r="H3503" s="4">
        <v>21688024</v>
      </c>
      <c r="I3503" s="4">
        <v>24359295.980152067</v>
      </c>
      <c r="J3503" s="3">
        <v>0.12316806640162639</v>
      </c>
      <c r="K3503" s="3">
        <v>-0.10966129654685491</v>
      </c>
      <c r="L3503" t="s">
        <v>54</v>
      </c>
    </row>
    <row r="3504" spans="1:12" x14ac:dyDescent="0.25">
      <c r="A3504" t="s">
        <v>487</v>
      </c>
      <c r="B3504" t="s">
        <v>463</v>
      </c>
      <c r="C3504" t="s">
        <v>464</v>
      </c>
      <c r="D3504" t="s">
        <v>248</v>
      </c>
      <c r="E3504" t="s">
        <v>250</v>
      </c>
      <c r="F3504">
        <v>1</v>
      </c>
      <c r="G3504" t="s">
        <v>498</v>
      </c>
      <c r="H3504" s="4">
        <v>21688024</v>
      </c>
      <c r="I3504" s="4">
        <v>24690782</v>
      </c>
      <c r="J3504" s="3">
        <v>0.1384523550877664</v>
      </c>
      <c r="K3504" s="3">
        <v>-0.12161453614551374</v>
      </c>
      <c r="L3504" t="s">
        <v>54</v>
      </c>
    </row>
    <row r="3505" spans="1:12" x14ac:dyDescent="0.25">
      <c r="A3505" t="s">
        <v>487</v>
      </c>
      <c r="B3505" t="s">
        <v>463</v>
      </c>
      <c r="C3505" t="s">
        <v>464</v>
      </c>
      <c r="D3505" t="s">
        <v>248</v>
      </c>
      <c r="E3505" t="s">
        <v>250</v>
      </c>
      <c r="F3505">
        <v>1</v>
      </c>
      <c r="G3505" t="s">
        <v>499</v>
      </c>
      <c r="H3505" s="4">
        <v>21688024</v>
      </c>
      <c r="I3505" s="4">
        <v>29668648</v>
      </c>
      <c r="J3505" s="3">
        <v>0.3679737720688616</v>
      </c>
      <c r="K3505" s="3">
        <v>-0.26899183272523913</v>
      </c>
      <c r="L3505" t="s">
        <v>54</v>
      </c>
    </row>
    <row r="3506" spans="1:12" x14ac:dyDescent="0.25">
      <c r="A3506" t="s">
        <v>487</v>
      </c>
      <c r="B3506" t="s">
        <v>463</v>
      </c>
      <c r="C3506" t="s">
        <v>464</v>
      </c>
      <c r="D3506" t="s">
        <v>248</v>
      </c>
      <c r="E3506" t="s">
        <v>252</v>
      </c>
      <c r="F3506">
        <v>2</v>
      </c>
      <c r="G3506" t="s">
        <v>488</v>
      </c>
      <c r="H3506" s="4">
        <v>14457212</v>
      </c>
      <c r="I3506" s="4">
        <v>15168930.257738417</v>
      </c>
      <c r="J3506" s="3">
        <v>0.04922928831218751</v>
      </c>
      <c r="K3506" s="3">
        <v>-0.046919475905384596</v>
      </c>
      <c r="L3506" t="s">
        <v>54</v>
      </c>
    </row>
    <row r="3507" spans="1:12" x14ac:dyDescent="0.25">
      <c r="A3507" t="s">
        <v>487</v>
      </c>
      <c r="B3507" t="s">
        <v>463</v>
      </c>
      <c r="C3507" t="s">
        <v>464</v>
      </c>
      <c r="D3507" t="s">
        <v>248</v>
      </c>
      <c r="E3507" t="s">
        <v>252</v>
      </c>
      <c r="F3507">
        <v>2</v>
      </c>
      <c r="G3507" t="s">
        <v>498</v>
      </c>
      <c r="H3507" s="4">
        <v>14457212</v>
      </c>
      <c r="I3507" s="4">
        <v>15375352</v>
      </c>
      <c r="J3507" s="3">
        <v>0.06350740377881987</v>
      </c>
      <c r="K3507" s="3">
        <v>-0.059715055629295515</v>
      </c>
      <c r="L3507" t="s">
        <v>54</v>
      </c>
    </row>
    <row r="3508" spans="1:12" x14ac:dyDescent="0.25">
      <c r="A3508" t="s">
        <v>487</v>
      </c>
      <c r="B3508" t="s">
        <v>463</v>
      </c>
      <c r="C3508" t="s">
        <v>464</v>
      </c>
      <c r="D3508" t="s">
        <v>248</v>
      </c>
      <c r="E3508" t="s">
        <v>252</v>
      </c>
      <c r="F3508">
        <v>2</v>
      </c>
      <c r="G3508" t="s">
        <v>499</v>
      </c>
      <c r="H3508" s="4">
        <v>14457212</v>
      </c>
      <c r="I3508" s="4">
        <v>29668648</v>
      </c>
      <c r="J3508" s="3">
        <v>1.0521693947629736</v>
      </c>
      <c r="K3508" s="3">
        <v>-0.5127107915399448</v>
      </c>
      <c r="L3508" t="s">
        <v>54</v>
      </c>
    </row>
    <row r="3509" spans="1:12" x14ac:dyDescent="0.25">
      <c r="A3509" t="s">
        <v>487</v>
      </c>
      <c r="B3509" t="s">
        <v>463</v>
      </c>
      <c r="C3509" t="s">
        <v>464</v>
      </c>
      <c r="D3509" t="s">
        <v>248</v>
      </c>
      <c r="E3509" t="s">
        <v>254</v>
      </c>
      <c r="F3509">
        <v>3</v>
      </c>
      <c r="G3509" t="s">
        <v>488</v>
      </c>
      <c r="H3509" s="4">
        <v>11858489</v>
      </c>
      <c r="I3509" s="4">
        <v>12413698.978868019</v>
      </c>
      <c r="J3509" s="3">
        <v>0.046819622539433045</v>
      </c>
      <c r="K3509" s="3">
        <v>-0.044725587418637996</v>
      </c>
      <c r="L3509" t="s">
        <v>54</v>
      </c>
    </row>
    <row r="3510" spans="1:12" x14ac:dyDescent="0.25">
      <c r="A3510" t="s">
        <v>487</v>
      </c>
      <c r="B3510" t="s">
        <v>463</v>
      </c>
      <c r="C3510" t="s">
        <v>464</v>
      </c>
      <c r="D3510" t="s">
        <v>248</v>
      </c>
      <c r="E3510" t="s">
        <v>254</v>
      </c>
      <c r="F3510">
        <v>3</v>
      </c>
      <c r="G3510" t="s">
        <v>498</v>
      </c>
      <c r="H3510" s="4">
        <v>11858489</v>
      </c>
      <c r="I3510" s="4">
        <v>12582627</v>
      </c>
      <c r="J3510" s="3">
        <v>0.06106494680730403</v>
      </c>
      <c r="K3510" s="3">
        <v>-0.057550621185862065</v>
      </c>
      <c r="L3510" t="s">
        <v>54</v>
      </c>
    </row>
    <row r="3511" spans="1:12" x14ac:dyDescent="0.25">
      <c r="A3511" t="s">
        <v>487</v>
      </c>
      <c r="B3511" t="s">
        <v>463</v>
      </c>
      <c r="C3511" t="s">
        <v>464</v>
      </c>
      <c r="D3511" t="s">
        <v>248</v>
      </c>
      <c r="E3511" t="s">
        <v>254</v>
      </c>
      <c r="F3511">
        <v>3</v>
      </c>
      <c r="G3511" t="s">
        <v>499</v>
      </c>
      <c r="H3511" s="4">
        <v>11858489</v>
      </c>
      <c r="I3511" s="4">
        <v>29668648</v>
      </c>
      <c r="J3511" s="3">
        <v>1.5018910925329525</v>
      </c>
      <c r="K3511" s="3">
        <v>-0.600302346099492</v>
      </c>
      <c r="L3511" t="s">
        <v>54</v>
      </c>
    </row>
    <row r="3512" spans="1:12" x14ac:dyDescent="0.25">
      <c r="A3512" t="s">
        <v>487</v>
      </c>
      <c r="B3512" t="s">
        <v>463</v>
      </c>
      <c r="C3512" t="s">
        <v>464</v>
      </c>
      <c r="D3512" t="s">
        <v>250</v>
      </c>
      <c r="E3512" t="s">
        <v>252</v>
      </c>
      <c r="F3512">
        <v>1</v>
      </c>
      <c r="G3512" t="s">
        <v>488</v>
      </c>
      <c r="H3512" s="4">
        <v>14457212</v>
      </c>
      <c r="I3512" s="4">
        <v>14961623.892550735</v>
      </c>
      <c r="J3512" s="3">
        <v>0.034889983805365433</v>
      </c>
      <c r="K3512" s="3">
        <v>-0.033713712907987026</v>
      </c>
      <c r="L3512" t="s">
        <v>54</v>
      </c>
    </row>
    <row r="3513" spans="1:12" x14ac:dyDescent="0.25">
      <c r="A3513" t="s">
        <v>487</v>
      </c>
      <c r="B3513" t="s">
        <v>463</v>
      </c>
      <c r="C3513" t="s">
        <v>464</v>
      </c>
      <c r="D3513" t="s">
        <v>250</v>
      </c>
      <c r="E3513" t="s">
        <v>252</v>
      </c>
      <c r="F3513">
        <v>1</v>
      </c>
      <c r="G3513" t="s">
        <v>498</v>
      </c>
      <c r="H3513" s="4">
        <v>14457212</v>
      </c>
      <c r="I3513" s="4">
        <v>15375352</v>
      </c>
      <c r="J3513" s="3">
        <v>0.06350740377881987</v>
      </c>
      <c r="K3513" s="3">
        <v>-0.059715055629295515</v>
      </c>
      <c r="L3513" t="s">
        <v>54</v>
      </c>
    </row>
    <row r="3514" spans="1:12" x14ac:dyDescent="0.25">
      <c r="A3514" t="s">
        <v>487</v>
      </c>
      <c r="B3514" t="s">
        <v>463</v>
      </c>
      <c r="C3514" t="s">
        <v>464</v>
      </c>
      <c r="D3514" t="s">
        <v>250</v>
      </c>
      <c r="E3514" t="s">
        <v>252</v>
      </c>
      <c r="F3514">
        <v>1</v>
      </c>
      <c r="G3514" t="s">
        <v>499</v>
      </c>
      <c r="H3514" s="4">
        <v>14457212</v>
      </c>
      <c r="I3514" s="4">
        <v>21688024</v>
      </c>
      <c r="J3514" s="3">
        <v>0.5001525882030367</v>
      </c>
      <c r="K3514" s="3">
        <v>-0.33340114341444843</v>
      </c>
      <c r="L3514" t="s">
        <v>54</v>
      </c>
    </row>
    <row r="3515" spans="1:12" x14ac:dyDescent="0.25">
      <c r="A3515" t="s">
        <v>487</v>
      </c>
      <c r="B3515" t="s">
        <v>463</v>
      </c>
      <c r="C3515" t="s">
        <v>464</v>
      </c>
      <c r="D3515" t="s">
        <v>250</v>
      </c>
      <c r="E3515" t="s">
        <v>254</v>
      </c>
      <c r="F3515">
        <v>2</v>
      </c>
      <c r="G3515" t="s">
        <v>488</v>
      </c>
      <c r="H3515" s="4">
        <v>11858489</v>
      </c>
      <c r="I3515" s="4">
        <v>12244047.014614947</v>
      </c>
      <c r="J3515" s="3">
        <v>0.03251324975845971</v>
      </c>
      <c r="K3515" s="3">
        <v>-0.031489426180308755</v>
      </c>
      <c r="L3515" t="s">
        <v>54</v>
      </c>
    </row>
    <row r="3516" spans="1:12" x14ac:dyDescent="0.25">
      <c r="A3516" t="s">
        <v>487</v>
      </c>
      <c r="B3516" t="s">
        <v>463</v>
      </c>
      <c r="C3516" t="s">
        <v>464</v>
      </c>
      <c r="D3516" t="s">
        <v>250</v>
      </c>
      <c r="E3516" t="s">
        <v>254</v>
      </c>
      <c r="F3516">
        <v>2</v>
      </c>
      <c r="G3516" t="s">
        <v>498</v>
      </c>
      <c r="H3516" s="4">
        <v>11858489</v>
      </c>
      <c r="I3516" s="4">
        <v>12582627</v>
      </c>
      <c r="J3516" s="3">
        <v>0.06106494680730403</v>
      </c>
      <c r="K3516" s="3">
        <v>-0.057550621185862065</v>
      </c>
      <c r="L3516" t="s">
        <v>54</v>
      </c>
    </row>
    <row r="3517" spans="1:12" x14ac:dyDescent="0.25">
      <c r="A3517" t="s">
        <v>487</v>
      </c>
      <c r="B3517" t="s">
        <v>463</v>
      </c>
      <c r="C3517" t="s">
        <v>464</v>
      </c>
      <c r="D3517" t="s">
        <v>250</v>
      </c>
      <c r="E3517" t="s">
        <v>254</v>
      </c>
      <c r="F3517">
        <v>2</v>
      </c>
      <c r="G3517" t="s">
        <v>499</v>
      </c>
      <c r="H3517" s="4">
        <v>11858489</v>
      </c>
      <c r="I3517" s="4">
        <v>21688024</v>
      </c>
      <c r="J3517" s="3">
        <v>0.8289028222735628</v>
      </c>
      <c r="K3517" s="3">
        <v>-0.4532240927066477</v>
      </c>
      <c r="L3517" t="s">
        <v>54</v>
      </c>
    </row>
    <row r="3518" spans="1:12" x14ac:dyDescent="0.25">
      <c r="A3518" t="s">
        <v>487</v>
      </c>
      <c r="B3518" t="s">
        <v>463</v>
      </c>
      <c r="C3518" t="s">
        <v>464</v>
      </c>
      <c r="D3518" t="s">
        <v>250</v>
      </c>
      <c r="E3518" t="s">
        <v>256</v>
      </c>
      <c r="F3518">
        <v>3</v>
      </c>
      <c r="G3518" t="s">
        <v>488</v>
      </c>
      <c r="H3518" s="4">
        <v>14881492</v>
      </c>
      <c r="I3518" s="4">
        <v>15961185.397593083</v>
      </c>
      <c r="J3518" s="3">
        <v>0.07255276538085582</v>
      </c>
      <c r="K3518" s="3">
        <v>-0.06764493806054647</v>
      </c>
      <c r="L3518" t="s">
        <v>54</v>
      </c>
    </row>
    <row r="3519" spans="1:12" x14ac:dyDescent="0.25">
      <c r="A3519" t="s">
        <v>487</v>
      </c>
      <c r="B3519" t="s">
        <v>463</v>
      </c>
      <c r="C3519" t="s">
        <v>464</v>
      </c>
      <c r="D3519" t="s">
        <v>250</v>
      </c>
      <c r="E3519" t="s">
        <v>256</v>
      </c>
      <c r="F3519">
        <v>3</v>
      </c>
      <c r="G3519" t="s">
        <v>498</v>
      </c>
      <c r="H3519" s="4">
        <v>14881492</v>
      </c>
      <c r="I3519" s="4">
        <v>16402554</v>
      </c>
      <c r="J3519" s="3">
        <v>0.10221165995990188</v>
      </c>
      <c r="K3519" s="3">
        <v>-0.09273324142081776</v>
      </c>
      <c r="L3519" t="s">
        <v>54</v>
      </c>
    </row>
    <row r="3520" spans="1:12" x14ac:dyDescent="0.25">
      <c r="A3520" t="s">
        <v>487</v>
      </c>
      <c r="B3520" t="s">
        <v>463</v>
      </c>
      <c r="C3520" t="s">
        <v>464</v>
      </c>
      <c r="D3520" t="s">
        <v>250</v>
      </c>
      <c r="E3520" t="s">
        <v>256</v>
      </c>
      <c r="F3520">
        <v>3</v>
      </c>
      <c r="G3520" t="s">
        <v>499</v>
      </c>
      <c r="H3520" s="4">
        <v>14881492</v>
      </c>
      <c r="I3520" s="4">
        <v>21688024</v>
      </c>
      <c r="J3520" s="3">
        <v>0.4573823646177413</v>
      </c>
      <c r="K3520" s="3">
        <v>-0.313838273140974</v>
      </c>
      <c r="L3520" t="s">
        <v>54</v>
      </c>
    </row>
    <row r="3521" spans="1:12" x14ac:dyDescent="0.25">
      <c r="A3521" t="s">
        <v>487</v>
      </c>
      <c r="B3521" t="s">
        <v>463</v>
      </c>
      <c r="C3521" t="s">
        <v>464</v>
      </c>
      <c r="D3521" t="s">
        <v>252</v>
      </c>
      <c r="E3521" t="s">
        <v>254</v>
      </c>
      <c r="F3521">
        <v>1</v>
      </c>
      <c r="G3521" t="s">
        <v>488</v>
      </c>
      <c r="H3521" s="4">
        <v>11858489</v>
      </c>
      <c r="I3521" s="4">
        <v>12262395.362854524</v>
      </c>
      <c r="J3521" s="3">
        <v>0.03406052515244763</v>
      </c>
      <c r="K3521" s="3">
        <v>-0.03293861850826016</v>
      </c>
      <c r="L3521" t="s">
        <v>54</v>
      </c>
    </row>
    <row r="3522" spans="1:12" x14ac:dyDescent="0.25">
      <c r="A3522" t="s">
        <v>487</v>
      </c>
      <c r="B3522" t="s">
        <v>463</v>
      </c>
      <c r="C3522" t="s">
        <v>464</v>
      </c>
      <c r="D3522" t="s">
        <v>252</v>
      </c>
      <c r="E3522" t="s">
        <v>254</v>
      </c>
      <c r="F3522">
        <v>1</v>
      </c>
      <c r="G3522" t="s">
        <v>498</v>
      </c>
      <c r="H3522" s="4">
        <v>11858489</v>
      </c>
      <c r="I3522" s="4">
        <v>12582627</v>
      </c>
      <c r="J3522" s="3">
        <v>0.06106494680730403</v>
      </c>
      <c r="K3522" s="3">
        <v>-0.057550621185862065</v>
      </c>
      <c r="L3522" t="s">
        <v>54</v>
      </c>
    </row>
    <row r="3523" spans="1:12" x14ac:dyDescent="0.25">
      <c r="A3523" t="s">
        <v>487</v>
      </c>
      <c r="B3523" t="s">
        <v>463</v>
      </c>
      <c r="C3523" t="s">
        <v>464</v>
      </c>
      <c r="D3523" t="s">
        <v>252</v>
      </c>
      <c r="E3523" t="s">
        <v>254</v>
      </c>
      <c r="F3523">
        <v>1</v>
      </c>
      <c r="G3523" t="s">
        <v>499</v>
      </c>
      <c r="H3523" s="4">
        <v>11858489</v>
      </c>
      <c r="I3523" s="4">
        <v>14457212</v>
      </c>
      <c r="J3523" s="3">
        <v>0.21914453013364518</v>
      </c>
      <c r="K3523" s="3">
        <v>-0.1797527075068139</v>
      </c>
      <c r="L3523" t="s">
        <v>54</v>
      </c>
    </row>
    <row r="3524" spans="1:12" x14ac:dyDescent="0.25">
      <c r="A3524" t="s">
        <v>487</v>
      </c>
      <c r="B3524" t="s">
        <v>463</v>
      </c>
      <c r="C3524" t="s">
        <v>464</v>
      </c>
      <c r="D3524" t="s">
        <v>252</v>
      </c>
      <c r="E3524" t="s">
        <v>256</v>
      </c>
      <c r="F3524">
        <v>2</v>
      </c>
      <c r="G3524" t="s">
        <v>488</v>
      </c>
      <c r="H3524" s="4">
        <v>14881492</v>
      </c>
      <c r="I3524" s="4">
        <v>15985104.07314553</v>
      </c>
      <c r="J3524" s="3">
        <v>0.07416004209426913</v>
      </c>
      <c r="K3524" s="3">
        <v>-0.06904003052439069</v>
      </c>
      <c r="L3524" t="s">
        <v>54</v>
      </c>
    </row>
    <row r="3525" spans="1:12" x14ac:dyDescent="0.25">
      <c r="A3525" t="s">
        <v>487</v>
      </c>
      <c r="B3525" t="s">
        <v>463</v>
      </c>
      <c r="C3525" t="s">
        <v>464</v>
      </c>
      <c r="D3525" t="s">
        <v>252</v>
      </c>
      <c r="E3525" t="s">
        <v>256</v>
      </c>
      <c r="F3525">
        <v>2</v>
      </c>
      <c r="G3525" t="s">
        <v>498</v>
      </c>
      <c r="H3525" s="4">
        <v>14881492</v>
      </c>
      <c r="I3525" s="4">
        <v>16402554</v>
      </c>
      <c r="J3525" s="3">
        <v>0.10221165995990188</v>
      </c>
      <c r="K3525" s="3">
        <v>-0.09273324142081776</v>
      </c>
      <c r="L3525" t="s">
        <v>54</v>
      </c>
    </row>
    <row r="3526" spans="1:12" x14ac:dyDescent="0.25">
      <c r="A3526" t="s">
        <v>487</v>
      </c>
      <c r="B3526" t="s">
        <v>463</v>
      </c>
      <c r="C3526" t="s">
        <v>464</v>
      </c>
      <c r="D3526" t="s">
        <v>252</v>
      </c>
      <c r="E3526" t="s">
        <v>256</v>
      </c>
      <c r="F3526">
        <v>2</v>
      </c>
      <c r="G3526" t="s">
        <v>499</v>
      </c>
      <c r="H3526" s="4">
        <v>14881492</v>
      </c>
      <c r="I3526" s="4">
        <v>14457212</v>
      </c>
      <c r="J3526" s="3">
        <v>0.028510582137866284</v>
      </c>
      <c r="K3526" s="3">
        <v>0.029347290473432912</v>
      </c>
      <c r="L3526" t="s">
        <v>54</v>
      </c>
    </row>
    <row r="3527" spans="1:12" x14ac:dyDescent="0.25">
      <c r="A3527" t="s">
        <v>487</v>
      </c>
      <c r="B3527" t="s">
        <v>463</v>
      </c>
      <c r="C3527" t="s">
        <v>464</v>
      </c>
      <c r="D3527" t="s">
        <v>252</v>
      </c>
      <c r="E3527" t="s">
        <v>258</v>
      </c>
      <c r="F3527">
        <v>3</v>
      </c>
      <c r="G3527" t="s">
        <v>488</v>
      </c>
      <c r="H3527" s="4">
        <v>20264124</v>
      </c>
      <c r="I3527" s="4">
        <v>21034523.81336573</v>
      </c>
      <c r="J3527" s="3">
        <v>0.03801791843386526</v>
      </c>
      <c r="K3527" s="3">
        <v>-0.03662549341270112</v>
      </c>
      <c r="L3527" t="s">
        <v>54</v>
      </c>
    </row>
    <row r="3528" spans="1:12" x14ac:dyDescent="0.25">
      <c r="A3528" t="s">
        <v>487</v>
      </c>
      <c r="B3528" t="s">
        <v>463</v>
      </c>
      <c r="C3528" t="s">
        <v>464</v>
      </c>
      <c r="D3528" t="s">
        <v>252</v>
      </c>
      <c r="E3528" t="s">
        <v>258</v>
      </c>
      <c r="F3528">
        <v>3</v>
      </c>
      <c r="G3528" t="s">
        <v>498</v>
      </c>
      <c r="H3528" s="4">
        <v>20264124</v>
      </c>
      <c r="I3528" s="4">
        <v>21583839</v>
      </c>
      <c r="J3528" s="3">
        <v>0.06512568715035498</v>
      </c>
      <c r="K3528" s="3">
        <v>-0.06114366401639671</v>
      </c>
      <c r="L3528" t="s">
        <v>54</v>
      </c>
    </row>
    <row r="3529" spans="1:12" x14ac:dyDescent="0.25">
      <c r="A3529" t="s">
        <v>487</v>
      </c>
      <c r="B3529" t="s">
        <v>463</v>
      </c>
      <c r="C3529" t="s">
        <v>464</v>
      </c>
      <c r="D3529" t="s">
        <v>252</v>
      </c>
      <c r="E3529" t="s">
        <v>258</v>
      </c>
      <c r="F3529">
        <v>3</v>
      </c>
      <c r="G3529" t="s">
        <v>499</v>
      </c>
      <c r="H3529" s="4">
        <v>20264124</v>
      </c>
      <c r="I3529" s="4">
        <v>14457212</v>
      </c>
      <c r="J3529" s="3">
        <v>0.2865612152787853</v>
      </c>
      <c r="K3529" s="3">
        <v>0.4016619525258397</v>
      </c>
      <c r="L3529" t="s">
        <v>54</v>
      </c>
    </row>
    <row r="3530" spans="1:12" x14ac:dyDescent="0.25">
      <c r="A3530" t="s">
        <v>487</v>
      </c>
      <c r="B3530" t="s">
        <v>463</v>
      </c>
      <c r="C3530" t="s">
        <v>464</v>
      </c>
      <c r="D3530" t="s">
        <v>254</v>
      </c>
      <c r="E3530" t="s">
        <v>256</v>
      </c>
      <c r="F3530">
        <v>1</v>
      </c>
      <c r="G3530" t="s">
        <v>488</v>
      </c>
      <c r="H3530" s="4">
        <v>14881492</v>
      </c>
      <c r="I3530" s="4">
        <v>15878363.546891594</v>
      </c>
      <c r="J3530" s="3">
        <v>0.06698733882943957</v>
      </c>
      <c r="K3530" s="3">
        <v>-0.0627817560636937</v>
      </c>
      <c r="L3530" t="s">
        <v>54</v>
      </c>
    </row>
    <row r="3531" spans="1:12" x14ac:dyDescent="0.25">
      <c r="A3531" t="s">
        <v>487</v>
      </c>
      <c r="B3531" t="s">
        <v>463</v>
      </c>
      <c r="C3531" t="s">
        <v>464</v>
      </c>
      <c r="D3531" t="s">
        <v>254</v>
      </c>
      <c r="E3531" t="s">
        <v>256</v>
      </c>
      <c r="F3531">
        <v>1</v>
      </c>
      <c r="G3531" t="s">
        <v>498</v>
      </c>
      <c r="H3531" s="4">
        <v>14881492</v>
      </c>
      <c r="I3531" s="4">
        <v>16402554</v>
      </c>
      <c r="J3531" s="3">
        <v>0.10221165995990188</v>
      </c>
      <c r="K3531" s="3">
        <v>-0.09273324142081776</v>
      </c>
      <c r="L3531" t="s">
        <v>54</v>
      </c>
    </row>
    <row r="3532" spans="1:12" x14ac:dyDescent="0.25">
      <c r="A3532" t="s">
        <v>487</v>
      </c>
      <c r="B3532" t="s">
        <v>463</v>
      </c>
      <c r="C3532" t="s">
        <v>464</v>
      </c>
      <c r="D3532" t="s">
        <v>254</v>
      </c>
      <c r="E3532" t="s">
        <v>256</v>
      </c>
      <c r="F3532">
        <v>1</v>
      </c>
      <c r="G3532" t="s">
        <v>499</v>
      </c>
      <c r="H3532" s="4">
        <v>14881492</v>
      </c>
      <c r="I3532" s="4">
        <v>11858489</v>
      </c>
      <c r="J3532" s="3">
        <v>0.20313843531280332</v>
      </c>
      <c r="K3532" s="3">
        <v>0.25492311878857415</v>
      </c>
      <c r="L3532" t="s">
        <v>54</v>
      </c>
    </row>
    <row r="3533" spans="1:12" x14ac:dyDescent="0.25">
      <c r="A3533" t="s">
        <v>487</v>
      </c>
      <c r="B3533" t="s">
        <v>463</v>
      </c>
      <c r="C3533" t="s">
        <v>464</v>
      </c>
      <c r="D3533" t="s">
        <v>254</v>
      </c>
      <c r="E3533" t="s">
        <v>258</v>
      </c>
      <c r="F3533">
        <v>2</v>
      </c>
      <c r="G3533" t="s">
        <v>488</v>
      </c>
      <c r="H3533" s="4">
        <v>20264124</v>
      </c>
      <c r="I3533" s="4">
        <v>20894065.78875321</v>
      </c>
      <c r="J3533" s="3">
        <v>0.031086554185772428</v>
      </c>
      <c r="K3533" s="3">
        <v>-0.030149315845090067</v>
      </c>
      <c r="L3533" t="s">
        <v>54</v>
      </c>
    </row>
    <row r="3534" spans="1:12" x14ac:dyDescent="0.25">
      <c r="A3534" t="s">
        <v>487</v>
      </c>
      <c r="B3534" t="s">
        <v>463</v>
      </c>
      <c r="C3534" t="s">
        <v>464</v>
      </c>
      <c r="D3534" t="s">
        <v>254</v>
      </c>
      <c r="E3534" t="s">
        <v>258</v>
      </c>
      <c r="F3534">
        <v>2</v>
      </c>
      <c r="G3534" t="s">
        <v>498</v>
      </c>
      <c r="H3534" s="4">
        <v>20264124</v>
      </c>
      <c r="I3534" s="4">
        <v>21583839</v>
      </c>
      <c r="J3534" s="3">
        <v>0.06512568715035498</v>
      </c>
      <c r="K3534" s="3">
        <v>-0.06114366401639671</v>
      </c>
      <c r="L3534" t="s">
        <v>54</v>
      </c>
    </row>
    <row r="3535" spans="1:12" x14ac:dyDescent="0.25">
      <c r="A3535" t="s">
        <v>487</v>
      </c>
      <c r="B3535" t="s">
        <v>463</v>
      </c>
      <c r="C3535" t="s">
        <v>464</v>
      </c>
      <c r="D3535" t="s">
        <v>254</v>
      </c>
      <c r="E3535" t="s">
        <v>258</v>
      </c>
      <c r="F3535">
        <v>2</v>
      </c>
      <c r="G3535" t="s">
        <v>499</v>
      </c>
      <c r="H3535" s="4">
        <v>20264124</v>
      </c>
      <c r="I3535" s="4">
        <v>11858489</v>
      </c>
      <c r="J3535" s="3">
        <v>0.4148037684727946</v>
      </c>
      <c r="K3535" s="3">
        <v>0.7088285025183225</v>
      </c>
      <c r="L3535" t="s">
        <v>54</v>
      </c>
    </row>
    <row r="3536" spans="1:12" x14ac:dyDescent="0.25">
      <c r="A3536" t="s">
        <v>487</v>
      </c>
      <c r="B3536" t="s">
        <v>463</v>
      </c>
      <c r="C3536" t="s">
        <v>464</v>
      </c>
      <c r="D3536" t="s">
        <v>254</v>
      </c>
      <c r="E3536" t="s">
        <v>260</v>
      </c>
      <c r="F3536">
        <v>3</v>
      </c>
      <c r="G3536" t="s">
        <v>488</v>
      </c>
      <c r="H3536" s="4">
        <v>32997501</v>
      </c>
      <c r="I3536" s="4">
        <v>32549715.273039695</v>
      </c>
      <c r="J3536" s="3">
        <v>0.013570292094553012</v>
      </c>
      <c r="K3536" s="3">
        <v>0.013756978308538307</v>
      </c>
      <c r="L3536" t="s">
        <v>54</v>
      </c>
    </row>
    <row r="3537" spans="1:12" x14ac:dyDescent="0.25">
      <c r="A3537" t="s">
        <v>487</v>
      </c>
      <c r="B3537" t="s">
        <v>463</v>
      </c>
      <c r="C3537" t="s">
        <v>464</v>
      </c>
      <c r="D3537" t="s">
        <v>254</v>
      </c>
      <c r="E3537" t="s">
        <v>260</v>
      </c>
      <c r="F3537">
        <v>3</v>
      </c>
      <c r="G3537" t="s">
        <v>498</v>
      </c>
      <c r="H3537" s="4">
        <v>32997501</v>
      </c>
      <c r="I3537" s="4">
        <v>33624275</v>
      </c>
      <c r="J3537" s="3">
        <v>0.018994589923643005</v>
      </c>
      <c r="K3537" s="3">
        <v>-0.018640520873684265</v>
      </c>
      <c r="L3537" t="s">
        <v>54</v>
      </c>
    </row>
    <row r="3538" spans="1:12" x14ac:dyDescent="0.25">
      <c r="A3538" t="s">
        <v>487</v>
      </c>
      <c r="B3538" t="s">
        <v>463</v>
      </c>
      <c r="C3538" t="s">
        <v>464</v>
      </c>
      <c r="D3538" t="s">
        <v>254</v>
      </c>
      <c r="E3538" t="s">
        <v>260</v>
      </c>
      <c r="F3538">
        <v>3</v>
      </c>
      <c r="G3538" t="s">
        <v>499</v>
      </c>
      <c r="H3538" s="4">
        <v>32997501</v>
      </c>
      <c r="I3538" s="4">
        <v>11858489</v>
      </c>
      <c r="J3538" s="3">
        <v>0.6406246339684936</v>
      </c>
      <c r="K3538" s="3">
        <v>1.7826058615056268</v>
      </c>
      <c r="L3538" t="s">
        <v>54</v>
      </c>
    </row>
    <row r="3539" spans="1:12" x14ac:dyDescent="0.25">
      <c r="A3539" t="s">
        <v>487</v>
      </c>
      <c r="B3539" t="s">
        <v>463</v>
      </c>
      <c r="C3539" t="s">
        <v>464</v>
      </c>
      <c r="D3539" t="s">
        <v>256</v>
      </c>
      <c r="E3539" t="s">
        <v>258</v>
      </c>
      <c r="F3539">
        <v>1</v>
      </c>
      <c r="G3539" t="s">
        <v>488</v>
      </c>
      <c r="H3539" s="4">
        <v>20264124</v>
      </c>
      <c r="I3539" s="4">
        <v>20559095.14017334</v>
      </c>
      <c r="J3539" s="3">
        <v>0.014556323292008002</v>
      </c>
      <c r="K3539" s="3">
        <v>-0.014347476781551164</v>
      </c>
      <c r="L3539" t="s">
        <v>54</v>
      </c>
    </row>
    <row r="3540" spans="1:12" x14ac:dyDescent="0.25">
      <c r="A3540" t="s">
        <v>487</v>
      </c>
      <c r="B3540" t="s">
        <v>463</v>
      </c>
      <c r="C3540" t="s">
        <v>464</v>
      </c>
      <c r="D3540" t="s">
        <v>256</v>
      </c>
      <c r="E3540" t="s">
        <v>258</v>
      </c>
      <c r="F3540">
        <v>1</v>
      </c>
      <c r="G3540" t="s">
        <v>498</v>
      </c>
      <c r="H3540" s="4">
        <v>20264124</v>
      </c>
      <c r="I3540" s="4">
        <v>21583839</v>
      </c>
      <c r="J3540" s="3">
        <v>0.06512568715035498</v>
      </c>
      <c r="K3540" s="3">
        <v>-0.06114366401639671</v>
      </c>
      <c r="L3540" t="s">
        <v>54</v>
      </c>
    </row>
    <row r="3541" spans="1:12" x14ac:dyDescent="0.25">
      <c r="A3541" t="s">
        <v>487</v>
      </c>
      <c r="B3541" t="s">
        <v>463</v>
      </c>
      <c r="C3541" t="s">
        <v>464</v>
      </c>
      <c r="D3541" t="s">
        <v>256</v>
      </c>
      <c r="E3541" t="s">
        <v>258</v>
      </c>
      <c r="F3541">
        <v>1</v>
      </c>
      <c r="G3541" t="s">
        <v>499</v>
      </c>
      <c r="H3541" s="4">
        <v>20264124</v>
      </c>
      <c r="I3541" s="4">
        <v>14881492</v>
      </c>
      <c r="J3541" s="3">
        <v>0.26562372002855883</v>
      </c>
      <c r="K3541" s="3">
        <v>0.3616997542988297</v>
      </c>
      <c r="L3541" t="s">
        <v>54</v>
      </c>
    </row>
    <row r="3542" spans="1:12" x14ac:dyDescent="0.25">
      <c r="A3542" t="s">
        <v>487</v>
      </c>
      <c r="B3542" t="s">
        <v>463</v>
      </c>
      <c r="C3542" t="s">
        <v>464</v>
      </c>
      <c r="D3542" t="s">
        <v>256</v>
      </c>
      <c r="E3542" t="s">
        <v>260</v>
      </c>
      <c r="F3542">
        <v>2</v>
      </c>
      <c r="G3542" t="s">
        <v>488</v>
      </c>
      <c r="H3542" s="4">
        <v>32997501</v>
      </c>
      <c r="I3542" s="4">
        <v>32027882.933353603</v>
      </c>
      <c r="J3542" s="3">
        <v>0.029384590870878285</v>
      </c>
      <c r="K3542" s="3">
        <v>0.030274185423496847</v>
      </c>
      <c r="L3542" t="s">
        <v>54</v>
      </c>
    </row>
    <row r="3543" spans="1:12" x14ac:dyDescent="0.25">
      <c r="A3543" t="s">
        <v>487</v>
      </c>
      <c r="B3543" t="s">
        <v>463</v>
      </c>
      <c r="C3543" t="s">
        <v>464</v>
      </c>
      <c r="D3543" t="s">
        <v>256</v>
      </c>
      <c r="E3543" t="s">
        <v>260</v>
      </c>
      <c r="F3543">
        <v>2</v>
      </c>
      <c r="G3543" t="s">
        <v>498</v>
      </c>
      <c r="H3543" s="4">
        <v>32997501</v>
      </c>
      <c r="I3543" s="4">
        <v>33624275</v>
      </c>
      <c r="J3543" s="3">
        <v>0.018994589923643005</v>
      </c>
      <c r="K3543" s="3">
        <v>-0.018640520873684265</v>
      </c>
      <c r="L3543" t="s">
        <v>54</v>
      </c>
    </row>
    <row r="3544" spans="1:12" x14ac:dyDescent="0.25">
      <c r="A3544" t="s">
        <v>487</v>
      </c>
      <c r="B3544" t="s">
        <v>463</v>
      </c>
      <c r="C3544" t="s">
        <v>464</v>
      </c>
      <c r="D3544" t="s">
        <v>256</v>
      </c>
      <c r="E3544" t="s">
        <v>260</v>
      </c>
      <c r="F3544">
        <v>2</v>
      </c>
      <c r="G3544" t="s">
        <v>499</v>
      </c>
      <c r="H3544" s="4">
        <v>32997501</v>
      </c>
      <c r="I3544" s="4">
        <v>14881492</v>
      </c>
      <c r="J3544" s="3">
        <v>0.5490115448439565</v>
      </c>
      <c r="K3544" s="3">
        <v>1.2173516607071388</v>
      </c>
      <c r="L3544" t="s">
        <v>54</v>
      </c>
    </row>
    <row r="3545" spans="1:12" x14ac:dyDescent="0.25">
      <c r="A3545" t="s">
        <v>487</v>
      </c>
      <c r="B3545" t="s">
        <v>463</v>
      </c>
      <c r="C3545" t="s">
        <v>464</v>
      </c>
      <c r="D3545" t="s">
        <v>256</v>
      </c>
      <c r="E3545" t="s">
        <v>262</v>
      </c>
      <c r="F3545">
        <v>3</v>
      </c>
      <c r="G3545" t="s">
        <v>488</v>
      </c>
      <c r="H3545" s="4">
        <v>38609917</v>
      </c>
      <c r="I3545" s="4">
        <v>34420317.8361045</v>
      </c>
      <c r="J3545" s="3">
        <v>0.10851096012186462</v>
      </c>
      <c r="K3545" s="3">
        <v>0.12171878202417141</v>
      </c>
      <c r="L3545" t="s">
        <v>54</v>
      </c>
    </row>
    <row r="3546" spans="1:12" x14ac:dyDescent="0.25">
      <c r="A3546" t="s">
        <v>487</v>
      </c>
      <c r="B3546" t="s">
        <v>463</v>
      </c>
      <c r="C3546" t="s">
        <v>464</v>
      </c>
      <c r="D3546" t="s">
        <v>256</v>
      </c>
      <c r="E3546" t="s">
        <v>262</v>
      </c>
      <c r="F3546">
        <v>3</v>
      </c>
      <c r="G3546" t="s">
        <v>498</v>
      </c>
      <c r="H3546" s="4">
        <v>38609917</v>
      </c>
      <c r="I3546" s="4">
        <v>36135958</v>
      </c>
      <c r="J3546" s="3">
        <v>0.06407573991935803</v>
      </c>
      <c r="K3546" s="3">
        <v>0.06846252699319609</v>
      </c>
      <c r="L3546" t="s">
        <v>54</v>
      </c>
    </row>
    <row r="3547" spans="1:12" x14ac:dyDescent="0.25">
      <c r="A3547" t="s">
        <v>487</v>
      </c>
      <c r="B3547" t="s">
        <v>463</v>
      </c>
      <c r="C3547" t="s">
        <v>464</v>
      </c>
      <c r="D3547" t="s">
        <v>256</v>
      </c>
      <c r="E3547" t="s">
        <v>262</v>
      </c>
      <c r="F3547">
        <v>3</v>
      </c>
      <c r="G3547" t="s">
        <v>499</v>
      </c>
      <c r="H3547" s="4">
        <v>38609917</v>
      </c>
      <c r="I3547" s="4">
        <v>14881492</v>
      </c>
      <c r="J3547" s="3">
        <v>0.6145681432052806</v>
      </c>
      <c r="K3547" s="3">
        <v>1.5944923398809743</v>
      </c>
      <c r="L3547" t="s">
        <v>54</v>
      </c>
    </row>
    <row r="3548" spans="1:12" x14ac:dyDescent="0.25">
      <c r="A3548" t="s">
        <v>487</v>
      </c>
      <c r="B3548" t="s">
        <v>463</v>
      </c>
      <c r="C3548" t="s">
        <v>464</v>
      </c>
      <c r="D3548" t="s">
        <v>258</v>
      </c>
      <c r="E3548" t="s">
        <v>260</v>
      </c>
      <c r="F3548">
        <v>1</v>
      </c>
      <c r="G3548" t="s">
        <v>488</v>
      </c>
      <c r="H3548" s="4">
        <v>32997501</v>
      </c>
      <c r="I3548" s="4">
        <v>32169552.242164508</v>
      </c>
      <c r="J3548" s="3">
        <v>0.02509125639046098</v>
      </c>
      <c r="K3548" s="3">
        <v>0.02573703082973916</v>
      </c>
      <c r="L3548" t="s">
        <v>54</v>
      </c>
    </row>
    <row r="3549" spans="1:12" x14ac:dyDescent="0.25">
      <c r="A3549" t="s">
        <v>487</v>
      </c>
      <c r="B3549" t="s">
        <v>463</v>
      </c>
      <c r="C3549" t="s">
        <v>464</v>
      </c>
      <c r="D3549" t="s">
        <v>258</v>
      </c>
      <c r="E3549" t="s">
        <v>260</v>
      </c>
      <c r="F3549">
        <v>1</v>
      </c>
      <c r="G3549" t="s">
        <v>498</v>
      </c>
      <c r="H3549" s="4">
        <v>32997501</v>
      </c>
      <c r="I3549" s="4">
        <v>33624275</v>
      </c>
      <c r="J3549" s="3">
        <v>0.018994589923643005</v>
      </c>
      <c r="K3549" s="3">
        <v>-0.018640520873684265</v>
      </c>
      <c r="L3549" t="s">
        <v>54</v>
      </c>
    </row>
    <row r="3550" spans="1:12" x14ac:dyDescent="0.25">
      <c r="A3550" t="s">
        <v>487</v>
      </c>
      <c r="B3550" t="s">
        <v>463</v>
      </c>
      <c r="C3550" t="s">
        <v>464</v>
      </c>
      <c r="D3550" t="s">
        <v>258</v>
      </c>
      <c r="E3550" t="s">
        <v>260</v>
      </c>
      <c r="F3550">
        <v>1</v>
      </c>
      <c r="G3550" t="s">
        <v>499</v>
      </c>
      <c r="H3550" s="4">
        <v>32997501</v>
      </c>
      <c r="I3550" s="4">
        <v>20264124</v>
      </c>
      <c r="J3550" s="3">
        <v>0.38588913142240683</v>
      </c>
      <c r="K3550" s="3">
        <v>0.6283704639786057</v>
      </c>
      <c r="L3550" t="s">
        <v>54</v>
      </c>
    </row>
    <row r="3551" spans="1:12" x14ac:dyDescent="0.25">
      <c r="A3551" t="s">
        <v>487</v>
      </c>
      <c r="B3551" t="s">
        <v>463</v>
      </c>
      <c r="C3551" t="s">
        <v>464</v>
      </c>
      <c r="D3551" t="s">
        <v>258</v>
      </c>
      <c r="E3551" t="s">
        <v>262</v>
      </c>
      <c r="F3551">
        <v>2</v>
      </c>
      <c r="G3551" t="s">
        <v>488</v>
      </c>
      <c r="H3551" s="4">
        <v>38609917</v>
      </c>
      <c r="I3551" s="4">
        <v>34572569.6301753</v>
      </c>
      <c r="J3551" s="3">
        <v>0.10456762623511208</v>
      </c>
      <c r="K3551" s="3">
        <v>0.11677892077483477</v>
      </c>
      <c r="L3551" t="s">
        <v>54</v>
      </c>
    </row>
    <row r="3552" spans="1:12" x14ac:dyDescent="0.25">
      <c r="A3552" t="s">
        <v>487</v>
      </c>
      <c r="B3552" t="s">
        <v>463</v>
      </c>
      <c r="C3552" t="s">
        <v>464</v>
      </c>
      <c r="D3552" t="s">
        <v>258</v>
      </c>
      <c r="E3552" t="s">
        <v>262</v>
      </c>
      <c r="F3552">
        <v>2</v>
      </c>
      <c r="G3552" t="s">
        <v>498</v>
      </c>
      <c r="H3552" s="4">
        <v>38609917</v>
      </c>
      <c r="I3552" s="4">
        <v>36135958</v>
      </c>
      <c r="J3552" s="3">
        <v>0.06407573991935803</v>
      </c>
      <c r="K3552" s="3">
        <v>0.06846252699319609</v>
      </c>
      <c r="L3552" t="s">
        <v>54</v>
      </c>
    </row>
    <row r="3553" spans="1:12" x14ac:dyDescent="0.25">
      <c r="A3553" t="s">
        <v>487</v>
      </c>
      <c r="B3553" t="s">
        <v>463</v>
      </c>
      <c r="C3553" t="s">
        <v>464</v>
      </c>
      <c r="D3553" t="s">
        <v>258</v>
      </c>
      <c r="E3553" t="s">
        <v>262</v>
      </c>
      <c r="F3553">
        <v>2</v>
      </c>
      <c r="G3553" t="s">
        <v>499</v>
      </c>
      <c r="H3553" s="4">
        <v>38609917</v>
      </c>
      <c r="I3553" s="4">
        <v>20264124</v>
      </c>
      <c r="J3553" s="3">
        <v>0.4751575353036889</v>
      </c>
      <c r="K3553" s="3">
        <v>0.9053336329761899</v>
      </c>
      <c r="L3553" t="s">
        <v>54</v>
      </c>
    </row>
    <row r="3554" spans="1:12" x14ac:dyDescent="0.25">
      <c r="A3554" t="s">
        <v>487</v>
      </c>
      <c r="B3554" t="s">
        <v>463</v>
      </c>
      <c r="C3554" t="s">
        <v>464</v>
      </c>
      <c r="D3554" t="s">
        <v>258</v>
      </c>
      <c r="E3554" t="s">
        <v>264</v>
      </c>
      <c r="F3554">
        <v>3</v>
      </c>
      <c r="G3554" t="s">
        <v>488</v>
      </c>
      <c r="H3554" s="4">
        <v>35405354</v>
      </c>
      <c r="I3554" s="4">
        <v>38726188.949629486</v>
      </c>
      <c r="J3554" s="3">
        <v>0.09379471109452783</v>
      </c>
      <c r="K3554" s="3">
        <v>-0.08575165901165335</v>
      </c>
      <c r="L3554" t="s">
        <v>54</v>
      </c>
    </row>
    <row r="3555" spans="1:12" x14ac:dyDescent="0.25">
      <c r="A3555" t="s">
        <v>487</v>
      </c>
      <c r="B3555" t="s">
        <v>463</v>
      </c>
      <c r="C3555" t="s">
        <v>464</v>
      </c>
      <c r="D3555" t="s">
        <v>258</v>
      </c>
      <c r="E3555" t="s">
        <v>264</v>
      </c>
      <c r="F3555">
        <v>3</v>
      </c>
      <c r="G3555" t="s">
        <v>498</v>
      </c>
      <c r="H3555" s="4">
        <v>35405354</v>
      </c>
      <c r="I3555" s="4">
        <v>40477406</v>
      </c>
      <c r="J3555" s="3">
        <v>0.14325663852986756</v>
      </c>
      <c r="K3555" s="3">
        <v>-0.12530575699440819</v>
      </c>
      <c r="L3555" t="s">
        <v>54</v>
      </c>
    </row>
    <row r="3556" spans="1:12" x14ac:dyDescent="0.25">
      <c r="A3556" t="s">
        <v>487</v>
      </c>
      <c r="B3556" t="s">
        <v>463</v>
      </c>
      <c r="C3556" t="s">
        <v>464</v>
      </c>
      <c r="D3556" t="s">
        <v>258</v>
      </c>
      <c r="E3556" t="s">
        <v>264</v>
      </c>
      <c r="F3556">
        <v>3</v>
      </c>
      <c r="G3556" t="s">
        <v>499</v>
      </c>
      <c r="H3556" s="4">
        <v>35405354</v>
      </c>
      <c r="I3556" s="4">
        <v>20264124</v>
      </c>
      <c r="J3556" s="3">
        <v>0.42765368198267417</v>
      </c>
      <c r="K3556" s="3">
        <v>0.7471939078146186</v>
      </c>
      <c r="L3556" t="s">
        <v>54</v>
      </c>
    </row>
    <row r="3557" spans="1:12" x14ac:dyDescent="0.25">
      <c r="A3557" t="s">
        <v>487</v>
      </c>
      <c r="B3557" t="s">
        <v>463</v>
      </c>
      <c r="C3557" t="s">
        <v>464</v>
      </c>
      <c r="D3557" t="s">
        <v>260</v>
      </c>
      <c r="E3557" t="s">
        <v>262</v>
      </c>
      <c r="F3557">
        <v>1</v>
      </c>
      <c r="G3557" t="s">
        <v>488</v>
      </c>
      <c r="H3557" s="4">
        <v>38609917</v>
      </c>
      <c r="I3557" s="4">
        <v>34340542.975931674</v>
      </c>
      <c r="J3557" s="3">
        <v>0.11057713550817334</v>
      </c>
      <c r="K3557" s="3">
        <v>0.12432459285983366</v>
      </c>
      <c r="L3557" t="s">
        <v>54</v>
      </c>
    </row>
    <row r="3558" spans="1:12" x14ac:dyDescent="0.25">
      <c r="A3558" t="s">
        <v>487</v>
      </c>
      <c r="B3558" t="s">
        <v>463</v>
      </c>
      <c r="C3558" t="s">
        <v>464</v>
      </c>
      <c r="D3558" t="s">
        <v>260</v>
      </c>
      <c r="E3558" t="s">
        <v>262</v>
      </c>
      <c r="F3558">
        <v>1</v>
      </c>
      <c r="G3558" t="s">
        <v>498</v>
      </c>
      <c r="H3558" s="4">
        <v>38609917</v>
      </c>
      <c r="I3558" s="4">
        <v>36135958</v>
      </c>
      <c r="J3558" s="3">
        <v>0.06407573991935803</v>
      </c>
      <c r="K3558" s="3">
        <v>0.06846252699319609</v>
      </c>
      <c r="L3558" t="s">
        <v>54</v>
      </c>
    </row>
    <row r="3559" spans="1:12" x14ac:dyDescent="0.25">
      <c r="A3559" t="s">
        <v>487</v>
      </c>
      <c r="B3559" t="s">
        <v>463</v>
      </c>
      <c r="C3559" t="s">
        <v>464</v>
      </c>
      <c r="D3559" t="s">
        <v>260</v>
      </c>
      <c r="E3559" t="s">
        <v>262</v>
      </c>
      <c r="F3559">
        <v>1</v>
      </c>
      <c r="G3559" t="s">
        <v>499</v>
      </c>
      <c r="H3559" s="4">
        <v>38609917</v>
      </c>
      <c r="I3559" s="4">
        <v>32997501</v>
      </c>
      <c r="J3559" s="3">
        <v>0.14536203224679298</v>
      </c>
      <c r="K3559" s="3">
        <v>0.1700860922771091</v>
      </c>
      <c r="L3559" t="s">
        <v>54</v>
      </c>
    </row>
    <row r="3560" spans="1:12" x14ac:dyDescent="0.25">
      <c r="A3560" t="s">
        <v>487</v>
      </c>
      <c r="B3560" t="s">
        <v>463</v>
      </c>
      <c r="C3560" t="s">
        <v>464</v>
      </c>
      <c r="D3560" t="s">
        <v>260</v>
      </c>
      <c r="E3560" t="s">
        <v>264</v>
      </c>
      <c r="F3560">
        <v>2</v>
      </c>
      <c r="G3560" t="s">
        <v>488</v>
      </c>
      <c r="H3560" s="4">
        <v>35405354</v>
      </c>
      <c r="I3560" s="4">
        <v>38466286.137958065</v>
      </c>
      <c r="J3560" s="3">
        <v>0.08645393399987089</v>
      </c>
      <c r="K3560" s="3">
        <v>-0.07957441295424603</v>
      </c>
      <c r="L3560" t="s">
        <v>54</v>
      </c>
    </row>
    <row r="3561" spans="1:12" x14ac:dyDescent="0.25">
      <c r="A3561" t="s">
        <v>487</v>
      </c>
      <c r="B3561" t="s">
        <v>463</v>
      </c>
      <c r="C3561" t="s">
        <v>464</v>
      </c>
      <c r="D3561" t="s">
        <v>260</v>
      </c>
      <c r="E3561" t="s">
        <v>264</v>
      </c>
      <c r="F3561">
        <v>2</v>
      </c>
      <c r="G3561" t="s">
        <v>498</v>
      </c>
      <c r="H3561" s="4">
        <v>35405354</v>
      </c>
      <c r="I3561" s="4">
        <v>40477406</v>
      </c>
      <c r="J3561" s="3">
        <v>0.14325663852986756</v>
      </c>
      <c r="K3561" s="3">
        <v>-0.12530575699440819</v>
      </c>
      <c r="L3561" t="s">
        <v>54</v>
      </c>
    </row>
    <row r="3562" spans="1:12" x14ac:dyDescent="0.25">
      <c r="A3562" t="s">
        <v>487</v>
      </c>
      <c r="B3562" t="s">
        <v>463</v>
      </c>
      <c r="C3562" t="s">
        <v>464</v>
      </c>
      <c r="D3562" t="s">
        <v>260</v>
      </c>
      <c r="E3562" t="s">
        <v>264</v>
      </c>
      <c r="F3562">
        <v>2</v>
      </c>
      <c r="G3562" t="s">
        <v>499</v>
      </c>
      <c r="H3562" s="4">
        <v>35405354</v>
      </c>
      <c r="I3562" s="4">
        <v>32997501</v>
      </c>
      <c r="J3562" s="3">
        <v>0.06800816057368046</v>
      </c>
      <c r="K3562" s="3">
        <v>0.07297076830151471</v>
      </c>
      <c r="L3562" t="s">
        <v>54</v>
      </c>
    </row>
    <row r="3563" spans="1:12" x14ac:dyDescent="0.25">
      <c r="A3563" t="s">
        <v>487</v>
      </c>
      <c r="B3563" t="s">
        <v>463</v>
      </c>
      <c r="C3563" t="s">
        <v>464</v>
      </c>
      <c r="D3563" t="s">
        <v>260</v>
      </c>
      <c r="E3563" t="s">
        <v>266</v>
      </c>
      <c r="F3563">
        <v>3</v>
      </c>
      <c r="G3563" t="s">
        <v>488</v>
      </c>
      <c r="H3563" s="4">
        <v>37664687</v>
      </c>
      <c r="I3563" s="4">
        <v>32597681.41879161</v>
      </c>
      <c r="J3563" s="3">
        <v>0.1345293425963792</v>
      </c>
      <c r="K3563" s="3">
        <v>0.15544067432622397</v>
      </c>
      <c r="L3563" t="s">
        <v>54</v>
      </c>
    </row>
    <row r="3564" spans="1:12" x14ac:dyDescent="0.25">
      <c r="A3564" t="s">
        <v>487</v>
      </c>
      <c r="B3564" t="s">
        <v>463</v>
      </c>
      <c r="C3564" t="s">
        <v>464</v>
      </c>
      <c r="D3564" t="s">
        <v>260</v>
      </c>
      <c r="E3564" t="s">
        <v>266</v>
      </c>
      <c r="F3564">
        <v>3</v>
      </c>
      <c r="G3564" t="s">
        <v>498</v>
      </c>
      <c r="H3564" s="4">
        <v>37664687</v>
      </c>
      <c r="I3564" s="4">
        <v>34301975</v>
      </c>
      <c r="J3564" s="3">
        <v>0.08928023217078639</v>
      </c>
      <c r="K3564" s="3">
        <v>0.09803260599426127</v>
      </c>
      <c r="L3564" t="s">
        <v>54</v>
      </c>
    </row>
    <row r="3565" spans="1:12" x14ac:dyDescent="0.25">
      <c r="A3565" t="s">
        <v>487</v>
      </c>
      <c r="B3565" t="s">
        <v>463</v>
      </c>
      <c r="C3565" t="s">
        <v>464</v>
      </c>
      <c r="D3565" t="s">
        <v>260</v>
      </c>
      <c r="E3565" t="s">
        <v>266</v>
      </c>
      <c r="F3565">
        <v>3</v>
      </c>
      <c r="G3565" t="s">
        <v>499</v>
      </c>
      <c r="H3565" s="4">
        <v>37664687</v>
      </c>
      <c r="I3565" s="4">
        <v>32997501</v>
      </c>
      <c r="J3565" s="3">
        <v>0.12391410553869729</v>
      </c>
      <c r="K3565" s="3">
        <v>0.14144058969798956</v>
      </c>
      <c r="L3565" t="s">
        <v>54</v>
      </c>
    </row>
    <row r="3566" spans="1:12" x14ac:dyDescent="0.25">
      <c r="A3566" t="s">
        <v>487</v>
      </c>
      <c r="B3566" t="s">
        <v>463</v>
      </c>
      <c r="C3566" t="s">
        <v>464</v>
      </c>
      <c r="D3566" t="s">
        <v>262</v>
      </c>
      <c r="E3566" t="s">
        <v>264</v>
      </c>
      <c r="F3566">
        <v>1</v>
      </c>
      <c r="G3566" t="s">
        <v>488</v>
      </c>
      <c r="H3566" s="4">
        <v>35405354</v>
      </c>
      <c r="I3566" s="4">
        <v>38597127.752261974</v>
      </c>
      <c r="J3566" s="3">
        <v>0.09014946587631842</v>
      </c>
      <c r="K3566" s="3">
        <v>-0.08269459252897182</v>
      </c>
      <c r="L3566" t="s">
        <v>54</v>
      </c>
    </row>
    <row r="3567" spans="1:12" x14ac:dyDescent="0.25">
      <c r="A3567" t="s">
        <v>487</v>
      </c>
      <c r="B3567" t="s">
        <v>463</v>
      </c>
      <c r="C3567" t="s">
        <v>464</v>
      </c>
      <c r="D3567" t="s">
        <v>262</v>
      </c>
      <c r="E3567" t="s">
        <v>264</v>
      </c>
      <c r="F3567">
        <v>1</v>
      </c>
      <c r="G3567" t="s">
        <v>498</v>
      </c>
      <c r="H3567" s="4">
        <v>35405354</v>
      </c>
      <c r="I3567" s="4">
        <v>40477406</v>
      </c>
      <c r="J3567" s="3">
        <v>0.14325663852986756</v>
      </c>
      <c r="K3567" s="3">
        <v>-0.12530575699440819</v>
      </c>
      <c r="L3567" t="s">
        <v>54</v>
      </c>
    </row>
    <row r="3568" spans="1:12" x14ac:dyDescent="0.25">
      <c r="A3568" t="s">
        <v>487</v>
      </c>
      <c r="B3568" t="s">
        <v>463</v>
      </c>
      <c r="C3568" t="s">
        <v>464</v>
      </c>
      <c r="D3568" t="s">
        <v>262</v>
      </c>
      <c r="E3568" t="s">
        <v>264</v>
      </c>
      <c r="F3568">
        <v>1</v>
      </c>
      <c r="G3568" t="s">
        <v>499</v>
      </c>
      <c r="H3568" s="4">
        <v>35405354</v>
      </c>
      <c r="I3568" s="4">
        <v>38609917</v>
      </c>
      <c r="J3568" s="3">
        <v>0.09051068942849717</v>
      </c>
      <c r="K3568" s="3">
        <v>-0.0829984431201963</v>
      </c>
      <c r="L3568" t="s">
        <v>54</v>
      </c>
    </row>
    <row r="3569" spans="1:12" x14ac:dyDescent="0.25">
      <c r="A3569" t="s">
        <v>487</v>
      </c>
      <c r="B3569" t="s">
        <v>463</v>
      </c>
      <c r="C3569" t="s">
        <v>464</v>
      </c>
      <c r="D3569" t="s">
        <v>262</v>
      </c>
      <c r="E3569" t="s">
        <v>266</v>
      </c>
      <c r="F3569">
        <v>2</v>
      </c>
      <c r="G3569" t="s">
        <v>488</v>
      </c>
      <c r="H3569" s="4">
        <v>37664687</v>
      </c>
      <c r="I3569" s="4">
        <v>32708561.196582027</v>
      </c>
      <c r="J3569" s="3">
        <v>0.13158547695930603</v>
      </c>
      <c r="K3569" s="3">
        <v>0.15152380973382215</v>
      </c>
      <c r="L3569" t="s">
        <v>54</v>
      </c>
    </row>
    <row r="3570" spans="1:12" x14ac:dyDescent="0.25">
      <c r="A3570" t="s">
        <v>487</v>
      </c>
      <c r="B3570" t="s">
        <v>463</v>
      </c>
      <c r="C3570" t="s">
        <v>464</v>
      </c>
      <c r="D3570" t="s">
        <v>262</v>
      </c>
      <c r="E3570" t="s">
        <v>266</v>
      </c>
      <c r="F3570">
        <v>2</v>
      </c>
      <c r="G3570" t="s">
        <v>498</v>
      </c>
      <c r="H3570" s="4">
        <v>37664687</v>
      </c>
      <c r="I3570" s="4">
        <v>34301975</v>
      </c>
      <c r="J3570" s="3">
        <v>0.08928023217078639</v>
      </c>
      <c r="K3570" s="3">
        <v>0.09803260599426127</v>
      </c>
      <c r="L3570" t="s">
        <v>54</v>
      </c>
    </row>
    <row r="3571" spans="1:12" x14ac:dyDescent="0.25">
      <c r="A3571" t="s">
        <v>487</v>
      </c>
      <c r="B3571" t="s">
        <v>463</v>
      </c>
      <c r="C3571" t="s">
        <v>464</v>
      </c>
      <c r="D3571" t="s">
        <v>262</v>
      </c>
      <c r="E3571" t="s">
        <v>266</v>
      </c>
      <c r="F3571">
        <v>2</v>
      </c>
      <c r="G3571" t="s">
        <v>499</v>
      </c>
      <c r="H3571" s="4">
        <v>37664687</v>
      </c>
      <c r="I3571" s="4">
        <v>38609917</v>
      </c>
      <c r="J3571" s="3">
        <v>0.025095920749321505</v>
      </c>
      <c r="K3571" s="3">
        <v>-0.024481534109487984</v>
      </c>
      <c r="L3571" t="s">
        <v>54</v>
      </c>
    </row>
    <row r="3572" spans="1:12" x14ac:dyDescent="0.25">
      <c r="A3572" t="s">
        <v>487</v>
      </c>
      <c r="B3572" t="s">
        <v>463</v>
      </c>
      <c r="C3572" t="s">
        <v>464</v>
      </c>
      <c r="D3572" t="s">
        <v>262</v>
      </c>
      <c r="E3572" t="s">
        <v>268</v>
      </c>
      <c r="F3572">
        <v>3</v>
      </c>
      <c r="G3572" t="s">
        <v>488</v>
      </c>
      <c r="H3572" s="4">
        <v>28579419</v>
      </c>
      <c r="I3572" s="4">
        <v>26313062.11087089</v>
      </c>
      <c r="J3572" s="3">
        <v>0.07930031359731665</v>
      </c>
      <c r="K3572" s="3">
        <v>0.08613048833236306</v>
      </c>
      <c r="L3572" t="s">
        <v>54</v>
      </c>
    </row>
    <row r="3573" spans="1:12" x14ac:dyDescent="0.25">
      <c r="A3573" t="s">
        <v>487</v>
      </c>
      <c r="B3573" t="s">
        <v>463</v>
      </c>
      <c r="C3573" t="s">
        <v>464</v>
      </c>
      <c r="D3573" t="s">
        <v>262</v>
      </c>
      <c r="E3573" t="s">
        <v>268</v>
      </c>
      <c r="F3573">
        <v>3</v>
      </c>
      <c r="G3573" t="s">
        <v>498</v>
      </c>
      <c r="H3573" s="4">
        <v>28579419</v>
      </c>
      <c r="I3573" s="4">
        <v>27594916</v>
      </c>
      <c r="J3573" s="3">
        <v>0.03444797110816004</v>
      </c>
      <c r="K3573" s="3">
        <v>0.035676970352074996</v>
      </c>
      <c r="L3573" t="s">
        <v>54</v>
      </c>
    </row>
    <row r="3574" spans="1:12" x14ac:dyDescent="0.25">
      <c r="A3574" t="s">
        <v>487</v>
      </c>
      <c r="B3574" t="s">
        <v>463</v>
      </c>
      <c r="C3574" t="s">
        <v>464</v>
      </c>
      <c r="D3574" t="s">
        <v>262</v>
      </c>
      <c r="E3574" t="s">
        <v>268</v>
      </c>
      <c r="F3574">
        <v>3</v>
      </c>
      <c r="G3574" t="s">
        <v>499</v>
      </c>
      <c r="H3574" s="4">
        <v>28579419</v>
      </c>
      <c r="I3574" s="4">
        <v>38609917</v>
      </c>
      <c r="J3574" s="3">
        <v>0.35096927617737783</v>
      </c>
      <c r="K3574" s="3">
        <v>-0.25979071646281965</v>
      </c>
      <c r="L3574" t="s">
        <v>54</v>
      </c>
    </row>
    <row r="3575" spans="1:12" x14ac:dyDescent="0.25">
      <c r="A3575" t="s">
        <v>487</v>
      </c>
      <c r="B3575" t="s">
        <v>463</v>
      </c>
      <c r="C3575" t="s">
        <v>464</v>
      </c>
      <c r="D3575" t="s">
        <v>264</v>
      </c>
      <c r="E3575" t="s">
        <v>266</v>
      </c>
      <c r="F3575">
        <v>1</v>
      </c>
      <c r="G3575" t="s">
        <v>488</v>
      </c>
      <c r="H3575" s="4">
        <v>37664687</v>
      </c>
      <c r="I3575" s="4">
        <v>32603916.046973135</v>
      </c>
      <c r="J3575" s="3">
        <v>0.1343638127943786</v>
      </c>
      <c r="K3575" s="3">
        <v>0.15521972715595597</v>
      </c>
      <c r="L3575" t="s">
        <v>54</v>
      </c>
    </row>
    <row r="3576" spans="1:12" x14ac:dyDescent="0.25">
      <c r="A3576" t="s">
        <v>487</v>
      </c>
      <c r="B3576" t="s">
        <v>463</v>
      </c>
      <c r="C3576" t="s">
        <v>464</v>
      </c>
      <c r="D3576" t="s">
        <v>264</v>
      </c>
      <c r="E3576" t="s">
        <v>266</v>
      </c>
      <c r="F3576">
        <v>1</v>
      </c>
      <c r="G3576" t="s">
        <v>498</v>
      </c>
      <c r="H3576" s="4">
        <v>37664687</v>
      </c>
      <c r="I3576" s="4">
        <v>34301975</v>
      </c>
      <c r="J3576" s="3">
        <v>0.08928023217078639</v>
      </c>
      <c r="K3576" s="3">
        <v>0.09803260599426127</v>
      </c>
      <c r="L3576" t="s">
        <v>54</v>
      </c>
    </row>
    <row r="3577" spans="1:12" x14ac:dyDescent="0.25">
      <c r="A3577" t="s">
        <v>487</v>
      </c>
      <c r="B3577" t="s">
        <v>463</v>
      </c>
      <c r="C3577" t="s">
        <v>464</v>
      </c>
      <c r="D3577" t="s">
        <v>264</v>
      </c>
      <c r="E3577" t="s">
        <v>266</v>
      </c>
      <c r="F3577">
        <v>1</v>
      </c>
      <c r="G3577" t="s">
        <v>499</v>
      </c>
      <c r="H3577" s="4">
        <v>37664687</v>
      </c>
      <c r="I3577" s="4">
        <v>35405354</v>
      </c>
      <c r="J3577" s="3">
        <v>0.0599854447217363</v>
      </c>
      <c r="K3577" s="3">
        <v>0.06381331478849216</v>
      </c>
      <c r="L3577" t="s">
        <v>54</v>
      </c>
    </row>
    <row r="3578" spans="1:12" x14ac:dyDescent="0.25">
      <c r="A3578" t="s">
        <v>487</v>
      </c>
      <c r="B3578" t="s">
        <v>463</v>
      </c>
      <c r="C3578" t="s">
        <v>464</v>
      </c>
      <c r="D3578" t="s">
        <v>264</v>
      </c>
      <c r="E3578" t="s">
        <v>268</v>
      </c>
      <c r="F3578">
        <v>2</v>
      </c>
      <c r="G3578" t="s">
        <v>488</v>
      </c>
      <c r="H3578" s="4">
        <v>28579419</v>
      </c>
      <c r="I3578" s="4">
        <v>26228878.20853685</v>
      </c>
      <c r="J3578" s="3">
        <v>0.08224592639420528</v>
      </c>
      <c r="K3578" s="3">
        <v>0.08961652011095575</v>
      </c>
      <c r="L3578" t="s">
        <v>54</v>
      </c>
    </row>
    <row r="3579" spans="1:12" x14ac:dyDescent="0.25">
      <c r="A3579" t="s">
        <v>487</v>
      </c>
      <c r="B3579" t="s">
        <v>463</v>
      </c>
      <c r="C3579" t="s">
        <v>464</v>
      </c>
      <c r="D3579" t="s">
        <v>264</v>
      </c>
      <c r="E3579" t="s">
        <v>268</v>
      </c>
      <c r="F3579">
        <v>2</v>
      </c>
      <c r="G3579" t="s">
        <v>498</v>
      </c>
      <c r="H3579" s="4">
        <v>28579419</v>
      </c>
      <c r="I3579" s="4">
        <v>27594916</v>
      </c>
      <c r="J3579" s="3">
        <v>0.03444797110816004</v>
      </c>
      <c r="K3579" s="3">
        <v>0.035676970352074996</v>
      </c>
      <c r="L3579" t="s">
        <v>54</v>
      </c>
    </row>
    <row r="3580" spans="1:12" x14ac:dyDescent="0.25">
      <c r="A3580" t="s">
        <v>487</v>
      </c>
      <c r="B3580" t="s">
        <v>463</v>
      </c>
      <c r="C3580" t="s">
        <v>464</v>
      </c>
      <c r="D3580" t="s">
        <v>264</v>
      </c>
      <c r="E3580" t="s">
        <v>268</v>
      </c>
      <c r="F3580">
        <v>2</v>
      </c>
      <c r="G3580" t="s">
        <v>499</v>
      </c>
      <c r="H3580" s="4">
        <v>28579419</v>
      </c>
      <c r="I3580" s="4">
        <v>35405354</v>
      </c>
      <c r="J3580" s="3">
        <v>0.238840929551437</v>
      </c>
      <c r="K3580" s="3">
        <v>-0.1927938638884955</v>
      </c>
      <c r="L3580" t="s">
        <v>54</v>
      </c>
    </row>
    <row r="3581" spans="1:12" x14ac:dyDescent="0.25">
      <c r="A3581" t="s">
        <v>487</v>
      </c>
      <c r="B3581" t="s">
        <v>463</v>
      </c>
      <c r="C3581" t="s">
        <v>464</v>
      </c>
      <c r="D3581" t="s">
        <v>264</v>
      </c>
      <c r="E3581" t="s">
        <v>270</v>
      </c>
      <c r="F3581">
        <v>3</v>
      </c>
      <c r="G3581" t="s">
        <v>488</v>
      </c>
      <c r="H3581" s="4">
        <v>30836778</v>
      </c>
      <c r="I3581" s="4">
        <v>28393121.307726208</v>
      </c>
      <c r="J3581" s="3">
        <v>0.07924487740819718</v>
      </c>
      <c r="K3581" s="3">
        <v>0.08606509533732859</v>
      </c>
      <c r="L3581" t="s">
        <v>54</v>
      </c>
    </row>
    <row r="3582" spans="1:12" x14ac:dyDescent="0.25">
      <c r="A3582" t="s">
        <v>487</v>
      </c>
      <c r="B3582" t="s">
        <v>463</v>
      </c>
      <c r="C3582" t="s">
        <v>464</v>
      </c>
      <c r="D3582" t="s">
        <v>264</v>
      </c>
      <c r="E3582" t="s">
        <v>270</v>
      </c>
      <c r="F3582">
        <v>3</v>
      </c>
      <c r="G3582" t="s">
        <v>498</v>
      </c>
      <c r="H3582" s="4">
        <v>30836778</v>
      </c>
      <c r="I3582" s="4">
        <v>29871876</v>
      </c>
      <c r="J3582" s="3">
        <v>0.0312906231643267</v>
      </c>
      <c r="K3582" s="3">
        <v>0.03230135261675564</v>
      </c>
      <c r="L3582" t="s">
        <v>54</v>
      </c>
    </row>
    <row r="3583" spans="1:12" x14ac:dyDescent="0.25">
      <c r="A3583" t="s">
        <v>487</v>
      </c>
      <c r="B3583" t="s">
        <v>463</v>
      </c>
      <c r="C3583" t="s">
        <v>464</v>
      </c>
      <c r="D3583" t="s">
        <v>264</v>
      </c>
      <c r="E3583" t="s">
        <v>270</v>
      </c>
      <c r="F3583">
        <v>3</v>
      </c>
      <c r="G3583" t="s">
        <v>499</v>
      </c>
      <c r="H3583" s="4">
        <v>30836778</v>
      </c>
      <c r="I3583" s="4">
        <v>35405354</v>
      </c>
      <c r="J3583" s="3">
        <v>0.1481534808857138</v>
      </c>
      <c r="K3583" s="3">
        <v>-0.12903630337942673</v>
      </c>
      <c r="L3583" t="s">
        <v>54</v>
      </c>
    </row>
    <row r="3584" spans="1:12" x14ac:dyDescent="0.25">
      <c r="A3584" t="s">
        <v>487</v>
      </c>
      <c r="B3584" t="s">
        <v>463</v>
      </c>
      <c r="C3584" t="s">
        <v>464</v>
      </c>
      <c r="D3584" t="s">
        <v>266</v>
      </c>
      <c r="E3584" t="s">
        <v>268</v>
      </c>
      <c r="F3584">
        <v>1</v>
      </c>
      <c r="G3584" t="s">
        <v>488</v>
      </c>
      <c r="H3584" s="4">
        <v>28579419</v>
      </c>
      <c r="I3584" s="4">
        <v>26443429.02360544</v>
      </c>
      <c r="J3584" s="3">
        <v>0.07473874736202861</v>
      </c>
      <c r="K3584" s="3">
        <v>0.08077583185175459</v>
      </c>
      <c r="L3584" t="s">
        <v>54</v>
      </c>
    </row>
    <row r="3585" spans="1:12" x14ac:dyDescent="0.25">
      <c r="A3585" t="s">
        <v>487</v>
      </c>
      <c r="B3585" t="s">
        <v>463</v>
      </c>
      <c r="C3585" t="s">
        <v>464</v>
      </c>
      <c r="D3585" t="s">
        <v>266</v>
      </c>
      <c r="E3585" t="s">
        <v>268</v>
      </c>
      <c r="F3585">
        <v>1</v>
      </c>
      <c r="G3585" t="s">
        <v>498</v>
      </c>
      <c r="H3585" s="4">
        <v>28579419</v>
      </c>
      <c r="I3585" s="4">
        <v>27594916</v>
      </c>
      <c r="J3585" s="3">
        <v>0.03444797110816004</v>
      </c>
      <c r="K3585" s="3">
        <v>0.035676970352074996</v>
      </c>
      <c r="L3585" t="s">
        <v>54</v>
      </c>
    </row>
    <row r="3586" spans="1:12" x14ac:dyDescent="0.25">
      <c r="A3586" t="s">
        <v>487</v>
      </c>
      <c r="B3586" t="s">
        <v>463</v>
      </c>
      <c r="C3586" t="s">
        <v>464</v>
      </c>
      <c r="D3586" t="s">
        <v>266</v>
      </c>
      <c r="E3586" t="s">
        <v>268</v>
      </c>
      <c r="F3586">
        <v>1</v>
      </c>
      <c r="G3586" t="s">
        <v>499</v>
      </c>
      <c r="H3586" s="4">
        <v>28579419</v>
      </c>
      <c r="I3586" s="4">
        <v>37664687</v>
      </c>
      <c r="J3586" s="3">
        <v>0.3178954757617711</v>
      </c>
      <c r="K3586" s="3">
        <v>-0.24121448294525852</v>
      </c>
      <c r="L3586" t="s">
        <v>54</v>
      </c>
    </row>
    <row r="3587" spans="1:12" x14ac:dyDescent="0.25">
      <c r="A3587" t="s">
        <v>487</v>
      </c>
      <c r="B3587" t="s">
        <v>463</v>
      </c>
      <c r="C3587" t="s">
        <v>464</v>
      </c>
      <c r="D3587" t="s">
        <v>266</v>
      </c>
      <c r="E3587" t="s">
        <v>270</v>
      </c>
      <c r="F3587">
        <v>2</v>
      </c>
      <c r="G3587" t="s">
        <v>488</v>
      </c>
      <c r="H3587" s="4">
        <v>30836778</v>
      </c>
      <c r="I3587" s="4">
        <v>28625375.515110925</v>
      </c>
      <c r="J3587" s="3">
        <v>0.07171314995649271</v>
      </c>
      <c r="K3587" s="3">
        <v>0.07725322183884391</v>
      </c>
      <c r="L3587" t="s">
        <v>54</v>
      </c>
    </row>
    <row r="3588" spans="1:12" x14ac:dyDescent="0.25">
      <c r="A3588" t="s">
        <v>487</v>
      </c>
      <c r="B3588" t="s">
        <v>463</v>
      </c>
      <c r="C3588" t="s">
        <v>464</v>
      </c>
      <c r="D3588" t="s">
        <v>266</v>
      </c>
      <c r="E3588" t="s">
        <v>270</v>
      </c>
      <c r="F3588">
        <v>2</v>
      </c>
      <c r="G3588" t="s">
        <v>498</v>
      </c>
      <c r="H3588" s="4">
        <v>30836778</v>
      </c>
      <c r="I3588" s="4">
        <v>29871876</v>
      </c>
      <c r="J3588" s="3">
        <v>0.0312906231643267</v>
      </c>
      <c r="K3588" s="3">
        <v>0.03230135261675564</v>
      </c>
      <c r="L3588" t="s">
        <v>54</v>
      </c>
    </row>
    <row r="3589" spans="1:12" x14ac:dyDescent="0.25">
      <c r="A3589" t="s">
        <v>487</v>
      </c>
      <c r="B3589" t="s">
        <v>463</v>
      </c>
      <c r="C3589" t="s">
        <v>464</v>
      </c>
      <c r="D3589" t="s">
        <v>266</v>
      </c>
      <c r="E3589" t="s">
        <v>270</v>
      </c>
      <c r="F3589">
        <v>2</v>
      </c>
      <c r="G3589" t="s">
        <v>499</v>
      </c>
      <c r="H3589" s="4">
        <v>30836778</v>
      </c>
      <c r="I3589" s="4">
        <v>37664687</v>
      </c>
      <c r="J3589" s="3">
        <v>0.22142096038697687</v>
      </c>
      <c r="K3589" s="3">
        <v>-0.18128144805769925</v>
      </c>
      <c r="L3589" t="s">
        <v>54</v>
      </c>
    </row>
    <row r="3590" spans="1:12" x14ac:dyDescent="0.25">
      <c r="A3590" t="s">
        <v>487</v>
      </c>
      <c r="B3590" t="s">
        <v>463</v>
      </c>
      <c r="C3590" t="s">
        <v>464</v>
      </c>
      <c r="D3590" t="s">
        <v>266</v>
      </c>
      <c r="E3590" t="s">
        <v>272</v>
      </c>
      <c r="F3590">
        <v>3</v>
      </c>
      <c r="G3590" t="s">
        <v>488</v>
      </c>
      <c r="H3590" s="4">
        <v>33553313</v>
      </c>
      <c r="I3590" s="4">
        <v>28430627.859651156</v>
      </c>
      <c r="J3590" s="3">
        <v>0.15267300550466786</v>
      </c>
      <c r="K3590" s="3">
        <v>0.18018192090716986</v>
      </c>
      <c r="L3590" t="s">
        <v>54</v>
      </c>
    </row>
    <row r="3591" spans="1:12" x14ac:dyDescent="0.25">
      <c r="A3591" t="s">
        <v>487</v>
      </c>
      <c r="B3591" t="s">
        <v>463</v>
      </c>
      <c r="C3591" t="s">
        <v>464</v>
      </c>
      <c r="D3591" t="s">
        <v>266</v>
      </c>
      <c r="E3591" t="s">
        <v>272</v>
      </c>
      <c r="F3591">
        <v>3</v>
      </c>
      <c r="G3591" t="s">
        <v>498</v>
      </c>
      <c r="H3591" s="4">
        <v>33553313</v>
      </c>
      <c r="I3591" s="4">
        <v>29668648</v>
      </c>
      <c r="J3591" s="3">
        <v>0.11577589968537533</v>
      </c>
      <c r="K3591" s="3">
        <v>0.13093501935106716</v>
      </c>
      <c r="L3591" t="s">
        <v>54</v>
      </c>
    </row>
    <row r="3592" spans="1:12" x14ac:dyDescent="0.25">
      <c r="A3592" t="s">
        <v>487</v>
      </c>
      <c r="B3592" t="s">
        <v>463</v>
      </c>
      <c r="C3592" t="s">
        <v>464</v>
      </c>
      <c r="D3592" t="s">
        <v>266</v>
      </c>
      <c r="E3592" t="s">
        <v>272</v>
      </c>
      <c r="F3592">
        <v>3</v>
      </c>
      <c r="G3592" t="s">
        <v>499</v>
      </c>
      <c r="H3592" s="4">
        <v>33553313</v>
      </c>
      <c r="I3592" s="4">
        <v>37664687</v>
      </c>
      <c r="J3592" s="3">
        <v>0.12253257971873001</v>
      </c>
      <c r="K3592" s="3">
        <v>-0.10915725915895703</v>
      </c>
      <c r="L3592" t="s">
        <v>54</v>
      </c>
    </row>
    <row r="3593" spans="1:12" x14ac:dyDescent="0.25">
      <c r="A3593" t="s">
        <v>487</v>
      </c>
      <c r="B3593" t="s">
        <v>463</v>
      </c>
      <c r="C3593" t="s">
        <v>464</v>
      </c>
      <c r="D3593" t="s">
        <v>268</v>
      </c>
      <c r="E3593" t="s">
        <v>270</v>
      </c>
      <c r="F3593">
        <v>1</v>
      </c>
      <c r="G3593" t="s">
        <v>488</v>
      </c>
      <c r="H3593" s="4">
        <v>30836778</v>
      </c>
      <c r="I3593" s="4">
        <v>28879260.056724768</v>
      </c>
      <c r="J3593" s="3">
        <v>0.06347997651619867</v>
      </c>
      <c r="K3593" s="3">
        <v>0.06778282890317365</v>
      </c>
      <c r="L3593" t="s">
        <v>54</v>
      </c>
    </row>
    <row r="3594" spans="1:12" x14ac:dyDescent="0.25">
      <c r="A3594" t="s">
        <v>487</v>
      </c>
      <c r="B3594" t="s">
        <v>463</v>
      </c>
      <c r="C3594" t="s">
        <v>464</v>
      </c>
      <c r="D3594" t="s">
        <v>268</v>
      </c>
      <c r="E3594" t="s">
        <v>270</v>
      </c>
      <c r="F3594">
        <v>1</v>
      </c>
      <c r="G3594" t="s">
        <v>498</v>
      </c>
      <c r="H3594" s="4">
        <v>30836778</v>
      </c>
      <c r="I3594" s="4">
        <v>29871876</v>
      </c>
      <c r="J3594" s="3">
        <v>0.0312906231643267</v>
      </c>
      <c r="K3594" s="3">
        <v>0.03230135261675564</v>
      </c>
      <c r="L3594" t="s">
        <v>54</v>
      </c>
    </row>
    <row r="3595" spans="1:12" x14ac:dyDescent="0.25">
      <c r="A3595" t="s">
        <v>487</v>
      </c>
      <c r="B3595" t="s">
        <v>463</v>
      </c>
      <c r="C3595" t="s">
        <v>464</v>
      </c>
      <c r="D3595" t="s">
        <v>268</v>
      </c>
      <c r="E3595" t="s">
        <v>270</v>
      </c>
      <c r="F3595">
        <v>1</v>
      </c>
      <c r="G3595" t="s">
        <v>499</v>
      </c>
      <c r="H3595" s="4">
        <v>30836778</v>
      </c>
      <c r="I3595" s="4">
        <v>28579419</v>
      </c>
      <c r="J3595" s="3">
        <v>0.07320346503126883</v>
      </c>
      <c r="K3595" s="3">
        <v>0.07898547552698675</v>
      </c>
      <c r="L3595" t="s">
        <v>54</v>
      </c>
    </row>
    <row r="3596" spans="1:12" x14ac:dyDescent="0.25">
      <c r="A3596" t="s">
        <v>487</v>
      </c>
      <c r="B3596" t="s">
        <v>463</v>
      </c>
      <c r="C3596" t="s">
        <v>464</v>
      </c>
      <c r="D3596" t="s">
        <v>268</v>
      </c>
      <c r="E3596" t="s">
        <v>272</v>
      </c>
      <c r="F3596">
        <v>2</v>
      </c>
      <c r="G3596" t="s">
        <v>488</v>
      </c>
      <c r="H3596" s="4">
        <v>33553313</v>
      </c>
      <c r="I3596" s="4">
        <v>28682785.14290255</v>
      </c>
      <c r="J3596" s="3">
        <v>0.14515788223647097</v>
      </c>
      <c r="K3596" s="3">
        <v>0.16980665694881603</v>
      </c>
      <c r="L3596" t="s">
        <v>54</v>
      </c>
    </row>
    <row r="3597" spans="1:12" x14ac:dyDescent="0.25">
      <c r="A3597" t="s">
        <v>487</v>
      </c>
      <c r="B3597" t="s">
        <v>463</v>
      </c>
      <c r="C3597" t="s">
        <v>464</v>
      </c>
      <c r="D3597" t="s">
        <v>268</v>
      </c>
      <c r="E3597" t="s">
        <v>272</v>
      </c>
      <c r="F3597">
        <v>2</v>
      </c>
      <c r="G3597" t="s">
        <v>498</v>
      </c>
      <c r="H3597" s="4">
        <v>33553313</v>
      </c>
      <c r="I3597" s="4">
        <v>29668648</v>
      </c>
      <c r="J3597" s="3">
        <v>0.11577589968537533</v>
      </c>
      <c r="K3597" s="3">
        <v>0.13093501935106716</v>
      </c>
      <c r="L3597" t="s">
        <v>54</v>
      </c>
    </row>
    <row r="3598" spans="1:12" x14ac:dyDescent="0.25">
      <c r="A3598" t="s">
        <v>487</v>
      </c>
      <c r="B3598" t="s">
        <v>463</v>
      </c>
      <c r="C3598" t="s">
        <v>464</v>
      </c>
      <c r="D3598" t="s">
        <v>268</v>
      </c>
      <c r="E3598" t="s">
        <v>272</v>
      </c>
      <c r="F3598">
        <v>2</v>
      </c>
      <c r="G3598" t="s">
        <v>499</v>
      </c>
      <c r="H3598" s="4">
        <v>33553313</v>
      </c>
      <c r="I3598" s="4">
        <v>28579419</v>
      </c>
      <c r="J3598" s="3">
        <v>0.14823853608733062</v>
      </c>
      <c r="K3598" s="3">
        <v>0.17403761776962645</v>
      </c>
      <c r="L3598" t="s">
        <v>54</v>
      </c>
    </row>
    <row r="3599" spans="1:12" x14ac:dyDescent="0.25">
      <c r="A3599" t="s">
        <v>487</v>
      </c>
      <c r="B3599" t="s">
        <v>463</v>
      </c>
      <c r="C3599" t="s">
        <v>464</v>
      </c>
      <c r="D3599" t="s">
        <v>268</v>
      </c>
      <c r="E3599" t="s">
        <v>274</v>
      </c>
      <c r="F3599">
        <v>3</v>
      </c>
      <c r="G3599" t="s">
        <v>488</v>
      </c>
      <c r="H3599" s="4">
        <v>22496804</v>
      </c>
      <c r="I3599" s="4">
        <v>20967350.19964893</v>
      </c>
      <c r="J3599" s="3">
        <v>0.06798538140577962</v>
      </c>
      <c r="K3599" s="3">
        <v>0.07294454405481704</v>
      </c>
      <c r="L3599" t="s">
        <v>54</v>
      </c>
    </row>
    <row r="3600" spans="1:12" x14ac:dyDescent="0.25">
      <c r="A3600" t="s">
        <v>487</v>
      </c>
      <c r="B3600" t="s">
        <v>463</v>
      </c>
      <c r="C3600" t="s">
        <v>464</v>
      </c>
      <c r="D3600" t="s">
        <v>268</v>
      </c>
      <c r="E3600" t="s">
        <v>274</v>
      </c>
      <c r="F3600">
        <v>3</v>
      </c>
      <c r="G3600" t="s">
        <v>498</v>
      </c>
      <c r="H3600" s="4">
        <v>22496804</v>
      </c>
      <c r="I3600" s="4">
        <v>21688024</v>
      </c>
      <c r="J3600" s="3">
        <v>0.03595088440117983</v>
      </c>
      <c r="K3600" s="3">
        <v>0.03729154855232547</v>
      </c>
      <c r="L3600" t="s">
        <v>54</v>
      </c>
    </row>
    <row r="3601" spans="1:12" x14ac:dyDescent="0.25">
      <c r="A3601" t="s">
        <v>487</v>
      </c>
      <c r="B3601" t="s">
        <v>463</v>
      </c>
      <c r="C3601" t="s">
        <v>464</v>
      </c>
      <c r="D3601" t="s">
        <v>268</v>
      </c>
      <c r="E3601" t="s">
        <v>274</v>
      </c>
      <c r="F3601">
        <v>3</v>
      </c>
      <c r="G3601" t="s">
        <v>499</v>
      </c>
      <c r="H3601" s="4">
        <v>22496804</v>
      </c>
      <c r="I3601" s="4">
        <v>28579419</v>
      </c>
      <c r="J3601" s="3">
        <v>0.2703768499738896</v>
      </c>
      <c r="K3601" s="3">
        <v>-0.21283200333778654</v>
      </c>
      <c r="L3601" t="s">
        <v>54</v>
      </c>
    </row>
    <row r="3602" spans="1:12" x14ac:dyDescent="0.25">
      <c r="A3602" t="s">
        <v>487</v>
      </c>
      <c r="B3602" t="s">
        <v>463</v>
      </c>
      <c r="C3602" t="s">
        <v>464</v>
      </c>
      <c r="D3602" t="s">
        <v>270</v>
      </c>
      <c r="E3602" t="s">
        <v>272</v>
      </c>
      <c r="F3602">
        <v>1</v>
      </c>
      <c r="G3602" t="s">
        <v>488</v>
      </c>
      <c r="H3602" s="4">
        <v>33553313</v>
      </c>
      <c r="I3602" s="4">
        <v>29100067.654601436</v>
      </c>
      <c r="J3602" s="3">
        <v>0.13272147955698335</v>
      </c>
      <c r="K3602" s="3">
        <v>0.15303213031171067</v>
      </c>
      <c r="L3602" t="s">
        <v>54</v>
      </c>
    </row>
    <row r="3603" spans="1:12" x14ac:dyDescent="0.25">
      <c r="A3603" t="s">
        <v>487</v>
      </c>
      <c r="B3603" t="s">
        <v>463</v>
      </c>
      <c r="C3603" t="s">
        <v>464</v>
      </c>
      <c r="D3603" t="s">
        <v>270</v>
      </c>
      <c r="E3603" t="s">
        <v>272</v>
      </c>
      <c r="F3603">
        <v>1</v>
      </c>
      <c r="G3603" t="s">
        <v>498</v>
      </c>
      <c r="H3603" s="4">
        <v>33553313</v>
      </c>
      <c r="I3603" s="4">
        <v>29668648</v>
      </c>
      <c r="J3603" s="3">
        <v>0.11577589968537533</v>
      </c>
      <c r="K3603" s="3">
        <v>0.13093501935106716</v>
      </c>
      <c r="L3603" t="s">
        <v>54</v>
      </c>
    </row>
    <row r="3604" spans="1:12" x14ac:dyDescent="0.25">
      <c r="A3604" t="s">
        <v>487</v>
      </c>
      <c r="B3604" t="s">
        <v>463</v>
      </c>
      <c r="C3604" t="s">
        <v>464</v>
      </c>
      <c r="D3604" t="s">
        <v>270</v>
      </c>
      <c r="E3604" t="s">
        <v>272</v>
      </c>
      <c r="F3604">
        <v>1</v>
      </c>
      <c r="G3604" t="s">
        <v>499</v>
      </c>
      <c r="H3604" s="4">
        <v>33553313</v>
      </c>
      <c r="I3604" s="4">
        <v>30836778</v>
      </c>
      <c r="J3604" s="3">
        <v>0.08096175182462607</v>
      </c>
      <c r="K3604" s="3">
        <v>0.08809399607183345</v>
      </c>
      <c r="L3604" t="s">
        <v>54</v>
      </c>
    </row>
    <row r="3605" spans="1:12" x14ac:dyDescent="0.25">
      <c r="A3605" t="s">
        <v>487</v>
      </c>
      <c r="B3605" t="s">
        <v>463</v>
      </c>
      <c r="C3605" t="s">
        <v>464</v>
      </c>
      <c r="D3605" t="s">
        <v>270</v>
      </c>
      <c r="E3605" t="s">
        <v>274</v>
      </c>
      <c r="F3605">
        <v>2</v>
      </c>
      <c r="G3605" t="s">
        <v>488</v>
      </c>
      <c r="H3605" s="4">
        <v>22496804</v>
      </c>
      <c r="I3605" s="4">
        <v>21272387.123761747</v>
      </c>
      <c r="J3605" s="3">
        <v>0.05442625878050291</v>
      </c>
      <c r="K3605" s="3">
        <v>0.05755897864751394</v>
      </c>
      <c r="L3605" t="s">
        <v>54</v>
      </c>
    </row>
    <row r="3606" spans="1:12" x14ac:dyDescent="0.25">
      <c r="A3606" t="s">
        <v>487</v>
      </c>
      <c r="B3606" t="s">
        <v>463</v>
      </c>
      <c r="C3606" t="s">
        <v>464</v>
      </c>
      <c r="D3606" t="s">
        <v>270</v>
      </c>
      <c r="E3606" t="s">
        <v>274</v>
      </c>
      <c r="F3606">
        <v>2</v>
      </c>
      <c r="G3606" t="s">
        <v>498</v>
      </c>
      <c r="H3606" s="4">
        <v>22496804</v>
      </c>
      <c r="I3606" s="4">
        <v>21688024</v>
      </c>
      <c r="J3606" s="3">
        <v>0.03595088440117983</v>
      </c>
      <c r="K3606" s="3">
        <v>0.03729154855232547</v>
      </c>
      <c r="L3606" t="s">
        <v>54</v>
      </c>
    </row>
    <row r="3607" spans="1:12" x14ac:dyDescent="0.25">
      <c r="A3607" t="s">
        <v>487</v>
      </c>
      <c r="B3607" t="s">
        <v>463</v>
      </c>
      <c r="C3607" t="s">
        <v>464</v>
      </c>
      <c r="D3607" t="s">
        <v>270</v>
      </c>
      <c r="E3607" t="s">
        <v>274</v>
      </c>
      <c r="F3607">
        <v>2</v>
      </c>
      <c r="G3607" t="s">
        <v>499</v>
      </c>
      <c r="H3607" s="4">
        <v>22496804</v>
      </c>
      <c r="I3607" s="4">
        <v>30836778</v>
      </c>
      <c r="J3607" s="3">
        <v>0.37071816956755277</v>
      </c>
      <c r="K3607" s="3">
        <v>-0.2704554282551828</v>
      </c>
      <c r="L3607" t="s">
        <v>54</v>
      </c>
    </row>
    <row r="3608" spans="1:12" x14ac:dyDescent="0.25">
      <c r="A3608" t="s">
        <v>487</v>
      </c>
      <c r="B3608" t="s">
        <v>463</v>
      </c>
      <c r="C3608" t="s">
        <v>464</v>
      </c>
      <c r="D3608" t="s">
        <v>270</v>
      </c>
      <c r="E3608" t="s">
        <v>276</v>
      </c>
      <c r="F3608">
        <v>3</v>
      </c>
      <c r="G3608" t="s">
        <v>488</v>
      </c>
      <c r="H3608" s="4">
        <v>14792310</v>
      </c>
      <c r="I3608" s="4">
        <v>14180148.93354479</v>
      </c>
      <c r="J3608" s="3">
        <v>0.04138373698598864</v>
      </c>
      <c r="K3608" s="3">
        <v>0.043170284693348424</v>
      </c>
      <c r="L3608" t="s">
        <v>54</v>
      </c>
    </row>
    <row r="3609" spans="1:12" x14ac:dyDescent="0.25">
      <c r="A3609" t="s">
        <v>487</v>
      </c>
      <c r="B3609" t="s">
        <v>463</v>
      </c>
      <c r="C3609" t="s">
        <v>464</v>
      </c>
      <c r="D3609" t="s">
        <v>270</v>
      </c>
      <c r="E3609" t="s">
        <v>276</v>
      </c>
      <c r="F3609">
        <v>3</v>
      </c>
      <c r="G3609" t="s">
        <v>498</v>
      </c>
      <c r="H3609" s="4">
        <v>14792310</v>
      </c>
      <c r="I3609" s="4">
        <v>14457212</v>
      </c>
      <c r="J3609" s="3">
        <v>0.02265352740714601</v>
      </c>
      <c r="K3609" s="3">
        <v>0.02317860456082404</v>
      </c>
      <c r="L3609" t="s">
        <v>54</v>
      </c>
    </row>
    <row r="3610" spans="1:12" x14ac:dyDescent="0.25">
      <c r="A3610" t="s">
        <v>487</v>
      </c>
      <c r="B3610" t="s">
        <v>463</v>
      </c>
      <c r="C3610" t="s">
        <v>464</v>
      </c>
      <c r="D3610" t="s">
        <v>270</v>
      </c>
      <c r="E3610" t="s">
        <v>276</v>
      </c>
      <c r="F3610">
        <v>3</v>
      </c>
      <c r="G3610" t="s">
        <v>499</v>
      </c>
      <c r="H3610" s="4">
        <v>14792310</v>
      </c>
      <c r="I3610" s="4">
        <v>30836778</v>
      </c>
      <c r="J3610" s="3">
        <v>1.084649253564859</v>
      </c>
      <c r="K3610" s="3">
        <v>-0.5203029966360299</v>
      </c>
      <c r="L3610" t="s">
        <v>54</v>
      </c>
    </row>
    <row r="3611" spans="1:12" x14ac:dyDescent="0.25">
      <c r="A3611" t="s">
        <v>487</v>
      </c>
      <c r="B3611" t="s">
        <v>463</v>
      </c>
      <c r="C3611" t="s">
        <v>464</v>
      </c>
      <c r="D3611" t="s">
        <v>272</v>
      </c>
      <c r="E3611" t="s">
        <v>274</v>
      </c>
      <c r="F3611">
        <v>1</v>
      </c>
      <c r="G3611" t="s">
        <v>488</v>
      </c>
      <c r="H3611" s="4">
        <v>22496804</v>
      </c>
      <c r="I3611" s="4">
        <v>21378436.63693094</v>
      </c>
      <c r="J3611" s="3">
        <v>0.049712277489240744</v>
      </c>
      <c r="K3611" s="3">
        <v>0.052312869367496115</v>
      </c>
      <c r="L3611" t="s">
        <v>54</v>
      </c>
    </row>
    <row r="3612" spans="1:12" x14ac:dyDescent="0.25">
      <c r="A3612" t="s">
        <v>487</v>
      </c>
      <c r="B3612" t="s">
        <v>463</v>
      </c>
      <c r="C3612" t="s">
        <v>464</v>
      </c>
      <c r="D3612" t="s">
        <v>272</v>
      </c>
      <c r="E3612" t="s">
        <v>274</v>
      </c>
      <c r="F3612">
        <v>1</v>
      </c>
      <c r="G3612" t="s">
        <v>498</v>
      </c>
      <c r="H3612" s="4">
        <v>22496804</v>
      </c>
      <c r="I3612" s="4">
        <v>21688024</v>
      </c>
      <c r="J3612" s="3">
        <v>0.03595088440117983</v>
      </c>
      <c r="K3612" s="3">
        <v>0.03729154855232547</v>
      </c>
      <c r="L3612" t="s">
        <v>54</v>
      </c>
    </row>
    <row r="3613" spans="1:12" x14ac:dyDescent="0.25">
      <c r="A3613" t="s">
        <v>487</v>
      </c>
      <c r="B3613" t="s">
        <v>463</v>
      </c>
      <c r="C3613" t="s">
        <v>464</v>
      </c>
      <c r="D3613" t="s">
        <v>272</v>
      </c>
      <c r="E3613" t="s">
        <v>274</v>
      </c>
      <c r="F3613">
        <v>1</v>
      </c>
      <c r="G3613" t="s">
        <v>499</v>
      </c>
      <c r="H3613" s="4">
        <v>22496804</v>
      </c>
      <c r="I3613" s="4">
        <v>33553313</v>
      </c>
      <c r="J3613" s="3">
        <v>0.49147021061302754</v>
      </c>
      <c r="K3613" s="3">
        <v>-0.3295206348177898</v>
      </c>
      <c r="L3613" t="s">
        <v>54</v>
      </c>
    </row>
    <row r="3614" spans="1:12" x14ac:dyDescent="0.25">
      <c r="A3614" t="s">
        <v>487</v>
      </c>
      <c r="B3614" t="s">
        <v>463</v>
      </c>
      <c r="C3614" t="s">
        <v>464</v>
      </c>
      <c r="D3614" t="s">
        <v>272</v>
      </c>
      <c r="E3614" t="s">
        <v>276</v>
      </c>
      <c r="F3614">
        <v>2</v>
      </c>
      <c r="G3614" t="s">
        <v>488</v>
      </c>
      <c r="H3614" s="4">
        <v>14792310</v>
      </c>
      <c r="I3614" s="4">
        <v>14250841.417764828</v>
      </c>
      <c r="J3614" s="3">
        <v>0.03660473463814458</v>
      </c>
      <c r="K3614" s="3">
        <v>0.03799555172652388</v>
      </c>
      <c r="L3614" t="s">
        <v>54</v>
      </c>
    </row>
    <row r="3615" spans="1:12" x14ac:dyDescent="0.25">
      <c r="A3615" t="s">
        <v>487</v>
      </c>
      <c r="B3615" t="s">
        <v>463</v>
      </c>
      <c r="C3615" t="s">
        <v>464</v>
      </c>
      <c r="D3615" t="s">
        <v>272</v>
      </c>
      <c r="E3615" t="s">
        <v>276</v>
      </c>
      <c r="F3615">
        <v>2</v>
      </c>
      <c r="G3615" t="s">
        <v>498</v>
      </c>
      <c r="H3615" s="4">
        <v>14792310</v>
      </c>
      <c r="I3615" s="4">
        <v>14457212</v>
      </c>
      <c r="J3615" s="3">
        <v>0.02265352740714601</v>
      </c>
      <c r="K3615" s="3">
        <v>0.02317860456082404</v>
      </c>
      <c r="L3615" t="s">
        <v>54</v>
      </c>
    </row>
    <row r="3616" spans="1:12" x14ac:dyDescent="0.25">
      <c r="A3616" t="s">
        <v>487</v>
      </c>
      <c r="B3616" t="s">
        <v>463</v>
      </c>
      <c r="C3616" t="s">
        <v>464</v>
      </c>
      <c r="D3616" t="s">
        <v>272</v>
      </c>
      <c r="E3616" t="s">
        <v>276</v>
      </c>
      <c r="F3616">
        <v>2</v>
      </c>
      <c r="G3616" t="s">
        <v>499</v>
      </c>
      <c r="H3616" s="4">
        <v>14792310</v>
      </c>
      <c r="I3616" s="4">
        <v>33553313</v>
      </c>
      <c r="J3616" s="3">
        <v>1.2682943367195523</v>
      </c>
      <c r="K3616" s="3">
        <v>-0.5591401063734004</v>
      </c>
      <c r="L3616" t="s">
        <v>54</v>
      </c>
    </row>
    <row r="3617" spans="1:12" x14ac:dyDescent="0.25">
      <c r="A3617" t="s">
        <v>487</v>
      </c>
      <c r="B3617" t="s">
        <v>463</v>
      </c>
      <c r="C3617" t="s">
        <v>464</v>
      </c>
      <c r="D3617" t="s">
        <v>272</v>
      </c>
      <c r="E3617" t="s">
        <v>278</v>
      </c>
      <c r="F3617">
        <v>3</v>
      </c>
      <c r="G3617" t="s">
        <v>488</v>
      </c>
      <c r="H3617" s="4">
        <v>13033846</v>
      </c>
      <c r="I3617" s="4">
        <v>11689214.088671358</v>
      </c>
      <c r="J3617" s="3">
        <v>0.10316463086403213</v>
      </c>
      <c r="K3617" s="3">
        <v>0.1150318491156558</v>
      </c>
      <c r="L3617" t="s">
        <v>54</v>
      </c>
    </row>
    <row r="3618" spans="1:12" x14ac:dyDescent="0.25">
      <c r="A3618" t="s">
        <v>487</v>
      </c>
      <c r="B3618" t="s">
        <v>463</v>
      </c>
      <c r="C3618" t="s">
        <v>464</v>
      </c>
      <c r="D3618" t="s">
        <v>272</v>
      </c>
      <c r="E3618" t="s">
        <v>278</v>
      </c>
      <c r="F3618">
        <v>3</v>
      </c>
      <c r="G3618" t="s">
        <v>498</v>
      </c>
      <c r="H3618" s="4">
        <v>13033846</v>
      </c>
      <c r="I3618" s="4">
        <v>11858489</v>
      </c>
      <c r="J3618" s="3">
        <v>0.09017729686233826</v>
      </c>
      <c r="K3618" s="3">
        <v>0.09911524141060467</v>
      </c>
      <c r="L3618" t="s">
        <v>54</v>
      </c>
    </row>
    <row r="3619" spans="1:12" x14ac:dyDescent="0.25">
      <c r="A3619" t="s">
        <v>487</v>
      </c>
      <c r="B3619" t="s">
        <v>463</v>
      </c>
      <c r="C3619" t="s">
        <v>464</v>
      </c>
      <c r="D3619" t="s">
        <v>272</v>
      </c>
      <c r="E3619" t="s">
        <v>278</v>
      </c>
      <c r="F3619">
        <v>3</v>
      </c>
      <c r="G3619" t="s">
        <v>499</v>
      </c>
      <c r="H3619" s="4">
        <v>13033846</v>
      </c>
      <c r="I3619" s="4">
        <v>33553313</v>
      </c>
      <c r="J3619" s="3">
        <v>1.5743217312833067</v>
      </c>
      <c r="K3619" s="3">
        <v>-0.611548165154362</v>
      </c>
      <c r="L3619" t="s">
        <v>54</v>
      </c>
    </row>
    <row r="3620" spans="1:12" x14ac:dyDescent="0.25">
      <c r="A3620" t="s">
        <v>487</v>
      </c>
      <c r="B3620" t="s">
        <v>463</v>
      </c>
      <c r="C3620" t="s">
        <v>464</v>
      </c>
      <c r="D3620" t="s">
        <v>274</v>
      </c>
      <c r="E3620" t="s">
        <v>276</v>
      </c>
      <c r="F3620">
        <v>1</v>
      </c>
      <c r="G3620" t="s">
        <v>488</v>
      </c>
      <c r="H3620" s="4">
        <v>14792310</v>
      </c>
      <c r="I3620" s="4">
        <v>14442286.330645379</v>
      </c>
      <c r="J3620" s="3">
        <v>0.023662542858730064</v>
      </c>
      <c r="K3620" s="3">
        <v>0.024236028932060366</v>
      </c>
      <c r="L3620" t="s">
        <v>54</v>
      </c>
    </row>
    <row r="3621" spans="1:12" x14ac:dyDescent="0.25">
      <c r="A3621" t="s">
        <v>487</v>
      </c>
      <c r="B3621" t="s">
        <v>463</v>
      </c>
      <c r="C3621" t="s">
        <v>464</v>
      </c>
      <c r="D3621" t="s">
        <v>274</v>
      </c>
      <c r="E3621" t="s">
        <v>276</v>
      </c>
      <c r="F3621">
        <v>1</v>
      </c>
      <c r="G3621" t="s">
        <v>498</v>
      </c>
      <c r="H3621" s="4">
        <v>14792310</v>
      </c>
      <c r="I3621" s="4">
        <v>14457212</v>
      </c>
      <c r="J3621" s="3">
        <v>0.02265352740714601</v>
      </c>
      <c r="K3621" s="3">
        <v>0.02317860456082404</v>
      </c>
      <c r="L3621" t="s">
        <v>54</v>
      </c>
    </row>
    <row r="3622" spans="1:12" x14ac:dyDescent="0.25">
      <c r="A3622" t="s">
        <v>487</v>
      </c>
      <c r="B3622" t="s">
        <v>463</v>
      </c>
      <c r="C3622" t="s">
        <v>464</v>
      </c>
      <c r="D3622" t="s">
        <v>274</v>
      </c>
      <c r="E3622" t="s">
        <v>276</v>
      </c>
      <c r="F3622">
        <v>1</v>
      </c>
      <c r="G3622" t="s">
        <v>499</v>
      </c>
      <c r="H3622" s="4">
        <v>14792310</v>
      </c>
      <c r="I3622" s="4">
        <v>22496804</v>
      </c>
      <c r="J3622" s="3">
        <v>0.5208445469301279</v>
      </c>
      <c r="K3622" s="3">
        <v>-0.3424706016018986</v>
      </c>
      <c r="L3622" t="s">
        <v>54</v>
      </c>
    </row>
    <row r="3623" spans="1:12" x14ac:dyDescent="0.25">
      <c r="A3623" t="s">
        <v>487</v>
      </c>
      <c r="B3623" t="s">
        <v>463</v>
      </c>
      <c r="C3623" t="s">
        <v>464</v>
      </c>
      <c r="D3623" t="s">
        <v>274</v>
      </c>
      <c r="E3623" t="s">
        <v>278</v>
      </c>
      <c r="F3623">
        <v>2</v>
      </c>
      <c r="G3623" t="s">
        <v>488</v>
      </c>
      <c r="H3623" s="4">
        <v>13033846</v>
      </c>
      <c r="I3623" s="4">
        <v>11846246.260123225</v>
      </c>
      <c r="J3623" s="3">
        <v>0.09111660057029791</v>
      </c>
      <c r="K3623" s="3">
        <v>0.10025114401635118</v>
      </c>
      <c r="L3623" t="s">
        <v>54</v>
      </c>
    </row>
    <row r="3624" spans="1:12" x14ac:dyDescent="0.25">
      <c r="A3624" t="s">
        <v>487</v>
      </c>
      <c r="B3624" t="s">
        <v>463</v>
      </c>
      <c r="C3624" t="s">
        <v>464</v>
      </c>
      <c r="D3624" t="s">
        <v>274</v>
      </c>
      <c r="E3624" t="s">
        <v>278</v>
      </c>
      <c r="F3624">
        <v>2</v>
      </c>
      <c r="G3624" t="s">
        <v>498</v>
      </c>
      <c r="H3624" s="4">
        <v>13033846</v>
      </c>
      <c r="I3624" s="4">
        <v>11858489</v>
      </c>
      <c r="J3624" s="3">
        <v>0.09017729686233826</v>
      </c>
      <c r="K3624" s="3">
        <v>0.09911524141060467</v>
      </c>
      <c r="L3624" t="s">
        <v>54</v>
      </c>
    </row>
    <row r="3625" spans="1:12" x14ac:dyDescent="0.25">
      <c r="A3625" t="s">
        <v>487</v>
      </c>
      <c r="B3625" t="s">
        <v>463</v>
      </c>
      <c r="C3625" t="s">
        <v>464</v>
      </c>
      <c r="D3625" t="s">
        <v>274</v>
      </c>
      <c r="E3625" t="s">
        <v>278</v>
      </c>
      <c r="F3625">
        <v>2</v>
      </c>
      <c r="G3625" t="s">
        <v>499</v>
      </c>
      <c r="H3625" s="4">
        <v>13033846</v>
      </c>
      <c r="I3625" s="4">
        <v>22496804</v>
      </c>
      <c r="J3625" s="3">
        <v>0.7260296001655996</v>
      </c>
      <c r="K3625" s="3">
        <v>-0.4206356600697592</v>
      </c>
      <c r="L3625" t="s">
        <v>54</v>
      </c>
    </row>
    <row r="3626" spans="1:12" x14ac:dyDescent="0.25">
      <c r="A3626" t="s">
        <v>487</v>
      </c>
      <c r="B3626" t="s">
        <v>463</v>
      </c>
      <c r="C3626" t="s">
        <v>464</v>
      </c>
      <c r="D3626" t="s">
        <v>274</v>
      </c>
      <c r="E3626" t="s">
        <v>280</v>
      </c>
      <c r="F3626">
        <v>3</v>
      </c>
      <c r="G3626" t="s">
        <v>488</v>
      </c>
      <c r="H3626" s="4">
        <v>14593570</v>
      </c>
      <c r="I3626" s="4">
        <v>14866128.30269132</v>
      </c>
      <c r="J3626" s="3">
        <v>0.018676602276983627</v>
      </c>
      <c r="K3626" s="3">
        <v>-0.018334182050747994</v>
      </c>
      <c r="L3626" t="s">
        <v>54</v>
      </c>
    </row>
    <row r="3627" spans="1:12" x14ac:dyDescent="0.25">
      <c r="A3627" t="s">
        <v>487</v>
      </c>
      <c r="B3627" t="s">
        <v>463</v>
      </c>
      <c r="C3627" t="s">
        <v>464</v>
      </c>
      <c r="D3627" t="s">
        <v>274</v>
      </c>
      <c r="E3627" t="s">
        <v>280</v>
      </c>
      <c r="F3627">
        <v>3</v>
      </c>
      <c r="G3627" t="s">
        <v>498</v>
      </c>
      <c r="H3627" s="4">
        <v>14593570</v>
      </c>
      <c r="I3627" s="4">
        <v>14881492</v>
      </c>
      <c r="J3627" s="3">
        <v>0.01972937396401292</v>
      </c>
      <c r="K3627" s="3">
        <v>-0.019347656807529784</v>
      </c>
      <c r="L3627" t="s">
        <v>54</v>
      </c>
    </row>
    <row r="3628" spans="1:12" x14ac:dyDescent="0.25">
      <c r="A3628" t="s">
        <v>487</v>
      </c>
      <c r="B3628" t="s">
        <v>463</v>
      </c>
      <c r="C3628" t="s">
        <v>464</v>
      </c>
      <c r="D3628" t="s">
        <v>274</v>
      </c>
      <c r="E3628" t="s">
        <v>280</v>
      </c>
      <c r="F3628">
        <v>3</v>
      </c>
      <c r="G3628" t="s">
        <v>499</v>
      </c>
      <c r="H3628" s="4">
        <v>14593570</v>
      </c>
      <c r="I3628" s="4">
        <v>22496804</v>
      </c>
      <c r="J3628" s="3">
        <v>0.5415559044154378</v>
      </c>
      <c r="K3628" s="3">
        <v>-0.3513047453318258</v>
      </c>
      <c r="L3628" t="s">
        <v>54</v>
      </c>
    </row>
    <row r="3629" spans="1:12" x14ac:dyDescent="0.25">
      <c r="A3629" t="s">
        <v>487</v>
      </c>
      <c r="B3629" t="s">
        <v>463</v>
      </c>
      <c r="C3629" t="s">
        <v>464</v>
      </c>
      <c r="D3629" t="s">
        <v>276</v>
      </c>
      <c r="E3629" t="s">
        <v>278</v>
      </c>
      <c r="F3629">
        <v>1</v>
      </c>
      <c r="G3629" t="s">
        <v>488</v>
      </c>
      <c r="H3629" s="4">
        <v>13033846</v>
      </c>
      <c r="I3629" s="4">
        <v>11928162.389917748</v>
      </c>
      <c r="J3629" s="3">
        <v>0.08483172273803541</v>
      </c>
      <c r="K3629" s="3">
        <v>0.09269521774928455</v>
      </c>
      <c r="L3629" t="s">
        <v>54</v>
      </c>
    </row>
    <row r="3630" spans="1:12" x14ac:dyDescent="0.25">
      <c r="A3630" t="s">
        <v>487</v>
      </c>
      <c r="B3630" t="s">
        <v>463</v>
      </c>
      <c r="C3630" t="s">
        <v>464</v>
      </c>
      <c r="D3630" t="s">
        <v>276</v>
      </c>
      <c r="E3630" t="s">
        <v>278</v>
      </c>
      <c r="F3630">
        <v>1</v>
      </c>
      <c r="G3630" t="s">
        <v>498</v>
      </c>
      <c r="H3630" s="4">
        <v>13033846</v>
      </c>
      <c r="I3630" s="4">
        <v>11858489</v>
      </c>
      <c r="J3630" s="3">
        <v>0.09017729686233826</v>
      </c>
      <c r="K3630" s="3">
        <v>0.09911524141060467</v>
      </c>
      <c r="L3630" t="s">
        <v>54</v>
      </c>
    </row>
    <row r="3631" spans="1:12" x14ac:dyDescent="0.25">
      <c r="A3631" t="s">
        <v>487</v>
      </c>
      <c r="B3631" t="s">
        <v>463</v>
      </c>
      <c r="C3631" t="s">
        <v>464</v>
      </c>
      <c r="D3631" t="s">
        <v>276</v>
      </c>
      <c r="E3631" t="s">
        <v>278</v>
      </c>
      <c r="F3631">
        <v>1</v>
      </c>
      <c r="G3631" t="s">
        <v>499</v>
      </c>
      <c r="H3631" s="4">
        <v>13033846</v>
      </c>
      <c r="I3631" s="4">
        <v>14792310</v>
      </c>
      <c r="J3631" s="3">
        <v>0.13491520461420214</v>
      </c>
      <c r="K3631" s="3">
        <v>-0.1188769029313204</v>
      </c>
      <c r="L3631" t="s">
        <v>54</v>
      </c>
    </row>
    <row r="3632" spans="1:12" x14ac:dyDescent="0.25">
      <c r="A3632" t="s">
        <v>487</v>
      </c>
      <c r="B3632" t="s">
        <v>463</v>
      </c>
      <c r="C3632" t="s">
        <v>464</v>
      </c>
      <c r="D3632" t="s">
        <v>276</v>
      </c>
      <c r="E3632" t="s">
        <v>280</v>
      </c>
      <c r="F3632">
        <v>2</v>
      </c>
      <c r="G3632" t="s">
        <v>488</v>
      </c>
      <c r="H3632" s="4">
        <v>14593570</v>
      </c>
      <c r="I3632" s="4">
        <v>14968926.747772153</v>
      </c>
      <c r="J3632" s="3">
        <v>0.025720693961255092</v>
      </c>
      <c r="K3632" s="3">
        <v>-0.02507572881456036</v>
      </c>
      <c r="L3632" t="s">
        <v>54</v>
      </c>
    </row>
    <row r="3633" spans="1:12" x14ac:dyDescent="0.25">
      <c r="A3633" t="s">
        <v>487</v>
      </c>
      <c r="B3633" t="s">
        <v>463</v>
      </c>
      <c r="C3633" t="s">
        <v>464</v>
      </c>
      <c r="D3633" t="s">
        <v>276</v>
      </c>
      <c r="E3633" t="s">
        <v>280</v>
      </c>
      <c r="F3633">
        <v>2</v>
      </c>
      <c r="G3633" t="s">
        <v>498</v>
      </c>
      <c r="H3633" s="4">
        <v>14593570</v>
      </c>
      <c r="I3633" s="4">
        <v>14881492</v>
      </c>
      <c r="J3633" s="3">
        <v>0.01972937396401292</v>
      </c>
      <c r="K3633" s="3">
        <v>-0.019347656807529784</v>
      </c>
      <c r="L3633" t="s">
        <v>54</v>
      </c>
    </row>
    <row r="3634" spans="1:12" x14ac:dyDescent="0.25">
      <c r="A3634" t="s">
        <v>487</v>
      </c>
      <c r="B3634" t="s">
        <v>463</v>
      </c>
      <c r="C3634" t="s">
        <v>464</v>
      </c>
      <c r="D3634" t="s">
        <v>276</v>
      </c>
      <c r="E3634" t="s">
        <v>280</v>
      </c>
      <c r="F3634">
        <v>2</v>
      </c>
      <c r="G3634" t="s">
        <v>499</v>
      </c>
      <c r="H3634" s="4">
        <v>14593570</v>
      </c>
      <c r="I3634" s="4">
        <v>14792310</v>
      </c>
      <c r="J3634" s="3">
        <v>0.013618326427323815</v>
      </c>
      <c r="K3634" s="3">
        <v>-0.013435359318456684</v>
      </c>
      <c r="L3634" t="s">
        <v>54</v>
      </c>
    </row>
    <row r="3635" spans="1:12" x14ac:dyDescent="0.25">
      <c r="A3635" t="s">
        <v>487</v>
      </c>
      <c r="B3635" t="s">
        <v>463</v>
      </c>
      <c r="C3635" t="s">
        <v>464</v>
      </c>
      <c r="D3635" t="s">
        <v>276</v>
      </c>
      <c r="E3635" t="s">
        <v>282</v>
      </c>
      <c r="F3635">
        <v>3</v>
      </c>
      <c r="G3635" t="s">
        <v>488</v>
      </c>
      <c r="H3635" s="4">
        <v>19350796</v>
      </c>
      <c r="I3635" s="4">
        <v>20383183.87455852</v>
      </c>
      <c r="J3635" s="3">
        <v>0.053351183825126346</v>
      </c>
      <c r="K3635" s="3">
        <v>-0.05064899972997374</v>
      </c>
      <c r="L3635" t="s">
        <v>54</v>
      </c>
    </row>
    <row r="3636" spans="1:12" x14ac:dyDescent="0.25">
      <c r="A3636" t="s">
        <v>487</v>
      </c>
      <c r="B3636" t="s">
        <v>463</v>
      </c>
      <c r="C3636" t="s">
        <v>464</v>
      </c>
      <c r="D3636" t="s">
        <v>276</v>
      </c>
      <c r="E3636" t="s">
        <v>282</v>
      </c>
      <c r="F3636">
        <v>3</v>
      </c>
      <c r="G3636" t="s">
        <v>498</v>
      </c>
      <c r="H3636" s="4">
        <v>19350796</v>
      </c>
      <c r="I3636" s="4">
        <v>20264124</v>
      </c>
      <c r="J3636" s="3">
        <v>0.04719847183547385</v>
      </c>
      <c r="K3636" s="3">
        <v>-0.04507118096987563</v>
      </c>
      <c r="L3636" t="s">
        <v>54</v>
      </c>
    </row>
    <row r="3637" spans="1:12" x14ac:dyDescent="0.25">
      <c r="A3637" t="s">
        <v>487</v>
      </c>
      <c r="B3637" t="s">
        <v>463</v>
      </c>
      <c r="C3637" t="s">
        <v>464</v>
      </c>
      <c r="D3637" t="s">
        <v>276</v>
      </c>
      <c r="E3637" t="s">
        <v>282</v>
      </c>
      <c r="F3637">
        <v>3</v>
      </c>
      <c r="G3637" t="s">
        <v>499</v>
      </c>
      <c r="H3637" s="4">
        <v>19350796</v>
      </c>
      <c r="I3637" s="4">
        <v>14792310</v>
      </c>
      <c r="J3637" s="3">
        <v>0.23557098116273872</v>
      </c>
      <c r="K3637" s="3">
        <v>0.3081659321634011</v>
      </c>
      <c r="L3637" t="s">
        <v>54</v>
      </c>
    </row>
    <row r="3638" spans="1:12" x14ac:dyDescent="0.25">
      <c r="A3638" t="s">
        <v>487</v>
      </c>
      <c r="B3638" t="s">
        <v>463</v>
      </c>
      <c r="C3638" t="s">
        <v>464</v>
      </c>
      <c r="D3638" t="s">
        <v>278</v>
      </c>
      <c r="E3638" t="s">
        <v>280</v>
      </c>
      <c r="F3638">
        <v>1</v>
      </c>
      <c r="G3638" t="s">
        <v>488</v>
      </c>
      <c r="H3638" s="4">
        <v>14593570</v>
      </c>
      <c r="I3638" s="4">
        <v>15163211.896180686</v>
      </c>
      <c r="J3638" s="3">
        <v>0.03903375912684049</v>
      </c>
      <c r="K3638" s="3">
        <v>-0.037567363701101295</v>
      </c>
      <c r="L3638" t="s">
        <v>54</v>
      </c>
    </row>
    <row r="3639" spans="1:12" x14ac:dyDescent="0.25">
      <c r="A3639" t="s">
        <v>487</v>
      </c>
      <c r="B3639" t="s">
        <v>463</v>
      </c>
      <c r="C3639" t="s">
        <v>464</v>
      </c>
      <c r="D3639" t="s">
        <v>278</v>
      </c>
      <c r="E3639" t="s">
        <v>280</v>
      </c>
      <c r="F3639">
        <v>1</v>
      </c>
      <c r="G3639" t="s">
        <v>498</v>
      </c>
      <c r="H3639" s="4">
        <v>14593570</v>
      </c>
      <c r="I3639" s="4">
        <v>14881492</v>
      </c>
      <c r="J3639" s="3">
        <v>0.01972937396401292</v>
      </c>
      <c r="K3639" s="3">
        <v>-0.019347656807529784</v>
      </c>
      <c r="L3639" t="s">
        <v>54</v>
      </c>
    </row>
    <row r="3640" spans="1:12" x14ac:dyDescent="0.25">
      <c r="A3640" t="s">
        <v>487</v>
      </c>
      <c r="B3640" t="s">
        <v>463</v>
      </c>
      <c r="C3640" t="s">
        <v>464</v>
      </c>
      <c r="D3640" t="s">
        <v>278</v>
      </c>
      <c r="E3640" t="s">
        <v>280</v>
      </c>
      <c r="F3640">
        <v>1</v>
      </c>
      <c r="G3640" t="s">
        <v>499</v>
      </c>
      <c r="H3640" s="4">
        <v>14593570</v>
      </c>
      <c r="I3640" s="4">
        <v>13033846</v>
      </c>
      <c r="J3640" s="3">
        <v>0.10687748097278459</v>
      </c>
      <c r="K3640" s="3">
        <v>0.11966721104423053</v>
      </c>
      <c r="L3640" t="s">
        <v>54</v>
      </c>
    </row>
    <row r="3641" spans="1:12" x14ac:dyDescent="0.25">
      <c r="A3641" t="s">
        <v>487</v>
      </c>
      <c r="B3641" t="s">
        <v>463</v>
      </c>
      <c r="C3641" t="s">
        <v>464</v>
      </c>
      <c r="D3641" t="s">
        <v>278</v>
      </c>
      <c r="E3641" t="s">
        <v>282</v>
      </c>
      <c r="F3641">
        <v>2</v>
      </c>
      <c r="G3641" t="s">
        <v>488</v>
      </c>
      <c r="H3641" s="4">
        <v>19350796</v>
      </c>
      <c r="I3641" s="4">
        <v>20647741.913410332</v>
      </c>
      <c r="J3641" s="3">
        <v>0.06702287148344348</v>
      </c>
      <c r="K3641" s="3">
        <v>-0.06281296612720587</v>
      </c>
      <c r="L3641" t="s">
        <v>54</v>
      </c>
    </row>
    <row r="3642" spans="1:12" x14ac:dyDescent="0.25">
      <c r="A3642" t="s">
        <v>487</v>
      </c>
      <c r="B3642" t="s">
        <v>463</v>
      </c>
      <c r="C3642" t="s">
        <v>464</v>
      </c>
      <c r="D3642" t="s">
        <v>278</v>
      </c>
      <c r="E3642" t="s">
        <v>282</v>
      </c>
      <c r="F3642">
        <v>2</v>
      </c>
      <c r="G3642" t="s">
        <v>498</v>
      </c>
      <c r="H3642" s="4">
        <v>19350796</v>
      </c>
      <c r="I3642" s="4">
        <v>20264124</v>
      </c>
      <c r="J3642" s="3">
        <v>0.04719847183547385</v>
      </c>
      <c r="K3642" s="3">
        <v>-0.04507118096987563</v>
      </c>
      <c r="L3642" t="s">
        <v>54</v>
      </c>
    </row>
    <row r="3643" spans="1:12" x14ac:dyDescent="0.25">
      <c r="A3643" t="s">
        <v>487</v>
      </c>
      <c r="B3643" t="s">
        <v>463</v>
      </c>
      <c r="C3643" t="s">
        <v>464</v>
      </c>
      <c r="D3643" t="s">
        <v>278</v>
      </c>
      <c r="E3643" t="s">
        <v>282</v>
      </c>
      <c r="F3643">
        <v>2</v>
      </c>
      <c r="G3643" t="s">
        <v>499</v>
      </c>
      <c r="H3643" s="4">
        <v>19350796</v>
      </c>
      <c r="I3643" s="4">
        <v>13033846</v>
      </c>
      <c r="J3643" s="3">
        <v>0.3264439354329403</v>
      </c>
      <c r="K3643" s="3">
        <v>0.48465740657055484</v>
      </c>
      <c r="L3643" t="s">
        <v>54</v>
      </c>
    </row>
    <row r="3644" spans="1:12" x14ac:dyDescent="0.25">
      <c r="A3644" t="s">
        <v>487</v>
      </c>
      <c r="B3644" t="s">
        <v>463</v>
      </c>
      <c r="C3644" t="s">
        <v>464</v>
      </c>
      <c r="D3644" t="s">
        <v>278</v>
      </c>
      <c r="E3644" t="s">
        <v>284</v>
      </c>
      <c r="F3644">
        <v>3</v>
      </c>
      <c r="G3644" t="s">
        <v>488</v>
      </c>
      <c r="H3644" s="4">
        <v>30077347</v>
      </c>
      <c r="I3644" s="4">
        <v>33622173.079650484</v>
      </c>
      <c r="J3644" s="3">
        <v>0.11785700645906316</v>
      </c>
      <c r="K3644" s="3">
        <v>-0.1054312007511483</v>
      </c>
      <c r="L3644" t="s">
        <v>54</v>
      </c>
    </row>
    <row r="3645" spans="1:12" x14ac:dyDescent="0.25">
      <c r="A3645" t="s">
        <v>487</v>
      </c>
      <c r="B3645" t="s">
        <v>463</v>
      </c>
      <c r="C3645" t="s">
        <v>464</v>
      </c>
      <c r="D3645" t="s">
        <v>278</v>
      </c>
      <c r="E3645" t="s">
        <v>284</v>
      </c>
      <c r="F3645">
        <v>3</v>
      </c>
      <c r="G3645" t="s">
        <v>498</v>
      </c>
      <c r="H3645" s="4">
        <v>30077347</v>
      </c>
      <c r="I3645" s="4">
        <v>32997501</v>
      </c>
      <c r="J3645" s="3">
        <v>0.09708815076010527</v>
      </c>
      <c r="K3645" s="3">
        <v>-0.0884962167286547</v>
      </c>
      <c r="L3645" t="s">
        <v>54</v>
      </c>
    </row>
    <row r="3646" spans="1:12" x14ac:dyDescent="0.25">
      <c r="A3646" t="s">
        <v>487</v>
      </c>
      <c r="B3646" t="s">
        <v>463</v>
      </c>
      <c r="C3646" t="s">
        <v>464</v>
      </c>
      <c r="D3646" t="s">
        <v>278</v>
      </c>
      <c r="E3646" t="s">
        <v>284</v>
      </c>
      <c r="F3646">
        <v>3</v>
      </c>
      <c r="G3646" t="s">
        <v>499</v>
      </c>
      <c r="H3646" s="4">
        <v>30077347</v>
      </c>
      <c r="I3646" s="4">
        <v>13033846</v>
      </c>
      <c r="J3646" s="3">
        <v>0.5666557293101682</v>
      </c>
      <c r="K3646" s="3">
        <v>1.307634062885199</v>
      </c>
      <c r="L3646" t="s">
        <v>54</v>
      </c>
    </row>
    <row r="3647" spans="1:12" x14ac:dyDescent="0.25">
      <c r="A3647" t="s">
        <v>487</v>
      </c>
      <c r="B3647" t="s">
        <v>463</v>
      </c>
      <c r="C3647" t="s">
        <v>464</v>
      </c>
      <c r="D3647" t="s">
        <v>280</v>
      </c>
      <c r="E3647" t="s">
        <v>282</v>
      </c>
      <c r="F3647">
        <v>1</v>
      </c>
      <c r="G3647" t="s">
        <v>488</v>
      </c>
      <c r="H3647" s="4">
        <v>19350796</v>
      </c>
      <c r="I3647" s="4">
        <v>20771666.462278344</v>
      </c>
      <c r="J3647" s="3">
        <v>0.0734269774885924</v>
      </c>
      <c r="K3647" s="3">
        <v>-0.06840425946847672</v>
      </c>
      <c r="L3647" t="s">
        <v>54</v>
      </c>
    </row>
    <row r="3648" spans="1:12" x14ac:dyDescent="0.25">
      <c r="A3648" t="s">
        <v>487</v>
      </c>
      <c r="B3648" t="s">
        <v>463</v>
      </c>
      <c r="C3648" t="s">
        <v>464</v>
      </c>
      <c r="D3648" t="s">
        <v>280</v>
      </c>
      <c r="E3648" t="s">
        <v>282</v>
      </c>
      <c r="F3648">
        <v>1</v>
      </c>
      <c r="G3648" t="s">
        <v>498</v>
      </c>
      <c r="H3648" s="4">
        <v>19350796</v>
      </c>
      <c r="I3648" s="4">
        <v>20264124</v>
      </c>
      <c r="J3648" s="3">
        <v>0.04719847183547385</v>
      </c>
      <c r="K3648" s="3">
        <v>-0.04507118096987563</v>
      </c>
      <c r="L3648" t="s">
        <v>54</v>
      </c>
    </row>
    <row r="3649" spans="1:12" x14ac:dyDescent="0.25">
      <c r="A3649" t="s">
        <v>487</v>
      </c>
      <c r="B3649" t="s">
        <v>463</v>
      </c>
      <c r="C3649" t="s">
        <v>464</v>
      </c>
      <c r="D3649" t="s">
        <v>280</v>
      </c>
      <c r="E3649" t="s">
        <v>282</v>
      </c>
      <c r="F3649">
        <v>1</v>
      </c>
      <c r="G3649" t="s">
        <v>499</v>
      </c>
      <c r="H3649" s="4">
        <v>19350796</v>
      </c>
      <c r="I3649" s="4">
        <v>14593570</v>
      </c>
      <c r="J3649" s="3">
        <v>0.24584135970427262</v>
      </c>
      <c r="K3649" s="3">
        <v>0.32598096284870665</v>
      </c>
      <c r="L3649" t="s">
        <v>54</v>
      </c>
    </row>
    <row r="3650" spans="1:12" x14ac:dyDescent="0.25">
      <c r="A3650" t="s">
        <v>487</v>
      </c>
      <c r="B3650" t="s">
        <v>463</v>
      </c>
      <c r="C3650" t="s">
        <v>464</v>
      </c>
      <c r="D3650" t="s">
        <v>280</v>
      </c>
      <c r="E3650" t="s">
        <v>284</v>
      </c>
      <c r="F3650">
        <v>2</v>
      </c>
      <c r="G3650" t="s">
        <v>488</v>
      </c>
      <c r="H3650" s="4">
        <v>30077347</v>
      </c>
      <c r="I3650" s="4">
        <v>33823968.15478903</v>
      </c>
      <c r="J3650" s="3">
        <v>0.12456621106871661</v>
      </c>
      <c r="K3650" s="3">
        <v>-0.11076823209043135</v>
      </c>
      <c r="L3650" t="s">
        <v>54</v>
      </c>
    </row>
    <row r="3651" spans="1:12" x14ac:dyDescent="0.25">
      <c r="A3651" t="s">
        <v>487</v>
      </c>
      <c r="B3651" t="s">
        <v>463</v>
      </c>
      <c r="C3651" t="s">
        <v>464</v>
      </c>
      <c r="D3651" t="s">
        <v>280</v>
      </c>
      <c r="E3651" t="s">
        <v>284</v>
      </c>
      <c r="F3651">
        <v>2</v>
      </c>
      <c r="G3651" t="s">
        <v>498</v>
      </c>
      <c r="H3651" s="4">
        <v>30077347</v>
      </c>
      <c r="I3651" s="4">
        <v>32997501</v>
      </c>
      <c r="J3651" s="3">
        <v>0.09708815076010527</v>
      </c>
      <c r="K3651" s="3">
        <v>-0.0884962167286547</v>
      </c>
      <c r="L3651" t="s">
        <v>54</v>
      </c>
    </row>
    <row r="3652" spans="1:12" x14ac:dyDescent="0.25">
      <c r="A3652" t="s">
        <v>487</v>
      </c>
      <c r="B3652" t="s">
        <v>463</v>
      </c>
      <c r="C3652" t="s">
        <v>464</v>
      </c>
      <c r="D3652" t="s">
        <v>280</v>
      </c>
      <c r="E3652" t="s">
        <v>284</v>
      </c>
      <c r="F3652">
        <v>2</v>
      </c>
      <c r="G3652" t="s">
        <v>499</v>
      </c>
      <c r="H3652" s="4">
        <v>30077347</v>
      </c>
      <c r="I3652" s="4">
        <v>14593570</v>
      </c>
      <c r="J3652" s="3">
        <v>0.51479862901472</v>
      </c>
      <c r="K3652" s="3">
        <v>1.0609999472370366</v>
      </c>
      <c r="L3652" t="s">
        <v>54</v>
      </c>
    </row>
    <row r="3653" spans="1:12" x14ac:dyDescent="0.25">
      <c r="A3653" t="s">
        <v>487</v>
      </c>
      <c r="B3653" t="s">
        <v>463</v>
      </c>
      <c r="C3653" t="s">
        <v>464</v>
      </c>
      <c r="D3653" t="s">
        <v>280</v>
      </c>
      <c r="E3653" t="s">
        <v>286</v>
      </c>
      <c r="F3653">
        <v>3</v>
      </c>
      <c r="G3653" t="s">
        <v>488</v>
      </c>
      <c r="H3653" s="4">
        <v>36845943</v>
      </c>
      <c r="I3653" s="4">
        <v>39576954.723542474</v>
      </c>
      <c r="J3653" s="3">
        <v>0.07411974022601278</v>
      </c>
      <c r="K3653" s="3">
        <v>-0.06900510013009979</v>
      </c>
      <c r="L3653" t="s">
        <v>54</v>
      </c>
    </row>
    <row r="3654" spans="1:12" x14ac:dyDescent="0.25">
      <c r="A3654" t="s">
        <v>487</v>
      </c>
      <c r="B3654" t="s">
        <v>463</v>
      </c>
      <c r="C3654" t="s">
        <v>464</v>
      </c>
      <c r="D3654" t="s">
        <v>280</v>
      </c>
      <c r="E3654" t="s">
        <v>286</v>
      </c>
      <c r="F3654">
        <v>3</v>
      </c>
      <c r="G3654" t="s">
        <v>498</v>
      </c>
      <c r="H3654" s="4">
        <v>36845943</v>
      </c>
      <c r="I3654" s="4">
        <v>38609917</v>
      </c>
      <c r="J3654" s="3">
        <v>0.04787430735590076</v>
      </c>
      <c r="K3654" s="3">
        <v>-0.04568707050056595</v>
      </c>
      <c r="L3654" t="s">
        <v>54</v>
      </c>
    </row>
    <row r="3655" spans="1:12" x14ac:dyDescent="0.25">
      <c r="A3655" t="s">
        <v>487</v>
      </c>
      <c r="B3655" t="s">
        <v>463</v>
      </c>
      <c r="C3655" t="s">
        <v>464</v>
      </c>
      <c r="D3655" t="s">
        <v>280</v>
      </c>
      <c r="E3655" t="s">
        <v>286</v>
      </c>
      <c r="F3655">
        <v>3</v>
      </c>
      <c r="G3655" t="s">
        <v>499</v>
      </c>
      <c r="H3655" s="4">
        <v>36845943</v>
      </c>
      <c r="I3655" s="4">
        <v>14593570</v>
      </c>
      <c r="J3655" s="3">
        <v>0.6039300717585109</v>
      </c>
      <c r="K3655" s="3">
        <v>1.5248066785577483</v>
      </c>
      <c r="L3655" t="s">
        <v>54</v>
      </c>
    </row>
    <row r="3656" spans="1:12" x14ac:dyDescent="0.25">
      <c r="A3656" t="s">
        <v>487</v>
      </c>
      <c r="B3656" t="s">
        <v>463</v>
      </c>
      <c r="C3656" t="s">
        <v>464</v>
      </c>
      <c r="D3656" t="s">
        <v>282</v>
      </c>
      <c r="E3656" t="s">
        <v>284</v>
      </c>
      <c r="F3656">
        <v>1</v>
      </c>
      <c r="G3656" t="s">
        <v>488</v>
      </c>
      <c r="H3656" s="4">
        <v>30077347</v>
      </c>
      <c r="I3656" s="4">
        <v>33868164.136072375</v>
      </c>
      <c r="J3656" s="3">
        <v>0.12603562196068605</v>
      </c>
      <c r="K3656" s="3">
        <v>-0.11192862774734351</v>
      </c>
      <c r="L3656" t="s">
        <v>54</v>
      </c>
    </row>
    <row r="3657" spans="1:12" x14ac:dyDescent="0.25">
      <c r="A3657" t="s">
        <v>487</v>
      </c>
      <c r="B3657" t="s">
        <v>463</v>
      </c>
      <c r="C3657" t="s">
        <v>464</v>
      </c>
      <c r="D3657" t="s">
        <v>282</v>
      </c>
      <c r="E3657" t="s">
        <v>284</v>
      </c>
      <c r="F3657">
        <v>1</v>
      </c>
      <c r="G3657" t="s">
        <v>498</v>
      </c>
      <c r="H3657" s="4">
        <v>30077347</v>
      </c>
      <c r="I3657" s="4">
        <v>32997501</v>
      </c>
      <c r="J3657" s="3">
        <v>0.09708815076010527</v>
      </c>
      <c r="K3657" s="3">
        <v>-0.0884962167286547</v>
      </c>
      <c r="L3657" t="s">
        <v>54</v>
      </c>
    </row>
    <row r="3658" spans="1:12" x14ac:dyDescent="0.25">
      <c r="A3658" t="s">
        <v>487</v>
      </c>
      <c r="B3658" t="s">
        <v>463</v>
      </c>
      <c r="C3658" t="s">
        <v>464</v>
      </c>
      <c r="D3658" t="s">
        <v>282</v>
      </c>
      <c r="E3658" t="s">
        <v>284</v>
      </c>
      <c r="F3658">
        <v>1</v>
      </c>
      <c r="G3658" t="s">
        <v>499</v>
      </c>
      <c r="H3658" s="4">
        <v>30077347</v>
      </c>
      <c r="I3658" s="4">
        <v>19350796</v>
      </c>
      <c r="J3658" s="3">
        <v>0.35663221892542585</v>
      </c>
      <c r="K3658" s="3">
        <v>0.5543209178578493</v>
      </c>
      <c r="L3658" t="s">
        <v>54</v>
      </c>
    </row>
    <row r="3659" spans="1:12" x14ac:dyDescent="0.25">
      <c r="A3659" t="s">
        <v>487</v>
      </c>
      <c r="B3659" t="s">
        <v>463</v>
      </c>
      <c r="C3659" t="s">
        <v>464</v>
      </c>
      <c r="D3659" t="s">
        <v>282</v>
      </c>
      <c r="E3659" t="s">
        <v>286</v>
      </c>
      <c r="F3659">
        <v>2</v>
      </c>
      <c r="G3659" t="s">
        <v>488</v>
      </c>
      <c r="H3659" s="4">
        <v>36845943</v>
      </c>
      <c r="I3659" s="4">
        <v>39628667.82657666</v>
      </c>
      <c r="J3659" s="3">
        <v>0.0755232353960016</v>
      </c>
      <c r="K3659" s="3">
        <v>-0.07021999424140231</v>
      </c>
      <c r="L3659" t="s">
        <v>54</v>
      </c>
    </row>
    <row r="3660" spans="1:12" x14ac:dyDescent="0.25">
      <c r="A3660" t="s">
        <v>487</v>
      </c>
      <c r="B3660" t="s">
        <v>463</v>
      </c>
      <c r="C3660" t="s">
        <v>464</v>
      </c>
      <c r="D3660" t="s">
        <v>282</v>
      </c>
      <c r="E3660" t="s">
        <v>286</v>
      </c>
      <c r="F3660">
        <v>2</v>
      </c>
      <c r="G3660" t="s">
        <v>498</v>
      </c>
      <c r="H3660" s="4">
        <v>36845943</v>
      </c>
      <c r="I3660" s="4">
        <v>38609917</v>
      </c>
      <c r="J3660" s="3">
        <v>0.04787430735590076</v>
      </c>
      <c r="K3660" s="3">
        <v>-0.04568707050056595</v>
      </c>
      <c r="L3660" t="s">
        <v>54</v>
      </c>
    </row>
    <row r="3661" spans="1:12" x14ac:dyDescent="0.25">
      <c r="A3661" t="s">
        <v>487</v>
      </c>
      <c r="B3661" t="s">
        <v>463</v>
      </c>
      <c r="C3661" t="s">
        <v>464</v>
      </c>
      <c r="D3661" t="s">
        <v>282</v>
      </c>
      <c r="E3661" t="s">
        <v>286</v>
      </c>
      <c r="F3661">
        <v>2</v>
      </c>
      <c r="G3661" t="s">
        <v>499</v>
      </c>
      <c r="H3661" s="4">
        <v>36845943</v>
      </c>
      <c r="I3661" s="4">
        <v>19350796</v>
      </c>
      <c r="J3661" s="3">
        <v>0.474818815194932</v>
      </c>
      <c r="K3661" s="3">
        <v>0.9041047717106832</v>
      </c>
      <c r="L3661" t="s">
        <v>54</v>
      </c>
    </row>
    <row r="3662" spans="1:12" x14ac:dyDescent="0.25">
      <c r="A3662" t="s">
        <v>487</v>
      </c>
      <c r="B3662" t="s">
        <v>463</v>
      </c>
      <c r="C3662" t="s">
        <v>464</v>
      </c>
      <c r="D3662" t="s">
        <v>282</v>
      </c>
      <c r="E3662" t="s">
        <v>288</v>
      </c>
      <c r="F3662">
        <v>3</v>
      </c>
      <c r="G3662" t="s">
        <v>488</v>
      </c>
      <c r="H3662" s="4">
        <v>26577933</v>
      </c>
      <c r="I3662" s="4">
        <v>36339550.09404338</v>
      </c>
      <c r="J3662" s="3">
        <v>0.36728277906500034</v>
      </c>
      <c r="K3662" s="3">
        <v>-0.26862239815245986</v>
      </c>
      <c r="L3662" t="s">
        <v>54</v>
      </c>
    </row>
    <row r="3663" spans="1:12" x14ac:dyDescent="0.25">
      <c r="A3663" t="s">
        <v>487</v>
      </c>
      <c r="B3663" t="s">
        <v>463</v>
      </c>
      <c r="C3663" t="s">
        <v>464</v>
      </c>
      <c r="D3663" t="s">
        <v>282</v>
      </c>
      <c r="E3663" t="s">
        <v>288</v>
      </c>
      <c r="F3663">
        <v>3</v>
      </c>
      <c r="G3663" t="s">
        <v>498</v>
      </c>
      <c r="H3663" s="4">
        <v>26577933</v>
      </c>
      <c r="I3663" s="4">
        <v>35405354</v>
      </c>
      <c r="J3663" s="3">
        <v>0.33213346575898134</v>
      </c>
      <c r="K3663" s="3">
        <v>-0.24932446657643925</v>
      </c>
      <c r="L3663" t="s">
        <v>54</v>
      </c>
    </row>
    <row r="3664" spans="1:12" x14ac:dyDescent="0.25">
      <c r="A3664" t="s">
        <v>487</v>
      </c>
      <c r="B3664" t="s">
        <v>463</v>
      </c>
      <c r="C3664" t="s">
        <v>464</v>
      </c>
      <c r="D3664" t="s">
        <v>282</v>
      </c>
      <c r="E3664" t="s">
        <v>288</v>
      </c>
      <c r="F3664">
        <v>3</v>
      </c>
      <c r="G3664" t="s">
        <v>499</v>
      </c>
      <c r="H3664" s="4">
        <v>26577933</v>
      </c>
      <c r="I3664" s="4">
        <v>19350796</v>
      </c>
      <c r="J3664" s="3">
        <v>0.2719224628943116</v>
      </c>
      <c r="K3664" s="3">
        <v>0.3734800883643236</v>
      </c>
      <c r="L3664" t="s">
        <v>54</v>
      </c>
    </row>
    <row r="3665" spans="1:12" x14ac:dyDescent="0.25">
      <c r="A3665" t="s">
        <v>487</v>
      </c>
      <c r="B3665" t="s">
        <v>463</v>
      </c>
      <c r="C3665" t="s">
        <v>464</v>
      </c>
      <c r="D3665" t="s">
        <v>284</v>
      </c>
      <c r="E3665" t="s">
        <v>286</v>
      </c>
      <c r="F3665">
        <v>1</v>
      </c>
      <c r="G3665" t="s">
        <v>488</v>
      </c>
      <c r="H3665" s="4">
        <v>36845943</v>
      </c>
      <c r="I3665" s="4">
        <v>39403907.608331844</v>
      </c>
      <c r="J3665" s="3">
        <v>0.06942323632026039</v>
      </c>
      <c r="K3665" s="3">
        <v>-0.06491652131960055</v>
      </c>
      <c r="L3665" t="s">
        <v>54</v>
      </c>
    </row>
    <row r="3666" spans="1:12" x14ac:dyDescent="0.25">
      <c r="A3666" t="s">
        <v>487</v>
      </c>
      <c r="B3666" t="s">
        <v>463</v>
      </c>
      <c r="C3666" t="s">
        <v>464</v>
      </c>
      <c r="D3666" t="s">
        <v>284</v>
      </c>
      <c r="E3666" t="s">
        <v>286</v>
      </c>
      <c r="F3666">
        <v>1</v>
      </c>
      <c r="G3666" t="s">
        <v>498</v>
      </c>
      <c r="H3666" s="4">
        <v>36845943</v>
      </c>
      <c r="I3666" s="4">
        <v>38609917</v>
      </c>
      <c r="J3666" s="3">
        <v>0.04787430735590076</v>
      </c>
      <c r="K3666" s="3">
        <v>-0.04568707050056595</v>
      </c>
      <c r="L3666" t="s">
        <v>54</v>
      </c>
    </row>
    <row r="3667" spans="1:12" x14ac:dyDescent="0.25">
      <c r="A3667" t="s">
        <v>487</v>
      </c>
      <c r="B3667" t="s">
        <v>463</v>
      </c>
      <c r="C3667" t="s">
        <v>464</v>
      </c>
      <c r="D3667" t="s">
        <v>284</v>
      </c>
      <c r="E3667" t="s">
        <v>286</v>
      </c>
      <c r="F3667">
        <v>1</v>
      </c>
      <c r="G3667" t="s">
        <v>499</v>
      </c>
      <c r="H3667" s="4">
        <v>36845943</v>
      </c>
      <c r="I3667" s="4">
        <v>30077347</v>
      </c>
      <c r="J3667" s="3">
        <v>0.18369989879211396</v>
      </c>
      <c r="K3667" s="3">
        <v>0.22503966190901079</v>
      </c>
      <c r="L3667" t="s">
        <v>54</v>
      </c>
    </row>
    <row r="3668" spans="1:12" x14ac:dyDescent="0.25">
      <c r="A3668" t="s">
        <v>487</v>
      </c>
      <c r="B3668" t="s">
        <v>463</v>
      </c>
      <c r="C3668" t="s">
        <v>464</v>
      </c>
      <c r="D3668" t="s">
        <v>284</v>
      </c>
      <c r="E3668" t="s">
        <v>288</v>
      </c>
      <c r="F3668">
        <v>2</v>
      </c>
      <c r="G3668" t="s">
        <v>488</v>
      </c>
      <c r="H3668" s="4">
        <v>26577933</v>
      </c>
      <c r="I3668" s="4">
        <v>36133444.62398825</v>
      </c>
      <c r="J3668" s="3">
        <v>0.35952801987980965</v>
      </c>
      <c r="K3668" s="3">
        <v>-0.26445061420035615</v>
      </c>
      <c r="L3668" t="s">
        <v>54</v>
      </c>
    </row>
    <row r="3669" spans="1:12" x14ac:dyDescent="0.25">
      <c r="A3669" t="s">
        <v>487</v>
      </c>
      <c r="B3669" t="s">
        <v>463</v>
      </c>
      <c r="C3669" t="s">
        <v>464</v>
      </c>
      <c r="D3669" t="s">
        <v>284</v>
      </c>
      <c r="E3669" t="s">
        <v>288</v>
      </c>
      <c r="F3669">
        <v>2</v>
      </c>
      <c r="G3669" t="s">
        <v>498</v>
      </c>
      <c r="H3669" s="4">
        <v>26577933</v>
      </c>
      <c r="I3669" s="4">
        <v>35405354</v>
      </c>
      <c r="J3669" s="3">
        <v>0.33213346575898134</v>
      </c>
      <c r="K3669" s="3">
        <v>-0.24932446657643925</v>
      </c>
      <c r="L3669" t="s">
        <v>54</v>
      </c>
    </row>
    <row r="3670" spans="1:12" x14ac:dyDescent="0.25">
      <c r="A3670" t="s">
        <v>487</v>
      </c>
      <c r="B3670" t="s">
        <v>463</v>
      </c>
      <c r="C3670" t="s">
        <v>464</v>
      </c>
      <c r="D3670" t="s">
        <v>284</v>
      </c>
      <c r="E3670" t="s">
        <v>288</v>
      </c>
      <c r="F3670">
        <v>2</v>
      </c>
      <c r="G3670" t="s">
        <v>499</v>
      </c>
      <c r="H3670" s="4">
        <v>26577933</v>
      </c>
      <c r="I3670" s="4">
        <v>30077347</v>
      </c>
      <c r="J3670" s="3">
        <v>0.13166614574579596</v>
      </c>
      <c r="K3670" s="3">
        <v>-0.11634716319893507</v>
      </c>
      <c r="L3670" t="s">
        <v>54</v>
      </c>
    </row>
    <row r="3671" spans="1:12" x14ac:dyDescent="0.25">
      <c r="A3671" t="s">
        <v>487</v>
      </c>
      <c r="B3671" t="s">
        <v>463</v>
      </c>
      <c r="C3671" t="s">
        <v>464</v>
      </c>
      <c r="D3671" t="s">
        <v>284</v>
      </c>
      <c r="E3671" t="s">
        <v>290</v>
      </c>
      <c r="F3671">
        <v>3</v>
      </c>
      <c r="G3671" t="s">
        <v>488</v>
      </c>
      <c r="H3671" s="4">
        <v>16271811</v>
      </c>
      <c r="I3671" s="4">
        <v>38439239.500171356</v>
      </c>
      <c r="J3671" s="3">
        <v>1.3623209180693752</v>
      </c>
      <c r="K3671" s="3">
        <v>-0.5766874888373517</v>
      </c>
      <c r="L3671" t="s">
        <v>54</v>
      </c>
    </row>
    <row r="3672" spans="1:12" x14ac:dyDescent="0.25">
      <c r="A3672" t="s">
        <v>487</v>
      </c>
      <c r="B3672" t="s">
        <v>463</v>
      </c>
      <c r="C3672" t="s">
        <v>464</v>
      </c>
      <c r="D3672" t="s">
        <v>284</v>
      </c>
      <c r="E3672" t="s">
        <v>290</v>
      </c>
      <c r="F3672">
        <v>3</v>
      </c>
      <c r="G3672" t="s">
        <v>498</v>
      </c>
      <c r="H3672" s="4">
        <v>16271811</v>
      </c>
      <c r="I3672" s="4">
        <v>37664687</v>
      </c>
      <c r="J3672" s="3">
        <v>1.314720039459652</v>
      </c>
      <c r="K3672" s="3">
        <v>-0.5679823119199159</v>
      </c>
      <c r="L3672" t="s">
        <v>54</v>
      </c>
    </row>
    <row r="3673" spans="1:12" x14ac:dyDescent="0.25">
      <c r="A3673" t="s">
        <v>487</v>
      </c>
      <c r="B3673" t="s">
        <v>463</v>
      </c>
      <c r="C3673" t="s">
        <v>464</v>
      </c>
      <c r="D3673" t="s">
        <v>284</v>
      </c>
      <c r="E3673" t="s">
        <v>290</v>
      </c>
      <c r="F3673">
        <v>3</v>
      </c>
      <c r="G3673" t="s">
        <v>499</v>
      </c>
      <c r="H3673" s="4">
        <v>16271811</v>
      </c>
      <c r="I3673" s="4">
        <v>30077347</v>
      </c>
      <c r="J3673" s="3">
        <v>0.8484326667756895</v>
      </c>
      <c r="K3673" s="3">
        <v>-0.45900112134225135</v>
      </c>
      <c r="L3673" t="s">
        <v>54</v>
      </c>
    </row>
    <row r="3674" spans="1:12" x14ac:dyDescent="0.25">
      <c r="A3674" t="s">
        <v>487</v>
      </c>
      <c r="B3674" t="s">
        <v>463</v>
      </c>
      <c r="C3674" t="s">
        <v>464</v>
      </c>
      <c r="D3674" t="s">
        <v>286</v>
      </c>
      <c r="E3674" t="s">
        <v>288</v>
      </c>
      <c r="F3674">
        <v>1</v>
      </c>
      <c r="G3674" t="s">
        <v>488</v>
      </c>
      <c r="H3674" s="4">
        <v>26577933</v>
      </c>
      <c r="I3674" s="4">
        <v>35796652.38163623</v>
      </c>
      <c r="J3674" s="3">
        <v>0.34685614496944633</v>
      </c>
      <c r="K3674" s="3">
        <v>-0.257530209343415</v>
      </c>
      <c r="L3674" t="s">
        <v>54</v>
      </c>
    </row>
    <row r="3675" spans="1:12" x14ac:dyDescent="0.25">
      <c r="A3675" t="s">
        <v>487</v>
      </c>
      <c r="B3675" t="s">
        <v>463</v>
      </c>
      <c r="C3675" t="s">
        <v>464</v>
      </c>
      <c r="D3675" t="s">
        <v>286</v>
      </c>
      <c r="E3675" t="s">
        <v>288</v>
      </c>
      <c r="F3675">
        <v>1</v>
      </c>
      <c r="G3675" t="s">
        <v>498</v>
      </c>
      <c r="H3675" s="4">
        <v>26577933</v>
      </c>
      <c r="I3675" s="4">
        <v>35405354</v>
      </c>
      <c r="J3675" s="3">
        <v>0.33213346575898134</v>
      </c>
      <c r="K3675" s="3">
        <v>-0.24932446657643925</v>
      </c>
      <c r="L3675" t="s">
        <v>54</v>
      </c>
    </row>
    <row r="3676" spans="1:12" x14ac:dyDescent="0.25">
      <c r="A3676" t="s">
        <v>487</v>
      </c>
      <c r="B3676" t="s">
        <v>463</v>
      </c>
      <c r="C3676" t="s">
        <v>464</v>
      </c>
      <c r="D3676" t="s">
        <v>286</v>
      </c>
      <c r="E3676" t="s">
        <v>288</v>
      </c>
      <c r="F3676">
        <v>1</v>
      </c>
      <c r="G3676" t="s">
        <v>499</v>
      </c>
      <c r="H3676" s="4">
        <v>26577933</v>
      </c>
      <c r="I3676" s="4">
        <v>36845943</v>
      </c>
      <c r="J3676" s="3">
        <v>0.3863359125783032</v>
      </c>
      <c r="K3676" s="3">
        <v>-0.2786740998866551</v>
      </c>
      <c r="L3676" t="s">
        <v>54</v>
      </c>
    </row>
    <row r="3677" spans="1:12" x14ac:dyDescent="0.25">
      <c r="A3677" t="s">
        <v>487</v>
      </c>
      <c r="B3677" t="s">
        <v>463</v>
      </c>
      <c r="C3677" t="s">
        <v>464</v>
      </c>
      <c r="D3677" t="s">
        <v>286</v>
      </c>
      <c r="E3677" t="s">
        <v>290</v>
      </c>
      <c r="F3677">
        <v>2</v>
      </c>
      <c r="G3677" t="s">
        <v>488</v>
      </c>
      <c r="H3677" s="4">
        <v>16271811</v>
      </c>
      <c r="I3677" s="4">
        <v>38080955.42843982</v>
      </c>
      <c r="J3677" s="3">
        <v>1.3403022213347868</v>
      </c>
      <c r="K3677" s="3">
        <v>-0.5727047597170369</v>
      </c>
      <c r="L3677" t="s">
        <v>54</v>
      </c>
    </row>
    <row r="3678" spans="1:12" x14ac:dyDescent="0.25">
      <c r="A3678" t="s">
        <v>487</v>
      </c>
      <c r="B3678" t="s">
        <v>463</v>
      </c>
      <c r="C3678" t="s">
        <v>464</v>
      </c>
      <c r="D3678" t="s">
        <v>286</v>
      </c>
      <c r="E3678" t="s">
        <v>290</v>
      </c>
      <c r="F3678">
        <v>2</v>
      </c>
      <c r="G3678" t="s">
        <v>498</v>
      </c>
      <c r="H3678" s="4">
        <v>16271811</v>
      </c>
      <c r="I3678" s="4">
        <v>37664687</v>
      </c>
      <c r="J3678" s="3">
        <v>1.314720039459652</v>
      </c>
      <c r="K3678" s="3">
        <v>-0.5679823119199159</v>
      </c>
      <c r="L3678" t="s">
        <v>54</v>
      </c>
    </row>
    <row r="3679" spans="1:12" x14ac:dyDescent="0.25">
      <c r="A3679" t="s">
        <v>487</v>
      </c>
      <c r="B3679" t="s">
        <v>463</v>
      </c>
      <c r="C3679" t="s">
        <v>464</v>
      </c>
      <c r="D3679" t="s">
        <v>286</v>
      </c>
      <c r="E3679" t="s">
        <v>290</v>
      </c>
      <c r="F3679">
        <v>2</v>
      </c>
      <c r="G3679" t="s">
        <v>499</v>
      </c>
      <c r="H3679" s="4">
        <v>16271811</v>
      </c>
      <c r="I3679" s="4">
        <v>36845943</v>
      </c>
      <c r="J3679" s="3">
        <v>1.264403329168462</v>
      </c>
      <c r="K3679" s="3">
        <v>-0.5583825605983269</v>
      </c>
      <c r="L3679" t="s">
        <v>54</v>
      </c>
    </row>
    <row r="3680" spans="1:12" x14ac:dyDescent="0.25">
      <c r="A3680" t="s">
        <v>487</v>
      </c>
      <c r="B3680" t="s">
        <v>463</v>
      </c>
      <c r="C3680" t="s">
        <v>464</v>
      </c>
      <c r="D3680" t="s">
        <v>286</v>
      </c>
      <c r="E3680" t="s">
        <v>292</v>
      </c>
      <c r="F3680">
        <v>3</v>
      </c>
      <c r="G3680" t="s">
        <v>488</v>
      </c>
      <c r="H3680" s="4">
        <v>12932543</v>
      </c>
      <c r="I3680" s="4">
        <v>28895277.45470727</v>
      </c>
      <c r="J3680" s="3">
        <v>1.2343074718334412</v>
      </c>
      <c r="K3680" s="3">
        <v>-0.5524340259313486</v>
      </c>
      <c r="L3680" t="s">
        <v>54</v>
      </c>
    </row>
    <row r="3681" spans="1:12" x14ac:dyDescent="0.25">
      <c r="A3681" t="s">
        <v>487</v>
      </c>
      <c r="B3681" t="s">
        <v>463</v>
      </c>
      <c r="C3681" t="s">
        <v>464</v>
      </c>
      <c r="D3681" t="s">
        <v>286</v>
      </c>
      <c r="E3681" t="s">
        <v>292</v>
      </c>
      <c r="F3681">
        <v>3</v>
      </c>
      <c r="G3681" t="s">
        <v>498</v>
      </c>
      <c r="H3681" s="4">
        <v>12932543</v>
      </c>
      <c r="I3681" s="4">
        <v>28579419</v>
      </c>
      <c r="J3681" s="3">
        <v>1.2098839338867846</v>
      </c>
      <c r="K3681" s="3">
        <v>-0.5474875468951975</v>
      </c>
      <c r="L3681" t="s">
        <v>54</v>
      </c>
    </row>
    <row r="3682" spans="1:12" x14ac:dyDescent="0.25">
      <c r="A3682" t="s">
        <v>487</v>
      </c>
      <c r="B3682" t="s">
        <v>463</v>
      </c>
      <c r="C3682" t="s">
        <v>464</v>
      </c>
      <c r="D3682" t="s">
        <v>286</v>
      </c>
      <c r="E3682" t="s">
        <v>292</v>
      </c>
      <c r="F3682">
        <v>3</v>
      </c>
      <c r="G3682" t="s">
        <v>499</v>
      </c>
      <c r="H3682" s="4">
        <v>12932543</v>
      </c>
      <c r="I3682" s="4">
        <v>36845943</v>
      </c>
      <c r="J3682" s="3">
        <v>1.849087221283548</v>
      </c>
      <c r="K3682" s="3">
        <v>-0.6490103944415264</v>
      </c>
      <c r="L3682" t="s">
        <v>54</v>
      </c>
    </row>
    <row r="3683" spans="1:12" x14ac:dyDescent="0.25">
      <c r="A3683" t="s">
        <v>487</v>
      </c>
      <c r="B3683" t="s">
        <v>463</v>
      </c>
      <c r="C3683" t="s">
        <v>464</v>
      </c>
      <c r="D3683" t="s">
        <v>288</v>
      </c>
      <c r="E3683" t="s">
        <v>290</v>
      </c>
      <c r="F3683">
        <v>1</v>
      </c>
      <c r="G3683" t="s">
        <v>488</v>
      </c>
      <c r="H3683" s="4">
        <v>16271811</v>
      </c>
      <c r="I3683" s="4">
        <v>37691694.93856056</v>
      </c>
      <c r="J3683" s="3">
        <v>1.316379838639999</v>
      </c>
      <c r="K3683" s="3">
        <v>-0.568291873673394</v>
      </c>
      <c r="L3683" t="s">
        <v>54</v>
      </c>
    </row>
    <row r="3684" spans="1:12" x14ac:dyDescent="0.25">
      <c r="A3684" t="s">
        <v>487</v>
      </c>
      <c r="B3684" t="s">
        <v>463</v>
      </c>
      <c r="C3684" t="s">
        <v>464</v>
      </c>
      <c r="D3684" t="s">
        <v>288</v>
      </c>
      <c r="E3684" t="s">
        <v>290</v>
      </c>
      <c r="F3684">
        <v>1</v>
      </c>
      <c r="G3684" t="s">
        <v>498</v>
      </c>
      <c r="H3684" s="4">
        <v>16271811</v>
      </c>
      <c r="I3684" s="4">
        <v>37664687</v>
      </c>
      <c r="J3684" s="3">
        <v>1.314720039459652</v>
      </c>
      <c r="K3684" s="3">
        <v>-0.5679823119199159</v>
      </c>
      <c r="L3684" t="s">
        <v>54</v>
      </c>
    </row>
    <row r="3685" spans="1:12" x14ac:dyDescent="0.25">
      <c r="A3685" t="s">
        <v>487</v>
      </c>
      <c r="B3685" t="s">
        <v>463</v>
      </c>
      <c r="C3685" t="s">
        <v>464</v>
      </c>
      <c r="D3685" t="s">
        <v>288</v>
      </c>
      <c r="E3685" t="s">
        <v>290</v>
      </c>
      <c r="F3685">
        <v>1</v>
      </c>
      <c r="G3685" t="s">
        <v>499</v>
      </c>
      <c r="H3685" s="4">
        <v>16271811</v>
      </c>
      <c r="I3685" s="4">
        <v>26577933</v>
      </c>
      <c r="J3685" s="3">
        <v>0.6333727696320957</v>
      </c>
      <c r="K3685" s="3">
        <v>-0.38776988413658803</v>
      </c>
      <c r="L3685" t="s">
        <v>54</v>
      </c>
    </row>
    <row r="3686" spans="1:12" x14ac:dyDescent="0.25">
      <c r="A3686" t="s">
        <v>487</v>
      </c>
      <c r="B3686" t="s">
        <v>463</v>
      </c>
      <c r="C3686" t="s">
        <v>464</v>
      </c>
      <c r="D3686" t="s">
        <v>288</v>
      </c>
      <c r="E3686" t="s">
        <v>292</v>
      </c>
      <c r="F3686">
        <v>2</v>
      </c>
      <c r="G3686" t="s">
        <v>488</v>
      </c>
      <c r="H3686" s="4">
        <v>12932543</v>
      </c>
      <c r="I3686" s="4">
        <v>28599912.232625257</v>
      </c>
      <c r="J3686" s="3">
        <v>1.2114685590162164</v>
      </c>
      <c r="K3686" s="3">
        <v>-0.5478117941478421</v>
      </c>
      <c r="L3686" t="s">
        <v>54</v>
      </c>
    </row>
    <row r="3687" spans="1:12" x14ac:dyDescent="0.25">
      <c r="A3687" t="s">
        <v>487</v>
      </c>
      <c r="B3687" t="s">
        <v>463</v>
      </c>
      <c r="C3687" t="s">
        <v>464</v>
      </c>
      <c r="D3687" t="s">
        <v>288</v>
      </c>
      <c r="E3687" t="s">
        <v>292</v>
      </c>
      <c r="F3687">
        <v>2</v>
      </c>
      <c r="G3687" t="s">
        <v>498</v>
      </c>
      <c r="H3687" s="4">
        <v>12932543</v>
      </c>
      <c r="I3687" s="4">
        <v>28579419</v>
      </c>
      <c r="J3687" s="3">
        <v>1.2098839338867846</v>
      </c>
      <c r="K3687" s="3">
        <v>-0.5474875468951975</v>
      </c>
      <c r="L3687" t="s">
        <v>54</v>
      </c>
    </row>
    <row r="3688" spans="1:12" x14ac:dyDescent="0.25">
      <c r="A3688" t="s">
        <v>487</v>
      </c>
      <c r="B3688" t="s">
        <v>463</v>
      </c>
      <c r="C3688" t="s">
        <v>464</v>
      </c>
      <c r="D3688" t="s">
        <v>288</v>
      </c>
      <c r="E3688" t="s">
        <v>292</v>
      </c>
      <c r="F3688">
        <v>2</v>
      </c>
      <c r="G3688" t="s">
        <v>499</v>
      </c>
      <c r="H3688" s="4">
        <v>12932543</v>
      </c>
      <c r="I3688" s="4">
        <v>26577933</v>
      </c>
      <c r="J3688" s="3">
        <v>1.0551204043937839</v>
      </c>
      <c r="K3688" s="3">
        <v>-0.5134105048725949</v>
      </c>
      <c r="L3688" t="s">
        <v>54</v>
      </c>
    </row>
    <row r="3689" spans="1:12" x14ac:dyDescent="0.25">
      <c r="A3689" t="s">
        <v>487</v>
      </c>
      <c r="B3689" t="s">
        <v>463</v>
      </c>
      <c r="C3689" t="s">
        <v>464</v>
      </c>
      <c r="D3689" t="s">
        <v>288</v>
      </c>
      <c r="E3689" t="s">
        <v>294</v>
      </c>
      <c r="F3689">
        <v>3</v>
      </c>
      <c r="G3689" t="s">
        <v>488</v>
      </c>
      <c r="H3689" s="4">
        <v>17567955</v>
      </c>
      <c r="I3689" s="4">
        <v>30858889.90034925</v>
      </c>
      <c r="J3689" s="3">
        <v>0.7565442250022412</v>
      </c>
      <c r="K3689" s="3">
        <v>-0.4307003571181226</v>
      </c>
      <c r="L3689" t="s">
        <v>54</v>
      </c>
    </row>
    <row r="3690" spans="1:12" x14ac:dyDescent="0.25">
      <c r="A3690" t="s">
        <v>487</v>
      </c>
      <c r="B3690" t="s">
        <v>463</v>
      </c>
      <c r="C3690" t="s">
        <v>464</v>
      </c>
      <c r="D3690" t="s">
        <v>288</v>
      </c>
      <c r="E3690" t="s">
        <v>294</v>
      </c>
      <c r="F3690">
        <v>3</v>
      </c>
      <c r="G3690" t="s">
        <v>498</v>
      </c>
      <c r="H3690" s="4">
        <v>17567955</v>
      </c>
      <c r="I3690" s="4">
        <v>30836778</v>
      </c>
      <c r="J3690" s="3">
        <v>0.7552855753558112</v>
      </c>
      <c r="K3690" s="3">
        <v>-0.43029213363341656</v>
      </c>
      <c r="L3690" t="s">
        <v>54</v>
      </c>
    </row>
    <row r="3691" spans="1:12" x14ac:dyDescent="0.25">
      <c r="A3691" t="s">
        <v>487</v>
      </c>
      <c r="B3691" t="s">
        <v>463</v>
      </c>
      <c r="C3691" t="s">
        <v>464</v>
      </c>
      <c r="D3691" t="s">
        <v>288</v>
      </c>
      <c r="E3691" t="s">
        <v>294</v>
      </c>
      <c r="F3691">
        <v>3</v>
      </c>
      <c r="G3691" t="s">
        <v>499</v>
      </c>
      <c r="H3691" s="4">
        <v>17567955</v>
      </c>
      <c r="I3691" s="4">
        <v>26577933</v>
      </c>
      <c r="J3691" s="3">
        <v>0.5128643601375346</v>
      </c>
      <c r="K3691" s="3">
        <v>-0.33900220908826884</v>
      </c>
      <c r="L3691" t="s">
        <v>54</v>
      </c>
    </row>
    <row r="3692" spans="1:12" x14ac:dyDescent="0.25">
      <c r="A3692" t="s">
        <v>487</v>
      </c>
      <c r="B3692" t="s">
        <v>463</v>
      </c>
      <c r="C3692" t="s">
        <v>464</v>
      </c>
      <c r="D3692" t="s">
        <v>290</v>
      </c>
      <c r="E3692" t="s">
        <v>292</v>
      </c>
      <c r="F3692">
        <v>1</v>
      </c>
      <c r="G3692" t="s">
        <v>488</v>
      </c>
      <c r="H3692" s="4">
        <v>12932543</v>
      </c>
      <c r="I3692" s="4">
        <v>27013718.949348602</v>
      </c>
      <c r="J3692" s="3">
        <v>1.088817253447261</v>
      </c>
      <c r="K3692" s="3">
        <v>-0.5212601780506845</v>
      </c>
      <c r="L3692" t="s">
        <v>54</v>
      </c>
    </row>
    <row r="3693" spans="1:12" x14ac:dyDescent="0.25">
      <c r="A3693" t="s">
        <v>487</v>
      </c>
      <c r="B3693" t="s">
        <v>463</v>
      </c>
      <c r="C3693" t="s">
        <v>464</v>
      </c>
      <c r="D3693" t="s">
        <v>290</v>
      </c>
      <c r="E3693" t="s">
        <v>292</v>
      </c>
      <c r="F3693">
        <v>1</v>
      </c>
      <c r="G3693" t="s">
        <v>498</v>
      </c>
      <c r="H3693" s="4">
        <v>12932543</v>
      </c>
      <c r="I3693" s="4">
        <v>28579419</v>
      </c>
      <c r="J3693" s="3">
        <v>1.2098839338867846</v>
      </c>
      <c r="K3693" s="3">
        <v>-0.5474875468951975</v>
      </c>
      <c r="L3693" t="s">
        <v>54</v>
      </c>
    </row>
    <row r="3694" spans="1:12" x14ac:dyDescent="0.25">
      <c r="A3694" t="s">
        <v>487</v>
      </c>
      <c r="B3694" t="s">
        <v>463</v>
      </c>
      <c r="C3694" t="s">
        <v>464</v>
      </c>
      <c r="D3694" t="s">
        <v>290</v>
      </c>
      <c r="E3694" t="s">
        <v>292</v>
      </c>
      <c r="F3694">
        <v>1</v>
      </c>
      <c r="G3694" t="s">
        <v>499</v>
      </c>
      <c r="H3694" s="4">
        <v>12932543</v>
      </c>
      <c r="I3694" s="4">
        <v>16271811</v>
      </c>
      <c r="J3694" s="3">
        <v>0.2582066032952684</v>
      </c>
      <c r="K3694" s="3">
        <v>-0.20521796866986716</v>
      </c>
      <c r="L3694" t="s">
        <v>54</v>
      </c>
    </row>
    <row r="3695" spans="1:12" x14ac:dyDescent="0.25">
      <c r="A3695" t="s">
        <v>487</v>
      </c>
      <c r="B3695" t="s">
        <v>463</v>
      </c>
      <c r="C3695" t="s">
        <v>464</v>
      </c>
      <c r="D3695" t="s">
        <v>290</v>
      </c>
      <c r="E3695" t="s">
        <v>294</v>
      </c>
      <c r="F3695">
        <v>2</v>
      </c>
      <c r="G3695" t="s">
        <v>488</v>
      </c>
      <c r="H3695" s="4">
        <v>17567955</v>
      </c>
      <c r="I3695" s="4">
        <v>29147410.386315275</v>
      </c>
      <c r="J3695" s="3">
        <v>0.6591236934700296</v>
      </c>
      <c r="K3695" s="3">
        <v>-0.3972721841440787</v>
      </c>
      <c r="L3695" t="s">
        <v>54</v>
      </c>
    </row>
    <row r="3696" spans="1:12" x14ac:dyDescent="0.25">
      <c r="A3696" t="s">
        <v>487</v>
      </c>
      <c r="B3696" t="s">
        <v>463</v>
      </c>
      <c r="C3696" t="s">
        <v>464</v>
      </c>
      <c r="D3696" t="s">
        <v>290</v>
      </c>
      <c r="E3696" t="s">
        <v>294</v>
      </c>
      <c r="F3696">
        <v>2</v>
      </c>
      <c r="G3696" t="s">
        <v>498</v>
      </c>
      <c r="H3696" s="4">
        <v>17567955</v>
      </c>
      <c r="I3696" s="4">
        <v>30836778</v>
      </c>
      <c r="J3696" s="3">
        <v>0.7552855753558112</v>
      </c>
      <c r="K3696" s="3">
        <v>-0.43029213363341656</v>
      </c>
      <c r="L3696" t="s">
        <v>54</v>
      </c>
    </row>
    <row r="3697" spans="1:12" x14ac:dyDescent="0.25">
      <c r="A3697" t="s">
        <v>487</v>
      </c>
      <c r="B3697" t="s">
        <v>463</v>
      </c>
      <c r="C3697" t="s">
        <v>464</v>
      </c>
      <c r="D3697" t="s">
        <v>290</v>
      </c>
      <c r="E3697" t="s">
        <v>294</v>
      </c>
      <c r="F3697">
        <v>2</v>
      </c>
      <c r="G3697" t="s">
        <v>499</v>
      </c>
      <c r="H3697" s="4">
        <v>17567955</v>
      </c>
      <c r="I3697" s="4">
        <v>16271811</v>
      </c>
      <c r="J3697" s="3">
        <v>0.07377887750737067</v>
      </c>
      <c r="K3697" s="3">
        <v>0.0796557924621912</v>
      </c>
      <c r="L3697" t="s">
        <v>54</v>
      </c>
    </row>
    <row r="3698" spans="1:12" x14ac:dyDescent="0.25">
      <c r="A3698" t="s">
        <v>487</v>
      </c>
      <c r="B3698" t="s">
        <v>463</v>
      </c>
      <c r="C3698" t="s">
        <v>464</v>
      </c>
      <c r="D3698" t="s">
        <v>290</v>
      </c>
      <c r="E3698" t="s">
        <v>296</v>
      </c>
      <c r="F3698">
        <v>3</v>
      </c>
      <c r="G3698" t="s">
        <v>488</v>
      </c>
      <c r="H3698" s="4">
        <v>23148775</v>
      </c>
      <c r="I3698" s="4">
        <v>31715122.24239145</v>
      </c>
      <c r="J3698" s="3">
        <v>0.37005617974996297</v>
      </c>
      <c r="K3698" s="3">
        <v>-0.2701029236753625</v>
      </c>
      <c r="L3698" t="s">
        <v>54</v>
      </c>
    </row>
    <row r="3699" spans="1:12" x14ac:dyDescent="0.25">
      <c r="A3699" t="s">
        <v>487</v>
      </c>
      <c r="B3699" t="s">
        <v>463</v>
      </c>
      <c r="C3699" t="s">
        <v>464</v>
      </c>
      <c r="D3699" t="s">
        <v>290</v>
      </c>
      <c r="E3699" t="s">
        <v>296</v>
      </c>
      <c r="F3699">
        <v>3</v>
      </c>
      <c r="G3699" t="s">
        <v>498</v>
      </c>
      <c r="H3699" s="4">
        <v>23148775</v>
      </c>
      <c r="I3699" s="4">
        <v>33553313</v>
      </c>
      <c r="J3699" s="3">
        <v>0.44946387011839717</v>
      </c>
      <c r="K3699" s="3">
        <v>-0.3100897368912572</v>
      </c>
      <c r="L3699" t="s">
        <v>54</v>
      </c>
    </row>
    <row r="3700" spans="1:12" x14ac:dyDescent="0.25">
      <c r="A3700" t="s">
        <v>487</v>
      </c>
      <c r="B3700" t="s">
        <v>463</v>
      </c>
      <c r="C3700" t="s">
        <v>464</v>
      </c>
      <c r="D3700" t="s">
        <v>290</v>
      </c>
      <c r="E3700" t="s">
        <v>296</v>
      </c>
      <c r="F3700">
        <v>3</v>
      </c>
      <c r="G3700" t="s">
        <v>499</v>
      </c>
      <c r="H3700" s="4">
        <v>23148775</v>
      </c>
      <c r="I3700" s="4">
        <v>16271811</v>
      </c>
      <c r="J3700" s="3">
        <v>0.2970767999602571</v>
      </c>
      <c r="K3700" s="3">
        <v>0.42263052342483576</v>
      </c>
      <c r="L3700" t="s">
        <v>54</v>
      </c>
    </row>
    <row r="3701" spans="1:12" x14ac:dyDescent="0.25">
      <c r="A3701" t="s">
        <v>487</v>
      </c>
      <c r="B3701" t="s">
        <v>463</v>
      </c>
      <c r="C3701" t="s">
        <v>464</v>
      </c>
      <c r="D3701" t="s">
        <v>292</v>
      </c>
      <c r="E3701" t="s">
        <v>294</v>
      </c>
      <c r="F3701">
        <v>1</v>
      </c>
      <c r="G3701" t="s">
        <v>488</v>
      </c>
      <c r="H3701" s="4">
        <v>17567955</v>
      </c>
      <c r="I3701" s="4">
        <v>27648834.15666266</v>
      </c>
      <c r="J3701" s="3">
        <v>0.5738220047047401</v>
      </c>
      <c r="K3701" s="3">
        <v>-0.3646041312101193</v>
      </c>
      <c r="L3701" t="s">
        <v>54</v>
      </c>
    </row>
    <row r="3702" spans="1:12" x14ac:dyDescent="0.25">
      <c r="A3702" t="s">
        <v>487</v>
      </c>
      <c r="B3702" t="s">
        <v>463</v>
      </c>
      <c r="C3702" t="s">
        <v>464</v>
      </c>
      <c r="D3702" t="s">
        <v>292</v>
      </c>
      <c r="E3702" t="s">
        <v>294</v>
      </c>
      <c r="F3702">
        <v>1</v>
      </c>
      <c r="G3702" t="s">
        <v>498</v>
      </c>
      <c r="H3702" s="4">
        <v>17567955</v>
      </c>
      <c r="I3702" s="4">
        <v>30836778</v>
      </c>
      <c r="J3702" s="3">
        <v>0.7552855753558112</v>
      </c>
      <c r="K3702" s="3">
        <v>-0.43029213363341656</v>
      </c>
      <c r="L3702" t="s">
        <v>54</v>
      </c>
    </row>
    <row r="3703" spans="1:12" x14ac:dyDescent="0.25">
      <c r="A3703" t="s">
        <v>487</v>
      </c>
      <c r="B3703" t="s">
        <v>463</v>
      </c>
      <c r="C3703" t="s">
        <v>464</v>
      </c>
      <c r="D3703" t="s">
        <v>292</v>
      </c>
      <c r="E3703" t="s">
        <v>294</v>
      </c>
      <c r="F3703">
        <v>1</v>
      </c>
      <c r="G3703" t="s">
        <v>499</v>
      </c>
      <c r="H3703" s="4">
        <v>17567955</v>
      </c>
      <c r="I3703" s="4">
        <v>12932543</v>
      </c>
      <c r="J3703" s="3">
        <v>0.2638560948044323</v>
      </c>
      <c r="K3703" s="3">
        <v>0.3584300473619148</v>
      </c>
      <c r="L3703" t="s">
        <v>54</v>
      </c>
    </row>
    <row r="3704" spans="1:12" x14ac:dyDescent="0.25">
      <c r="A3704" t="s">
        <v>487</v>
      </c>
      <c r="B3704" t="s">
        <v>463</v>
      </c>
      <c r="C3704" t="s">
        <v>464</v>
      </c>
      <c r="D3704" t="s">
        <v>292</v>
      </c>
      <c r="E3704" t="s">
        <v>296</v>
      </c>
      <c r="F3704">
        <v>2</v>
      </c>
      <c r="G3704" t="s">
        <v>488</v>
      </c>
      <c r="H3704" s="4">
        <v>23148775</v>
      </c>
      <c r="I3704" s="4">
        <v>30084530.44425048</v>
      </c>
      <c r="J3704" s="3">
        <v>0.29961652157621643</v>
      </c>
      <c r="K3704" s="3">
        <v>-0.2305422535047738</v>
      </c>
      <c r="L3704" t="s">
        <v>54</v>
      </c>
    </row>
    <row r="3705" spans="1:12" x14ac:dyDescent="0.25">
      <c r="A3705" t="s">
        <v>487</v>
      </c>
      <c r="B3705" t="s">
        <v>463</v>
      </c>
      <c r="C3705" t="s">
        <v>464</v>
      </c>
      <c r="D3705" t="s">
        <v>292</v>
      </c>
      <c r="E3705" t="s">
        <v>296</v>
      </c>
      <c r="F3705">
        <v>2</v>
      </c>
      <c r="G3705" t="s">
        <v>498</v>
      </c>
      <c r="H3705" s="4">
        <v>23148775</v>
      </c>
      <c r="I3705" s="4">
        <v>33553313</v>
      </c>
      <c r="J3705" s="3">
        <v>0.44946387011839717</v>
      </c>
      <c r="K3705" s="3">
        <v>-0.3100897368912572</v>
      </c>
      <c r="L3705" t="s">
        <v>54</v>
      </c>
    </row>
    <row r="3706" spans="1:12" x14ac:dyDescent="0.25">
      <c r="A3706" t="s">
        <v>487</v>
      </c>
      <c r="B3706" t="s">
        <v>463</v>
      </c>
      <c r="C3706" t="s">
        <v>464</v>
      </c>
      <c r="D3706" t="s">
        <v>292</v>
      </c>
      <c r="E3706" t="s">
        <v>296</v>
      </c>
      <c r="F3706">
        <v>2</v>
      </c>
      <c r="G3706" t="s">
        <v>499</v>
      </c>
      <c r="H3706" s="4">
        <v>23148775</v>
      </c>
      <c r="I3706" s="4">
        <v>12932543</v>
      </c>
      <c r="J3706" s="3">
        <v>0.4413292712033358</v>
      </c>
      <c r="K3706" s="3">
        <v>0.7899631186225323</v>
      </c>
      <c r="L3706" t="s">
        <v>54</v>
      </c>
    </row>
    <row r="3707" spans="1:12" x14ac:dyDescent="0.25">
      <c r="A3707" t="s">
        <v>487</v>
      </c>
      <c r="B3707" t="s">
        <v>463</v>
      </c>
      <c r="C3707" t="s">
        <v>464</v>
      </c>
      <c r="D3707" t="s">
        <v>292</v>
      </c>
      <c r="E3707" t="s">
        <v>298</v>
      </c>
      <c r="F3707">
        <v>3</v>
      </c>
      <c r="G3707" t="s">
        <v>488</v>
      </c>
      <c r="H3707" s="4">
        <v>20643894</v>
      </c>
      <c r="I3707" s="4">
        <v>20171056.874065936</v>
      </c>
      <c r="J3707" s="3">
        <v>0.022904454263040896</v>
      </c>
      <c r="K3707" s="3">
        <v>0.023441365957477135</v>
      </c>
      <c r="L3707" t="s">
        <v>54</v>
      </c>
    </row>
    <row r="3708" spans="1:12" x14ac:dyDescent="0.25">
      <c r="A3708" t="s">
        <v>487</v>
      </c>
      <c r="B3708" t="s">
        <v>463</v>
      </c>
      <c r="C3708" t="s">
        <v>464</v>
      </c>
      <c r="D3708" t="s">
        <v>292</v>
      </c>
      <c r="E3708" t="s">
        <v>298</v>
      </c>
      <c r="F3708">
        <v>3</v>
      </c>
      <c r="G3708" t="s">
        <v>498</v>
      </c>
      <c r="H3708" s="4">
        <v>20643894</v>
      </c>
      <c r="I3708" s="4">
        <v>22496804</v>
      </c>
      <c r="J3708" s="3">
        <v>0.08975583773100172</v>
      </c>
      <c r="K3708" s="3">
        <v>-0.08236325479832601</v>
      </c>
      <c r="L3708" t="s">
        <v>54</v>
      </c>
    </row>
    <row r="3709" spans="1:12" x14ac:dyDescent="0.25">
      <c r="A3709" t="s">
        <v>487</v>
      </c>
      <c r="B3709" t="s">
        <v>463</v>
      </c>
      <c r="C3709" t="s">
        <v>464</v>
      </c>
      <c r="D3709" t="s">
        <v>292</v>
      </c>
      <c r="E3709" t="s">
        <v>298</v>
      </c>
      <c r="F3709">
        <v>3</v>
      </c>
      <c r="G3709" t="s">
        <v>499</v>
      </c>
      <c r="H3709" s="4">
        <v>20643894</v>
      </c>
      <c r="I3709" s="4">
        <v>12932543</v>
      </c>
      <c r="J3709" s="3">
        <v>0.3735414936736257</v>
      </c>
      <c r="K3709" s="3">
        <v>0.5962749166965847</v>
      </c>
      <c r="L3709" t="s">
        <v>54</v>
      </c>
    </row>
    <row r="3710" spans="1:12" x14ac:dyDescent="0.25">
      <c r="A3710" t="s">
        <v>487</v>
      </c>
      <c r="B3710" t="s">
        <v>463</v>
      </c>
      <c r="C3710" t="s">
        <v>464</v>
      </c>
      <c r="D3710" t="s">
        <v>294</v>
      </c>
      <c r="E3710" t="s">
        <v>296</v>
      </c>
      <c r="F3710">
        <v>1</v>
      </c>
      <c r="G3710" t="s">
        <v>488</v>
      </c>
      <c r="H3710" s="4">
        <v>23148775</v>
      </c>
      <c r="I3710" s="4">
        <v>28791068.441257708</v>
      </c>
      <c r="J3710" s="3">
        <v>0.24374047617023828</v>
      </c>
      <c r="K3710" s="3">
        <v>-0.19597374278657476</v>
      </c>
      <c r="L3710" t="s">
        <v>54</v>
      </c>
    </row>
    <row r="3711" spans="1:12" x14ac:dyDescent="0.25">
      <c r="A3711" t="s">
        <v>487</v>
      </c>
      <c r="B3711" t="s">
        <v>463</v>
      </c>
      <c r="C3711" t="s">
        <v>464</v>
      </c>
      <c r="D3711" t="s">
        <v>294</v>
      </c>
      <c r="E3711" t="s">
        <v>296</v>
      </c>
      <c r="F3711">
        <v>1</v>
      </c>
      <c r="G3711" t="s">
        <v>498</v>
      </c>
      <c r="H3711" s="4">
        <v>23148775</v>
      </c>
      <c r="I3711" s="4">
        <v>33553313</v>
      </c>
      <c r="J3711" s="3">
        <v>0.44946387011839717</v>
      </c>
      <c r="K3711" s="3">
        <v>-0.3100897368912572</v>
      </c>
      <c r="L3711" t="s">
        <v>54</v>
      </c>
    </row>
    <row r="3712" spans="1:12" x14ac:dyDescent="0.25">
      <c r="A3712" t="s">
        <v>487</v>
      </c>
      <c r="B3712" t="s">
        <v>463</v>
      </c>
      <c r="C3712" t="s">
        <v>464</v>
      </c>
      <c r="D3712" t="s">
        <v>294</v>
      </c>
      <c r="E3712" t="s">
        <v>296</v>
      </c>
      <c r="F3712">
        <v>1</v>
      </c>
      <c r="G3712" t="s">
        <v>499</v>
      </c>
      <c r="H3712" s="4">
        <v>23148775</v>
      </c>
      <c r="I3712" s="4">
        <v>17567955</v>
      </c>
      <c r="J3712" s="3">
        <v>0.241084895421032</v>
      </c>
      <c r="K3712" s="3">
        <v>0.3176704402988282</v>
      </c>
      <c r="L3712" t="s">
        <v>54</v>
      </c>
    </row>
    <row r="3713" spans="1:12" x14ac:dyDescent="0.25">
      <c r="A3713" t="s">
        <v>487</v>
      </c>
      <c r="B3713" t="s">
        <v>463</v>
      </c>
      <c r="C3713" t="s">
        <v>464</v>
      </c>
      <c r="D3713" t="s">
        <v>294</v>
      </c>
      <c r="E3713" t="s">
        <v>298</v>
      </c>
      <c r="F3713">
        <v>2</v>
      </c>
      <c r="G3713" t="s">
        <v>488</v>
      </c>
      <c r="H3713" s="4">
        <v>20643894</v>
      </c>
      <c r="I3713" s="4">
        <v>19303817.291412033</v>
      </c>
      <c r="J3713" s="3">
        <v>0.06491395027449602</v>
      </c>
      <c r="K3713" s="3">
        <v>0.06942029591132455</v>
      </c>
      <c r="L3713" t="s">
        <v>54</v>
      </c>
    </row>
    <row r="3714" spans="1:12" x14ac:dyDescent="0.25">
      <c r="A3714" t="s">
        <v>487</v>
      </c>
      <c r="B3714" t="s">
        <v>463</v>
      </c>
      <c r="C3714" t="s">
        <v>464</v>
      </c>
      <c r="D3714" t="s">
        <v>294</v>
      </c>
      <c r="E3714" t="s">
        <v>298</v>
      </c>
      <c r="F3714">
        <v>2</v>
      </c>
      <c r="G3714" t="s">
        <v>498</v>
      </c>
      <c r="H3714" s="4">
        <v>20643894</v>
      </c>
      <c r="I3714" s="4">
        <v>22496804</v>
      </c>
      <c r="J3714" s="3">
        <v>0.08975583773100172</v>
      </c>
      <c r="K3714" s="3">
        <v>-0.08236325479832601</v>
      </c>
      <c r="L3714" t="s">
        <v>54</v>
      </c>
    </row>
    <row r="3715" spans="1:12" x14ac:dyDescent="0.25">
      <c r="A3715" t="s">
        <v>487</v>
      </c>
      <c r="B3715" t="s">
        <v>463</v>
      </c>
      <c r="C3715" t="s">
        <v>464</v>
      </c>
      <c r="D3715" t="s">
        <v>294</v>
      </c>
      <c r="E3715" t="s">
        <v>298</v>
      </c>
      <c r="F3715">
        <v>2</v>
      </c>
      <c r="G3715" t="s">
        <v>499</v>
      </c>
      <c r="H3715" s="4">
        <v>20643894</v>
      </c>
      <c r="I3715" s="4">
        <v>17567955</v>
      </c>
      <c r="J3715" s="3">
        <v>0.14899994158078897</v>
      </c>
      <c r="K3715" s="3">
        <v>0.17508805094275343</v>
      </c>
      <c r="L3715" t="s">
        <v>54</v>
      </c>
    </row>
    <row r="3716" spans="1:12" x14ac:dyDescent="0.25">
      <c r="A3716" t="s">
        <v>487</v>
      </c>
      <c r="B3716" t="s">
        <v>463</v>
      </c>
      <c r="C3716" t="s">
        <v>464</v>
      </c>
      <c r="D3716" t="s">
        <v>294</v>
      </c>
      <c r="E3716" t="s">
        <v>300</v>
      </c>
      <c r="F3716">
        <v>3</v>
      </c>
      <c r="G3716" t="s">
        <v>488</v>
      </c>
      <c r="H3716" s="4">
        <v>20312439</v>
      </c>
      <c r="I3716" s="4">
        <v>12692827.370409021</v>
      </c>
      <c r="J3716" s="3">
        <v>0.37512046828010065</v>
      </c>
      <c r="K3716" s="3">
        <v>0.6003084582521538</v>
      </c>
      <c r="L3716" t="s">
        <v>54</v>
      </c>
    </row>
    <row r="3717" spans="1:12" x14ac:dyDescent="0.25">
      <c r="A3717" t="s">
        <v>487</v>
      </c>
      <c r="B3717" t="s">
        <v>463</v>
      </c>
      <c r="C3717" t="s">
        <v>464</v>
      </c>
      <c r="D3717" t="s">
        <v>294</v>
      </c>
      <c r="E3717" t="s">
        <v>300</v>
      </c>
      <c r="F3717">
        <v>3</v>
      </c>
      <c r="G3717" t="s">
        <v>498</v>
      </c>
      <c r="H3717" s="4">
        <v>20312439</v>
      </c>
      <c r="I3717" s="4">
        <v>14792310</v>
      </c>
      <c r="J3717" s="3">
        <v>0.27176101304230377</v>
      </c>
      <c r="K3717" s="3">
        <v>0.3731755892081764</v>
      </c>
      <c r="L3717" t="s">
        <v>54</v>
      </c>
    </row>
    <row r="3718" spans="1:12" x14ac:dyDescent="0.25">
      <c r="A3718" t="s">
        <v>487</v>
      </c>
      <c r="B3718" t="s">
        <v>463</v>
      </c>
      <c r="C3718" t="s">
        <v>464</v>
      </c>
      <c r="D3718" t="s">
        <v>294</v>
      </c>
      <c r="E3718" t="s">
        <v>300</v>
      </c>
      <c r="F3718">
        <v>3</v>
      </c>
      <c r="G3718" t="s">
        <v>499</v>
      </c>
      <c r="H3718" s="4">
        <v>20312439</v>
      </c>
      <c r="I3718" s="4">
        <v>17567955</v>
      </c>
      <c r="J3718" s="3">
        <v>0.13511346421766485</v>
      </c>
      <c r="K3718" s="3">
        <v>0.15622102857162373</v>
      </c>
      <c r="L3718" t="s">
        <v>54</v>
      </c>
    </row>
    <row r="3719" spans="1:12" x14ac:dyDescent="0.25">
      <c r="A3719" t="s">
        <v>487</v>
      </c>
      <c r="B3719" t="s">
        <v>463</v>
      </c>
      <c r="C3719" t="s">
        <v>464</v>
      </c>
      <c r="D3719" t="s">
        <v>296</v>
      </c>
      <c r="E3719" t="s">
        <v>298</v>
      </c>
      <c r="F3719">
        <v>1</v>
      </c>
      <c r="G3719" t="s">
        <v>488</v>
      </c>
      <c r="H3719" s="4">
        <v>20643894</v>
      </c>
      <c r="I3719" s="4">
        <v>18477013.33305109</v>
      </c>
      <c r="J3719" s="3">
        <v>0.10496472549940969</v>
      </c>
      <c r="K3719" s="3">
        <v>0.11727440078602228</v>
      </c>
      <c r="L3719" t="s">
        <v>54</v>
      </c>
    </row>
    <row r="3720" spans="1:12" x14ac:dyDescent="0.25">
      <c r="A3720" t="s">
        <v>487</v>
      </c>
      <c r="B3720" t="s">
        <v>463</v>
      </c>
      <c r="C3720" t="s">
        <v>464</v>
      </c>
      <c r="D3720" t="s">
        <v>296</v>
      </c>
      <c r="E3720" t="s">
        <v>298</v>
      </c>
      <c r="F3720">
        <v>1</v>
      </c>
      <c r="G3720" t="s">
        <v>498</v>
      </c>
      <c r="H3720" s="4">
        <v>20643894</v>
      </c>
      <c r="I3720" s="4">
        <v>22496804</v>
      </c>
      <c r="J3720" s="3">
        <v>0.08975583773100172</v>
      </c>
      <c r="K3720" s="3">
        <v>-0.08236325479832601</v>
      </c>
      <c r="L3720" t="s">
        <v>54</v>
      </c>
    </row>
    <row r="3721" spans="1:12" x14ac:dyDescent="0.25">
      <c r="A3721" t="s">
        <v>487</v>
      </c>
      <c r="B3721" t="s">
        <v>463</v>
      </c>
      <c r="C3721" t="s">
        <v>464</v>
      </c>
      <c r="D3721" t="s">
        <v>296</v>
      </c>
      <c r="E3721" t="s">
        <v>298</v>
      </c>
      <c r="F3721">
        <v>1</v>
      </c>
      <c r="G3721" t="s">
        <v>499</v>
      </c>
      <c r="H3721" s="4">
        <v>20643894</v>
      </c>
      <c r="I3721" s="4">
        <v>23148775</v>
      </c>
      <c r="J3721" s="3">
        <v>0.12133762167157029</v>
      </c>
      <c r="K3721" s="3">
        <v>-0.10820792892928459</v>
      </c>
      <c r="L3721" t="s">
        <v>54</v>
      </c>
    </row>
    <row r="3722" spans="1:12" x14ac:dyDescent="0.25">
      <c r="A3722" t="s">
        <v>487</v>
      </c>
      <c r="B3722" t="s">
        <v>463</v>
      </c>
      <c r="C3722" t="s">
        <v>464</v>
      </c>
      <c r="D3722" t="s">
        <v>296</v>
      </c>
      <c r="E3722" t="s">
        <v>300</v>
      </c>
      <c r="F3722">
        <v>2</v>
      </c>
      <c r="G3722" t="s">
        <v>488</v>
      </c>
      <c r="H3722" s="4">
        <v>20312439</v>
      </c>
      <c r="I3722" s="4">
        <v>12149179.461074779</v>
      </c>
      <c r="J3722" s="3">
        <v>0.40188475342253194</v>
      </c>
      <c r="K3722" s="3">
        <v>0.6719185904759907</v>
      </c>
      <c r="L3722" t="s">
        <v>54</v>
      </c>
    </row>
    <row r="3723" spans="1:12" x14ac:dyDescent="0.25">
      <c r="A3723" t="s">
        <v>487</v>
      </c>
      <c r="B3723" t="s">
        <v>463</v>
      </c>
      <c r="C3723" t="s">
        <v>464</v>
      </c>
      <c r="D3723" t="s">
        <v>296</v>
      </c>
      <c r="E3723" t="s">
        <v>300</v>
      </c>
      <c r="F3723">
        <v>2</v>
      </c>
      <c r="G3723" t="s">
        <v>498</v>
      </c>
      <c r="H3723" s="4">
        <v>20312439</v>
      </c>
      <c r="I3723" s="4">
        <v>14792310</v>
      </c>
      <c r="J3723" s="3">
        <v>0.27176101304230377</v>
      </c>
      <c r="K3723" s="3">
        <v>0.3731755892081764</v>
      </c>
      <c r="L3723" t="s">
        <v>54</v>
      </c>
    </row>
    <row r="3724" spans="1:12" x14ac:dyDescent="0.25">
      <c r="A3724" t="s">
        <v>487</v>
      </c>
      <c r="B3724" t="s">
        <v>463</v>
      </c>
      <c r="C3724" t="s">
        <v>464</v>
      </c>
      <c r="D3724" t="s">
        <v>296</v>
      </c>
      <c r="E3724" t="s">
        <v>300</v>
      </c>
      <c r="F3724">
        <v>2</v>
      </c>
      <c r="G3724" t="s">
        <v>499</v>
      </c>
      <c r="H3724" s="4">
        <v>20312439</v>
      </c>
      <c r="I3724" s="4">
        <v>23148775</v>
      </c>
      <c r="J3724" s="3">
        <v>0.13963542241283777</v>
      </c>
      <c r="K3724" s="3">
        <v>-0.12252639718516423</v>
      </c>
      <c r="L3724" t="s">
        <v>54</v>
      </c>
    </row>
    <row r="3725" spans="1:12" x14ac:dyDescent="0.25">
      <c r="A3725" t="s">
        <v>487</v>
      </c>
      <c r="B3725" t="s">
        <v>463</v>
      </c>
      <c r="C3725" t="s">
        <v>464</v>
      </c>
      <c r="D3725" t="s">
        <v>296</v>
      </c>
      <c r="E3725" t="s">
        <v>302</v>
      </c>
      <c r="F3725">
        <v>3</v>
      </c>
      <c r="G3725" t="s">
        <v>488</v>
      </c>
      <c r="H3725" s="4">
        <v>14112768</v>
      </c>
      <c r="I3725" s="4">
        <v>10704922.6335854</v>
      </c>
      <c r="J3725" s="3">
        <v>0.2414724996835914</v>
      </c>
      <c r="K3725" s="3">
        <v>0.31834376417844407</v>
      </c>
      <c r="L3725" t="s">
        <v>54</v>
      </c>
    </row>
    <row r="3726" spans="1:12" x14ac:dyDescent="0.25">
      <c r="A3726" t="s">
        <v>487</v>
      </c>
      <c r="B3726" t="s">
        <v>463</v>
      </c>
      <c r="C3726" t="s">
        <v>464</v>
      </c>
      <c r="D3726" t="s">
        <v>296</v>
      </c>
      <c r="E3726" t="s">
        <v>302</v>
      </c>
      <c r="F3726">
        <v>3</v>
      </c>
      <c r="G3726" t="s">
        <v>498</v>
      </c>
      <c r="H3726" s="4">
        <v>14112768</v>
      </c>
      <c r="I3726" s="4">
        <v>13033846</v>
      </c>
      <c r="J3726" s="3">
        <v>0.07645006280837324</v>
      </c>
      <c r="K3726" s="3">
        <v>0.08277848303562893</v>
      </c>
      <c r="L3726" t="s">
        <v>54</v>
      </c>
    </row>
    <row r="3727" spans="1:12" x14ac:dyDescent="0.25">
      <c r="A3727" t="s">
        <v>487</v>
      </c>
      <c r="B3727" t="s">
        <v>463</v>
      </c>
      <c r="C3727" t="s">
        <v>464</v>
      </c>
      <c r="D3727" t="s">
        <v>296</v>
      </c>
      <c r="E3727" t="s">
        <v>302</v>
      </c>
      <c r="F3727">
        <v>3</v>
      </c>
      <c r="G3727" t="s">
        <v>499</v>
      </c>
      <c r="H3727" s="4">
        <v>14112768</v>
      </c>
      <c r="I3727" s="4">
        <v>23148775</v>
      </c>
      <c r="J3727" s="3">
        <v>0.6402717737583442</v>
      </c>
      <c r="K3727" s="3">
        <v>-0.39034493185924524</v>
      </c>
      <c r="L3727" t="s">
        <v>54</v>
      </c>
    </row>
    <row r="3728" spans="1:12" x14ac:dyDescent="0.25">
      <c r="A3728" t="s">
        <v>487</v>
      </c>
      <c r="B3728" t="s">
        <v>463</v>
      </c>
      <c r="C3728" t="s">
        <v>464</v>
      </c>
      <c r="D3728" t="s">
        <v>298</v>
      </c>
      <c r="E3728" t="s">
        <v>300</v>
      </c>
      <c r="F3728">
        <v>1</v>
      </c>
      <c r="G3728" t="s">
        <v>488</v>
      </c>
      <c r="H3728" s="4">
        <v>20312439</v>
      </c>
      <c r="I3728" s="4">
        <v>12001681.882395457</v>
      </c>
      <c r="J3728" s="3">
        <v>0.4091461944872569</v>
      </c>
      <c r="K3728" s="3">
        <v>0.6924660392636377</v>
      </c>
      <c r="L3728" t="s">
        <v>54</v>
      </c>
    </row>
    <row r="3729" spans="1:12" x14ac:dyDescent="0.25">
      <c r="A3729" t="s">
        <v>487</v>
      </c>
      <c r="B3729" t="s">
        <v>463</v>
      </c>
      <c r="C3729" t="s">
        <v>464</v>
      </c>
      <c r="D3729" t="s">
        <v>298</v>
      </c>
      <c r="E3729" t="s">
        <v>300</v>
      </c>
      <c r="F3729">
        <v>1</v>
      </c>
      <c r="G3729" t="s">
        <v>498</v>
      </c>
      <c r="H3729" s="4">
        <v>20312439</v>
      </c>
      <c r="I3729" s="4">
        <v>14792310</v>
      </c>
      <c r="J3729" s="3">
        <v>0.27176101304230377</v>
      </c>
      <c r="K3729" s="3">
        <v>0.3731755892081764</v>
      </c>
      <c r="L3729" t="s">
        <v>54</v>
      </c>
    </row>
    <row r="3730" spans="1:12" x14ac:dyDescent="0.25">
      <c r="A3730" t="s">
        <v>487</v>
      </c>
      <c r="B3730" t="s">
        <v>463</v>
      </c>
      <c r="C3730" t="s">
        <v>464</v>
      </c>
      <c r="D3730" t="s">
        <v>298</v>
      </c>
      <c r="E3730" t="s">
        <v>300</v>
      </c>
      <c r="F3730">
        <v>1</v>
      </c>
      <c r="G3730" t="s">
        <v>499</v>
      </c>
      <c r="H3730" s="4">
        <v>20312439</v>
      </c>
      <c r="I3730" s="4">
        <v>20643894</v>
      </c>
      <c r="J3730" s="3">
        <v>0.016317833619094193</v>
      </c>
      <c r="K3730" s="3">
        <v>-0.016055837140027944</v>
      </c>
      <c r="L3730" t="s">
        <v>54</v>
      </c>
    </row>
    <row r="3731" spans="1:12" x14ac:dyDescent="0.25">
      <c r="A3731" t="s">
        <v>487</v>
      </c>
      <c r="B3731" t="s">
        <v>463</v>
      </c>
      <c r="C3731" t="s">
        <v>464</v>
      </c>
      <c r="D3731" t="s">
        <v>298</v>
      </c>
      <c r="E3731" t="s">
        <v>302</v>
      </c>
      <c r="F3731">
        <v>2</v>
      </c>
      <c r="G3731" t="s">
        <v>488</v>
      </c>
      <c r="H3731" s="4">
        <v>14112768</v>
      </c>
      <c r="I3731" s="4">
        <v>10574959.110249346</v>
      </c>
      <c r="J3731" s="3">
        <v>0.2506814318601889</v>
      </c>
      <c r="K3731" s="3">
        <v>0.3345458694324196</v>
      </c>
      <c r="L3731" t="s">
        <v>54</v>
      </c>
    </row>
    <row r="3732" spans="1:12" x14ac:dyDescent="0.25">
      <c r="A3732" t="s">
        <v>487</v>
      </c>
      <c r="B3732" t="s">
        <v>463</v>
      </c>
      <c r="C3732" t="s">
        <v>464</v>
      </c>
      <c r="D3732" t="s">
        <v>298</v>
      </c>
      <c r="E3732" t="s">
        <v>302</v>
      </c>
      <c r="F3732">
        <v>2</v>
      </c>
      <c r="G3732" t="s">
        <v>498</v>
      </c>
      <c r="H3732" s="4">
        <v>14112768</v>
      </c>
      <c r="I3732" s="4">
        <v>13033846</v>
      </c>
      <c r="J3732" s="3">
        <v>0.07645006280837324</v>
      </c>
      <c r="K3732" s="3">
        <v>0.08277848303562893</v>
      </c>
      <c r="L3732" t="s">
        <v>54</v>
      </c>
    </row>
    <row r="3733" spans="1:12" x14ac:dyDescent="0.25">
      <c r="A3733" t="s">
        <v>487</v>
      </c>
      <c r="B3733" t="s">
        <v>463</v>
      </c>
      <c r="C3733" t="s">
        <v>464</v>
      </c>
      <c r="D3733" t="s">
        <v>298</v>
      </c>
      <c r="E3733" t="s">
        <v>302</v>
      </c>
      <c r="F3733">
        <v>2</v>
      </c>
      <c r="G3733" t="s">
        <v>499</v>
      </c>
      <c r="H3733" s="4">
        <v>14112768</v>
      </c>
      <c r="I3733" s="4">
        <v>20643894</v>
      </c>
      <c r="J3733" s="3">
        <v>0.46278136223878974</v>
      </c>
      <c r="K3733" s="3">
        <v>-0.31637083585102693</v>
      </c>
      <c r="L3733" t="s">
        <v>54</v>
      </c>
    </row>
    <row r="3734" spans="1:12" x14ac:dyDescent="0.25">
      <c r="A3734" t="s">
        <v>487</v>
      </c>
      <c r="B3734" t="s">
        <v>463</v>
      </c>
      <c r="C3734" t="s">
        <v>464</v>
      </c>
      <c r="D3734" t="s">
        <v>298</v>
      </c>
      <c r="E3734" t="s">
        <v>304</v>
      </c>
      <c r="F3734">
        <v>3</v>
      </c>
      <c r="G3734" t="s">
        <v>488</v>
      </c>
      <c r="H3734" s="4">
        <v>9983037</v>
      </c>
      <c r="I3734" s="4">
        <v>11840434.973879661</v>
      </c>
      <c r="J3734" s="3">
        <v>0.18605540316836064</v>
      </c>
      <c r="K3734" s="3">
        <v>-0.15686906587276012</v>
      </c>
      <c r="L3734" t="s">
        <v>54</v>
      </c>
    </row>
    <row r="3735" spans="1:12" x14ac:dyDescent="0.25">
      <c r="A3735" t="s">
        <v>487</v>
      </c>
      <c r="B3735" t="s">
        <v>463</v>
      </c>
      <c r="C3735" t="s">
        <v>464</v>
      </c>
      <c r="D3735" t="s">
        <v>298</v>
      </c>
      <c r="E3735" t="s">
        <v>304</v>
      </c>
      <c r="F3735">
        <v>3</v>
      </c>
      <c r="G3735" t="s">
        <v>498</v>
      </c>
      <c r="H3735" s="4">
        <v>9983037</v>
      </c>
      <c r="I3735" s="4">
        <v>14593570</v>
      </c>
      <c r="J3735" s="3">
        <v>0.46183671361730905</v>
      </c>
      <c r="K3735" s="3">
        <v>-0.3159290701315716</v>
      </c>
      <c r="L3735" t="s">
        <v>54</v>
      </c>
    </row>
    <row r="3736" spans="1:12" x14ac:dyDescent="0.25">
      <c r="A3736" t="s">
        <v>487</v>
      </c>
      <c r="B3736" t="s">
        <v>463</v>
      </c>
      <c r="C3736" t="s">
        <v>464</v>
      </c>
      <c r="D3736" t="s">
        <v>298</v>
      </c>
      <c r="E3736" t="s">
        <v>304</v>
      </c>
      <c r="F3736">
        <v>3</v>
      </c>
      <c r="G3736" t="s">
        <v>499</v>
      </c>
      <c r="H3736" s="4">
        <v>9983037</v>
      </c>
      <c r="I3736" s="4">
        <v>20643894</v>
      </c>
      <c r="J3736" s="3">
        <v>1.0678971739762158</v>
      </c>
      <c r="K3736" s="3">
        <v>-0.5164169608698824</v>
      </c>
      <c r="L3736" t="s">
        <v>54</v>
      </c>
    </row>
    <row r="3737" spans="1:12" x14ac:dyDescent="0.25">
      <c r="A3737" t="s">
        <v>487</v>
      </c>
      <c r="B3737" t="s">
        <v>463</v>
      </c>
      <c r="C3737" t="s">
        <v>464</v>
      </c>
      <c r="D3737" t="s">
        <v>300</v>
      </c>
      <c r="E3737" t="s">
        <v>302</v>
      </c>
      <c r="F3737">
        <v>1</v>
      </c>
      <c r="G3737" t="s">
        <v>488</v>
      </c>
      <c r="H3737" s="4">
        <v>14112768</v>
      </c>
      <c r="I3737" s="4">
        <v>10955109.676779175</v>
      </c>
      <c r="J3737" s="3">
        <v>0.22374479076116216</v>
      </c>
      <c r="K3737" s="3">
        <v>0.28823612144330285</v>
      </c>
      <c r="L3737" t="s">
        <v>54</v>
      </c>
    </row>
    <row r="3738" spans="1:12" x14ac:dyDescent="0.25">
      <c r="A3738" t="s">
        <v>487</v>
      </c>
      <c r="B3738" t="s">
        <v>463</v>
      </c>
      <c r="C3738" t="s">
        <v>464</v>
      </c>
      <c r="D3738" t="s">
        <v>300</v>
      </c>
      <c r="E3738" t="s">
        <v>302</v>
      </c>
      <c r="F3738">
        <v>1</v>
      </c>
      <c r="G3738" t="s">
        <v>498</v>
      </c>
      <c r="H3738" s="4">
        <v>14112768</v>
      </c>
      <c r="I3738" s="4">
        <v>13033846</v>
      </c>
      <c r="J3738" s="3">
        <v>0.07645006280837324</v>
      </c>
      <c r="K3738" s="3">
        <v>0.08277848303562893</v>
      </c>
      <c r="L3738" t="s">
        <v>54</v>
      </c>
    </row>
    <row r="3739" spans="1:12" x14ac:dyDescent="0.25">
      <c r="A3739" t="s">
        <v>487</v>
      </c>
      <c r="B3739" t="s">
        <v>463</v>
      </c>
      <c r="C3739" t="s">
        <v>464</v>
      </c>
      <c r="D3739" t="s">
        <v>300</v>
      </c>
      <c r="E3739" t="s">
        <v>302</v>
      </c>
      <c r="F3739">
        <v>1</v>
      </c>
      <c r="G3739" t="s">
        <v>499</v>
      </c>
      <c r="H3739" s="4">
        <v>14112768</v>
      </c>
      <c r="I3739" s="4">
        <v>20312439</v>
      </c>
      <c r="J3739" s="3">
        <v>0.4392951829152155</v>
      </c>
      <c r="K3739" s="3">
        <v>-0.3052154888932836</v>
      </c>
      <c r="L3739" t="s">
        <v>54</v>
      </c>
    </row>
    <row r="3740" spans="1:12" x14ac:dyDescent="0.25">
      <c r="A3740" t="s">
        <v>487</v>
      </c>
      <c r="B3740" t="s">
        <v>463</v>
      </c>
      <c r="C3740" t="s">
        <v>464</v>
      </c>
      <c r="D3740" t="s">
        <v>300</v>
      </c>
      <c r="E3740" t="s">
        <v>304</v>
      </c>
      <c r="F3740">
        <v>2</v>
      </c>
      <c r="G3740" t="s">
        <v>488</v>
      </c>
      <c r="H3740" s="4">
        <v>9983037</v>
      </c>
      <c r="I3740" s="4">
        <v>12266077.098483</v>
      </c>
      <c r="J3740" s="3">
        <v>0.2286919399860984</v>
      </c>
      <c r="K3740" s="3">
        <v>-0.18612634505333034</v>
      </c>
      <c r="L3740" t="s">
        <v>54</v>
      </c>
    </row>
    <row r="3741" spans="1:12" x14ac:dyDescent="0.25">
      <c r="A3741" t="s">
        <v>487</v>
      </c>
      <c r="B3741" t="s">
        <v>463</v>
      </c>
      <c r="C3741" t="s">
        <v>464</v>
      </c>
      <c r="D3741" t="s">
        <v>300</v>
      </c>
      <c r="E3741" t="s">
        <v>304</v>
      </c>
      <c r="F3741">
        <v>2</v>
      </c>
      <c r="G3741" t="s">
        <v>498</v>
      </c>
      <c r="H3741" s="4">
        <v>9983037</v>
      </c>
      <c r="I3741" s="4">
        <v>14593570</v>
      </c>
      <c r="J3741" s="3">
        <v>0.46183671361730905</v>
      </c>
      <c r="K3741" s="3">
        <v>-0.3159290701315716</v>
      </c>
      <c r="L3741" t="s">
        <v>54</v>
      </c>
    </row>
    <row r="3742" spans="1:12" x14ac:dyDescent="0.25">
      <c r="A3742" t="s">
        <v>487</v>
      </c>
      <c r="B3742" t="s">
        <v>463</v>
      </c>
      <c r="C3742" t="s">
        <v>464</v>
      </c>
      <c r="D3742" t="s">
        <v>300</v>
      </c>
      <c r="E3742" t="s">
        <v>304</v>
      </c>
      <c r="F3742">
        <v>2</v>
      </c>
      <c r="G3742" t="s">
        <v>499</v>
      </c>
      <c r="H3742" s="4">
        <v>9983037</v>
      </c>
      <c r="I3742" s="4">
        <v>20312439</v>
      </c>
      <c r="J3742" s="3">
        <v>1.0346953537285297</v>
      </c>
      <c r="K3742" s="3">
        <v>-0.5085259332963412</v>
      </c>
      <c r="L3742" t="s">
        <v>54</v>
      </c>
    </row>
    <row r="3743" spans="1:12" x14ac:dyDescent="0.25">
      <c r="A3743" t="s">
        <v>487</v>
      </c>
      <c r="B3743" t="s">
        <v>463</v>
      </c>
      <c r="C3743" t="s">
        <v>464</v>
      </c>
      <c r="D3743" t="s">
        <v>300</v>
      </c>
      <c r="E3743" t="s">
        <v>306</v>
      </c>
      <c r="F3743">
        <v>3</v>
      </c>
      <c r="G3743" t="s">
        <v>488</v>
      </c>
      <c r="H3743" s="4">
        <v>14972997</v>
      </c>
      <c r="I3743" s="4">
        <v>16264584.72142296</v>
      </c>
      <c r="J3743" s="3">
        <v>0.08626113539079446</v>
      </c>
      <c r="K3743" s="3">
        <v>-0.07941104820965637</v>
      </c>
      <c r="L3743" t="s">
        <v>54</v>
      </c>
    </row>
    <row r="3744" spans="1:12" x14ac:dyDescent="0.25">
      <c r="A3744" t="s">
        <v>487</v>
      </c>
      <c r="B3744" t="s">
        <v>463</v>
      </c>
      <c r="C3744" t="s">
        <v>464</v>
      </c>
      <c r="D3744" t="s">
        <v>300</v>
      </c>
      <c r="E3744" t="s">
        <v>306</v>
      </c>
      <c r="F3744">
        <v>3</v>
      </c>
      <c r="G3744" t="s">
        <v>498</v>
      </c>
      <c r="H3744" s="4">
        <v>14972997</v>
      </c>
      <c r="I3744" s="4">
        <v>19350796</v>
      </c>
      <c r="J3744" s="3">
        <v>0.29237960843777633</v>
      </c>
      <c r="K3744" s="3">
        <v>-0.22623353581940506</v>
      </c>
      <c r="L3744" t="s">
        <v>54</v>
      </c>
    </row>
    <row r="3745" spans="1:12" x14ac:dyDescent="0.25">
      <c r="A3745" t="s">
        <v>487</v>
      </c>
      <c r="B3745" t="s">
        <v>463</v>
      </c>
      <c r="C3745" t="s">
        <v>464</v>
      </c>
      <c r="D3745" t="s">
        <v>300</v>
      </c>
      <c r="E3745" t="s">
        <v>306</v>
      </c>
      <c r="F3745">
        <v>3</v>
      </c>
      <c r="G3745" t="s">
        <v>499</v>
      </c>
      <c r="H3745" s="4">
        <v>14972997</v>
      </c>
      <c r="I3745" s="4">
        <v>20312439</v>
      </c>
      <c r="J3745" s="3">
        <v>0.35660475988875173</v>
      </c>
      <c r="K3745" s="3">
        <v>-0.2628656263287732</v>
      </c>
      <c r="L3745" t="s">
        <v>54</v>
      </c>
    </row>
    <row r="3746" spans="1:12" x14ac:dyDescent="0.25">
      <c r="A3746" t="s">
        <v>487</v>
      </c>
      <c r="B3746" t="s">
        <v>463</v>
      </c>
      <c r="C3746" t="s">
        <v>464</v>
      </c>
      <c r="D3746" t="s">
        <v>302</v>
      </c>
      <c r="E3746" t="s">
        <v>304</v>
      </c>
      <c r="F3746">
        <v>1</v>
      </c>
      <c r="G3746" t="s">
        <v>488</v>
      </c>
      <c r="H3746" s="4">
        <v>9983037</v>
      </c>
      <c r="I3746" s="4">
        <v>12246209.462906476</v>
      </c>
      <c r="J3746" s="3">
        <v>0.22670180055492894</v>
      </c>
      <c r="K3746" s="3">
        <v>-0.18480595728511587</v>
      </c>
      <c r="L3746" t="s">
        <v>54</v>
      </c>
    </row>
    <row r="3747" spans="1:12" x14ac:dyDescent="0.25">
      <c r="A3747" t="s">
        <v>487</v>
      </c>
      <c r="B3747" t="s">
        <v>463</v>
      </c>
      <c r="C3747" t="s">
        <v>464</v>
      </c>
      <c r="D3747" t="s">
        <v>302</v>
      </c>
      <c r="E3747" t="s">
        <v>304</v>
      </c>
      <c r="F3747">
        <v>1</v>
      </c>
      <c r="G3747" t="s">
        <v>498</v>
      </c>
      <c r="H3747" s="4">
        <v>9983037</v>
      </c>
      <c r="I3747" s="4">
        <v>14593570</v>
      </c>
      <c r="J3747" s="3">
        <v>0.46183671361730905</v>
      </c>
      <c r="K3747" s="3">
        <v>-0.3159290701315716</v>
      </c>
      <c r="L3747" t="s">
        <v>54</v>
      </c>
    </row>
    <row r="3748" spans="1:12" x14ac:dyDescent="0.25">
      <c r="A3748" t="s">
        <v>487</v>
      </c>
      <c r="B3748" t="s">
        <v>463</v>
      </c>
      <c r="C3748" t="s">
        <v>464</v>
      </c>
      <c r="D3748" t="s">
        <v>302</v>
      </c>
      <c r="E3748" t="s">
        <v>304</v>
      </c>
      <c r="F3748">
        <v>1</v>
      </c>
      <c r="G3748" t="s">
        <v>499</v>
      </c>
      <c r="H3748" s="4">
        <v>9983037</v>
      </c>
      <c r="I3748" s="4">
        <v>14112768</v>
      </c>
      <c r="J3748" s="3">
        <v>0.41367481659138394</v>
      </c>
      <c r="K3748" s="3">
        <v>-0.29262374326567264</v>
      </c>
      <c r="L3748" t="s">
        <v>54</v>
      </c>
    </row>
    <row r="3749" spans="1:12" x14ac:dyDescent="0.25">
      <c r="A3749" t="s">
        <v>487</v>
      </c>
      <c r="B3749" t="s">
        <v>463</v>
      </c>
      <c r="C3749" t="s">
        <v>464</v>
      </c>
      <c r="D3749" t="s">
        <v>302</v>
      </c>
      <c r="E3749" t="s">
        <v>306</v>
      </c>
      <c r="F3749">
        <v>2</v>
      </c>
      <c r="G3749" t="s">
        <v>488</v>
      </c>
      <c r="H3749" s="4">
        <v>14972997</v>
      </c>
      <c r="I3749" s="4">
        <v>16238240.614871671</v>
      </c>
      <c r="J3749" s="3">
        <v>0.0845016942748116</v>
      </c>
      <c r="K3749" s="3">
        <v>-0.0779175309000476</v>
      </c>
      <c r="L3749" t="s">
        <v>54</v>
      </c>
    </row>
    <row r="3750" spans="1:12" x14ac:dyDescent="0.25">
      <c r="A3750" t="s">
        <v>487</v>
      </c>
      <c r="B3750" t="s">
        <v>463</v>
      </c>
      <c r="C3750" t="s">
        <v>464</v>
      </c>
      <c r="D3750" t="s">
        <v>302</v>
      </c>
      <c r="E3750" t="s">
        <v>306</v>
      </c>
      <c r="F3750">
        <v>2</v>
      </c>
      <c r="G3750" t="s">
        <v>498</v>
      </c>
      <c r="H3750" s="4">
        <v>14972997</v>
      </c>
      <c r="I3750" s="4">
        <v>19350796</v>
      </c>
      <c r="J3750" s="3">
        <v>0.29237960843777633</v>
      </c>
      <c r="K3750" s="3">
        <v>-0.22623353581940506</v>
      </c>
      <c r="L3750" t="s">
        <v>54</v>
      </c>
    </row>
    <row r="3751" spans="1:12" x14ac:dyDescent="0.25">
      <c r="A3751" t="s">
        <v>487</v>
      </c>
      <c r="B3751" t="s">
        <v>463</v>
      </c>
      <c r="C3751" t="s">
        <v>464</v>
      </c>
      <c r="D3751" t="s">
        <v>302</v>
      </c>
      <c r="E3751" t="s">
        <v>306</v>
      </c>
      <c r="F3751">
        <v>2</v>
      </c>
      <c r="G3751" t="s">
        <v>499</v>
      </c>
      <c r="H3751" s="4">
        <v>14972997</v>
      </c>
      <c r="I3751" s="4">
        <v>14112768</v>
      </c>
      <c r="J3751" s="3">
        <v>0.0574520251356492</v>
      </c>
      <c r="K3751" s="3">
        <v>0.060953953186221155</v>
      </c>
      <c r="L3751" t="s">
        <v>54</v>
      </c>
    </row>
    <row r="3752" spans="1:12" x14ac:dyDescent="0.25">
      <c r="A3752" t="s">
        <v>487</v>
      </c>
      <c r="B3752" t="s">
        <v>463</v>
      </c>
      <c r="C3752" t="s">
        <v>464</v>
      </c>
      <c r="D3752" t="s">
        <v>302</v>
      </c>
      <c r="E3752" t="s">
        <v>308</v>
      </c>
      <c r="F3752">
        <v>3</v>
      </c>
      <c r="G3752" t="s">
        <v>488</v>
      </c>
      <c r="H3752" s="4">
        <v>23619740</v>
      </c>
      <c r="I3752" s="4">
        <v>25239437.056903943</v>
      </c>
      <c r="J3752" s="3">
        <v>0.06857387324771329</v>
      </c>
      <c r="K3752" s="3">
        <v>-0.0641732639778071</v>
      </c>
      <c r="L3752" t="s">
        <v>54</v>
      </c>
    </row>
    <row r="3753" spans="1:12" x14ac:dyDescent="0.25">
      <c r="A3753" t="s">
        <v>487</v>
      </c>
      <c r="B3753" t="s">
        <v>463</v>
      </c>
      <c r="C3753" t="s">
        <v>464</v>
      </c>
      <c r="D3753" t="s">
        <v>302</v>
      </c>
      <c r="E3753" t="s">
        <v>308</v>
      </c>
      <c r="F3753">
        <v>3</v>
      </c>
      <c r="G3753" t="s">
        <v>498</v>
      </c>
      <c r="H3753" s="4">
        <v>23619740</v>
      </c>
      <c r="I3753" s="4">
        <v>30077347</v>
      </c>
      <c r="J3753" s="3">
        <v>0.2733987334322901</v>
      </c>
      <c r="K3753" s="3">
        <v>-0.2147000199186451</v>
      </c>
      <c r="L3753" t="s">
        <v>54</v>
      </c>
    </row>
    <row r="3754" spans="1:12" x14ac:dyDescent="0.25">
      <c r="A3754" t="s">
        <v>487</v>
      </c>
      <c r="B3754" t="s">
        <v>463</v>
      </c>
      <c r="C3754" t="s">
        <v>464</v>
      </c>
      <c r="D3754" t="s">
        <v>302</v>
      </c>
      <c r="E3754" t="s">
        <v>308</v>
      </c>
      <c r="F3754">
        <v>3</v>
      </c>
      <c r="G3754" t="s">
        <v>499</v>
      </c>
      <c r="H3754" s="4">
        <v>23619740</v>
      </c>
      <c r="I3754" s="4">
        <v>14112768</v>
      </c>
      <c r="J3754" s="3">
        <v>0.4025011282935375</v>
      </c>
      <c r="K3754" s="3">
        <v>0.6736433278007546</v>
      </c>
      <c r="L3754" t="s">
        <v>54</v>
      </c>
    </row>
    <row r="3755" spans="1:12" x14ac:dyDescent="0.25">
      <c r="A3755" t="s">
        <v>487</v>
      </c>
      <c r="B3755" t="s">
        <v>463</v>
      </c>
      <c r="C3755" t="s">
        <v>464</v>
      </c>
      <c r="D3755" t="s">
        <v>304</v>
      </c>
      <c r="E3755" t="s">
        <v>306</v>
      </c>
      <c r="F3755">
        <v>1</v>
      </c>
      <c r="G3755" t="s">
        <v>488</v>
      </c>
      <c r="H3755" s="4">
        <v>14972997</v>
      </c>
      <c r="I3755" s="4">
        <v>15759983.412652902</v>
      </c>
      <c r="J3755" s="3">
        <v>0.05256038003967424</v>
      </c>
      <c r="K3755" s="3">
        <v>-0.04993573863923424</v>
      </c>
      <c r="L3755" t="s">
        <v>54</v>
      </c>
    </row>
    <row r="3756" spans="1:12" x14ac:dyDescent="0.25">
      <c r="A3756" t="s">
        <v>487</v>
      </c>
      <c r="B3756" t="s">
        <v>463</v>
      </c>
      <c r="C3756" t="s">
        <v>464</v>
      </c>
      <c r="D3756" t="s">
        <v>304</v>
      </c>
      <c r="E3756" t="s">
        <v>306</v>
      </c>
      <c r="F3756">
        <v>1</v>
      </c>
      <c r="G3756" t="s">
        <v>498</v>
      </c>
      <c r="H3756" s="4">
        <v>14972997</v>
      </c>
      <c r="I3756" s="4">
        <v>19350796</v>
      </c>
      <c r="J3756" s="3">
        <v>0.29237960843777633</v>
      </c>
      <c r="K3756" s="3">
        <v>-0.22623353581940506</v>
      </c>
      <c r="L3756" t="s">
        <v>54</v>
      </c>
    </row>
    <row r="3757" spans="1:12" x14ac:dyDescent="0.25">
      <c r="A3757" t="s">
        <v>487</v>
      </c>
      <c r="B3757" t="s">
        <v>463</v>
      </c>
      <c r="C3757" t="s">
        <v>464</v>
      </c>
      <c r="D3757" t="s">
        <v>304</v>
      </c>
      <c r="E3757" t="s">
        <v>306</v>
      </c>
      <c r="F3757">
        <v>1</v>
      </c>
      <c r="G3757" t="s">
        <v>499</v>
      </c>
      <c r="H3757" s="4">
        <v>14972997</v>
      </c>
      <c r="I3757" s="4">
        <v>9983037</v>
      </c>
      <c r="J3757" s="3">
        <v>0.3332639417479346</v>
      </c>
      <c r="K3757" s="3">
        <v>0.49984388518243494</v>
      </c>
      <c r="L3757" t="s">
        <v>54</v>
      </c>
    </row>
    <row r="3758" spans="1:12" x14ac:dyDescent="0.25">
      <c r="A3758" t="s">
        <v>487</v>
      </c>
      <c r="B3758" t="s">
        <v>463</v>
      </c>
      <c r="C3758" t="s">
        <v>464</v>
      </c>
      <c r="D3758" t="s">
        <v>304</v>
      </c>
      <c r="E3758" t="s">
        <v>308</v>
      </c>
      <c r="F3758">
        <v>2</v>
      </c>
      <c r="G3758" t="s">
        <v>488</v>
      </c>
      <c r="H3758" s="4">
        <v>23619740</v>
      </c>
      <c r="I3758" s="4">
        <v>24496071.883379143</v>
      </c>
      <c r="J3758" s="3">
        <v>0.03710167357384724</v>
      </c>
      <c r="K3758" s="3">
        <v>-0.035774384054357046</v>
      </c>
      <c r="L3758" t="s">
        <v>54</v>
      </c>
    </row>
    <row r="3759" spans="1:12" x14ac:dyDescent="0.25">
      <c r="A3759" t="s">
        <v>487</v>
      </c>
      <c r="B3759" t="s">
        <v>463</v>
      </c>
      <c r="C3759" t="s">
        <v>464</v>
      </c>
      <c r="D3759" t="s">
        <v>304</v>
      </c>
      <c r="E3759" t="s">
        <v>308</v>
      </c>
      <c r="F3759">
        <v>2</v>
      </c>
      <c r="G3759" t="s">
        <v>498</v>
      </c>
      <c r="H3759" s="4">
        <v>23619740</v>
      </c>
      <c r="I3759" s="4">
        <v>30077347</v>
      </c>
      <c r="J3759" s="3">
        <v>0.2733987334322901</v>
      </c>
      <c r="K3759" s="3">
        <v>-0.2147000199186451</v>
      </c>
      <c r="L3759" t="s">
        <v>54</v>
      </c>
    </row>
    <row r="3760" spans="1:12" x14ac:dyDescent="0.25">
      <c r="A3760" t="s">
        <v>487</v>
      </c>
      <c r="B3760" t="s">
        <v>463</v>
      </c>
      <c r="C3760" t="s">
        <v>464</v>
      </c>
      <c r="D3760" t="s">
        <v>304</v>
      </c>
      <c r="E3760" t="s">
        <v>308</v>
      </c>
      <c r="F3760">
        <v>2</v>
      </c>
      <c r="G3760" t="s">
        <v>499</v>
      </c>
      <c r="H3760" s="4">
        <v>23619740</v>
      </c>
      <c r="I3760" s="4">
        <v>9983037</v>
      </c>
      <c r="J3760" s="3">
        <v>0.5773434847292984</v>
      </c>
      <c r="K3760" s="3">
        <v>1.3659874244681254</v>
      </c>
      <c r="L3760" t="s">
        <v>54</v>
      </c>
    </row>
    <row r="3761" spans="1:12" x14ac:dyDescent="0.25">
      <c r="A3761" t="s">
        <v>487</v>
      </c>
      <c r="B3761" t="s">
        <v>463</v>
      </c>
      <c r="C3761" t="s">
        <v>464</v>
      </c>
      <c r="D3761" t="s">
        <v>304</v>
      </c>
      <c r="E3761" t="s">
        <v>310</v>
      </c>
      <c r="F3761">
        <v>3</v>
      </c>
      <c r="G3761" t="s">
        <v>488</v>
      </c>
      <c r="H3761" s="4">
        <v>30554394</v>
      </c>
      <c r="I3761" s="4">
        <v>30008659.618113607</v>
      </c>
      <c r="J3761" s="3">
        <v>0.017861076933366533</v>
      </c>
      <c r="K3761" s="3">
        <v>0.01818589663221681</v>
      </c>
      <c r="L3761" t="s">
        <v>54</v>
      </c>
    </row>
    <row r="3762" spans="1:12" x14ac:dyDescent="0.25">
      <c r="A3762" t="s">
        <v>487</v>
      </c>
      <c r="B3762" t="s">
        <v>463</v>
      </c>
      <c r="C3762" t="s">
        <v>464</v>
      </c>
      <c r="D3762" t="s">
        <v>304</v>
      </c>
      <c r="E3762" t="s">
        <v>310</v>
      </c>
      <c r="F3762">
        <v>3</v>
      </c>
      <c r="G3762" t="s">
        <v>498</v>
      </c>
      <c r="H3762" s="4">
        <v>30554394</v>
      </c>
      <c r="I3762" s="4">
        <v>36845943</v>
      </c>
      <c r="J3762" s="3">
        <v>0.20591306769167145</v>
      </c>
      <c r="K3762" s="3">
        <v>-0.1707528288799665</v>
      </c>
      <c r="L3762" t="s">
        <v>54</v>
      </c>
    </row>
    <row r="3763" spans="1:12" x14ac:dyDescent="0.25">
      <c r="A3763" t="s">
        <v>487</v>
      </c>
      <c r="B3763" t="s">
        <v>463</v>
      </c>
      <c r="C3763" t="s">
        <v>464</v>
      </c>
      <c r="D3763" t="s">
        <v>304</v>
      </c>
      <c r="E3763" t="s">
        <v>310</v>
      </c>
      <c r="F3763">
        <v>3</v>
      </c>
      <c r="G3763" t="s">
        <v>499</v>
      </c>
      <c r="H3763" s="4">
        <v>30554394</v>
      </c>
      <c r="I3763" s="4">
        <v>9983037</v>
      </c>
      <c r="J3763" s="3">
        <v>0.6732700049622977</v>
      </c>
      <c r="K3763" s="3">
        <v>2.0606311486173996</v>
      </c>
      <c r="L3763" t="s">
        <v>54</v>
      </c>
    </row>
    <row r="3764" spans="1:12" x14ac:dyDescent="0.25">
      <c r="A3764" t="s">
        <v>487</v>
      </c>
      <c r="B3764" t="s">
        <v>463</v>
      </c>
      <c r="C3764" t="s">
        <v>464</v>
      </c>
      <c r="D3764" t="s">
        <v>306</v>
      </c>
      <c r="E3764" t="s">
        <v>308</v>
      </c>
      <c r="F3764">
        <v>1</v>
      </c>
      <c r="G3764" t="s">
        <v>488</v>
      </c>
      <c r="H3764" s="4">
        <v>23619740</v>
      </c>
      <c r="I3764" s="4">
        <v>24041998.299200274</v>
      </c>
      <c r="J3764" s="3">
        <v>0.01787734747293044</v>
      </c>
      <c r="K3764" s="3">
        <v>-0.017563361162633472</v>
      </c>
      <c r="L3764" t="s">
        <v>54</v>
      </c>
    </row>
    <row r="3765" spans="1:12" x14ac:dyDescent="0.25">
      <c r="A3765" t="s">
        <v>487</v>
      </c>
      <c r="B3765" t="s">
        <v>463</v>
      </c>
      <c r="C3765" t="s">
        <v>464</v>
      </c>
      <c r="D3765" t="s">
        <v>306</v>
      </c>
      <c r="E3765" t="s">
        <v>308</v>
      </c>
      <c r="F3765">
        <v>1</v>
      </c>
      <c r="G3765" t="s">
        <v>498</v>
      </c>
      <c r="H3765" s="4">
        <v>23619740</v>
      </c>
      <c r="I3765" s="4">
        <v>30077347</v>
      </c>
      <c r="J3765" s="3">
        <v>0.2733987334322901</v>
      </c>
      <c r="K3765" s="3">
        <v>-0.2147000199186451</v>
      </c>
      <c r="L3765" t="s">
        <v>54</v>
      </c>
    </row>
    <row r="3766" spans="1:12" x14ac:dyDescent="0.25">
      <c r="A3766" t="s">
        <v>487</v>
      </c>
      <c r="B3766" t="s">
        <v>463</v>
      </c>
      <c r="C3766" t="s">
        <v>464</v>
      </c>
      <c r="D3766" t="s">
        <v>306</v>
      </c>
      <c r="E3766" t="s">
        <v>308</v>
      </c>
      <c r="F3766">
        <v>1</v>
      </c>
      <c r="G3766" t="s">
        <v>499</v>
      </c>
      <c r="H3766" s="4">
        <v>23619740</v>
      </c>
      <c r="I3766" s="4">
        <v>14972997</v>
      </c>
      <c r="J3766" s="3">
        <v>0.36608121003872185</v>
      </c>
      <c r="K3766" s="3">
        <v>0.5774891292638341</v>
      </c>
      <c r="L3766" t="s">
        <v>54</v>
      </c>
    </row>
    <row r="3767" spans="1:12" x14ac:dyDescent="0.25">
      <c r="A3767" t="s">
        <v>487</v>
      </c>
      <c r="B3767" t="s">
        <v>463</v>
      </c>
      <c r="C3767" t="s">
        <v>464</v>
      </c>
      <c r="D3767" t="s">
        <v>306</v>
      </c>
      <c r="E3767" t="s">
        <v>310</v>
      </c>
      <c r="F3767">
        <v>2</v>
      </c>
      <c r="G3767" t="s">
        <v>488</v>
      </c>
      <c r="H3767" s="4">
        <v>30554394</v>
      </c>
      <c r="I3767" s="4">
        <v>29452401.468069315</v>
      </c>
      <c r="J3767" s="3">
        <v>0.03606658119060339</v>
      </c>
      <c r="K3767" s="3">
        <v>0.03741605020308463</v>
      </c>
      <c r="L3767" t="s">
        <v>54</v>
      </c>
    </row>
    <row r="3768" spans="1:12" x14ac:dyDescent="0.25">
      <c r="A3768" t="s">
        <v>487</v>
      </c>
      <c r="B3768" t="s">
        <v>463</v>
      </c>
      <c r="C3768" t="s">
        <v>464</v>
      </c>
      <c r="D3768" t="s">
        <v>306</v>
      </c>
      <c r="E3768" t="s">
        <v>310</v>
      </c>
      <c r="F3768">
        <v>2</v>
      </c>
      <c r="G3768" t="s">
        <v>498</v>
      </c>
      <c r="H3768" s="4">
        <v>30554394</v>
      </c>
      <c r="I3768" s="4">
        <v>36845943</v>
      </c>
      <c r="J3768" s="3">
        <v>0.20591306769167145</v>
      </c>
      <c r="K3768" s="3">
        <v>-0.1707528288799665</v>
      </c>
      <c r="L3768" t="s">
        <v>54</v>
      </c>
    </row>
    <row r="3769" spans="1:12" x14ac:dyDescent="0.25">
      <c r="A3769" t="s">
        <v>487</v>
      </c>
      <c r="B3769" t="s">
        <v>463</v>
      </c>
      <c r="C3769" t="s">
        <v>464</v>
      </c>
      <c r="D3769" t="s">
        <v>306</v>
      </c>
      <c r="E3769" t="s">
        <v>310</v>
      </c>
      <c r="F3769">
        <v>2</v>
      </c>
      <c r="G3769" t="s">
        <v>499</v>
      </c>
      <c r="H3769" s="4">
        <v>30554394</v>
      </c>
      <c r="I3769" s="4">
        <v>14972997</v>
      </c>
      <c r="J3769" s="3">
        <v>0.5099560148370149</v>
      </c>
      <c r="K3769" s="3">
        <v>1.0406331477926563</v>
      </c>
      <c r="L3769" t="s">
        <v>54</v>
      </c>
    </row>
    <row r="3770" spans="1:12" x14ac:dyDescent="0.25">
      <c r="A3770" t="s">
        <v>487</v>
      </c>
      <c r="B3770" t="s">
        <v>463</v>
      </c>
      <c r="C3770" t="s">
        <v>464</v>
      </c>
      <c r="D3770" t="s">
        <v>306</v>
      </c>
      <c r="E3770" t="s">
        <v>312</v>
      </c>
      <c r="F3770">
        <v>3</v>
      </c>
      <c r="G3770" t="s">
        <v>488</v>
      </c>
      <c r="H3770" s="4">
        <v>37813509</v>
      </c>
      <c r="I3770" s="4">
        <v>21244779.9994547</v>
      </c>
      <c r="J3770" s="3">
        <v>0.4381695705771527</v>
      </c>
      <c r="K3770" s="3">
        <v>0.7798964734382082</v>
      </c>
      <c r="L3770" t="s">
        <v>54</v>
      </c>
    </row>
    <row r="3771" spans="1:12" x14ac:dyDescent="0.25">
      <c r="A3771" t="s">
        <v>487</v>
      </c>
      <c r="B3771" t="s">
        <v>463</v>
      </c>
      <c r="C3771" t="s">
        <v>464</v>
      </c>
      <c r="D3771" t="s">
        <v>306</v>
      </c>
      <c r="E3771" t="s">
        <v>312</v>
      </c>
      <c r="F3771">
        <v>3</v>
      </c>
      <c r="G3771" t="s">
        <v>498</v>
      </c>
      <c r="H3771" s="4">
        <v>37813509</v>
      </c>
      <c r="I3771" s="4">
        <v>26577933</v>
      </c>
      <c r="J3771" s="3">
        <v>0.297131271260755</v>
      </c>
      <c r="K3771" s="3">
        <v>0.42274077521378356</v>
      </c>
      <c r="L3771" t="s">
        <v>54</v>
      </c>
    </row>
    <row r="3772" spans="1:12" x14ac:dyDescent="0.25">
      <c r="A3772" t="s">
        <v>487</v>
      </c>
      <c r="B3772" t="s">
        <v>463</v>
      </c>
      <c r="C3772" t="s">
        <v>464</v>
      </c>
      <c r="D3772" t="s">
        <v>306</v>
      </c>
      <c r="E3772" t="s">
        <v>312</v>
      </c>
      <c r="F3772">
        <v>3</v>
      </c>
      <c r="G3772" t="s">
        <v>499</v>
      </c>
      <c r="H3772" s="4">
        <v>37813509</v>
      </c>
      <c r="I3772" s="4">
        <v>14972997</v>
      </c>
      <c r="J3772" s="3">
        <v>0.6040304802180617</v>
      </c>
      <c r="K3772" s="3">
        <v>1.5254469095265297</v>
      </c>
      <c r="L3772" t="s">
        <v>54</v>
      </c>
    </row>
    <row r="3773" spans="1:12" x14ac:dyDescent="0.25">
      <c r="A3773" t="s">
        <v>487</v>
      </c>
      <c r="B3773" t="s">
        <v>463</v>
      </c>
      <c r="C3773" t="s">
        <v>464</v>
      </c>
      <c r="D3773" t="s">
        <v>308</v>
      </c>
      <c r="E3773" t="s">
        <v>310</v>
      </c>
      <c r="F3773">
        <v>1</v>
      </c>
      <c r="G3773" t="s">
        <v>488</v>
      </c>
      <c r="H3773" s="4">
        <v>30554394</v>
      </c>
      <c r="I3773" s="4">
        <v>29064893.289842516</v>
      </c>
      <c r="J3773" s="3">
        <v>0.04874914914553644</v>
      </c>
      <c r="K3773" s="3">
        <v>0.05124741712635252</v>
      </c>
      <c r="L3773" t="s">
        <v>54</v>
      </c>
    </row>
    <row r="3774" spans="1:12" x14ac:dyDescent="0.25">
      <c r="A3774" t="s">
        <v>487</v>
      </c>
      <c r="B3774" t="s">
        <v>463</v>
      </c>
      <c r="C3774" t="s">
        <v>464</v>
      </c>
      <c r="D3774" t="s">
        <v>308</v>
      </c>
      <c r="E3774" t="s">
        <v>310</v>
      </c>
      <c r="F3774">
        <v>1</v>
      </c>
      <c r="G3774" t="s">
        <v>498</v>
      </c>
      <c r="H3774" s="4">
        <v>30554394</v>
      </c>
      <c r="I3774" s="4">
        <v>36845943</v>
      </c>
      <c r="J3774" s="3">
        <v>0.20591306769167145</v>
      </c>
      <c r="K3774" s="3">
        <v>-0.1707528288799665</v>
      </c>
      <c r="L3774" t="s">
        <v>54</v>
      </c>
    </row>
    <row r="3775" spans="1:12" x14ac:dyDescent="0.25">
      <c r="A3775" t="s">
        <v>487</v>
      </c>
      <c r="B3775" t="s">
        <v>463</v>
      </c>
      <c r="C3775" t="s">
        <v>464</v>
      </c>
      <c r="D3775" t="s">
        <v>308</v>
      </c>
      <c r="E3775" t="s">
        <v>310</v>
      </c>
      <c r="F3775">
        <v>1</v>
      </c>
      <c r="G3775" t="s">
        <v>499</v>
      </c>
      <c r="H3775" s="4">
        <v>30554394</v>
      </c>
      <c r="I3775" s="4">
        <v>23619740</v>
      </c>
      <c r="J3775" s="3">
        <v>0.22696094054426344</v>
      </c>
      <c r="K3775" s="3">
        <v>0.2935956958035948</v>
      </c>
      <c r="L3775" t="s">
        <v>54</v>
      </c>
    </row>
    <row r="3776" spans="1:12" x14ac:dyDescent="0.25">
      <c r="A3776" t="s">
        <v>487</v>
      </c>
      <c r="B3776" t="s">
        <v>463</v>
      </c>
      <c r="C3776" t="s">
        <v>464</v>
      </c>
      <c r="D3776" t="s">
        <v>308</v>
      </c>
      <c r="E3776" t="s">
        <v>312</v>
      </c>
      <c r="F3776">
        <v>2</v>
      </c>
      <c r="G3776" t="s">
        <v>488</v>
      </c>
      <c r="H3776" s="4">
        <v>37813509</v>
      </c>
      <c r="I3776" s="4">
        <v>20965260.31399397</v>
      </c>
      <c r="J3776" s="3">
        <v>0.44556162946966993</v>
      </c>
      <c r="K3776" s="3">
        <v>0.8036269730817553</v>
      </c>
      <c r="L3776" t="s">
        <v>54</v>
      </c>
    </row>
    <row r="3777" spans="1:12" x14ac:dyDescent="0.25">
      <c r="A3777" t="s">
        <v>487</v>
      </c>
      <c r="B3777" t="s">
        <v>463</v>
      </c>
      <c r="C3777" t="s">
        <v>464</v>
      </c>
      <c r="D3777" t="s">
        <v>308</v>
      </c>
      <c r="E3777" t="s">
        <v>312</v>
      </c>
      <c r="F3777">
        <v>2</v>
      </c>
      <c r="G3777" t="s">
        <v>498</v>
      </c>
      <c r="H3777" s="4">
        <v>37813509</v>
      </c>
      <c r="I3777" s="4">
        <v>26577933</v>
      </c>
      <c r="J3777" s="3">
        <v>0.297131271260755</v>
      </c>
      <c r="K3777" s="3">
        <v>0.42274077521378356</v>
      </c>
      <c r="L3777" t="s">
        <v>54</v>
      </c>
    </row>
    <row r="3778" spans="1:12" x14ac:dyDescent="0.25">
      <c r="A3778" t="s">
        <v>487</v>
      </c>
      <c r="B3778" t="s">
        <v>463</v>
      </c>
      <c r="C3778" t="s">
        <v>464</v>
      </c>
      <c r="D3778" t="s">
        <v>308</v>
      </c>
      <c r="E3778" t="s">
        <v>312</v>
      </c>
      <c r="F3778">
        <v>2</v>
      </c>
      <c r="G3778" t="s">
        <v>499</v>
      </c>
      <c r="H3778" s="4">
        <v>37813509</v>
      </c>
      <c r="I3778" s="4">
        <v>23619740</v>
      </c>
      <c r="J3778" s="3">
        <v>0.3753623870241717</v>
      </c>
      <c r="K3778" s="3">
        <v>0.6009282489985072</v>
      </c>
      <c r="L3778" t="s">
        <v>54</v>
      </c>
    </row>
    <row r="3779" spans="1:12" x14ac:dyDescent="0.25">
      <c r="A3779" t="s">
        <v>487</v>
      </c>
      <c r="B3779" t="s">
        <v>463</v>
      </c>
      <c r="C3779" t="s">
        <v>464</v>
      </c>
      <c r="D3779" t="s">
        <v>308</v>
      </c>
      <c r="E3779" t="s">
        <v>314</v>
      </c>
      <c r="F3779">
        <v>3</v>
      </c>
      <c r="G3779" t="s">
        <v>488</v>
      </c>
      <c r="H3779" s="4">
        <v>26215502</v>
      </c>
      <c r="I3779" s="4">
        <v>12835563.751143122</v>
      </c>
      <c r="J3779" s="3">
        <v>0.5103826830726674</v>
      </c>
      <c r="K3779" s="3">
        <v>1.0424114209759796</v>
      </c>
      <c r="L3779" t="s">
        <v>54</v>
      </c>
    </row>
    <row r="3780" spans="1:12" x14ac:dyDescent="0.25">
      <c r="A3780" t="s">
        <v>487</v>
      </c>
      <c r="B3780" t="s">
        <v>463</v>
      </c>
      <c r="C3780" t="s">
        <v>464</v>
      </c>
      <c r="D3780" t="s">
        <v>308</v>
      </c>
      <c r="E3780" t="s">
        <v>314</v>
      </c>
      <c r="F3780">
        <v>3</v>
      </c>
      <c r="G3780" t="s">
        <v>498</v>
      </c>
      <c r="H3780" s="4">
        <v>26215502</v>
      </c>
      <c r="I3780" s="4">
        <v>16271811</v>
      </c>
      <c r="J3780" s="3">
        <v>0.3793057634372212</v>
      </c>
      <c r="K3780" s="3">
        <v>0.6110992193800677</v>
      </c>
      <c r="L3780" t="s">
        <v>54</v>
      </c>
    </row>
    <row r="3781" spans="1:12" x14ac:dyDescent="0.25">
      <c r="A3781" t="s">
        <v>487</v>
      </c>
      <c r="B3781" t="s">
        <v>463</v>
      </c>
      <c r="C3781" t="s">
        <v>464</v>
      </c>
      <c r="D3781" t="s">
        <v>308</v>
      </c>
      <c r="E3781" t="s">
        <v>314</v>
      </c>
      <c r="F3781">
        <v>3</v>
      </c>
      <c r="G3781" t="s">
        <v>499</v>
      </c>
      <c r="H3781" s="4">
        <v>26215502</v>
      </c>
      <c r="I3781" s="4">
        <v>23619740</v>
      </c>
      <c r="J3781" s="3">
        <v>0.09901629959250828</v>
      </c>
      <c r="K3781" s="3">
        <v>0.10989799210321537</v>
      </c>
      <c r="L3781" t="s">
        <v>54</v>
      </c>
    </row>
    <row r="3782" spans="1:12" x14ac:dyDescent="0.25">
      <c r="A3782" t="s">
        <v>487</v>
      </c>
      <c r="B3782" t="s">
        <v>463</v>
      </c>
      <c r="C3782" t="s">
        <v>464</v>
      </c>
      <c r="D3782" t="s">
        <v>310</v>
      </c>
      <c r="E3782" t="s">
        <v>312</v>
      </c>
      <c r="F3782">
        <v>1</v>
      </c>
      <c r="G3782" t="s">
        <v>488</v>
      </c>
      <c r="H3782" s="4">
        <v>37813509</v>
      </c>
      <c r="I3782" s="4">
        <v>20688261.20176048</v>
      </c>
      <c r="J3782" s="3">
        <v>0.45288703035308153</v>
      </c>
      <c r="K3782" s="3">
        <v>0.8277760818672494</v>
      </c>
      <c r="L3782" t="s">
        <v>54</v>
      </c>
    </row>
    <row r="3783" spans="1:12" x14ac:dyDescent="0.25">
      <c r="A3783" t="s">
        <v>487</v>
      </c>
      <c r="B3783" t="s">
        <v>463</v>
      </c>
      <c r="C3783" t="s">
        <v>464</v>
      </c>
      <c r="D3783" t="s">
        <v>310</v>
      </c>
      <c r="E3783" t="s">
        <v>312</v>
      </c>
      <c r="F3783">
        <v>1</v>
      </c>
      <c r="G3783" t="s">
        <v>498</v>
      </c>
      <c r="H3783" s="4">
        <v>37813509</v>
      </c>
      <c r="I3783" s="4">
        <v>26577933</v>
      </c>
      <c r="J3783" s="3">
        <v>0.297131271260755</v>
      </c>
      <c r="K3783" s="3">
        <v>0.42274077521378356</v>
      </c>
      <c r="L3783" t="s">
        <v>54</v>
      </c>
    </row>
    <row r="3784" spans="1:12" x14ac:dyDescent="0.25">
      <c r="A3784" t="s">
        <v>487</v>
      </c>
      <c r="B3784" t="s">
        <v>463</v>
      </c>
      <c r="C3784" t="s">
        <v>464</v>
      </c>
      <c r="D3784" t="s">
        <v>310</v>
      </c>
      <c r="E3784" t="s">
        <v>312</v>
      </c>
      <c r="F3784">
        <v>1</v>
      </c>
      <c r="G3784" t="s">
        <v>499</v>
      </c>
      <c r="H3784" s="4">
        <v>37813509</v>
      </c>
      <c r="I3784" s="4">
        <v>30554394</v>
      </c>
      <c r="J3784" s="3">
        <v>0.19197147241743684</v>
      </c>
      <c r="K3784" s="3">
        <v>0.2375800678619252</v>
      </c>
      <c r="L3784" t="s">
        <v>54</v>
      </c>
    </row>
    <row r="3785" spans="1:12" x14ac:dyDescent="0.25">
      <c r="A3785" t="s">
        <v>487</v>
      </c>
      <c r="B3785" t="s">
        <v>463</v>
      </c>
      <c r="C3785" t="s">
        <v>464</v>
      </c>
      <c r="D3785" t="s">
        <v>310</v>
      </c>
      <c r="E3785" t="s">
        <v>314</v>
      </c>
      <c r="F3785">
        <v>2</v>
      </c>
      <c r="G3785" t="s">
        <v>488</v>
      </c>
      <c r="H3785" s="4">
        <v>26215502</v>
      </c>
      <c r="I3785" s="4">
        <v>12665976.552566348</v>
      </c>
      <c r="J3785" s="3">
        <v>0.5168516493574546</v>
      </c>
      <c r="K3785" s="3">
        <v>1.069757660706255</v>
      </c>
      <c r="L3785" t="s">
        <v>54</v>
      </c>
    </row>
    <row r="3786" spans="1:12" x14ac:dyDescent="0.25">
      <c r="A3786" t="s">
        <v>487</v>
      </c>
      <c r="B3786" t="s">
        <v>463</v>
      </c>
      <c r="C3786" t="s">
        <v>464</v>
      </c>
      <c r="D3786" t="s">
        <v>310</v>
      </c>
      <c r="E3786" t="s">
        <v>314</v>
      </c>
      <c r="F3786">
        <v>2</v>
      </c>
      <c r="G3786" t="s">
        <v>498</v>
      </c>
      <c r="H3786" s="4">
        <v>26215502</v>
      </c>
      <c r="I3786" s="4">
        <v>16271811</v>
      </c>
      <c r="J3786" s="3">
        <v>0.3793057634372212</v>
      </c>
      <c r="K3786" s="3">
        <v>0.6110992193800677</v>
      </c>
      <c r="L3786" t="s">
        <v>54</v>
      </c>
    </row>
    <row r="3787" spans="1:12" x14ac:dyDescent="0.25">
      <c r="A3787" t="s">
        <v>487</v>
      </c>
      <c r="B3787" t="s">
        <v>463</v>
      </c>
      <c r="C3787" t="s">
        <v>464</v>
      </c>
      <c r="D3787" t="s">
        <v>310</v>
      </c>
      <c r="E3787" t="s">
        <v>314</v>
      </c>
      <c r="F3787">
        <v>2</v>
      </c>
      <c r="G3787" t="s">
        <v>499</v>
      </c>
      <c r="H3787" s="4">
        <v>26215502</v>
      </c>
      <c r="I3787" s="4">
        <v>30554394</v>
      </c>
      <c r="J3787" s="3">
        <v>0.16550863683632686</v>
      </c>
      <c r="K3787" s="3">
        <v>-0.1420055000927199</v>
      </c>
      <c r="L3787" t="s">
        <v>54</v>
      </c>
    </row>
    <row r="3788" spans="1:12" x14ac:dyDescent="0.25">
      <c r="A3788" t="s">
        <v>487</v>
      </c>
      <c r="B3788" t="s">
        <v>463</v>
      </c>
      <c r="C3788" t="s">
        <v>464</v>
      </c>
      <c r="D3788" t="s">
        <v>310</v>
      </c>
      <c r="E3788" t="s">
        <v>316</v>
      </c>
      <c r="F3788">
        <v>3</v>
      </c>
      <c r="G3788" t="s">
        <v>488</v>
      </c>
      <c r="H3788" s="4">
        <v>23911853</v>
      </c>
      <c r="I3788" s="4">
        <v>10066690.573228516</v>
      </c>
      <c r="J3788" s="3">
        <v>0.5790083448058787</v>
      </c>
      <c r="K3788" s="3">
        <v>1.3753439947376036</v>
      </c>
      <c r="L3788" t="s">
        <v>54</v>
      </c>
    </row>
    <row r="3789" spans="1:12" x14ac:dyDescent="0.25">
      <c r="A3789" t="s">
        <v>487</v>
      </c>
      <c r="B3789" t="s">
        <v>463</v>
      </c>
      <c r="C3789" t="s">
        <v>464</v>
      </c>
      <c r="D3789" t="s">
        <v>310</v>
      </c>
      <c r="E3789" t="s">
        <v>316</v>
      </c>
      <c r="F3789">
        <v>3</v>
      </c>
      <c r="G3789" t="s">
        <v>498</v>
      </c>
      <c r="H3789" s="4">
        <v>23911853</v>
      </c>
      <c r="I3789" s="4">
        <v>12932543</v>
      </c>
      <c r="J3789" s="3">
        <v>0.45915764035518286</v>
      </c>
      <c r="K3789" s="3">
        <v>0.8489676005716741</v>
      </c>
      <c r="L3789" t="s">
        <v>54</v>
      </c>
    </row>
    <row r="3790" spans="1:12" x14ac:dyDescent="0.25">
      <c r="A3790" t="s">
        <v>487</v>
      </c>
      <c r="B3790" t="s">
        <v>463</v>
      </c>
      <c r="C3790" t="s">
        <v>464</v>
      </c>
      <c r="D3790" t="s">
        <v>310</v>
      </c>
      <c r="E3790" t="s">
        <v>316</v>
      </c>
      <c r="F3790">
        <v>3</v>
      </c>
      <c r="G3790" t="s">
        <v>499</v>
      </c>
      <c r="H3790" s="4">
        <v>23911853</v>
      </c>
      <c r="I3790" s="4">
        <v>30554394</v>
      </c>
      <c r="J3790" s="3">
        <v>0.27779281680930373</v>
      </c>
      <c r="K3790" s="3">
        <v>-0.21740051529086127</v>
      </c>
      <c r="L3790" t="s">
        <v>54</v>
      </c>
    </row>
    <row r="3791" spans="1:12" x14ac:dyDescent="0.25">
      <c r="A3791" t="s">
        <v>487</v>
      </c>
      <c r="B3791" t="s">
        <v>463</v>
      </c>
      <c r="C3791" t="s">
        <v>464</v>
      </c>
      <c r="D3791" t="s">
        <v>312</v>
      </c>
      <c r="E3791" t="s">
        <v>314</v>
      </c>
      <c r="F3791">
        <v>1</v>
      </c>
      <c r="G3791" t="s">
        <v>488</v>
      </c>
      <c r="H3791" s="4">
        <v>26215502</v>
      </c>
      <c r="I3791" s="4">
        <v>13577286.435406333</v>
      </c>
      <c r="J3791" s="3">
        <v>0.4820893975096745</v>
      </c>
      <c r="K3791" s="3">
        <v>0.9308351580206932</v>
      </c>
      <c r="L3791" t="s">
        <v>54</v>
      </c>
    </row>
    <row r="3792" spans="1:12" x14ac:dyDescent="0.25">
      <c r="A3792" t="s">
        <v>487</v>
      </c>
      <c r="B3792" t="s">
        <v>463</v>
      </c>
      <c r="C3792" t="s">
        <v>464</v>
      </c>
      <c r="D3792" t="s">
        <v>312</v>
      </c>
      <c r="E3792" t="s">
        <v>314</v>
      </c>
      <c r="F3792">
        <v>1</v>
      </c>
      <c r="G3792" t="s">
        <v>498</v>
      </c>
      <c r="H3792" s="4">
        <v>26215502</v>
      </c>
      <c r="I3792" s="4">
        <v>16271811</v>
      </c>
      <c r="J3792" s="3">
        <v>0.3793057634372212</v>
      </c>
      <c r="K3792" s="3">
        <v>0.6110992193800677</v>
      </c>
      <c r="L3792" t="s">
        <v>54</v>
      </c>
    </row>
    <row r="3793" spans="1:12" x14ac:dyDescent="0.25">
      <c r="A3793" t="s">
        <v>487</v>
      </c>
      <c r="B3793" t="s">
        <v>463</v>
      </c>
      <c r="C3793" t="s">
        <v>464</v>
      </c>
      <c r="D3793" t="s">
        <v>312</v>
      </c>
      <c r="E3793" t="s">
        <v>314</v>
      </c>
      <c r="F3793">
        <v>1</v>
      </c>
      <c r="G3793" t="s">
        <v>499</v>
      </c>
      <c r="H3793" s="4">
        <v>26215502</v>
      </c>
      <c r="I3793" s="4">
        <v>37813509</v>
      </c>
      <c r="J3793" s="3">
        <v>0.4424102578695613</v>
      </c>
      <c r="K3793" s="3">
        <v>-0.30671596756598285</v>
      </c>
      <c r="L3793" t="s">
        <v>54</v>
      </c>
    </row>
    <row r="3794" spans="1:12" x14ac:dyDescent="0.25">
      <c r="A3794" t="s">
        <v>487</v>
      </c>
      <c r="B3794" t="s">
        <v>463</v>
      </c>
      <c r="C3794" t="s">
        <v>464</v>
      </c>
      <c r="D3794" t="s">
        <v>312</v>
      </c>
      <c r="E3794" t="s">
        <v>316</v>
      </c>
      <c r="F3794">
        <v>2</v>
      </c>
      <c r="G3794" t="s">
        <v>488</v>
      </c>
      <c r="H3794" s="4">
        <v>23911853</v>
      </c>
      <c r="I3794" s="4">
        <v>10790983.293083303</v>
      </c>
      <c r="J3794" s="3">
        <v>0.5487182322054547</v>
      </c>
      <c r="K3794" s="3">
        <v>1.21591048290537</v>
      </c>
      <c r="L3794" t="s">
        <v>54</v>
      </c>
    </row>
    <row r="3795" spans="1:12" x14ac:dyDescent="0.25">
      <c r="A3795" t="s">
        <v>487</v>
      </c>
      <c r="B3795" t="s">
        <v>463</v>
      </c>
      <c r="C3795" t="s">
        <v>464</v>
      </c>
      <c r="D3795" t="s">
        <v>312</v>
      </c>
      <c r="E3795" t="s">
        <v>316</v>
      </c>
      <c r="F3795">
        <v>2</v>
      </c>
      <c r="G3795" t="s">
        <v>498</v>
      </c>
      <c r="H3795" s="4">
        <v>23911853</v>
      </c>
      <c r="I3795" s="4">
        <v>12932543</v>
      </c>
      <c r="J3795" s="3">
        <v>0.45915764035518286</v>
      </c>
      <c r="K3795" s="3">
        <v>0.8489676005716741</v>
      </c>
      <c r="L3795" t="s">
        <v>54</v>
      </c>
    </row>
    <row r="3796" spans="1:12" x14ac:dyDescent="0.25">
      <c r="A3796" t="s">
        <v>487</v>
      </c>
      <c r="B3796" t="s">
        <v>463</v>
      </c>
      <c r="C3796" t="s">
        <v>464</v>
      </c>
      <c r="D3796" t="s">
        <v>312</v>
      </c>
      <c r="E3796" t="s">
        <v>316</v>
      </c>
      <c r="F3796">
        <v>2</v>
      </c>
      <c r="G3796" t="s">
        <v>499</v>
      </c>
      <c r="H3796" s="4">
        <v>23911853</v>
      </c>
      <c r="I3796" s="4">
        <v>37813509</v>
      </c>
      <c r="J3796" s="3">
        <v>0.5813709209403387</v>
      </c>
      <c r="K3796" s="3">
        <v>-0.367637290683602</v>
      </c>
      <c r="L3796" t="s">
        <v>54</v>
      </c>
    </row>
    <row r="3797" spans="1:12" x14ac:dyDescent="0.25">
      <c r="A3797" t="s">
        <v>487</v>
      </c>
      <c r="B3797" t="s">
        <v>463</v>
      </c>
      <c r="C3797" t="s">
        <v>464</v>
      </c>
      <c r="D3797" t="s">
        <v>312</v>
      </c>
      <c r="E3797" t="s">
        <v>318</v>
      </c>
      <c r="F3797">
        <v>3</v>
      </c>
      <c r="G3797" t="s">
        <v>488</v>
      </c>
      <c r="H3797" s="4">
        <v>25449811</v>
      </c>
      <c r="I3797" s="4">
        <v>14658795.945904782</v>
      </c>
      <c r="J3797" s="3">
        <v>0.42401159891109674</v>
      </c>
      <c r="K3797" s="3">
        <v>0.736146071881838</v>
      </c>
      <c r="L3797" t="s">
        <v>54</v>
      </c>
    </row>
    <row r="3798" spans="1:12" x14ac:dyDescent="0.25">
      <c r="A3798" t="s">
        <v>487</v>
      </c>
      <c r="B3798" t="s">
        <v>463</v>
      </c>
      <c r="C3798" t="s">
        <v>464</v>
      </c>
      <c r="D3798" t="s">
        <v>312</v>
      </c>
      <c r="E3798" t="s">
        <v>318</v>
      </c>
      <c r="F3798">
        <v>3</v>
      </c>
      <c r="G3798" t="s">
        <v>498</v>
      </c>
      <c r="H3798" s="4">
        <v>25449811</v>
      </c>
      <c r="I3798" s="4">
        <v>17567955</v>
      </c>
      <c r="J3798" s="3">
        <v>0.30970194631307874</v>
      </c>
      <c r="K3798" s="3">
        <v>0.4486496009353394</v>
      </c>
      <c r="L3798" t="s">
        <v>54</v>
      </c>
    </row>
    <row r="3799" spans="1:12" x14ac:dyDescent="0.25">
      <c r="A3799" t="s">
        <v>487</v>
      </c>
      <c r="B3799" t="s">
        <v>463</v>
      </c>
      <c r="C3799" t="s">
        <v>464</v>
      </c>
      <c r="D3799" t="s">
        <v>312</v>
      </c>
      <c r="E3799" t="s">
        <v>318</v>
      </c>
      <c r="F3799">
        <v>3</v>
      </c>
      <c r="G3799" t="s">
        <v>499</v>
      </c>
      <c r="H3799" s="4">
        <v>25449811</v>
      </c>
      <c r="I3799" s="4">
        <v>37813509</v>
      </c>
      <c r="J3799" s="3">
        <v>0.485807065522019</v>
      </c>
      <c r="K3799" s="3">
        <v>-0.32696510657077604</v>
      </c>
      <c r="L3799" t="s">
        <v>54</v>
      </c>
    </row>
    <row r="3800" spans="1:12" x14ac:dyDescent="0.25">
      <c r="A3800" t="s">
        <v>487</v>
      </c>
      <c r="B3800" t="s">
        <v>463</v>
      </c>
      <c r="C3800" t="s">
        <v>464</v>
      </c>
      <c r="D3800" t="s">
        <v>314</v>
      </c>
      <c r="E3800" t="s">
        <v>316</v>
      </c>
      <c r="F3800">
        <v>1</v>
      </c>
      <c r="G3800" t="s">
        <v>488</v>
      </c>
      <c r="H3800" s="4">
        <v>23911853</v>
      </c>
      <c r="I3800" s="4">
        <v>12061693.510086877</v>
      </c>
      <c r="J3800" s="3">
        <v>0.495576795738629</v>
      </c>
      <c r="K3800" s="3">
        <v>0.9824623283623602</v>
      </c>
      <c r="L3800" t="s">
        <v>54</v>
      </c>
    </row>
    <row r="3801" spans="1:12" x14ac:dyDescent="0.25">
      <c r="A3801" t="s">
        <v>487</v>
      </c>
      <c r="B3801" t="s">
        <v>463</v>
      </c>
      <c r="C3801" t="s">
        <v>464</v>
      </c>
      <c r="D3801" t="s">
        <v>314</v>
      </c>
      <c r="E3801" t="s">
        <v>316</v>
      </c>
      <c r="F3801">
        <v>1</v>
      </c>
      <c r="G3801" t="s">
        <v>498</v>
      </c>
      <c r="H3801" s="4">
        <v>23911853</v>
      </c>
      <c r="I3801" s="4">
        <v>12932543</v>
      </c>
      <c r="J3801" s="3">
        <v>0.45915764035518286</v>
      </c>
      <c r="K3801" s="3">
        <v>0.8489676005716741</v>
      </c>
      <c r="L3801" t="s">
        <v>54</v>
      </c>
    </row>
    <row r="3802" spans="1:12" x14ac:dyDescent="0.25">
      <c r="A3802" t="s">
        <v>487</v>
      </c>
      <c r="B3802" t="s">
        <v>463</v>
      </c>
      <c r="C3802" t="s">
        <v>464</v>
      </c>
      <c r="D3802" t="s">
        <v>314</v>
      </c>
      <c r="E3802" t="s">
        <v>316</v>
      </c>
      <c r="F3802">
        <v>1</v>
      </c>
      <c r="G3802" t="s">
        <v>499</v>
      </c>
      <c r="H3802" s="4">
        <v>23911853</v>
      </c>
      <c r="I3802" s="4">
        <v>26215502</v>
      </c>
      <c r="J3802" s="3">
        <v>0.09633920884341335</v>
      </c>
      <c r="K3802" s="3">
        <v>-0.08787354138783991</v>
      </c>
      <c r="L3802" t="s">
        <v>54</v>
      </c>
    </row>
    <row r="3803" spans="1:12" x14ac:dyDescent="0.25">
      <c r="A3803" t="s">
        <v>487</v>
      </c>
      <c r="B3803" t="s">
        <v>463</v>
      </c>
      <c r="C3803" t="s">
        <v>464</v>
      </c>
      <c r="D3803" t="s">
        <v>314</v>
      </c>
      <c r="E3803" t="s">
        <v>318</v>
      </c>
      <c r="F3803">
        <v>2</v>
      </c>
      <c r="G3803" t="s">
        <v>488</v>
      </c>
      <c r="H3803" s="4">
        <v>25449811</v>
      </c>
      <c r="I3803" s="4">
        <v>16384966.886172216</v>
      </c>
      <c r="J3803" s="3">
        <v>0.3561851250615489</v>
      </c>
      <c r="K3803" s="3">
        <v>0.5532415278469612</v>
      </c>
      <c r="L3803" t="s">
        <v>54</v>
      </c>
    </row>
    <row r="3804" spans="1:12" x14ac:dyDescent="0.25">
      <c r="A3804" t="s">
        <v>487</v>
      </c>
      <c r="B3804" t="s">
        <v>463</v>
      </c>
      <c r="C3804" t="s">
        <v>464</v>
      </c>
      <c r="D3804" t="s">
        <v>314</v>
      </c>
      <c r="E3804" t="s">
        <v>318</v>
      </c>
      <c r="F3804">
        <v>2</v>
      </c>
      <c r="G3804" t="s">
        <v>498</v>
      </c>
      <c r="H3804" s="4">
        <v>25449811</v>
      </c>
      <c r="I3804" s="4">
        <v>17567955</v>
      </c>
      <c r="J3804" s="3">
        <v>0.30970194631307874</v>
      </c>
      <c r="K3804" s="3">
        <v>0.4486496009353394</v>
      </c>
      <c r="L3804" t="s">
        <v>54</v>
      </c>
    </row>
    <row r="3805" spans="1:12" x14ac:dyDescent="0.25">
      <c r="A3805" t="s">
        <v>487</v>
      </c>
      <c r="B3805" t="s">
        <v>463</v>
      </c>
      <c r="C3805" t="s">
        <v>464</v>
      </c>
      <c r="D3805" t="s">
        <v>314</v>
      </c>
      <c r="E3805" t="s">
        <v>318</v>
      </c>
      <c r="F3805">
        <v>2</v>
      </c>
      <c r="G3805" t="s">
        <v>499</v>
      </c>
      <c r="H3805" s="4">
        <v>25449811</v>
      </c>
      <c r="I3805" s="4">
        <v>26215502</v>
      </c>
      <c r="J3805" s="3">
        <v>0.03008631380405929</v>
      </c>
      <c r="K3805" s="3">
        <v>-0.0292075658135404</v>
      </c>
      <c r="L3805" t="s">
        <v>54</v>
      </c>
    </row>
    <row r="3806" spans="1:12" x14ac:dyDescent="0.25">
      <c r="A3806" t="s">
        <v>487</v>
      </c>
      <c r="B3806" t="s">
        <v>463</v>
      </c>
      <c r="C3806" t="s">
        <v>464</v>
      </c>
      <c r="D3806" t="s">
        <v>314</v>
      </c>
      <c r="E3806" t="s">
        <v>320</v>
      </c>
      <c r="F3806">
        <v>3</v>
      </c>
      <c r="G3806" t="s">
        <v>488</v>
      </c>
      <c r="H3806" s="4">
        <v>24121095</v>
      </c>
      <c r="I3806" s="4">
        <v>21589986.531184264</v>
      </c>
      <c r="J3806" s="3">
        <v>0.1049333982895775</v>
      </c>
      <c r="K3806" s="3">
        <v>0.11723529633331824</v>
      </c>
      <c r="L3806" t="s">
        <v>54</v>
      </c>
    </row>
    <row r="3807" spans="1:12" x14ac:dyDescent="0.25">
      <c r="A3807" t="s">
        <v>487</v>
      </c>
      <c r="B3807" t="s">
        <v>463</v>
      </c>
      <c r="C3807" t="s">
        <v>464</v>
      </c>
      <c r="D3807" t="s">
        <v>314</v>
      </c>
      <c r="E3807" t="s">
        <v>320</v>
      </c>
      <c r="F3807">
        <v>3</v>
      </c>
      <c r="G3807" t="s">
        <v>498</v>
      </c>
      <c r="H3807" s="4">
        <v>24121095</v>
      </c>
      <c r="I3807" s="4">
        <v>23148775</v>
      </c>
      <c r="J3807" s="3">
        <v>0.04030994446976806</v>
      </c>
      <c r="K3807" s="3">
        <v>0.042003086556416054</v>
      </c>
      <c r="L3807" t="s">
        <v>54</v>
      </c>
    </row>
    <row r="3808" spans="1:12" x14ac:dyDescent="0.25">
      <c r="A3808" t="s">
        <v>487</v>
      </c>
      <c r="B3808" t="s">
        <v>463</v>
      </c>
      <c r="C3808" t="s">
        <v>464</v>
      </c>
      <c r="D3808" t="s">
        <v>314</v>
      </c>
      <c r="E3808" t="s">
        <v>320</v>
      </c>
      <c r="F3808">
        <v>3</v>
      </c>
      <c r="G3808" t="s">
        <v>499</v>
      </c>
      <c r="H3808" s="4">
        <v>24121095</v>
      </c>
      <c r="I3808" s="4">
        <v>26215502</v>
      </c>
      <c r="J3808" s="3">
        <v>0.08682885250441574</v>
      </c>
      <c r="K3808" s="3">
        <v>-0.07989192806607327</v>
      </c>
      <c r="L3808" t="s">
        <v>54</v>
      </c>
    </row>
    <row r="3809" spans="1:12" x14ac:dyDescent="0.25">
      <c r="A3809" t="s">
        <v>487</v>
      </c>
      <c r="B3809" t="s">
        <v>463</v>
      </c>
      <c r="C3809" t="s">
        <v>464</v>
      </c>
      <c r="D3809" t="s">
        <v>316</v>
      </c>
      <c r="E3809" t="s">
        <v>318</v>
      </c>
      <c r="F3809">
        <v>1</v>
      </c>
      <c r="G3809" t="s">
        <v>488</v>
      </c>
      <c r="H3809" s="4">
        <v>25449811</v>
      </c>
      <c r="I3809" s="4">
        <v>18429371.985356912</v>
      </c>
      <c r="J3809" s="3">
        <v>0.275854269198427</v>
      </c>
      <c r="K3809" s="3">
        <v>0.3809375067268266</v>
      </c>
      <c r="L3809" t="s">
        <v>54</v>
      </c>
    </row>
    <row r="3810" spans="1:12" x14ac:dyDescent="0.25">
      <c r="A3810" t="s">
        <v>487</v>
      </c>
      <c r="B3810" t="s">
        <v>463</v>
      </c>
      <c r="C3810" t="s">
        <v>464</v>
      </c>
      <c r="D3810" t="s">
        <v>316</v>
      </c>
      <c r="E3810" t="s">
        <v>318</v>
      </c>
      <c r="F3810">
        <v>1</v>
      </c>
      <c r="G3810" t="s">
        <v>498</v>
      </c>
      <c r="H3810" s="4">
        <v>25449811</v>
      </c>
      <c r="I3810" s="4">
        <v>17567955</v>
      </c>
      <c r="J3810" s="3">
        <v>0.30970194631307874</v>
      </c>
      <c r="K3810" s="3">
        <v>0.4486496009353394</v>
      </c>
      <c r="L3810" t="s">
        <v>54</v>
      </c>
    </row>
    <row r="3811" spans="1:12" x14ac:dyDescent="0.25">
      <c r="A3811" t="s">
        <v>487</v>
      </c>
      <c r="B3811" t="s">
        <v>463</v>
      </c>
      <c r="C3811" t="s">
        <v>464</v>
      </c>
      <c r="D3811" t="s">
        <v>316</v>
      </c>
      <c r="E3811" t="s">
        <v>318</v>
      </c>
      <c r="F3811">
        <v>1</v>
      </c>
      <c r="G3811" t="s">
        <v>499</v>
      </c>
      <c r="H3811" s="4">
        <v>25449811</v>
      </c>
      <c r="I3811" s="4">
        <v>23911853</v>
      </c>
      <c r="J3811" s="3">
        <v>0.06043101852504917</v>
      </c>
      <c r="K3811" s="3">
        <v>0.06431780924715454</v>
      </c>
      <c r="L3811" t="s">
        <v>54</v>
      </c>
    </row>
    <row r="3812" spans="1:12" x14ac:dyDescent="0.25">
      <c r="A3812" t="s">
        <v>487</v>
      </c>
      <c r="B3812" t="s">
        <v>463</v>
      </c>
      <c r="C3812" t="s">
        <v>464</v>
      </c>
      <c r="D3812" t="s">
        <v>316</v>
      </c>
      <c r="E3812" t="s">
        <v>320</v>
      </c>
      <c r="F3812">
        <v>2</v>
      </c>
      <c r="G3812" t="s">
        <v>488</v>
      </c>
      <c r="H3812" s="4">
        <v>24121095</v>
      </c>
      <c r="I3812" s="4">
        <v>24283838.698376134</v>
      </c>
      <c r="J3812" s="3">
        <v>0.006746944878585903</v>
      </c>
      <c r="K3812" s="3">
        <v>-0.00670172868455994</v>
      </c>
      <c r="L3812" t="s">
        <v>54</v>
      </c>
    </row>
    <row r="3813" spans="1:12" x14ac:dyDescent="0.25">
      <c r="A3813" t="s">
        <v>487</v>
      </c>
      <c r="B3813" t="s">
        <v>463</v>
      </c>
      <c r="C3813" t="s">
        <v>464</v>
      </c>
      <c r="D3813" t="s">
        <v>316</v>
      </c>
      <c r="E3813" t="s">
        <v>320</v>
      </c>
      <c r="F3813">
        <v>2</v>
      </c>
      <c r="G3813" t="s">
        <v>498</v>
      </c>
      <c r="H3813" s="4">
        <v>24121095</v>
      </c>
      <c r="I3813" s="4">
        <v>23148775</v>
      </c>
      <c r="J3813" s="3">
        <v>0.04030994446976806</v>
      </c>
      <c r="K3813" s="3">
        <v>0.042003086556416054</v>
      </c>
      <c r="L3813" t="s">
        <v>54</v>
      </c>
    </row>
    <row r="3814" spans="1:12" x14ac:dyDescent="0.25">
      <c r="A3814" t="s">
        <v>487</v>
      </c>
      <c r="B3814" t="s">
        <v>463</v>
      </c>
      <c r="C3814" t="s">
        <v>464</v>
      </c>
      <c r="D3814" t="s">
        <v>316</v>
      </c>
      <c r="E3814" t="s">
        <v>320</v>
      </c>
      <c r="F3814">
        <v>2</v>
      </c>
      <c r="G3814" t="s">
        <v>499</v>
      </c>
      <c r="H3814" s="4">
        <v>24121095</v>
      </c>
      <c r="I3814" s="4">
        <v>23911853</v>
      </c>
      <c r="J3814" s="3">
        <v>0.008674647647629596</v>
      </c>
      <c r="K3814" s="3">
        <v>0.008750555634479686</v>
      </c>
      <c r="L3814" t="s">
        <v>54</v>
      </c>
    </row>
    <row r="3815" spans="1:12" x14ac:dyDescent="0.25">
      <c r="A3815" t="s">
        <v>487</v>
      </c>
      <c r="B3815" t="s">
        <v>463</v>
      </c>
      <c r="C3815" t="s">
        <v>464</v>
      </c>
      <c r="D3815" t="s">
        <v>316</v>
      </c>
      <c r="E3815" t="s">
        <v>322</v>
      </c>
      <c r="F3815">
        <v>3</v>
      </c>
      <c r="G3815" t="s">
        <v>488</v>
      </c>
      <c r="H3815" s="4">
        <v>20913557</v>
      </c>
      <c r="I3815" s="4">
        <v>21656134.80637204</v>
      </c>
      <c r="J3815" s="3">
        <v>0.03550700659730141</v>
      </c>
      <c r="K3815" s="3">
        <v>-0.03428948946852441</v>
      </c>
      <c r="L3815" t="s">
        <v>54</v>
      </c>
    </row>
    <row r="3816" spans="1:12" x14ac:dyDescent="0.25">
      <c r="A3816" t="s">
        <v>487</v>
      </c>
      <c r="B3816" t="s">
        <v>463</v>
      </c>
      <c r="C3816" t="s">
        <v>464</v>
      </c>
      <c r="D3816" t="s">
        <v>316</v>
      </c>
      <c r="E3816" t="s">
        <v>322</v>
      </c>
      <c r="F3816">
        <v>3</v>
      </c>
      <c r="G3816" t="s">
        <v>498</v>
      </c>
      <c r="H3816" s="4">
        <v>20913557</v>
      </c>
      <c r="I3816" s="4">
        <v>20643894</v>
      </c>
      <c r="J3816" s="3">
        <v>0.01289417194789007</v>
      </c>
      <c r="K3816" s="3">
        <v>0.01306260340224572</v>
      </c>
      <c r="L3816" t="s">
        <v>54</v>
      </c>
    </row>
    <row r="3817" spans="1:12" x14ac:dyDescent="0.25">
      <c r="A3817" t="s">
        <v>487</v>
      </c>
      <c r="B3817" t="s">
        <v>463</v>
      </c>
      <c r="C3817" t="s">
        <v>464</v>
      </c>
      <c r="D3817" t="s">
        <v>316</v>
      </c>
      <c r="E3817" t="s">
        <v>322</v>
      </c>
      <c r="F3817">
        <v>3</v>
      </c>
      <c r="G3817" t="s">
        <v>499</v>
      </c>
      <c r="H3817" s="4">
        <v>20913557</v>
      </c>
      <c r="I3817" s="4">
        <v>23911853</v>
      </c>
      <c r="J3817" s="3">
        <v>0.1433661428326133</v>
      </c>
      <c r="K3817" s="3">
        <v>-0.12538952961947367</v>
      </c>
      <c r="L3817" t="s">
        <v>54</v>
      </c>
    </row>
    <row r="3818" spans="1:12" x14ac:dyDescent="0.25">
      <c r="A3818" t="s">
        <v>487</v>
      </c>
      <c r="B3818" t="s">
        <v>463</v>
      </c>
      <c r="C3818" t="s">
        <v>464</v>
      </c>
      <c r="D3818" t="s">
        <v>318</v>
      </c>
      <c r="E3818" t="s">
        <v>320</v>
      </c>
      <c r="F3818">
        <v>1</v>
      </c>
      <c r="G3818" t="s">
        <v>488</v>
      </c>
      <c r="H3818" s="4">
        <v>24121095</v>
      </c>
      <c r="I3818" s="4">
        <v>25979374.069346286</v>
      </c>
      <c r="J3818" s="3">
        <v>0.07703958171659646</v>
      </c>
      <c r="K3818" s="3">
        <v>-0.07152901622594966</v>
      </c>
      <c r="L3818" t="s">
        <v>54</v>
      </c>
    </row>
    <row r="3819" spans="1:12" x14ac:dyDescent="0.25">
      <c r="A3819" t="s">
        <v>487</v>
      </c>
      <c r="B3819" t="s">
        <v>463</v>
      </c>
      <c r="C3819" t="s">
        <v>464</v>
      </c>
      <c r="D3819" t="s">
        <v>318</v>
      </c>
      <c r="E3819" t="s">
        <v>320</v>
      </c>
      <c r="F3819">
        <v>1</v>
      </c>
      <c r="G3819" t="s">
        <v>498</v>
      </c>
      <c r="H3819" s="4">
        <v>24121095</v>
      </c>
      <c r="I3819" s="4">
        <v>23148775</v>
      </c>
      <c r="J3819" s="3">
        <v>0.04030994446976806</v>
      </c>
      <c r="K3819" s="3">
        <v>0.042003086556416054</v>
      </c>
      <c r="L3819" t="s">
        <v>54</v>
      </c>
    </row>
    <row r="3820" spans="1:12" x14ac:dyDescent="0.25">
      <c r="A3820" t="s">
        <v>487</v>
      </c>
      <c r="B3820" t="s">
        <v>463</v>
      </c>
      <c r="C3820" t="s">
        <v>464</v>
      </c>
      <c r="D3820" t="s">
        <v>318</v>
      </c>
      <c r="E3820" t="s">
        <v>320</v>
      </c>
      <c r="F3820">
        <v>1</v>
      </c>
      <c r="G3820" t="s">
        <v>499</v>
      </c>
      <c r="H3820" s="4">
        <v>24121095</v>
      </c>
      <c r="I3820" s="4">
        <v>25449811</v>
      </c>
      <c r="J3820" s="3">
        <v>0.05508522726683843</v>
      </c>
      <c r="K3820" s="3">
        <v>-0.05220926788022119</v>
      </c>
      <c r="L3820" t="s">
        <v>54</v>
      </c>
    </row>
    <row r="3821" spans="1:12" x14ac:dyDescent="0.25">
      <c r="A3821" t="s">
        <v>487</v>
      </c>
      <c r="B3821" t="s">
        <v>463</v>
      </c>
      <c r="C3821" t="s">
        <v>464</v>
      </c>
      <c r="D3821" t="s">
        <v>318</v>
      </c>
      <c r="E3821" t="s">
        <v>322</v>
      </c>
      <c r="F3821">
        <v>2</v>
      </c>
      <c r="G3821" t="s">
        <v>488</v>
      </c>
      <c r="H3821" s="4">
        <v>20913557</v>
      </c>
      <c r="I3821" s="4">
        <v>23168199.806423165</v>
      </c>
      <c r="J3821" s="3">
        <v>0.10780771565655545</v>
      </c>
      <c r="K3821" s="3">
        <v>-0.0973162708048679</v>
      </c>
      <c r="L3821" t="s">
        <v>54</v>
      </c>
    </row>
    <row r="3822" spans="1:12" x14ac:dyDescent="0.25">
      <c r="A3822" t="s">
        <v>487</v>
      </c>
      <c r="B3822" t="s">
        <v>463</v>
      </c>
      <c r="C3822" t="s">
        <v>464</v>
      </c>
      <c r="D3822" t="s">
        <v>318</v>
      </c>
      <c r="E3822" t="s">
        <v>322</v>
      </c>
      <c r="F3822">
        <v>2</v>
      </c>
      <c r="G3822" t="s">
        <v>498</v>
      </c>
      <c r="H3822" s="4">
        <v>20913557</v>
      </c>
      <c r="I3822" s="4">
        <v>20643894</v>
      </c>
      <c r="J3822" s="3">
        <v>0.01289417194789007</v>
      </c>
      <c r="K3822" s="3">
        <v>0.01306260340224572</v>
      </c>
      <c r="L3822" t="s">
        <v>54</v>
      </c>
    </row>
    <row r="3823" spans="1:12" x14ac:dyDescent="0.25">
      <c r="A3823" t="s">
        <v>487</v>
      </c>
      <c r="B3823" t="s">
        <v>463</v>
      </c>
      <c r="C3823" t="s">
        <v>464</v>
      </c>
      <c r="D3823" t="s">
        <v>318</v>
      </c>
      <c r="E3823" t="s">
        <v>322</v>
      </c>
      <c r="F3823">
        <v>2</v>
      </c>
      <c r="G3823" t="s">
        <v>499</v>
      </c>
      <c r="H3823" s="4">
        <v>20913557</v>
      </c>
      <c r="I3823" s="4">
        <v>25449811</v>
      </c>
      <c r="J3823" s="3">
        <v>0.21690494830697618</v>
      </c>
      <c r="K3823" s="3">
        <v>-0.17824313115724122</v>
      </c>
      <c r="L3823" t="s">
        <v>54</v>
      </c>
    </row>
    <row r="3824" spans="1:12" x14ac:dyDescent="0.25">
      <c r="A3824" t="s">
        <v>487</v>
      </c>
      <c r="B3824" t="s">
        <v>463</v>
      </c>
      <c r="C3824" t="s">
        <v>464</v>
      </c>
      <c r="D3824" t="s">
        <v>318</v>
      </c>
      <c r="E3824" t="s">
        <v>324</v>
      </c>
      <c r="F3824">
        <v>3</v>
      </c>
      <c r="G3824" t="s">
        <v>488</v>
      </c>
      <c r="H3824" s="4">
        <v>16160673</v>
      </c>
      <c r="I3824" s="4">
        <v>22796214.963503607</v>
      </c>
      <c r="J3824" s="3">
        <v>0.41059812072823987</v>
      </c>
      <c r="K3824" s="3">
        <v>-0.2910808647017502</v>
      </c>
      <c r="L3824" t="s">
        <v>54</v>
      </c>
    </row>
    <row r="3825" spans="1:12" x14ac:dyDescent="0.25">
      <c r="A3825" t="s">
        <v>487</v>
      </c>
      <c r="B3825" t="s">
        <v>463</v>
      </c>
      <c r="C3825" t="s">
        <v>464</v>
      </c>
      <c r="D3825" t="s">
        <v>318</v>
      </c>
      <c r="E3825" t="s">
        <v>324</v>
      </c>
      <c r="F3825">
        <v>3</v>
      </c>
      <c r="G3825" t="s">
        <v>498</v>
      </c>
      <c r="H3825" s="4">
        <v>16160673</v>
      </c>
      <c r="I3825" s="4">
        <v>20312439</v>
      </c>
      <c r="J3825" s="3">
        <v>0.256905513774086</v>
      </c>
      <c r="K3825" s="3">
        <v>-0.20439524766080527</v>
      </c>
      <c r="L3825" t="s">
        <v>54</v>
      </c>
    </row>
    <row r="3826" spans="1:12" x14ac:dyDescent="0.25">
      <c r="A3826" t="s">
        <v>487</v>
      </c>
      <c r="B3826" t="s">
        <v>463</v>
      </c>
      <c r="C3826" t="s">
        <v>464</v>
      </c>
      <c r="D3826" t="s">
        <v>318</v>
      </c>
      <c r="E3826" t="s">
        <v>324</v>
      </c>
      <c r="F3826">
        <v>3</v>
      </c>
      <c r="G3826" t="s">
        <v>499</v>
      </c>
      <c r="H3826" s="4">
        <v>16160673</v>
      </c>
      <c r="I3826" s="4">
        <v>25449811</v>
      </c>
      <c r="J3826" s="3">
        <v>0.5747989579394372</v>
      </c>
      <c r="K3826" s="3">
        <v>-0.3649983098106308</v>
      </c>
      <c r="L3826" t="s">
        <v>54</v>
      </c>
    </row>
    <row r="3827" spans="1:12" x14ac:dyDescent="0.25">
      <c r="A3827" t="s">
        <v>487</v>
      </c>
      <c r="B3827" t="s">
        <v>463</v>
      </c>
      <c r="C3827" t="s">
        <v>464</v>
      </c>
      <c r="D3827" t="s">
        <v>320</v>
      </c>
      <c r="E3827" t="s">
        <v>322</v>
      </c>
      <c r="F3827">
        <v>1</v>
      </c>
      <c r="G3827" t="s">
        <v>488</v>
      </c>
      <c r="H3827" s="4">
        <v>20913557</v>
      </c>
      <c r="I3827" s="4">
        <v>23773913.716874372</v>
      </c>
      <c r="J3827" s="3">
        <v>0.13677045549326555</v>
      </c>
      <c r="K3827" s="3">
        <v>-0.12031492798950193</v>
      </c>
      <c r="L3827" t="s">
        <v>54</v>
      </c>
    </row>
    <row r="3828" spans="1:12" x14ac:dyDescent="0.25">
      <c r="A3828" t="s">
        <v>487</v>
      </c>
      <c r="B3828" t="s">
        <v>463</v>
      </c>
      <c r="C3828" t="s">
        <v>464</v>
      </c>
      <c r="D3828" t="s">
        <v>320</v>
      </c>
      <c r="E3828" t="s">
        <v>322</v>
      </c>
      <c r="F3828">
        <v>1</v>
      </c>
      <c r="G3828" t="s">
        <v>498</v>
      </c>
      <c r="H3828" s="4">
        <v>20913557</v>
      </c>
      <c r="I3828" s="4">
        <v>20643894</v>
      </c>
      <c r="J3828" s="3">
        <v>0.01289417194789007</v>
      </c>
      <c r="K3828" s="3">
        <v>0.01306260340224572</v>
      </c>
      <c r="L3828" t="s">
        <v>54</v>
      </c>
    </row>
    <row r="3829" spans="1:12" x14ac:dyDescent="0.25">
      <c r="A3829" t="s">
        <v>487</v>
      </c>
      <c r="B3829" t="s">
        <v>463</v>
      </c>
      <c r="C3829" t="s">
        <v>464</v>
      </c>
      <c r="D3829" t="s">
        <v>320</v>
      </c>
      <c r="E3829" t="s">
        <v>322</v>
      </c>
      <c r="F3829">
        <v>1</v>
      </c>
      <c r="G3829" t="s">
        <v>499</v>
      </c>
      <c r="H3829" s="4">
        <v>20913557</v>
      </c>
      <c r="I3829" s="4">
        <v>24121095</v>
      </c>
      <c r="J3829" s="3">
        <v>0.15337123187605053</v>
      </c>
      <c r="K3829" s="3">
        <v>-0.1329764672789523</v>
      </c>
      <c r="L3829" t="s">
        <v>54</v>
      </c>
    </row>
    <row r="3830" spans="1:12" x14ac:dyDescent="0.25">
      <c r="A3830" t="s">
        <v>487</v>
      </c>
      <c r="B3830" t="s">
        <v>463</v>
      </c>
      <c r="C3830" t="s">
        <v>464</v>
      </c>
      <c r="D3830" t="s">
        <v>320</v>
      </c>
      <c r="E3830" t="s">
        <v>324</v>
      </c>
      <c r="F3830">
        <v>2</v>
      </c>
      <c r="G3830" t="s">
        <v>488</v>
      </c>
      <c r="H3830" s="4">
        <v>16160673</v>
      </c>
      <c r="I3830" s="4">
        <v>23392203.63005516</v>
      </c>
      <c r="J3830" s="3">
        <v>0.4474770716575454</v>
      </c>
      <c r="K3830" s="3">
        <v>-0.3091427701477352</v>
      </c>
      <c r="L3830" t="s">
        <v>54</v>
      </c>
    </row>
    <row r="3831" spans="1:12" x14ac:dyDescent="0.25">
      <c r="A3831" t="s">
        <v>487</v>
      </c>
      <c r="B3831" t="s">
        <v>463</v>
      </c>
      <c r="C3831" t="s">
        <v>464</v>
      </c>
      <c r="D3831" t="s">
        <v>320</v>
      </c>
      <c r="E3831" t="s">
        <v>324</v>
      </c>
      <c r="F3831">
        <v>2</v>
      </c>
      <c r="G3831" t="s">
        <v>498</v>
      </c>
      <c r="H3831" s="4">
        <v>16160673</v>
      </c>
      <c r="I3831" s="4">
        <v>20312439</v>
      </c>
      <c r="J3831" s="3">
        <v>0.256905513774086</v>
      </c>
      <c r="K3831" s="3">
        <v>-0.20439524766080527</v>
      </c>
      <c r="L3831" t="s">
        <v>54</v>
      </c>
    </row>
    <row r="3832" spans="1:12" x14ac:dyDescent="0.25">
      <c r="A3832" t="s">
        <v>487</v>
      </c>
      <c r="B3832" t="s">
        <v>463</v>
      </c>
      <c r="C3832" t="s">
        <v>464</v>
      </c>
      <c r="D3832" t="s">
        <v>320</v>
      </c>
      <c r="E3832" t="s">
        <v>324</v>
      </c>
      <c r="F3832">
        <v>2</v>
      </c>
      <c r="G3832" t="s">
        <v>499</v>
      </c>
      <c r="H3832" s="4">
        <v>16160673</v>
      </c>
      <c r="I3832" s="4">
        <v>24121095</v>
      </c>
      <c r="J3832" s="3">
        <v>0.492579857286884</v>
      </c>
      <c r="K3832" s="3">
        <v>-0.3300190973917229</v>
      </c>
      <c r="L3832" t="s">
        <v>54</v>
      </c>
    </row>
    <row r="3833" spans="1:12" x14ac:dyDescent="0.25">
      <c r="A3833" t="s">
        <v>487</v>
      </c>
      <c r="B3833" t="s">
        <v>463</v>
      </c>
      <c r="C3833" t="s">
        <v>464</v>
      </c>
      <c r="D3833" t="s">
        <v>320</v>
      </c>
      <c r="E3833" t="s">
        <v>326</v>
      </c>
      <c r="F3833">
        <v>3</v>
      </c>
      <c r="G3833" t="s">
        <v>488</v>
      </c>
      <c r="H3833" s="4">
        <v>13606935</v>
      </c>
      <c r="I3833" s="4">
        <v>16252540.762816632</v>
      </c>
      <c r="J3833" s="3">
        <v>0.19443069014562295</v>
      </c>
      <c r="K3833" s="3">
        <v>-0.1627810569083069</v>
      </c>
      <c r="L3833" t="s">
        <v>54</v>
      </c>
    </row>
    <row r="3834" spans="1:12" x14ac:dyDescent="0.25">
      <c r="A3834" t="s">
        <v>487</v>
      </c>
      <c r="B3834" t="s">
        <v>463</v>
      </c>
      <c r="C3834" t="s">
        <v>464</v>
      </c>
      <c r="D3834" t="s">
        <v>320</v>
      </c>
      <c r="E3834" t="s">
        <v>326</v>
      </c>
      <c r="F3834">
        <v>3</v>
      </c>
      <c r="G3834" t="s">
        <v>498</v>
      </c>
      <c r="H3834" s="4">
        <v>13606935</v>
      </c>
      <c r="I3834" s="4">
        <v>14112768</v>
      </c>
      <c r="J3834" s="3">
        <v>0.0371746466048379</v>
      </c>
      <c r="K3834" s="3">
        <v>-0.035842224572812366</v>
      </c>
      <c r="L3834" t="s">
        <v>54</v>
      </c>
    </row>
    <row r="3835" spans="1:12" x14ac:dyDescent="0.25">
      <c r="A3835" t="s">
        <v>487</v>
      </c>
      <c r="B3835" t="s">
        <v>463</v>
      </c>
      <c r="C3835" t="s">
        <v>464</v>
      </c>
      <c r="D3835" t="s">
        <v>320</v>
      </c>
      <c r="E3835" t="s">
        <v>326</v>
      </c>
      <c r="F3835">
        <v>3</v>
      </c>
      <c r="G3835" t="s">
        <v>499</v>
      </c>
      <c r="H3835" s="4">
        <v>13606935</v>
      </c>
      <c r="I3835" s="4">
        <v>24121095</v>
      </c>
      <c r="J3835" s="3">
        <v>0.772705976768464</v>
      </c>
      <c r="K3835" s="3">
        <v>-0.4358906591927108</v>
      </c>
      <c r="L3835" t="s">
        <v>54</v>
      </c>
    </row>
    <row r="3836" spans="1:12" x14ac:dyDescent="0.25">
      <c r="A3836" t="s">
        <v>487</v>
      </c>
      <c r="B3836" t="s">
        <v>463</v>
      </c>
      <c r="C3836" t="s">
        <v>464</v>
      </c>
      <c r="D3836" t="s">
        <v>322</v>
      </c>
      <c r="E3836" t="s">
        <v>324</v>
      </c>
      <c r="F3836">
        <v>1</v>
      </c>
      <c r="G3836" t="s">
        <v>488</v>
      </c>
      <c r="H3836" s="4">
        <v>16160673</v>
      </c>
      <c r="I3836" s="4">
        <v>23553731.29036531</v>
      </c>
      <c r="J3836" s="3">
        <v>0.4574721789349558</v>
      </c>
      <c r="K3836" s="3">
        <v>-0.31388055672476195</v>
      </c>
      <c r="L3836" t="s">
        <v>54</v>
      </c>
    </row>
    <row r="3837" spans="1:12" x14ac:dyDescent="0.25">
      <c r="A3837" t="s">
        <v>487</v>
      </c>
      <c r="B3837" t="s">
        <v>463</v>
      </c>
      <c r="C3837" t="s">
        <v>464</v>
      </c>
      <c r="D3837" t="s">
        <v>322</v>
      </c>
      <c r="E3837" t="s">
        <v>324</v>
      </c>
      <c r="F3837">
        <v>1</v>
      </c>
      <c r="G3837" t="s">
        <v>498</v>
      </c>
      <c r="H3837" s="4">
        <v>16160673</v>
      </c>
      <c r="I3837" s="4">
        <v>20312439</v>
      </c>
      <c r="J3837" s="3">
        <v>0.256905513774086</v>
      </c>
      <c r="K3837" s="3">
        <v>-0.20439524766080527</v>
      </c>
      <c r="L3837" t="s">
        <v>54</v>
      </c>
    </row>
    <row r="3838" spans="1:12" x14ac:dyDescent="0.25">
      <c r="A3838" t="s">
        <v>487</v>
      </c>
      <c r="B3838" t="s">
        <v>463</v>
      </c>
      <c r="C3838" t="s">
        <v>464</v>
      </c>
      <c r="D3838" t="s">
        <v>322</v>
      </c>
      <c r="E3838" t="s">
        <v>324</v>
      </c>
      <c r="F3838">
        <v>1</v>
      </c>
      <c r="G3838" t="s">
        <v>499</v>
      </c>
      <c r="H3838" s="4">
        <v>16160673</v>
      </c>
      <c r="I3838" s="4">
        <v>20913557</v>
      </c>
      <c r="J3838" s="3">
        <v>0.2941018607331514</v>
      </c>
      <c r="K3838" s="3">
        <v>-0.22726330102526318</v>
      </c>
      <c r="L3838" t="s">
        <v>54</v>
      </c>
    </row>
    <row r="3839" spans="1:12" x14ac:dyDescent="0.25">
      <c r="A3839" t="s">
        <v>487</v>
      </c>
      <c r="B3839" t="s">
        <v>463</v>
      </c>
      <c r="C3839" t="s">
        <v>464</v>
      </c>
      <c r="D3839" t="s">
        <v>322</v>
      </c>
      <c r="E3839" t="s">
        <v>326</v>
      </c>
      <c r="F3839">
        <v>2</v>
      </c>
      <c r="G3839" t="s">
        <v>488</v>
      </c>
      <c r="H3839" s="4">
        <v>13606935</v>
      </c>
      <c r="I3839" s="4">
        <v>16364767.67931543</v>
      </c>
      <c r="J3839" s="3">
        <v>0.20267846354196806</v>
      </c>
      <c r="K3839" s="3">
        <v>-0.16852256832226503</v>
      </c>
      <c r="L3839" t="s">
        <v>54</v>
      </c>
    </row>
    <row r="3840" spans="1:12" x14ac:dyDescent="0.25">
      <c r="A3840" t="s">
        <v>487</v>
      </c>
      <c r="B3840" t="s">
        <v>463</v>
      </c>
      <c r="C3840" t="s">
        <v>464</v>
      </c>
      <c r="D3840" t="s">
        <v>322</v>
      </c>
      <c r="E3840" t="s">
        <v>326</v>
      </c>
      <c r="F3840">
        <v>2</v>
      </c>
      <c r="G3840" t="s">
        <v>498</v>
      </c>
      <c r="H3840" s="4">
        <v>13606935</v>
      </c>
      <c r="I3840" s="4">
        <v>14112768</v>
      </c>
      <c r="J3840" s="3">
        <v>0.0371746466048379</v>
      </c>
      <c r="K3840" s="3">
        <v>-0.035842224572812366</v>
      </c>
      <c r="L3840" t="s">
        <v>54</v>
      </c>
    </row>
    <row r="3841" spans="1:12" x14ac:dyDescent="0.25">
      <c r="A3841" t="s">
        <v>487</v>
      </c>
      <c r="B3841" t="s">
        <v>463</v>
      </c>
      <c r="C3841" t="s">
        <v>464</v>
      </c>
      <c r="D3841" t="s">
        <v>322</v>
      </c>
      <c r="E3841" t="s">
        <v>326</v>
      </c>
      <c r="F3841">
        <v>2</v>
      </c>
      <c r="G3841" t="s">
        <v>499</v>
      </c>
      <c r="H3841" s="4">
        <v>13606935</v>
      </c>
      <c r="I3841" s="4">
        <v>20913557</v>
      </c>
      <c r="J3841" s="3">
        <v>0.5369777984535092</v>
      </c>
      <c r="K3841" s="3">
        <v>-0.34937251468031</v>
      </c>
      <c r="L3841" t="s">
        <v>54</v>
      </c>
    </row>
    <row r="3842" spans="1:12" x14ac:dyDescent="0.25">
      <c r="A3842" t="s">
        <v>487</v>
      </c>
      <c r="B3842" t="s">
        <v>463</v>
      </c>
      <c r="C3842" t="s">
        <v>464</v>
      </c>
      <c r="D3842" t="s">
        <v>322</v>
      </c>
      <c r="E3842" t="s">
        <v>328</v>
      </c>
      <c r="F3842">
        <v>3</v>
      </c>
      <c r="G3842" t="s">
        <v>488</v>
      </c>
      <c r="H3842" s="4">
        <v>16552647</v>
      </c>
      <c r="I3842" s="4">
        <v>11576048.103321053</v>
      </c>
      <c r="J3842" s="3">
        <v>0.30065275340427106</v>
      </c>
      <c r="K3842" s="3">
        <v>0.42990482177170725</v>
      </c>
      <c r="L3842" t="s">
        <v>54</v>
      </c>
    </row>
    <row r="3843" spans="1:12" x14ac:dyDescent="0.25">
      <c r="A3843" t="s">
        <v>487</v>
      </c>
      <c r="B3843" t="s">
        <v>463</v>
      </c>
      <c r="C3843" t="s">
        <v>464</v>
      </c>
      <c r="D3843" t="s">
        <v>322</v>
      </c>
      <c r="E3843" t="s">
        <v>328</v>
      </c>
      <c r="F3843">
        <v>3</v>
      </c>
      <c r="G3843" t="s">
        <v>498</v>
      </c>
      <c r="H3843" s="4">
        <v>16552647</v>
      </c>
      <c r="I3843" s="4">
        <v>9983037</v>
      </c>
      <c r="J3843" s="3">
        <v>0.3968918083011134</v>
      </c>
      <c r="K3843" s="3">
        <v>0.6580772965180837</v>
      </c>
      <c r="L3843" t="s">
        <v>54</v>
      </c>
    </row>
    <row r="3844" spans="1:12" x14ac:dyDescent="0.25">
      <c r="A3844" t="s">
        <v>487</v>
      </c>
      <c r="B3844" t="s">
        <v>463</v>
      </c>
      <c r="C3844" t="s">
        <v>464</v>
      </c>
      <c r="D3844" t="s">
        <v>322</v>
      </c>
      <c r="E3844" t="s">
        <v>328</v>
      </c>
      <c r="F3844">
        <v>3</v>
      </c>
      <c r="G3844" t="s">
        <v>499</v>
      </c>
      <c r="H3844" s="4">
        <v>16552647</v>
      </c>
      <c r="I3844" s="4">
        <v>20913557</v>
      </c>
      <c r="J3844" s="3">
        <v>0.26345695646140466</v>
      </c>
      <c r="K3844" s="3">
        <v>-0.20852072175001124</v>
      </c>
      <c r="L3844" t="s">
        <v>54</v>
      </c>
    </row>
    <row r="3845" spans="1:12" x14ac:dyDescent="0.25">
      <c r="A3845" t="s">
        <v>487</v>
      </c>
      <c r="B3845" t="s">
        <v>463</v>
      </c>
      <c r="C3845" t="s">
        <v>464</v>
      </c>
      <c r="D3845" t="s">
        <v>324</v>
      </c>
      <c r="E3845" t="s">
        <v>326</v>
      </c>
      <c r="F3845">
        <v>1</v>
      </c>
      <c r="G3845" t="s">
        <v>488</v>
      </c>
      <c r="H3845" s="4">
        <v>13606935</v>
      </c>
      <c r="I3845" s="4">
        <v>15685507.410623947</v>
      </c>
      <c r="J3845" s="3">
        <v>0.15275831115706417</v>
      </c>
      <c r="K3845" s="3">
        <v>-0.13251547152475984</v>
      </c>
      <c r="L3845" t="s">
        <v>54</v>
      </c>
    </row>
    <row r="3846" spans="1:12" x14ac:dyDescent="0.25">
      <c r="A3846" t="s">
        <v>487</v>
      </c>
      <c r="B3846" t="s">
        <v>463</v>
      </c>
      <c r="C3846" t="s">
        <v>464</v>
      </c>
      <c r="D3846" t="s">
        <v>324</v>
      </c>
      <c r="E3846" t="s">
        <v>326</v>
      </c>
      <c r="F3846">
        <v>1</v>
      </c>
      <c r="G3846" t="s">
        <v>498</v>
      </c>
      <c r="H3846" s="4">
        <v>13606935</v>
      </c>
      <c r="I3846" s="4">
        <v>14112768</v>
      </c>
      <c r="J3846" s="3">
        <v>0.0371746466048379</v>
      </c>
      <c r="K3846" s="3">
        <v>-0.035842224572812366</v>
      </c>
      <c r="L3846" t="s">
        <v>54</v>
      </c>
    </row>
    <row r="3847" spans="1:12" x14ac:dyDescent="0.25">
      <c r="A3847" t="s">
        <v>487</v>
      </c>
      <c r="B3847" t="s">
        <v>463</v>
      </c>
      <c r="C3847" t="s">
        <v>464</v>
      </c>
      <c r="D3847" t="s">
        <v>324</v>
      </c>
      <c r="E3847" t="s">
        <v>326</v>
      </c>
      <c r="F3847">
        <v>1</v>
      </c>
      <c r="G3847" t="s">
        <v>499</v>
      </c>
      <c r="H3847" s="4">
        <v>13606935</v>
      </c>
      <c r="I3847" s="4">
        <v>16160673</v>
      </c>
      <c r="J3847" s="3">
        <v>0.18767915037442304</v>
      </c>
      <c r="K3847" s="3">
        <v>-0.15802176060365802</v>
      </c>
      <c r="L3847" t="s">
        <v>54</v>
      </c>
    </row>
    <row r="3848" spans="1:12" x14ac:dyDescent="0.25">
      <c r="A3848" t="s">
        <v>487</v>
      </c>
      <c r="B3848" t="s">
        <v>463</v>
      </c>
      <c r="C3848" t="s">
        <v>464</v>
      </c>
      <c r="D3848" t="s">
        <v>324</v>
      </c>
      <c r="E3848" t="s">
        <v>328</v>
      </c>
      <c r="F3848">
        <v>2</v>
      </c>
      <c r="G3848" t="s">
        <v>488</v>
      </c>
      <c r="H3848" s="4">
        <v>16552647</v>
      </c>
      <c r="I3848" s="4">
        <v>11095555.517105721</v>
      </c>
      <c r="J3848" s="3">
        <v>0.3296808953211096</v>
      </c>
      <c r="K3848" s="3">
        <v>0.4918267926721855</v>
      </c>
      <c r="L3848" t="s">
        <v>54</v>
      </c>
    </row>
    <row r="3849" spans="1:12" x14ac:dyDescent="0.25">
      <c r="A3849" t="s">
        <v>487</v>
      </c>
      <c r="B3849" t="s">
        <v>463</v>
      </c>
      <c r="C3849" t="s">
        <v>464</v>
      </c>
      <c r="D3849" t="s">
        <v>324</v>
      </c>
      <c r="E3849" t="s">
        <v>328</v>
      </c>
      <c r="F3849">
        <v>2</v>
      </c>
      <c r="G3849" t="s">
        <v>498</v>
      </c>
      <c r="H3849" s="4">
        <v>16552647</v>
      </c>
      <c r="I3849" s="4">
        <v>9983037</v>
      </c>
      <c r="J3849" s="3">
        <v>0.3968918083011134</v>
      </c>
      <c r="K3849" s="3">
        <v>0.6580772965180837</v>
      </c>
      <c r="L3849" t="s">
        <v>54</v>
      </c>
    </row>
    <row r="3850" spans="1:12" x14ac:dyDescent="0.25">
      <c r="A3850" t="s">
        <v>487</v>
      </c>
      <c r="B3850" t="s">
        <v>463</v>
      </c>
      <c r="C3850" t="s">
        <v>464</v>
      </c>
      <c r="D3850" t="s">
        <v>324</v>
      </c>
      <c r="E3850" t="s">
        <v>328</v>
      </c>
      <c r="F3850">
        <v>2</v>
      </c>
      <c r="G3850" t="s">
        <v>499</v>
      </c>
      <c r="H3850" s="4">
        <v>16552647</v>
      </c>
      <c r="I3850" s="4">
        <v>16160673</v>
      </c>
      <c r="J3850" s="3">
        <v>0.023680442167346407</v>
      </c>
      <c r="K3850" s="3">
        <v>0.024254806715042126</v>
      </c>
      <c r="L3850" t="s">
        <v>54</v>
      </c>
    </row>
    <row r="3851" spans="1:12" x14ac:dyDescent="0.25">
      <c r="A3851" t="s">
        <v>487</v>
      </c>
      <c r="B3851" t="s">
        <v>463</v>
      </c>
      <c r="C3851" t="s">
        <v>464</v>
      </c>
      <c r="D3851" t="s">
        <v>324</v>
      </c>
      <c r="E3851" t="s">
        <v>330</v>
      </c>
      <c r="F3851">
        <v>3</v>
      </c>
      <c r="G3851" t="s">
        <v>488</v>
      </c>
      <c r="H3851" s="4">
        <v>19550371</v>
      </c>
      <c r="I3851" s="4">
        <v>16641601.095033245</v>
      </c>
      <c r="J3851" s="3">
        <v>0.14878336093809957</v>
      </c>
      <c r="K3851" s="3">
        <v>0.17478906556863025</v>
      </c>
      <c r="L3851" t="s">
        <v>54</v>
      </c>
    </row>
    <row r="3852" spans="1:12" x14ac:dyDescent="0.25">
      <c r="A3852" t="s">
        <v>487</v>
      </c>
      <c r="B3852" t="s">
        <v>463</v>
      </c>
      <c r="C3852" t="s">
        <v>464</v>
      </c>
      <c r="D3852" t="s">
        <v>324</v>
      </c>
      <c r="E3852" t="s">
        <v>330</v>
      </c>
      <c r="F3852">
        <v>3</v>
      </c>
      <c r="G3852" t="s">
        <v>498</v>
      </c>
      <c r="H3852" s="4">
        <v>19550371</v>
      </c>
      <c r="I3852" s="4">
        <v>14972997</v>
      </c>
      <c r="J3852" s="3">
        <v>0.23413233436848846</v>
      </c>
      <c r="K3852" s="3">
        <v>0.3057086032943171</v>
      </c>
      <c r="L3852" t="s">
        <v>54</v>
      </c>
    </row>
    <row r="3853" spans="1:12" x14ac:dyDescent="0.25">
      <c r="A3853" t="s">
        <v>487</v>
      </c>
      <c r="B3853" t="s">
        <v>463</v>
      </c>
      <c r="C3853" t="s">
        <v>464</v>
      </c>
      <c r="D3853" t="s">
        <v>324</v>
      </c>
      <c r="E3853" t="s">
        <v>330</v>
      </c>
      <c r="F3853">
        <v>3</v>
      </c>
      <c r="G3853" t="s">
        <v>499</v>
      </c>
      <c r="H3853" s="4">
        <v>19550371</v>
      </c>
      <c r="I3853" s="4">
        <v>16160673</v>
      </c>
      <c r="J3853" s="3">
        <v>0.1733827966742933</v>
      </c>
      <c r="K3853" s="3">
        <v>0.2097498043553013</v>
      </c>
      <c r="L3853" t="s">
        <v>54</v>
      </c>
    </row>
    <row r="3854" spans="1:12" x14ac:dyDescent="0.25">
      <c r="A3854" t="s">
        <v>487</v>
      </c>
      <c r="B3854" t="s">
        <v>463</v>
      </c>
      <c r="C3854" t="s">
        <v>464</v>
      </c>
      <c r="D3854" t="s">
        <v>326</v>
      </c>
      <c r="E3854" t="s">
        <v>328</v>
      </c>
      <c r="F3854">
        <v>1</v>
      </c>
      <c r="G3854" t="s">
        <v>488</v>
      </c>
      <c r="H3854" s="4">
        <v>16552647</v>
      </c>
      <c r="I3854" s="4">
        <v>10996872.607687281</v>
      </c>
      <c r="J3854" s="3">
        <v>0.3356426553597572</v>
      </c>
      <c r="K3854" s="3">
        <v>0.5052140358913494</v>
      </c>
      <c r="L3854" t="s">
        <v>54</v>
      </c>
    </row>
    <row r="3855" spans="1:12" x14ac:dyDescent="0.25">
      <c r="A3855" t="s">
        <v>487</v>
      </c>
      <c r="B3855" t="s">
        <v>463</v>
      </c>
      <c r="C3855" t="s">
        <v>464</v>
      </c>
      <c r="D3855" t="s">
        <v>326</v>
      </c>
      <c r="E3855" t="s">
        <v>328</v>
      </c>
      <c r="F3855">
        <v>1</v>
      </c>
      <c r="G3855" t="s">
        <v>498</v>
      </c>
      <c r="H3855" s="4">
        <v>16552647</v>
      </c>
      <c r="I3855" s="4">
        <v>9983037</v>
      </c>
      <c r="J3855" s="3">
        <v>0.3968918083011134</v>
      </c>
      <c r="K3855" s="3">
        <v>0.6580772965180837</v>
      </c>
      <c r="L3855" t="s">
        <v>54</v>
      </c>
    </row>
    <row r="3856" spans="1:12" x14ac:dyDescent="0.25">
      <c r="A3856" t="s">
        <v>487</v>
      </c>
      <c r="B3856" t="s">
        <v>463</v>
      </c>
      <c r="C3856" t="s">
        <v>464</v>
      </c>
      <c r="D3856" t="s">
        <v>326</v>
      </c>
      <c r="E3856" t="s">
        <v>328</v>
      </c>
      <c r="F3856">
        <v>1</v>
      </c>
      <c r="G3856" t="s">
        <v>499</v>
      </c>
      <c r="H3856" s="4">
        <v>16552647</v>
      </c>
      <c r="I3856" s="4">
        <v>13606935</v>
      </c>
      <c r="J3856" s="3">
        <v>0.17796017760784724</v>
      </c>
      <c r="K3856" s="3">
        <v>0.21648607860624014</v>
      </c>
      <c r="L3856" t="s">
        <v>54</v>
      </c>
    </row>
    <row r="3857" spans="1:12" x14ac:dyDescent="0.25">
      <c r="A3857" t="s">
        <v>487</v>
      </c>
      <c r="B3857" t="s">
        <v>463</v>
      </c>
      <c r="C3857" t="s">
        <v>464</v>
      </c>
      <c r="D3857" t="s">
        <v>326</v>
      </c>
      <c r="E3857" t="s">
        <v>330</v>
      </c>
      <c r="F3857">
        <v>2</v>
      </c>
      <c r="G3857" t="s">
        <v>488</v>
      </c>
      <c r="H3857" s="4">
        <v>19550371</v>
      </c>
      <c r="I3857" s="4">
        <v>16493592.136769988</v>
      </c>
      <c r="J3857" s="3">
        <v>0.15635400797406926</v>
      </c>
      <c r="K3857" s="3">
        <v>0.18533129944539994</v>
      </c>
      <c r="L3857" t="s">
        <v>54</v>
      </c>
    </row>
    <row r="3858" spans="1:12" x14ac:dyDescent="0.25">
      <c r="A3858" t="s">
        <v>487</v>
      </c>
      <c r="B3858" t="s">
        <v>463</v>
      </c>
      <c r="C3858" t="s">
        <v>464</v>
      </c>
      <c r="D3858" t="s">
        <v>326</v>
      </c>
      <c r="E3858" t="s">
        <v>330</v>
      </c>
      <c r="F3858">
        <v>2</v>
      </c>
      <c r="G3858" t="s">
        <v>498</v>
      </c>
      <c r="H3858" s="4">
        <v>19550371</v>
      </c>
      <c r="I3858" s="4">
        <v>14972997</v>
      </c>
      <c r="J3858" s="3">
        <v>0.23413233436848846</v>
      </c>
      <c r="K3858" s="3">
        <v>0.3057086032943171</v>
      </c>
      <c r="L3858" t="s">
        <v>54</v>
      </c>
    </row>
    <row r="3859" spans="1:12" x14ac:dyDescent="0.25">
      <c r="A3859" t="s">
        <v>487</v>
      </c>
      <c r="B3859" t="s">
        <v>463</v>
      </c>
      <c r="C3859" t="s">
        <v>464</v>
      </c>
      <c r="D3859" t="s">
        <v>326</v>
      </c>
      <c r="E3859" t="s">
        <v>330</v>
      </c>
      <c r="F3859">
        <v>2</v>
      </c>
      <c r="G3859" t="s">
        <v>499</v>
      </c>
      <c r="H3859" s="4">
        <v>19550371</v>
      </c>
      <c r="I3859" s="4">
        <v>13606935</v>
      </c>
      <c r="J3859" s="3">
        <v>0.30400630248909344</v>
      </c>
      <c r="K3859" s="3">
        <v>0.43679461980232875</v>
      </c>
      <c r="L3859" t="s">
        <v>54</v>
      </c>
    </row>
    <row r="3860" spans="1:12" x14ac:dyDescent="0.25">
      <c r="A3860" t="s">
        <v>487</v>
      </c>
      <c r="B3860" t="s">
        <v>463</v>
      </c>
      <c r="C3860" t="s">
        <v>464</v>
      </c>
      <c r="D3860" t="s">
        <v>326</v>
      </c>
      <c r="E3860" t="s">
        <v>332</v>
      </c>
      <c r="F3860">
        <v>3</v>
      </c>
      <c r="G3860" t="s">
        <v>488</v>
      </c>
      <c r="H3860" s="4">
        <v>31838726</v>
      </c>
      <c r="I3860" s="4">
        <v>26018462.29826611</v>
      </c>
      <c r="J3860" s="3">
        <v>0.18280454129144147</v>
      </c>
      <c r="K3860" s="3">
        <v>0.22369745125643947</v>
      </c>
      <c r="L3860" t="s">
        <v>54</v>
      </c>
    </row>
    <row r="3861" spans="1:12" x14ac:dyDescent="0.25">
      <c r="A3861" t="s">
        <v>487</v>
      </c>
      <c r="B3861" t="s">
        <v>463</v>
      </c>
      <c r="C3861" t="s">
        <v>464</v>
      </c>
      <c r="D3861" t="s">
        <v>326</v>
      </c>
      <c r="E3861" t="s">
        <v>332</v>
      </c>
      <c r="F3861">
        <v>3</v>
      </c>
      <c r="G3861" t="s">
        <v>498</v>
      </c>
      <c r="H3861" s="4">
        <v>31838726</v>
      </c>
      <c r="I3861" s="4">
        <v>23619740</v>
      </c>
      <c r="J3861" s="3">
        <v>0.2581443114275364</v>
      </c>
      <c r="K3861" s="3">
        <v>0.3479710614934796</v>
      </c>
      <c r="L3861" t="s">
        <v>54</v>
      </c>
    </row>
    <row r="3862" spans="1:12" x14ac:dyDescent="0.25">
      <c r="A3862" t="s">
        <v>487</v>
      </c>
      <c r="B3862" t="s">
        <v>463</v>
      </c>
      <c r="C3862" t="s">
        <v>464</v>
      </c>
      <c r="D3862" t="s">
        <v>326</v>
      </c>
      <c r="E3862" t="s">
        <v>332</v>
      </c>
      <c r="F3862">
        <v>3</v>
      </c>
      <c r="G3862" t="s">
        <v>499</v>
      </c>
      <c r="H3862" s="4">
        <v>31838726</v>
      </c>
      <c r="I3862" s="4">
        <v>13606935</v>
      </c>
      <c r="J3862" s="3">
        <v>0.5726294136266633</v>
      </c>
      <c r="K3862" s="3">
        <v>1.3398896224608996</v>
      </c>
      <c r="L3862" t="s">
        <v>54</v>
      </c>
    </row>
    <row r="3863" spans="1:12" x14ac:dyDescent="0.25">
      <c r="A3863" t="s">
        <v>487</v>
      </c>
      <c r="B3863" t="s">
        <v>463</v>
      </c>
      <c r="C3863" t="s">
        <v>464</v>
      </c>
      <c r="D3863" t="s">
        <v>328</v>
      </c>
      <c r="E3863" t="s">
        <v>330</v>
      </c>
      <c r="F3863">
        <v>1</v>
      </c>
      <c r="G3863" t="s">
        <v>488</v>
      </c>
      <c r="H3863" s="4">
        <v>19550371</v>
      </c>
      <c r="I3863" s="4">
        <v>17708908.337255504</v>
      </c>
      <c r="J3863" s="3">
        <v>0.09419067611271909</v>
      </c>
      <c r="K3863" s="3">
        <v>0.10398510329800954</v>
      </c>
      <c r="L3863" t="s">
        <v>54</v>
      </c>
    </row>
    <row r="3864" spans="1:12" x14ac:dyDescent="0.25">
      <c r="A3864" t="s">
        <v>487</v>
      </c>
      <c r="B3864" t="s">
        <v>463</v>
      </c>
      <c r="C3864" t="s">
        <v>464</v>
      </c>
      <c r="D3864" t="s">
        <v>328</v>
      </c>
      <c r="E3864" t="s">
        <v>330</v>
      </c>
      <c r="F3864">
        <v>1</v>
      </c>
      <c r="G3864" t="s">
        <v>498</v>
      </c>
      <c r="H3864" s="4">
        <v>19550371</v>
      </c>
      <c r="I3864" s="4">
        <v>14972997</v>
      </c>
      <c r="J3864" s="3">
        <v>0.23413233436848846</v>
      </c>
      <c r="K3864" s="3">
        <v>0.3057086032943171</v>
      </c>
      <c r="L3864" t="s">
        <v>54</v>
      </c>
    </row>
    <row r="3865" spans="1:12" x14ac:dyDescent="0.25">
      <c r="A3865" t="s">
        <v>487</v>
      </c>
      <c r="B3865" t="s">
        <v>463</v>
      </c>
      <c r="C3865" t="s">
        <v>464</v>
      </c>
      <c r="D3865" t="s">
        <v>328</v>
      </c>
      <c r="E3865" t="s">
        <v>330</v>
      </c>
      <c r="F3865">
        <v>1</v>
      </c>
      <c r="G3865" t="s">
        <v>499</v>
      </c>
      <c r="H3865" s="4">
        <v>19550371</v>
      </c>
      <c r="I3865" s="4">
        <v>16552647</v>
      </c>
      <c r="J3865" s="3">
        <v>0.15333335618029958</v>
      </c>
      <c r="K3865" s="3">
        <v>0.18110239407630696</v>
      </c>
      <c r="L3865" t="s">
        <v>54</v>
      </c>
    </row>
    <row r="3866" spans="1:12" x14ac:dyDescent="0.25">
      <c r="A3866" t="s">
        <v>487</v>
      </c>
      <c r="B3866" t="s">
        <v>463</v>
      </c>
      <c r="C3866" t="s">
        <v>464</v>
      </c>
      <c r="D3866" t="s">
        <v>328</v>
      </c>
      <c r="E3866" t="s">
        <v>332</v>
      </c>
      <c r="F3866">
        <v>2</v>
      </c>
      <c r="G3866" t="s">
        <v>488</v>
      </c>
      <c r="H3866" s="4">
        <v>31838726</v>
      </c>
      <c r="I3866" s="4">
        <v>27935610.39315024</v>
      </c>
      <c r="J3866" s="3">
        <v>0.12259019430770439</v>
      </c>
      <c r="K3866" s="3">
        <v>0.13971828615589502</v>
      </c>
      <c r="L3866" t="s">
        <v>54</v>
      </c>
    </row>
    <row r="3867" spans="1:12" x14ac:dyDescent="0.25">
      <c r="A3867" t="s">
        <v>487</v>
      </c>
      <c r="B3867" t="s">
        <v>463</v>
      </c>
      <c r="C3867" t="s">
        <v>464</v>
      </c>
      <c r="D3867" t="s">
        <v>328</v>
      </c>
      <c r="E3867" t="s">
        <v>332</v>
      </c>
      <c r="F3867">
        <v>2</v>
      </c>
      <c r="G3867" t="s">
        <v>498</v>
      </c>
      <c r="H3867" s="4">
        <v>31838726</v>
      </c>
      <c r="I3867" s="4">
        <v>23619740</v>
      </c>
      <c r="J3867" s="3">
        <v>0.2581443114275364</v>
      </c>
      <c r="K3867" s="3">
        <v>0.3479710614934796</v>
      </c>
      <c r="L3867" t="s">
        <v>54</v>
      </c>
    </row>
    <row r="3868" spans="1:12" x14ac:dyDescent="0.25">
      <c r="A3868" t="s">
        <v>487</v>
      </c>
      <c r="B3868" t="s">
        <v>463</v>
      </c>
      <c r="C3868" t="s">
        <v>464</v>
      </c>
      <c r="D3868" t="s">
        <v>328</v>
      </c>
      <c r="E3868" t="s">
        <v>332</v>
      </c>
      <c r="F3868">
        <v>2</v>
      </c>
      <c r="G3868" t="s">
        <v>499</v>
      </c>
      <c r="H3868" s="4">
        <v>31838726</v>
      </c>
      <c r="I3868" s="4">
        <v>16552647</v>
      </c>
      <c r="J3868" s="3">
        <v>0.4801096312710502</v>
      </c>
      <c r="K3868" s="3">
        <v>0.9234824496649991</v>
      </c>
      <c r="L3868" t="s">
        <v>54</v>
      </c>
    </row>
    <row r="3869" spans="1:12" x14ac:dyDescent="0.25">
      <c r="A3869" t="s">
        <v>487</v>
      </c>
      <c r="B3869" t="s">
        <v>463</v>
      </c>
      <c r="C3869" t="s">
        <v>464</v>
      </c>
      <c r="D3869" t="s">
        <v>328</v>
      </c>
      <c r="E3869" t="s">
        <v>334</v>
      </c>
      <c r="F3869">
        <v>3</v>
      </c>
      <c r="G3869" t="s">
        <v>488</v>
      </c>
      <c r="H3869" s="4">
        <v>39598630</v>
      </c>
      <c r="I3869" s="4">
        <v>36137385.36422532</v>
      </c>
      <c r="J3869" s="3">
        <v>0.08740819154033055</v>
      </c>
      <c r="K3869" s="3">
        <v>0.0957801623136018</v>
      </c>
      <c r="L3869" t="s">
        <v>54</v>
      </c>
    </row>
    <row r="3870" spans="1:12" x14ac:dyDescent="0.25">
      <c r="A3870" t="s">
        <v>487</v>
      </c>
      <c r="B3870" t="s">
        <v>463</v>
      </c>
      <c r="C3870" t="s">
        <v>464</v>
      </c>
      <c r="D3870" t="s">
        <v>328</v>
      </c>
      <c r="E3870" t="s">
        <v>334</v>
      </c>
      <c r="F3870">
        <v>3</v>
      </c>
      <c r="G3870" t="s">
        <v>498</v>
      </c>
      <c r="H3870" s="4">
        <v>39598630</v>
      </c>
      <c r="I3870" s="4">
        <v>30554394</v>
      </c>
      <c r="J3870" s="3">
        <v>0.22839769961738576</v>
      </c>
      <c r="K3870" s="3">
        <v>0.2960044306557021</v>
      </c>
      <c r="L3870" t="s">
        <v>54</v>
      </c>
    </row>
    <row r="3871" spans="1:12" x14ac:dyDescent="0.25">
      <c r="A3871" t="s">
        <v>487</v>
      </c>
      <c r="B3871" t="s">
        <v>463</v>
      </c>
      <c r="C3871" t="s">
        <v>464</v>
      </c>
      <c r="D3871" t="s">
        <v>328</v>
      </c>
      <c r="E3871" t="s">
        <v>334</v>
      </c>
      <c r="F3871">
        <v>3</v>
      </c>
      <c r="G3871" t="s">
        <v>499</v>
      </c>
      <c r="H3871" s="4">
        <v>39598630</v>
      </c>
      <c r="I3871" s="4">
        <v>16552647</v>
      </c>
      <c r="J3871" s="3">
        <v>0.5819894021586101</v>
      </c>
      <c r="K3871" s="3">
        <v>1.3922838443905678</v>
      </c>
      <c r="L3871" t="s">
        <v>54</v>
      </c>
    </row>
    <row r="3872" spans="1:12" x14ac:dyDescent="0.25">
      <c r="A3872" t="s">
        <v>487</v>
      </c>
      <c r="B3872" t="s">
        <v>463</v>
      </c>
      <c r="C3872" t="s">
        <v>464</v>
      </c>
      <c r="D3872" t="s">
        <v>330</v>
      </c>
      <c r="E3872" t="s">
        <v>332</v>
      </c>
      <c r="F3872">
        <v>1</v>
      </c>
      <c r="G3872" t="s">
        <v>488</v>
      </c>
      <c r="H3872" s="4">
        <v>31838726</v>
      </c>
      <c r="I3872" s="4">
        <v>28982638.311559398</v>
      </c>
      <c r="J3872" s="3">
        <v>0.08970483581662791</v>
      </c>
      <c r="K3872" s="3">
        <v>0.09854477904109524</v>
      </c>
      <c r="L3872" t="s">
        <v>54</v>
      </c>
    </row>
    <row r="3873" spans="1:12" x14ac:dyDescent="0.25">
      <c r="A3873" t="s">
        <v>487</v>
      </c>
      <c r="B3873" t="s">
        <v>463</v>
      </c>
      <c r="C3873" t="s">
        <v>464</v>
      </c>
      <c r="D3873" t="s">
        <v>330</v>
      </c>
      <c r="E3873" t="s">
        <v>332</v>
      </c>
      <c r="F3873">
        <v>1</v>
      </c>
      <c r="G3873" t="s">
        <v>498</v>
      </c>
      <c r="H3873" s="4">
        <v>31838726</v>
      </c>
      <c r="I3873" s="4">
        <v>23619740</v>
      </c>
      <c r="J3873" s="3">
        <v>0.2581443114275364</v>
      </c>
      <c r="K3873" s="3">
        <v>0.3479710614934796</v>
      </c>
      <c r="L3873" t="s">
        <v>54</v>
      </c>
    </row>
    <row r="3874" spans="1:12" x14ac:dyDescent="0.25">
      <c r="A3874" t="s">
        <v>487</v>
      </c>
      <c r="B3874" t="s">
        <v>463</v>
      </c>
      <c r="C3874" t="s">
        <v>464</v>
      </c>
      <c r="D3874" t="s">
        <v>330</v>
      </c>
      <c r="E3874" t="s">
        <v>332</v>
      </c>
      <c r="F3874">
        <v>1</v>
      </c>
      <c r="G3874" t="s">
        <v>499</v>
      </c>
      <c r="H3874" s="4">
        <v>31838726</v>
      </c>
      <c r="I3874" s="4">
        <v>19550371</v>
      </c>
      <c r="J3874" s="3">
        <v>0.38595624083702346</v>
      </c>
      <c r="K3874" s="3">
        <v>0.6285484301039607</v>
      </c>
      <c r="L3874" t="s">
        <v>54</v>
      </c>
    </row>
    <row r="3875" spans="1:12" x14ac:dyDescent="0.25">
      <c r="A3875" t="s">
        <v>487</v>
      </c>
      <c r="B3875" t="s">
        <v>463</v>
      </c>
      <c r="C3875" t="s">
        <v>464</v>
      </c>
      <c r="D3875" t="s">
        <v>330</v>
      </c>
      <c r="E3875" t="s">
        <v>334</v>
      </c>
      <c r="F3875">
        <v>2</v>
      </c>
      <c r="G3875" t="s">
        <v>488</v>
      </c>
      <c r="H3875" s="4">
        <v>39598630</v>
      </c>
      <c r="I3875" s="4">
        <v>37491816.17286561</v>
      </c>
      <c r="J3875" s="3">
        <v>0.05320421002278092</v>
      </c>
      <c r="K3875" s="3">
        <v>0.05619396556892281</v>
      </c>
      <c r="L3875" t="s">
        <v>54</v>
      </c>
    </row>
    <row r="3876" spans="1:12" x14ac:dyDescent="0.25">
      <c r="A3876" t="s">
        <v>487</v>
      </c>
      <c r="B3876" t="s">
        <v>463</v>
      </c>
      <c r="C3876" t="s">
        <v>464</v>
      </c>
      <c r="D3876" t="s">
        <v>330</v>
      </c>
      <c r="E3876" t="s">
        <v>334</v>
      </c>
      <c r="F3876">
        <v>2</v>
      </c>
      <c r="G3876" t="s">
        <v>498</v>
      </c>
      <c r="H3876" s="4">
        <v>39598630</v>
      </c>
      <c r="I3876" s="4">
        <v>30554394</v>
      </c>
      <c r="J3876" s="3">
        <v>0.22839769961738576</v>
      </c>
      <c r="K3876" s="3">
        <v>0.2960044306557021</v>
      </c>
      <c r="L3876" t="s">
        <v>54</v>
      </c>
    </row>
    <row r="3877" spans="1:12" x14ac:dyDescent="0.25">
      <c r="A3877" t="s">
        <v>487</v>
      </c>
      <c r="B3877" t="s">
        <v>463</v>
      </c>
      <c r="C3877" t="s">
        <v>464</v>
      </c>
      <c r="D3877" t="s">
        <v>330</v>
      </c>
      <c r="E3877" t="s">
        <v>334</v>
      </c>
      <c r="F3877">
        <v>2</v>
      </c>
      <c r="G3877" t="s">
        <v>499</v>
      </c>
      <c r="H3877" s="4">
        <v>39598630</v>
      </c>
      <c r="I3877" s="4">
        <v>19550371</v>
      </c>
      <c r="J3877" s="3">
        <v>0.506286682140266</v>
      </c>
      <c r="K3877" s="3">
        <v>1.0254669335942526</v>
      </c>
      <c r="L3877" t="s">
        <v>54</v>
      </c>
    </row>
    <row r="3878" spans="1:12" x14ac:dyDescent="0.25">
      <c r="A3878" t="s">
        <v>487</v>
      </c>
      <c r="B3878" t="s">
        <v>463</v>
      </c>
      <c r="C3878" t="s">
        <v>464</v>
      </c>
      <c r="D3878" t="s">
        <v>330</v>
      </c>
      <c r="E3878" t="s">
        <v>336</v>
      </c>
      <c r="F3878">
        <v>3</v>
      </c>
      <c r="G3878" t="s">
        <v>488</v>
      </c>
      <c r="H3878" s="4">
        <v>46310766</v>
      </c>
      <c r="I3878" s="4">
        <v>46399124.40348184</v>
      </c>
      <c r="J3878" s="3">
        <v>0.0019079451953319254</v>
      </c>
      <c r="K3878" s="3">
        <v>-0.0019043118726441005</v>
      </c>
      <c r="L3878" t="s">
        <v>54</v>
      </c>
    </row>
    <row r="3879" spans="1:12" x14ac:dyDescent="0.25">
      <c r="A3879" t="s">
        <v>487</v>
      </c>
      <c r="B3879" t="s">
        <v>463</v>
      </c>
      <c r="C3879" t="s">
        <v>464</v>
      </c>
      <c r="D3879" t="s">
        <v>330</v>
      </c>
      <c r="E3879" t="s">
        <v>336</v>
      </c>
      <c r="F3879">
        <v>3</v>
      </c>
      <c r="G3879" t="s">
        <v>498</v>
      </c>
      <c r="H3879" s="4">
        <v>46310766</v>
      </c>
      <c r="I3879" s="4">
        <v>37813509</v>
      </c>
      <c r="J3879" s="3">
        <v>0.1834834042693226</v>
      </c>
      <c r="K3879" s="3">
        <v>0.22471484992307908</v>
      </c>
      <c r="L3879" t="s">
        <v>54</v>
      </c>
    </row>
    <row r="3880" spans="1:12" x14ac:dyDescent="0.25">
      <c r="A3880" t="s">
        <v>487</v>
      </c>
      <c r="B3880" t="s">
        <v>463</v>
      </c>
      <c r="C3880" t="s">
        <v>464</v>
      </c>
      <c r="D3880" t="s">
        <v>330</v>
      </c>
      <c r="E3880" t="s">
        <v>336</v>
      </c>
      <c r="F3880">
        <v>3</v>
      </c>
      <c r="G3880" t="s">
        <v>499</v>
      </c>
      <c r="H3880" s="4">
        <v>46310766</v>
      </c>
      <c r="I3880" s="4">
        <v>19550371</v>
      </c>
      <c r="J3880" s="3">
        <v>0.5778439294223723</v>
      </c>
      <c r="K3880" s="3">
        <v>1.368792183023023</v>
      </c>
      <c r="L3880" t="s">
        <v>54</v>
      </c>
    </row>
    <row r="3881" spans="1:12" x14ac:dyDescent="0.25">
      <c r="A3881" t="s">
        <v>487</v>
      </c>
      <c r="B3881" t="s">
        <v>463</v>
      </c>
      <c r="C3881" t="s">
        <v>464</v>
      </c>
      <c r="D3881" t="s">
        <v>332</v>
      </c>
      <c r="E3881" t="s">
        <v>334</v>
      </c>
      <c r="F3881">
        <v>1</v>
      </c>
      <c r="G3881" t="s">
        <v>488</v>
      </c>
      <c r="H3881" s="4">
        <v>39598630</v>
      </c>
      <c r="I3881" s="4">
        <v>38924488.99902161</v>
      </c>
      <c r="J3881" s="3">
        <v>0.01702435162475035</v>
      </c>
      <c r="K3881" s="3">
        <v>0.01731919977152</v>
      </c>
      <c r="L3881" t="s">
        <v>54</v>
      </c>
    </row>
    <row r="3882" spans="1:12" x14ac:dyDescent="0.25">
      <c r="A3882" t="s">
        <v>487</v>
      </c>
      <c r="B3882" t="s">
        <v>463</v>
      </c>
      <c r="C3882" t="s">
        <v>464</v>
      </c>
      <c r="D3882" t="s">
        <v>332</v>
      </c>
      <c r="E3882" t="s">
        <v>334</v>
      </c>
      <c r="F3882">
        <v>1</v>
      </c>
      <c r="G3882" t="s">
        <v>498</v>
      </c>
      <c r="H3882" s="4">
        <v>39598630</v>
      </c>
      <c r="I3882" s="4">
        <v>30554394</v>
      </c>
      <c r="J3882" s="3">
        <v>0.22839769961738576</v>
      </c>
      <c r="K3882" s="3">
        <v>0.2960044306557021</v>
      </c>
      <c r="L3882" t="s">
        <v>54</v>
      </c>
    </row>
    <row r="3883" spans="1:12" x14ac:dyDescent="0.25">
      <c r="A3883" t="s">
        <v>487</v>
      </c>
      <c r="B3883" t="s">
        <v>463</v>
      </c>
      <c r="C3883" t="s">
        <v>464</v>
      </c>
      <c r="D3883" t="s">
        <v>332</v>
      </c>
      <c r="E3883" t="s">
        <v>334</v>
      </c>
      <c r="F3883">
        <v>1</v>
      </c>
      <c r="G3883" t="s">
        <v>499</v>
      </c>
      <c r="H3883" s="4">
        <v>39598630</v>
      </c>
      <c r="I3883" s="4">
        <v>31838726</v>
      </c>
      <c r="J3883" s="3">
        <v>0.1959639512781124</v>
      </c>
      <c r="K3883" s="3">
        <v>0.24372532996452181</v>
      </c>
      <c r="L3883" t="s">
        <v>54</v>
      </c>
    </row>
    <row r="3884" spans="1:12" x14ac:dyDescent="0.25">
      <c r="A3884" t="s">
        <v>487</v>
      </c>
      <c r="B3884" t="s">
        <v>463</v>
      </c>
      <c r="C3884" t="s">
        <v>464</v>
      </c>
      <c r="D3884" t="s">
        <v>332</v>
      </c>
      <c r="E3884" t="s">
        <v>336</v>
      </c>
      <c r="F3884">
        <v>2</v>
      </c>
      <c r="G3884" t="s">
        <v>488</v>
      </c>
      <c r="H3884" s="4">
        <v>46310766</v>
      </c>
      <c r="I3884" s="4">
        <v>48172171.736899935</v>
      </c>
      <c r="J3884" s="3">
        <v>0.040193801521225855</v>
      </c>
      <c r="K3884" s="3">
        <v>-0.0386406854784605</v>
      </c>
      <c r="L3884" t="s">
        <v>54</v>
      </c>
    </row>
    <row r="3885" spans="1:12" x14ac:dyDescent="0.25">
      <c r="A3885" t="s">
        <v>487</v>
      </c>
      <c r="B3885" t="s">
        <v>463</v>
      </c>
      <c r="C3885" t="s">
        <v>464</v>
      </c>
      <c r="D3885" t="s">
        <v>332</v>
      </c>
      <c r="E3885" t="s">
        <v>336</v>
      </c>
      <c r="F3885">
        <v>2</v>
      </c>
      <c r="G3885" t="s">
        <v>498</v>
      </c>
      <c r="H3885" s="4">
        <v>46310766</v>
      </c>
      <c r="I3885" s="4">
        <v>37813509</v>
      </c>
      <c r="J3885" s="3">
        <v>0.1834834042693226</v>
      </c>
      <c r="K3885" s="3">
        <v>0.22471484992307908</v>
      </c>
      <c r="L3885" t="s">
        <v>54</v>
      </c>
    </row>
    <row r="3886" spans="1:12" x14ac:dyDescent="0.25">
      <c r="A3886" t="s">
        <v>487</v>
      </c>
      <c r="B3886" t="s">
        <v>463</v>
      </c>
      <c r="C3886" t="s">
        <v>464</v>
      </c>
      <c r="D3886" t="s">
        <v>332</v>
      </c>
      <c r="E3886" t="s">
        <v>336</v>
      </c>
      <c r="F3886">
        <v>2</v>
      </c>
      <c r="G3886" t="s">
        <v>499</v>
      </c>
      <c r="H3886" s="4">
        <v>46310766</v>
      </c>
      <c r="I3886" s="4">
        <v>31838726</v>
      </c>
      <c r="J3886" s="3">
        <v>0.3124983940019476</v>
      </c>
      <c r="K3886" s="3">
        <v>0.45454205673933057</v>
      </c>
      <c r="L3886" t="s">
        <v>54</v>
      </c>
    </row>
    <row r="3887" spans="1:12" x14ac:dyDescent="0.25">
      <c r="A3887" t="s">
        <v>487</v>
      </c>
      <c r="B3887" t="s">
        <v>463</v>
      </c>
      <c r="C3887" t="s">
        <v>464</v>
      </c>
      <c r="D3887" t="s">
        <v>332</v>
      </c>
      <c r="E3887" t="s">
        <v>338</v>
      </c>
      <c r="F3887">
        <v>3</v>
      </c>
      <c r="G3887" t="s">
        <v>488</v>
      </c>
      <c r="H3887" s="4">
        <v>42482284</v>
      </c>
      <c r="I3887" s="4">
        <v>33396997.47286198</v>
      </c>
      <c r="J3887" s="3">
        <v>0.21386059485732972</v>
      </c>
      <c r="K3887" s="3">
        <v>0.2720390219067035</v>
      </c>
      <c r="L3887" t="s">
        <v>54</v>
      </c>
    </row>
    <row r="3888" spans="1:12" x14ac:dyDescent="0.25">
      <c r="A3888" t="s">
        <v>487</v>
      </c>
      <c r="B3888" t="s">
        <v>463</v>
      </c>
      <c r="C3888" t="s">
        <v>464</v>
      </c>
      <c r="D3888" t="s">
        <v>332</v>
      </c>
      <c r="E3888" t="s">
        <v>338</v>
      </c>
      <c r="F3888">
        <v>3</v>
      </c>
      <c r="G3888" t="s">
        <v>498</v>
      </c>
      <c r="H3888" s="4">
        <v>42482284</v>
      </c>
      <c r="I3888" s="4">
        <v>26215502</v>
      </c>
      <c r="J3888" s="3">
        <v>0.3829074255988685</v>
      </c>
      <c r="K3888" s="3">
        <v>0.6205024035015618</v>
      </c>
      <c r="L3888" t="s">
        <v>54</v>
      </c>
    </row>
    <row r="3889" spans="1:12" x14ac:dyDescent="0.25">
      <c r="A3889" t="s">
        <v>487</v>
      </c>
      <c r="B3889" t="s">
        <v>463</v>
      </c>
      <c r="C3889" t="s">
        <v>464</v>
      </c>
      <c r="D3889" t="s">
        <v>332</v>
      </c>
      <c r="E3889" t="s">
        <v>338</v>
      </c>
      <c r="F3889">
        <v>3</v>
      </c>
      <c r="G3889" t="s">
        <v>499</v>
      </c>
      <c r="H3889" s="4">
        <v>42482284</v>
      </c>
      <c r="I3889" s="4">
        <v>31838726</v>
      </c>
      <c r="J3889" s="3">
        <v>0.25054109614257086</v>
      </c>
      <c r="K3889" s="3">
        <v>0.3342959765412724</v>
      </c>
      <c r="L3889" t="s">
        <v>54</v>
      </c>
    </row>
    <row r="3890" spans="1:12" x14ac:dyDescent="0.25">
      <c r="A3890" t="s">
        <v>487</v>
      </c>
      <c r="B3890" t="s">
        <v>463</v>
      </c>
      <c r="C3890" t="s">
        <v>464</v>
      </c>
      <c r="D3890" t="s">
        <v>334</v>
      </c>
      <c r="E3890" t="s">
        <v>336</v>
      </c>
      <c r="F3890">
        <v>1</v>
      </c>
      <c r="G3890" t="s">
        <v>488</v>
      </c>
      <c r="H3890" s="4">
        <v>46310766</v>
      </c>
      <c r="I3890" s="4">
        <v>49642982.55642221</v>
      </c>
      <c r="J3890" s="3">
        <v>0.07195338890361284</v>
      </c>
      <c r="K3890" s="3">
        <v>-0.06712361717257717</v>
      </c>
      <c r="L3890" t="s">
        <v>54</v>
      </c>
    </row>
    <row r="3891" spans="1:12" x14ac:dyDescent="0.25">
      <c r="A3891" t="s">
        <v>487</v>
      </c>
      <c r="B3891" t="s">
        <v>463</v>
      </c>
      <c r="C3891" t="s">
        <v>464</v>
      </c>
      <c r="D3891" t="s">
        <v>334</v>
      </c>
      <c r="E3891" t="s">
        <v>336</v>
      </c>
      <c r="F3891">
        <v>1</v>
      </c>
      <c r="G3891" t="s">
        <v>498</v>
      </c>
      <c r="H3891" s="4">
        <v>46310766</v>
      </c>
      <c r="I3891" s="4">
        <v>37813509</v>
      </c>
      <c r="J3891" s="3">
        <v>0.1834834042693226</v>
      </c>
      <c r="K3891" s="3">
        <v>0.22471484992307908</v>
      </c>
      <c r="L3891" t="s">
        <v>54</v>
      </c>
    </row>
    <row r="3892" spans="1:12" x14ac:dyDescent="0.25">
      <c r="A3892" t="s">
        <v>487</v>
      </c>
      <c r="B3892" t="s">
        <v>463</v>
      </c>
      <c r="C3892" t="s">
        <v>464</v>
      </c>
      <c r="D3892" t="s">
        <v>334</v>
      </c>
      <c r="E3892" t="s">
        <v>336</v>
      </c>
      <c r="F3892">
        <v>1</v>
      </c>
      <c r="G3892" t="s">
        <v>499</v>
      </c>
      <c r="H3892" s="4">
        <v>46310766</v>
      </c>
      <c r="I3892" s="4">
        <v>39598630</v>
      </c>
      <c r="J3892" s="3">
        <v>0.14493683822893363</v>
      </c>
      <c r="K3892" s="3">
        <v>0.169504248000499</v>
      </c>
      <c r="L3892" t="s">
        <v>54</v>
      </c>
    </row>
    <row r="3893" spans="1:12" x14ac:dyDescent="0.25">
      <c r="A3893" t="s">
        <v>487</v>
      </c>
      <c r="B3893" t="s">
        <v>463</v>
      </c>
      <c r="C3893" t="s">
        <v>464</v>
      </c>
      <c r="D3893" t="s">
        <v>334</v>
      </c>
      <c r="E3893" t="s">
        <v>338</v>
      </c>
      <c r="F3893">
        <v>2</v>
      </c>
      <c r="G3893" t="s">
        <v>488</v>
      </c>
      <c r="H3893" s="4">
        <v>42482284</v>
      </c>
      <c r="I3893" s="4">
        <v>34416687.12876797</v>
      </c>
      <c r="J3893" s="3">
        <v>0.18985789161505612</v>
      </c>
      <c r="K3893" s="3">
        <v>0.23435134361000776</v>
      </c>
      <c r="L3893" t="s">
        <v>54</v>
      </c>
    </row>
    <row r="3894" spans="1:12" x14ac:dyDescent="0.25">
      <c r="A3894" t="s">
        <v>487</v>
      </c>
      <c r="B3894" t="s">
        <v>463</v>
      </c>
      <c r="C3894" t="s">
        <v>464</v>
      </c>
      <c r="D3894" t="s">
        <v>334</v>
      </c>
      <c r="E3894" t="s">
        <v>338</v>
      </c>
      <c r="F3894">
        <v>2</v>
      </c>
      <c r="G3894" t="s">
        <v>498</v>
      </c>
      <c r="H3894" s="4">
        <v>42482284</v>
      </c>
      <c r="I3894" s="4">
        <v>26215502</v>
      </c>
      <c r="J3894" s="3">
        <v>0.3829074255988685</v>
      </c>
      <c r="K3894" s="3">
        <v>0.6205024035015618</v>
      </c>
      <c r="L3894" t="s">
        <v>54</v>
      </c>
    </row>
    <row r="3895" spans="1:12" x14ac:dyDescent="0.25">
      <c r="A3895" t="s">
        <v>487</v>
      </c>
      <c r="B3895" t="s">
        <v>463</v>
      </c>
      <c r="C3895" t="s">
        <v>464</v>
      </c>
      <c r="D3895" t="s">
        <v>334</v>
      </c>
      <c r="E3895" t="s">
        <v>338</v>
      </c>
      <c r="F3895">
        <v>2</v>
      </c>
      <c r="G3895" t="s">
        <v>499</v>
      </c>
      <c r="H3895" s="4">
        <v>42482284</v>
      </c>
      <c r="I3895" s="4">
        <v>39598630</v>
      </c>
      <c r="J3895" s="3">
        <v>0.06787897750507012</v>
      </c>
      <c r="K3895" s="3">
        <v>0.0728220648037571</v>
      </c>
      <c r="L3895" t="s">
        <v>54</v>
      </c>
    </row>
    <row r="3896" spans="1:12" x14ac:dyDescent="0.25">
      <c r="A3896" t="s">
        <v>487</v>
      </c>
      <c r="B3896" t="s">
        <v>463</v>
      </c>
      <c r="C3896" t="s">
        <v>464</v>
      </c>
      <c r="D3896" t="s">
        <v>334</v>
      </c>
      <c r="E3896" t="s">
        <v>340</v>
      </c>
      <c r="F3896">
        <v>3</v>
      </c>
      <c r="G3896" t="s">
        <v>488</v>
      </c>
      <c r="H3896" s="4">
        <v>43646821</v>
      </c>
      <c r="I3896" s="4">
        <v>31392370.947925836</v>
      </c>
      <c r="J3896" s="3">
        <v>0.2807638625519637</v>
      </c>
      <c r="K3896" s="3">
        <v>0.390363954108533</v>
      </c>
      <c r="L3896" t="s">
        <v>54</v>
      </c>
    </row>
    <row r="3897" spans="1:12" x14ac:dyDescent="0.25">
      <c r="A3897" t="s">
        <v>487</v>
      </c>
      <c r="B3897" t="s">
        <v>463</v>
      </c>
      <c r="C3897" t="s">
        <v>464</v>
      </c>
      <c r="D3897" t="s">
        <v>334</v>
      </c>
      <c r="E3897" t="s">
        <v>340</v>
      </c>
      <c r="F3897">
        <v>3</v>
      </c>
      <c r="G3897" t="s">
        <v>498</v>
      </c>
      <c r="H3897" s="4">
        <v>43646821</v>
      </c>
      <c r="I3897" s="4">
        <v>23911853</v>
      </c>
      <c r="J3897" s="3">
        <v>0.45215132620998905</v>
      </c>
      <c r="K3897" s="3">
        <v>0.8253215675087999</v>
      </c>
      <c r="L3897" t="s">
        <v>54</v>
      </c>
    </row>
    <row r="3898" spans="1:12" x14ac:dyDescent="0.25">
      <c r="A3898" t="s">
        <v>487</v>
      </c>
      <c r="B3898" t="s">
        <v>463</v>
      </c>
      <c r="C3898" t="s">
        <v>464</v>
      </c>
      <c r="D3898" t="s">
        <v>334</v>
      </c>
      <c r="E3898" t="s">
        <v>340</v>
      </c>
      <c r="F3898">
        <v>3</v>
      </c>
      <c r="G3898" t="s">
        <v>499</v>
      </c>
      <c r="H3898" s="4">
        <v>43646821</v>
      </c>
      <c r="I3898" s="4">
        <v>39598630</v>
      </c>
      <c r="J3898" s="3">
        <v>0.09274881668930711</v>
      </c>
      <c r="K3898" s="3">
        <v>0.10223058221963739</v>
      </c>
      <c r="L3898" t="s">
        <v>54</v>
      </c>
    </row>
    <row r="3899" spans="1:12" x14ac:dyDescent="0.25">
      <c r="A3899" t="s">
        <v>487</v>
      </c>
      <c r="B3899" t="s">
        <v>463</v>
      </c>
      <c r="C3899" t="s">
        <v>464</v>
      </c>
      <c r="D3899" t="s">
        <v>336</v>
      </c>
      <c r="E3899" t="s">
        <v>338</v>
      </c>
      <c r="F3899">
        <v>1</v>
      </c>
      <c r="G3899" t="s">
        <v>488</v>
      </c>
      <c r="H3899" s="4">
        <v>42482284</v>
      </c>
      <c r="I3899" s="4">
        <v>33984074.708725445</v>
      </c>
      <c r="J3899" s="3">
        <v>0.20004125228470662</v>
      </c>
      <c r="K3899" s="3">
        <v>0.2500644600187579</v>
      </c>
      <c r="L3899" t="s">
        <v>54</v>
      </c>
    </row>
    <row r="3900" spans="1:12" x14ac:dyDescent="0.25">
      <c r="A3900" t="s">
        <v>487</v>
      </c>
      <c r="B3900" t="s">
        <v>463</v>
      </c>
      <c r="C3900" t="s">
        <v>464</v>
      </c>
      <c r="D3900" t="s">
        <v>336</v>
      </c>
      <c r="E3900" t="s">
        <v>338</v>
      </c>
      <c r="F3900">
        <v>1</v>
      </c>
      <c r="G3900" t="s">
        <v>498</v>
      </c>
      <c r="H3900" s="4">
        <v>42482284</v>
      </c>
      <c r="I3900" s="4">
        <v>26215502</v>
      </c>
      <c r="J3900" s="3">
        <v>0.3829074255988685</v>
      </c>
      <c r="K3900" s="3">
        <v>0.6205024035015618</v>
      </c>
      <c r="L3900" t="s">
        <v>54</v>
      </c>
    </row>
    <row r="3901" spans="1:12" x14ac:dyDescent="0.25">
      <c r="A3901" t="s">
        <v>487</v>
      </c>
      <c r="B3901" t="s">
        <v>463</v>
      </c>
      <c r="C3901" t="s">
        <v>464</v>
      </c>
      <c r="D3901" t="s">
        <v>336</v>
      </c>
      <c r="E3901" t="s">
        <v>338</v>
      </c>
      <c r="F3901">
        <v>1</v>
      </c>
      <c r="G3901" t="s">
        <v>499</v>
      </c>
      <c r="H3901" s="4">
        <v>42482284</v>
      </c>
      <c r="I3901" s="4">
        <v>46310766</v>
      </c>
      <c r="J3901" s="3">
        <v>0.0901194954583892</v>
      </c>
      <c r="K3901" s="3">
        <v>-0.0826693732511356</v>
      </c>
      <c r="L3901" t="s">
        <v>54</v>
      </c>
    </row>
    <row r="3902" spans="1:12" x14ac:dyDescent="0.25">
      <c r="A3902" t="s">
        <v>487</v>
      </c>
      <c r="B3902" t="s">
        <v>463</v>
      </c>
      <c r="C3902" t="s">
        <v>464</v>
      </c>
      <c r="D3902" t="s">
        <v>336</v>
      </c>
      <c r="E3902" t="s">
        <v>340</v>
      </c>
      <c r="F3902">
        <v>2</v>
      </c>
      <c r="G3902" t="s">
        <v>488</v>
      </c>
      <c r="H3902" s="4">
        <v>43646821</v>
      </c>
      <c r="I3902" s="4">
        <v>30997773.713280812</v>
      </c>
      <c r="J3902" s="3">
        <v>0.28980454926417637</v>
      </c>
      <c r="K3902" s="3">
        <v>0.40806308877917186</v>
      </c>
      <c r="L3902" t="s">
        <v>54</v>
      </c>
    </row>
    <row r="3903" spans="1:12" x14ac:dyDescent="0.25">
      <c r="A3903" t="s">
        <v>487</v>
      </c>
      <c r="B3903" t="s">
        <v>463</v>
      </c>
      <c r="C3903" t="s">
        <v>464</v>
      </c>
      <c r="D3903" t="s">
        <v>336</v>
      </c>
      <c r="E3903" t="s">
        <v>340</v>
      </c>
      <c r="F3903">
        <v>2</v>
      </c>
      <c r="G3903" t="s">
        <v>498</v>
      </c>
      <c r="H3903" s="4">
        <v>43646821</v>
      </c>
      <c r="I3903" s="4">
        <v>23911853</v>
      </c>
      <c r="J3903" s="3">
        <v>0.45215132620998905</v>
      </c>
      <c r="K3903" s="3">
        <v>0.8253215675087999</v>
      </c>
      <c r="L3903" t="s">
        <v>54</v>
      </c>
    </row>
    <row r="3904" spans="1:12" x14ac:dyDescent="0.25">
      <c r="A3904" t="s">
        <v>487</v>
      </c>
      <c r="B3904" t="s">
        <v>463</v>
      </c>
      <c r="C3904" t="s">
        <v>464</v>
      </c>
      <c r="D3904" t="s">
        <v>336</v>
      </c>
      <c r="E3904" t="s">
        <v>340</v>
      </c>
      <c r="F3904">
        <v>2</v>
      </c>
      <c r="G3904" t="s">
        <v>499</v>
      </c>
      <c r="H3904" s="4">
        <v>43646821</v>
      </c>
      <c r="I3904" s="4">
        <v>46310766</v>
      </c>
      <c r="J3904" s="3">
        <v>0.061034112885334765</v>
      </c>
      <c r="K3904" s="3">
        <v>-0.05752323336651352</v>
      </c>
      <c r="L3904" t="s">
        <v>54</v>
      </c>
    </row>
    <row r="3905" spans="1:12" x14ac:dyDescent="0.25">
      <c r="A3905" t="s">
        <v>487</v>
      </c>
      <c r="B3905" t="s">
        <v>463</v>
      </c>
      <c r="C3905" t="s">
        <v>464</v>
      </c>
      <c r="D3905" t="s">
        <v>336</v>
      </c>
      <c r="E3905" t="s">
        <v>342</v>
      </c>
      <c r="F3905">
        <v>3</v>
      </c>
      <c r="G3905" t="s">
        <v>488</v>
      </c>
      <c r="H3905" s="4">
        <v>36154206</v>
      </c>
      <c r="I3905" s="4">
        <v>32991482.61005807</v>
      </c>
      <c r="J3905" s="3">
        <v>0.0874787124336773</v>
      </c>
      <c r="K3905" s="3">
        <v>0.09586484570347001</v>
      </c>
      <c r="L3905" t="s">
        <v>54</v>
      </c>
    </row>
    <row r="3906" spans="1:12" x14ac:dyDescent="0.25">
      <c r="A3906" t="s">
        <v>487</v>
      </c>
      <c r="B3906" t="s">
        <v>463</v>
      </c>
      <c r="C3906" t="s">
        <v>464</v>
      </c>
      <c r="D3906" t="s">
        <v>336</v>
      </c>
      <c r="E3906" t="s">
        <v>342</v>
      </c>
      <c r="F3906">
        <v>3</v>
      </c>
      <c r="G3906" t="s">
        <v>498</v>
      </c>
      <c r="H3906" s="4">
        <v>36154206</v>
      </c>
      <c r="I3906" s="4">
        <v>25449811</v>
      </c>
      <c r="J3906" s="3">
        <v>0.2960760637365401</v>
      </c>
      <c r="K3906" s="3">
        <v>0.42060803516379747</v>
      </c>
      <c r="L3906" t="s">
        <v>54</v>
      </c>
    </row>
    <row r="3907" spans="1:12" x14ac:dyDescent="0.25">
      <c r="A3907" t="s">
        <v>487</v>
      </c>
      <c r="B3907" t="s">
        <v>463</v>
      </c>
      <c r="C3907" t="s">
        <v>464</v>
      </c>
      <c r="D3907" t="s">
        <v>336</v>
      </c>
      <c r="E3907" t="s">
        <v>342</v>
      </c>
      <c r="F3907">
        <v>3</v>
      </c>
      <c r="G3907" t="s">
        <v>499</v>
      </c>
      <c r="H3907" s="4">
        <v>36154206</v>
      </c>
      <c r="I3907" s="4">
        <v>46310766</v>
      </c>
      <c r="J3907" s="3">
        <v>0.28092333157586147</v>
      </c>
      <c r="K3907" s="3">
        <v>-0.2193131506397454</v>
      </c>
      <c r="L3907" t="s">
        <v>54</v>
      </c>
    </row>
    <row r="3908" spans="1:12" x14ac:dyDescent="0.25">
      <c r="A3908" t="s">
        <v>487</v>
      </c>
      <c r="B3908" t="s">
        <v>463</v>
      </c>
      <c r="C3908" t="s">
        <v>464</v>
      </c>
      <c r="D3908" t="s">
        <v>338</v>
      </c>
      <c r="E3908" t="s">
        <v>340</v>
      </c>
      <c r="F3908">
        <v>1</v>
      </c>
      <c r="G3908" t="s">
        <v>488</v>
      </c>
      <c r="H3908" s="4">
        <v>43646821</v>
      </c>
      <c r="I3908" s="4">
        <v>31016511.009651233</v>
      </c>
      <c r="J3908" s="3">
        <v>0.28937525576831286</v>
      </c>
      <c r="K3908" s="3">
        <v>0.4072124677859049</v>
      </c>
      <c r="L3908" t="s">
        <v>54</v>
      </c>
    </row>
    <row r="3909" spans="1:12" x14ac:dyDescent="0.25">
      <c r="A3909" t="s">
        <v>487</v>
      </c>
      <c r="B3909" t="s">
        <v>463</v>
      </c>
      <c r="C3909" t="s">
        <v>464</v>
      </c>
      <c r="D3909" t="s">
        <v>338</v>
      </c>
      <c r="E3909" t="s">
        <v>340</v>
      </c>
      <c r="F3909">
        <v>1</v>
      </c>
      <c r="G3909" t="s">
        <v>498</v>
      </c>
      <c r="H3909" s="4">
        <v>43646821</v>
      </c>
      <c r="I3909" s="4">
        <v>23911853</v>
      </c>
      <c r="J3909" s="3">
        <v>0.45215132620998905</v>
      </c>
      <c r="K3909" s="3">
        <v>0.8253215675087999</v>
      </c>
      <c r="L3909" t="s">
        <v>54</v>
      </c>
    </row>
    <row r="3910" spans="1:12" x14ac:dyDescent="0.25">
      <c r="A3910" t="s">
        <v>487</v>
      </c>
      <c r="B3910" t="s">
        <v>463</v>
      </c>
      <c r="C3910" t="s">
        <v>464</v>
      </c>
      <c r="D3910" t="s">
        <v>338</v>
      </c>
      <c r="E3910" t="s">
        <v>340</v>
      </c>
      <c r="F3910">
        <v>1</v>
      </c>
      <c r="G3910" t="s">
        <v>499</v>
      </c>
      <c r="H3910" s="4">
        <v>43646821</v>
      </c>
      <c r="I3910" s="4">
        <v>42482284</v>
      </c>
      <c r="J3910" s="3">
        <v>0.02668091222497052</v>
      </c>
      <c r="K3910" s="3">
        <v>0.027412297323750296</v>
      </c>
      <c r="L3910" t="s">
        <v>54</v>
      </c>
    </row>
    <row r="3911" spans="1:12" x14ac:dyDescent="0.25">
      <c r="A3911" t="s">
        <v>487</v>
      </c>
      <c r="B3911" t="s">
        <v>463</v>
      </c>
      <c r="C3911" t="s">
        <v>464</v>
      </c>
      <c r="D3911" t="s">
        <v>338</v>
      </c>
      <c r="E3911" t="s">
        <v>342</v>
      </c>
      <c r="F3911">
        <v>2</v>
      </c>
      <c r="G3911" t="s">
        <v>488</v>
      </c>
      <c r="H3911" s="4">
        <v>36154206</v>
      </c>
      <c r="I3911" s="4">
        <v>33011425.04828225</v>
      </c>
      <c r="J3911" s="3">
        <v>0.08692711856865974</v>
      </c>
      <c r="K3911" s="3">
        <v>0.09520282590409661</v>
      </c>
      <c r="L3911" t="s">
        <v>54</v>
      </c>
    </row>
    <row r="3912" spans="1:12" x14ac:dyDescent="0.25">
      <c r="A3912" t="s">
        <v>487</v>
      </c>
      <c r="B3912" t="s">
        <v>463</v>
      </c>
      <c r="C3912" t="s">
        <v>464</v>
      </c>
      <c r="D3912" t="s">
        <v>338</v>
      </c>
      <c r="E3912" t="s">
        <v>342</v>
      </c>
      <c r="F3912">
        <v>2</v>
      </c>
      <c r="G3912" t="s">
        <v>498</v>
      </c>
      <c r="H3912" s="4">
        <v>36154206</v>
      </c>
      <c r="I3912" s="4">
        <v>25449811</v>
      </c>
      <c r="J3912" s="3">
        <v>0.2960760637365401</v>
      </c>
      <c r="K3912" s="3">
        <v>0.42060803516379747</v>
      </c>
      <c r="L3912" t="s">
        <v>54</v>
      </c>
    </row>
    <row r="3913" spans="1:12" x14ac:dyDescent="0.25">
      <c r="A3913" t="s">
        <v>487</v>
      </c>
      <c r="B3913" t="s">
        <v>463</v>
      </c>
      <c r="C3913" t="s">
        <v>464</v>
      </c>
      <c r="D3913" t="s">
        <v>338</v>
      </c>
      <c r="E3913" t="s">
        <v>342</v>
      </c>
      <c r="F3913">
        <v>2</v>
      </c>
      <c r="G3913" t="s">
        <v>499</v>
      </c>
      <c r="H3913" s="4">
        <v>36154206</v>
      </c>
      <c r="I3913" s="4">
        <v>42482284</v>
      </c>
      <c r="J3913" s="3">
        <v>0.17503020257172844</v>
      </c>
      <c r="K3913" s="3">
        <v>-0.14895804566439977</v>
      </c>
      <c r="L3913" t="s">
        <v>54</v>
      </c>
    </row>
    <row r="3914" spans="1:12" x14ac:dyDescent="0.25">
      <c r="A3914" t="s">
        <v>487</v>
      </c>
      <c r="B3914" t="s">
        <v>463</v>
      </c>
      <c r="C3914" t="s">
        <v>464</v>
      </c>
      <c r="D3914" t="s">
        <v>338</v>
      </c>
      <c r="E3914" t="s">
        <v>344</v>
      </c>
      <c r="F3914">
        <v>3</v>
      </c>
      <c r="G3914" t="s">
        <v>488</v>
      </c>
      <c r="H3914" s="4">
        <v>30068655</v>
      </c>
      <c r="I3914" s="4">
        <v>31287922.71482864</v>
      </c>
      <c r="J3914" s="3">
        <v>0.040549459722380006</v>
      </c>
      <c r="K3914" s="3">
        <v>-0.0389692766100697</v>
      </c>
      <c r="L3914" t="s">
        <v>54</v>
      </c>
    </row>
    <row r="3915" spans="1:12" x14ac:dyDescent="0.25">
      <c r="A3915" t="s">
        <v>487</v>
      </c>
      <c r="B3915" t="s">
        <v>463</v>
      </c>
      <c r="C3915" t="s">
        <v>464</v>
      </c>
      <c r="D3915" t="s">
        <v>338</v>
      </c>
      <c r="E3915" t="s">
        <v>344</v>
      </c>
      <c r="F3915">
        <v>3</v>
      </c>
      <c r="G3915" t="s">
        <v>498</v>
      </c>
      <c r="H3915" s="4">
        <v>30068655</v>
      </c>
      <c r="I3915" s="4">
        <v>24121095</v>
      </c>
      <c r="J3915" s="3">
        <v>0.19779933621906268</v>
      </c>
      <c r="K3915" s="3">
        <v>0.24657089572426127</v>
      </c>
      <c r="L3915" t="s">
        <v>54</v>
      </c>
    </row>
    <row r="3916" spans="1:12" x14ac:dyDescent="0.25">
      <c r="A3916" t="s">
        <v>487</v>
      </c>
      <c r="B3916" t="s">
        <v>463</v>
      </c>
      <c r="C3916" t="s">
        <v>464</v>
      </c>
      <c r="D3916" t="s">
        <v>338</v>
      </c>
      <c r="E3916" t="s">
        <v>344</v>
      </c>
      <c r="F3916">
        <v>3</v>
      </c>
      <c r="G3916" t="s">
        <v>499</v>
      </c>
      <c r="H3916" s="4">
        <v>30068655</v>
      </c>
      <c r="I3916" s="4">
        <v>42482284</v>
      </c>
      <c r="J3916" s="3">
        <v>0.4128428424882989</v>
      </c>
      <c r="K3916" s="3">
        <v>-0.29220719394465705</v>
      </c>
      <c r="L3916" t="s">
        <v>54</v>
      </c>
    </row>
    <row r="3917" spans="1:12" x14ac:dyDescent="0.25">
      <c r="A3917" t="s">
        <v>487</v>
      </c>
      <c r="B3917" t="s">
        <v>463</v>
      </c>
      <c r="C3917" t="s">
        <v>464</v>
      </c>
      <c r="D3917" t="s">
        <v>340</v>
      </c>
      <c r="E3917" t="s">
        <v>342</v>
      </c>
      <c r="F3917">
        <v>1</v>
      </c>
      <c r="G3917" t="s">
        <v>488</v>
      </c>
      <c r="H3917" s="4">
        <v>36154206</v>
      </c>
      <c r="I3917" s="4">
        <v>32961276.125586428</v>
      </c>
      <c r="J3917" s="3">
        <v>0.08831420262454588</v>
      </c>
      <c r="K3917" s="3">
        <v>0.09686912188254257</v>
      </c>
      <c r="L3917" t="s">
        <v>54</v>
      </c>
    </row>
    <row r="3918" spans="1:12" x14ac:dyDescent="0.25">
      <c r="A3918" t="s">
        <v>487</v>
      </c>
      <c r="B3918" t="s">
        <v>463</v>
      </c>
      <c r="C3918" t="s">
        <v>464</v>
      </c>
      <c r="D3918" t="s">
        <v>340</v>
      </c>
      <c r="E3918" t="s">
        <v>342</v>
      </c>
      <c r="F3918">
        <v>1</v>
      </c>
      <c r="G3918" t="s">
        <v>498</v>
      </c>
      <c r="H3918" s="4">
        <v>36154206</v>
      </c>
      <c r="I3918" s="4">
        <v>25449811</v>
      </c>
      <c r="J3918" s="3">
        <v>0.2960760637365401</v>
      </c>
      <c r="K3918" s="3">
        <v>0.42060803516379747</v>
      </c>
      <c r="L3918" t="s">
        <v>54</v>
      </c>
    </row>
    <row r="3919" spans="1:12" x14ac:dyDescent="0.25">
      <c r="A3919" t="s">
        <v>487</v>
      </c>
      <c r="B3919" t="s">
        <v>463</v>
      </c>
      <c r="C3919" t="s">
        <v>464</v>
      </c>
      <c r="D3919" t="s">
        <v>340</v>
      </c>
      <c r="E3919" t="s">
        <v>342</v>
      </c>
      <c r="F3919">
        <v>1</v>
      </c>
      <c r="G3919" t="s">
        <v>499</v>
      </c>
      <c r="H3919" s="4">
        <v>36154206</v>
      </c>
      <c r="I3919" s="4">
        <v>43646821</v>
      </c>
      <c r="J3919" s="3">
        <v>0.2072404798490112</v>
      </c>
      <c r="K3919" s="3">
        <v>-0.17166462134779528</v>
      </c>
      <c r="L3919" t="s">
        <v>54</v>
      </c>
    </row>
    <row r="3920" spans="1:12" x14ac:dyDescent="0.25">
      <c r="A3920" t="s">
        <v>487</v>
      </c>
      <c r="B3920" t="s">
        <v>463</v>
      </c>
      <c r="C3920" t="s">
        <v>464</v>
      </c>
      <c r="D3920" t="s">
        <v>340</v>
      </c>
      <c r="E3920" t="s">
        <v>344</v>
      </c>
      <c r="F3920">
        <v>2</v>
      </c>
      <c r="G3920" t="s">
        <v>488</v>
      </c>
      <c r="H3920" s="4">
        <v>30068655</v>
      </c>
      <c r="I3920" s="4">
        <v>31240392.030671746</v>
      </c>
      <c r="J3920" s="3">
        <v>0.038968721104144684</v>
      </c>
      <c r="K3920" s="3">
        <v>-0.03750711673276497</v>
      </c>
      <c r="L3920" t="s">
        <v>54</v>
      </c>
    </row>
    <row r="3921" spans="1:12" x14ac:dyDescent="0.25">
      <c r="A3921" t="s">
        <v>487</v>
      </c>
      <c r="B3921" t="s">
        <v>463</v>
      </c>
      <c r="C3921" t="s">
        <v>464</v>
      </c>
      <c r="D3921" t="s">
        <v>340</v>
      </c>
      <c r="E3921" t="s">
        <v>344</v>
      </c>
      <c r="F3921">
        <v>2</v>
      </c>
      <c r="G3921" t="s">
        <v>498</v>
      </c>
      <c r="H3921" s="4">
        <v>30068655</v>
      </c>
      <c r="I3921" s="4">
        <v>24121095</v>
      </c>
      <c r="J3921" s="3">
        <v>0.19779933621906268</v>
      </c>
      <c r="K3921" s="3">
        <v>0.24657089572426127</v>
      </c>
      <c r="L3921" t="s">
        <v>54</v>
      </c>
    </row>
    <row r="3922" spans="1:12" x14ac:dyDescent="0.25">
      <c r="A3922" t="s">
        <v>487</v>
      </c>
      <c r="B3922" t="s">
        <v>463</v>
      </c>
      <c r="C3922" t="s">
        <v>464</v>
      </c>
      <c r="D3922" t="s">
        <v>340</v>
      </c>
      <c r="E3922" t="s">
        <v>344</v>
      </c>
      <c r="F3922">
        <v>2</v>
      </c>
      <c r="G3922" t="s">
        <v>499</v>
      </c>
      <c r="H3922" s="4">
        <v>30068655</v>
      </c>
      <c r="I3922" s="4">
        <v>43646821</v>
      </c>
      <c r="J3922" s="3">
        <v>0.45157211055832064</v>
      </c>
      <c r="K3922" s="3">
        <v>-0.31109175167648523</v>
      </c>
      <c r="L3922" t="s">
        <v>54</v>
      </c>
    </row>
    <row r="3923" spans="1:12" x14ac:dyDescent="0.25">
      <c r="A3923" t="s">
        <v>487</v>
      </c>
      <c r="B3923" t="s">
        <v>463</v>
      </c>
      <c r="C3923" t="s">
        <v>464</v>
      </c>
      <c r="D3923" t="s">
        <v>340</v>
      </c>
      <c r="E3923" t="s">
        <v>346</v>
      </c>
      <c r="F3923">
        <v>3</v>
      </c>
      <c r="G3923" t="s">
        <v>488</v>
      </c>
      <c r="H3923" s="4">
        <v>28236122</v>
      </c>
      <c r="I3923" s="4">
        <v>27086155.062023483</v>
      </c>
      <c r="J3923" s="3">
        <v>0.040726801576240416</v>
      </c>
      <c r="K3923" s="3">
        <v>0.04245589436164913</v>
      </c>
      <c r="L3923" t="s">
        <v>54</v>
      </c>
    </row>
    <row r="3924" spans="1:12" x14ac:dyDescent="0.25">
      <c r="A3924" t="s">
        <v>487</v>
      </c>
      <c r="B3924" t="s">
        <v>463</v>
      </c>
      <c r="C3924" t="s">
        <v>464</v>
      </c>
      <c r="D3924" t="s">
        <v>340</v>
      </c>
      <c r="E3924" t="s">
        <v>346</v>
      </c>
      <c r="F3924">
        <v>3</v>
      </c>
      <c r="G3924" t="s">
        <v>498</v>
      </c>
      <c r="H3924" s="4">
        <v>28236122</v>
      </c>
      <c r="I3924" s="4">
        <v>20913557</v>
      </c>
      <c r="J3924" s="3">
        <v>0.2593332398832956</v>
      </c>
      <c r="K3924" s="3">
        <v>0.3501348431546102</v>
      </c>
      <c r="L3924" t="s">
        <v>54</v>
      </c>
    </row>
    <row r="3925" spans="1:12" x14ac:dyDescent="0.25">
      <c r="A3925" t="s">
        <v>487</v>
      </c>
      <c r="B3925" t="s">
        <v>463</v>
      </c>
      <c r="C3925" t="s">
        <v>464</v>
      </c>
      <c r="D3925" t="s">
        <v>340</v>
      </c>
      <c r="E3925" t="s">
        <v>346</v>
      </c>
      <c r="F3925">
        <v>3</v>
      </c>
      <c r="G3925" t="s">
        <v>499</v>
      </c>
      <c r="H3925" s="4">
        <v>28236122</v>
      </c>
      <c r="I3925" s="4">
        <v>43646821</v>
      </c>
      <c r="J3925" s="3">
        <v>0.5457795868710299</v>
      </c>
      <c r="K3925" s="3">
        <v>-0.35307723785885803</v>
      </c>
      <c r="L3925" t="s">
        <v>54</v>
      </c>
    </row>
    <row r="3926" spans="1:12" x14ac:dyDescent="0.25">
      <c r="A3926" t="s">
        <v>487</v>
      </c>
      <c r="B3926" t="s">
        <v>463</v>
      </c>
      <c r="C3926" t="s">
        <v>464</v>
      </c>
      <c r="D3926" t="s">
        <v>342</v>
      </c>
      <c r="E3926" t="s">
        <v>344</v>
      </c>
      <c r="F3926">
        <v>1</v>
      </c>
      <c r="G3926" t="s">
        <v>488</v>
      </c>
      <c r="H3926" s="4">
        <v>30068655</v>
      </c>
      <c r="I3926" s="4">
        <v>31184025.924678072</v>
      </c>
      <c r="J3926" s="3">
        <v>0.037094140881195795</v>
      </c>
      <c r="K3926" s="3">
        <v>-0.035767380625328506</v>
      </c>
      <c r="L3926" t="s">
        <v>54</v>
      </c>
    </row>
    <row r="3927" spans="1:12" x14ac:dyDescent="0.25">
      <c r="A3927" t="s">
        <v>487</v>
      </c>
      <c r="B3927" t="s">
        <v>463</v>
      </c>
      <c r="C3927" t="s">
        <v>464</v>
      </c>
      <c r="D3927" t="s">
        <v>342</v>
      </c>
      <c r="E3927" t="s">
        <v>344</v>
      </c>
      <c r="F3927">
        <v>1</v>
      </c>
      <c r="G3927" t="s">
        <v>498</v>
      </c>
      <c r="H3927" s="4">
        <v>30068655</v>
      </c>
      <c r="I3927" s="4">
        <v>24121095</v>
      </c>
      <c r="J3927" s="3">
        <v>0.19779933621906268</v>
      </c>
      <c r="K3927" s="3">
        <v>0.24657089572426127</v>
      </c>
      <c r="L3927" t="s">
        <v>54</v>
      </c>
    </row>
    <row r="3928" spans="1:12" x14ac:dyDescent="0.25">
      <c r="A3928" t="s">
        <v>487</v>
      </c>
      <c r="B3928" t="s">
        <v>463</v>
      </c>
      <c r="C3928" t="s">
        <v>464</v>
      </c>
      <c r="D3928" t="s">
        <v>342</v>
      </c>
      <c r="E3928" t="s">
        <v>344</v>
      </c>
      <c r="F3928">
        <v>1</v>
      </c>
      <c r="G3928" t="s">
        <v>499</v>
      </c>
      <c r="H3928" s="4">
        <v>30068655</v>
      </c>
      <c r="I3928" s="4">
        <v>36154206</v>
      </c>
      <c r="J3928" s="3">
        <v>0.20238853384030644</v>
      </c>
      <c r="K3928" s="3">
        <v>-0.16832207572197824</v>
      </c>
      <c r="L3928" t="s">
        <v>54</v>
      </c>
    </row>
    <row r="3929" spans="1:12" x14ac:dyDescent="0.25">
      <c r="A3929" t="s">
        <v>487</v>
      </c>
      <c r="B3929" t="s">
        <v>463</v>
      </c>
      <c r="C3929" t="s">
        <v>464</v>
      </c>
      <c r="D3929" t="s">
        <v>342</v>
      </c>
      <c r="E3929" t="s">
        <v>346</v>
      </c>
      <c r="F3929">
        <v>2</v>
      </c>
      <c r="G3929" t="s">
        <v>488</v>
      </c>
      <c r="H3929" s="4">
        <v>28236122</v>
      </c>
      <c r="I3929" s="4">
        <v>27037284.321679115</v>
      </c>
      <c r="J3929" s="3">
        <v>0.04245758954862444</v>
      </c>
      <c r="K3929" s="3">
        <v>0.044340166122365667</v>
      </c>
      <c r="L3929" t="s">
        <v>54</v>
      </c>
    </row>
    <row r="3930" spans="1:12" x14ac:dyDescent="0.25">
      <c r="A3930" t="s">
        <v>487</v>
      </c>
      <c r="B3930" t="s">
        <v>463</v>
      </c>
      <c r="C3930" t="s">
        <v>464</v>
      </c>
      <c r="D3930" t="s">
        <v>342</v>
      </c>
      <c r="E3930" t="s">
        <v>346</v>
      </c>
      <c r="F3930">
        <v>2</v>
      </c>
      <c r="G3930" t="s">
        <v>498</v>
      </c>
      <c r="H3930" s="4">
        <v>28236122</v>
      </c>
      <c r="I3930" s="4">
        <v>20913557</v>
      </c>
      <c r="J3930" s="3">
        <v>0.2593332398832956</v>
      </c>
      <c r="K3930" s="3">
        <v>0.3501348431546102</v>
      </c>
      <c r="L3930" t="s">
        <v>54</v>
      </c>
    </row>
    <row r="3931" spans="1:12" x14ac:dyDescent="0.25">
      <c r="A3931" t="s">
        <v>487</v>
      </c>
      <c r="B3931" t="s">
        <v>463</v>
      </c>
      <c r="C3931" t="s">
        <v>464</v>
      </c>
      <c r="D3931" t="s">
        <v>342</v>
      </c>
      <c r="E3931" t="s">
        <v>346</v>
      </c>
      <c r="F3931">
        <v>2</v>
      </c>
      <c r="G3931" t="s">
        <v>499</v>
      </c>
      <c r="H3931" s="4">
        <v>28236122</v>
      </c>
      <c r="I3931" s="4">
        <v>36154206</v>
      </c>
      <c r="J3931" s="3">
        <v>0.2804239194036631</v>
      </c>
      <c r="K3931" s="3">
        <v>-0.21900865420748003</v>
      </c>
      <c r="L3931" t="s">
        <v>54</v>
      </c>
    </row>
    <row r="3932" spans="1:12" x14ac:dyDescent="0.25">
      <c r="A3932" t="s">
        <v>487</v>
      </c>
      <c r="B3932" t="s">
        <v>463</v>
      </c>
      <c r="C3932" t="s">
        <v>464</v>
      </c>
      <c r="D3932" t="s">
        <v>342</v>
      </c>
      <c r="E3932" t="s">
        <v>348</v>
      </c>
      <c r="F3932">
        <v>3</v>
      </c>
      <c r="G3932" t="s">
        <v>488</v>
      </c>
      <c r="H3932" s="4">
        <v>23789224</v>
      </c>
      <c r="I3932" s="4">
        <v>20892701.835975725</v>
      </c>
      <c r="J3932" s="3">
        <v>0.12175774056456297</v>
      </c>
      <c r="K3932" s="3">
        <v>0.13863798884243264</v>
      </c>
      <c r="L3932" t="s">
        <v>54</v>
      </c>
    </row>
    <row r="3933" spans="1:12" x14ac:dyDescent="0.25">
      <c r="A3933" t="s">
        <v>487</v>
      </c>
      <c r="B3933" t="s">
        <v>463</v>
      </c>
      <c r="C3933" t="s">
        <v>464</v>
      </c>
      <c r="D3933" t="s">
        <v>342</v>
      </c>
      <c r="E3933" t="s">
        <v>348</v>
      </c>
      <c r="F3933">
        <v>3</v>
      </c>
      <c r="G3933" t="s">
        <v>498</v>
      </c>
      <c r="H3933" s="4">
        <v>23789224</v>
      </c>
      <c r="I3933" s="4">
        <v>16160673</v>
      </c>
      <c r="J3933" s="3">
        <v>0.32067254484635566</v>
      </c>
      <c r="K3933" s="3">
        <v>0.47204414073597056</v>
      </c>
      <c r="L3933" t="s">
        <v>54</v>
      </c>
    </row>
    <row r="3934" spans="1:12" x14ac:dyDescent="0.25">
      <c r="A3934" t="s">
        <v>487</v>
      </c>
      <c r="B3934" t="s">
        <v>463</v>
      </c>
      <c r="C3934" t="s">
        <v>464</v>
      </c>
      <c r="D3934" t="s">
        <v>342</v>
      </c>
      <c r="E3934" t="s">
        <v>348</v>
      </c>
      <c r="F3934">
        <v>3</v>
      </c>
      <c r="G3934" t="s">
        <v>499</v>
      </c>
      <c r="H3934" s="4">
        <v>23789224</v>
      </c>
      <c r="I3934" s="4">
        <v>36154206</v>
      </c>
      <c r="J3934" s="3">
        <v>0.519772397788175</v>
      </c>
      <c r="K3934" s="3">
        <v>-0.3420067363669942</v>
      </c>
      <c r="L3934" t="s">
        <v>54</v>
      </c>
    </row>
    <row r="3935" spans="1:12" x14ac:dyDescent="0.25">
      <c r="A3935" t="s">
        <v>487</v>
      </c>
      <c r="B3935" t="s">
        <v>463</v>
      </c>
      <c r="C3935" t="s">
        <v>464</v>
      </c>
      <c r="D3935" t="s">
        <v>344</v>
      </c>
      <c r="E3935" t="s">
        <v>346</v>
      </c>
      <c r="F3935">
        <v>1</v>
      </c>
      <c r="G3935" t="s">
        <v>488</v>
      </c>
      <c r="H3935" s="4">
        <v>28236122</v>
      </c>
      <c r="I3935" s="4">
        <v>27393804.36646219</v>
      </c>
      <c r="J3935" s="3">
        <v>0.029831208178580978</v>
      </c>
      <c r="K3935" s="3">
        <v>0.030748472255611444</v>
      </c>
      <c r="L3935" t="s">
        <v>54</v>
      </c>
    </row>
    <row r="3936" spans="1:12" x14ac:dyDescent="0.25">
      <c r="A3936" t="s">
        <v>487</v>
      </c>
      <c r="B3936" t="s">
        <v>463</v>
      </c>
      <c r="C3936" t="s">
        <v>464</v>
      </c>
      <c r="D3936" t="s">
        <v>344</v>
      </c>
      <c r="E3936" t="s">
        <v>346</v>
      </c>
      <c r="F3936">
        <v>1</v>
      </c>
      <c r="G3936" t="s">
        <v>498</v>
      </c>
      <c r="H3936" s="4">
        <v>28236122</v>
      </c>
      <c r="I3936" s="4">
        <v>20913557</v>
      </c>
      <c r="J3936" s="3">
        <v>0.2593332398832956</v>
      </c>
      <c r="K3936" s="3">
        <v>0.3501348431546102</v>
      </c>
      <c r="L3936" t="s">
        <v>54</v>
      </c>
    </row>
    <row r="3937" spans="1:12" x14ac:dyDescent="0.25">
      <c r="A3937" t="s">
        <v>487</v>
      </c>
      <c r="B3937" t="s">
        <v>463</v>
      </c>
      <c r="C3937" t="s">
        <v>464</v>
      </c>
      <c r="D3937" t="s">
        <v>344</v>
      </c>
      <c r="E3937" t="s">
        <v>346</v>
      </c>
      <c r="F3937">
        <v>1</v>
      </c>
      <c r="G3937" t="s">
        <v>499</v>
      </c>
      <c r="H3937" s="4">
        <v>28236122</v>
      </c>
      <c r="I3937" s="4">
        <v>30068655</v>
      </c>
      <c r="J3937" s="3">
        <v>0.0649003074855676</v>
      </c>
      <c r="K3937" s="3">
        <v>-0.06094496079056413</v>
      </c>
      <c r="L3937" t="s">
        <v>54</v>
      </c>
    </row>
    <row r="3938" spans="1:12" x14ac:dyDescent="0.25">
      <c r="A3938" t="s">
        <v>487</v>
      </c>
      <c r="B3938" t="s">
        <v>463</v>
      </c>
      <c r="C3938" t="s">
        <v>464</v>
      </c>
      <c r="D3938" t="s">
        <v>344</v>
      </c>
      <c r="E3938" t="s">
        <v>348</v>
      </c>
      <c r="F3938">
        <v>2</v>
      </c>
      <c r="G3938" t="s">
        <v>488</v>
      </c>
      <c r="H3938" s="4">
        <v>23789224</v>
      </c>
      <c r="I3938" s="4">
        <v>21168197.958499722</v>
      </c>
      <c r="J3938" s="3">
        <v>0.11017702979720052</v>
      </c>
      <c r="K3938" s="3">
        <v>0.1238190443342793</v>
      </c>
      <c r="L3938" t="s">
        <v>54</v>
      </c>
    </row>
    <row r="3939" spans="1:12" x14ac:dyDescent="0.25">
      <c r="A3939" t="s">
        <v>487</v>
      </c>
      <c r="B3939" t="s">
        <v>463</v>
      </c>
      <c r="C3939" t="s">
        <v>464</v>
      </c>
      <c r="D3939" t="s">
        <v>344</v>
      </c>
      <c r="E3939" t="s">
        <v>348</v>
      </c>
      <c r="F3939">
        <v>2</v>
      </c>
      <c r="G3939" t="s">
        <v>498</v>
      </c>
      <c r="H3939" s="4">
        <v>23789224</v>
      </c>
      <c r="I3939" s="4">
        <v>16160673</v>
      </c>
      <c r="J3939" s="3">
        <v>0.32067254484635566</v>
      </c>
      <c r="K3939" s="3">
        <v>0.47204414073597056</v>
      </c>
      <c r="L3939" t="s">
        <v>54</v>
      </c>
    </row>
    <row r="3940" spans="1:12" x14ac:dyDescent="0.25">
      <c r="A3940" t="s">
        <v>487</v>
      </c>
      <c r="B3940" t="s">
        <v>463</v>
      </c>
      <c r="C3940" t="s">
        <v>464</v>
      </c>
      <c r="D3940" t="s">
        <v>344</v>
      </c>
      <c r="E3940" t="s">
        <v>348</v>
      </c>
      <c r="F3940">
        <v>2</v>
      </c>
      <c r="G3940" t="s">
        <v>499</v>
      </c>
      <c r="H3940" s="4">
        <v>23789224</v>
      </c>
      <c r="I3940" s="4">
        <v>30068655</v>
      </c>
      <c r="J3940" s="3">
        <v>0.2639611531675014</v>
      </c>
      <c r="K3940" s="3">
        <v>-0.20883644446351193</v>
      </c>
      <c r="L3940" t="s">
        <v>54</v>
      </c>
    </row>
    <row r="3941" spans="1:12" x14ac:dyDescent="0.25">
      <c r="A3941" t="s">
        <v>487</v>
      </c>
      <c r="B3941" t="s">
        <v>463</v>
      </c>
      <c r="C3941" t="s">
        <v>464</v>
      </c>
      <c r="D3941" t="s">
        <v>344</v>
      </c>
      <c r="E3941" t="s">
        <v>350</v>
      </c>
      <c r="F3941">
        <v>3</v>
      </c>
      <c r="G3941" t="s">
        <v>488</v>
      </c>
      <c r="H3941" s="4">
        <v>20836270</v>
      </c>
      <c r="I3941" s="4">
        <v>17823162.048290838</v>
      </c>
      <c r="J3941" s="3">
        <v>0.14460879762592643</v>
      </c>
      <c r="K3941" s="3">
        <v>0.1690557457506877</v>
      </c>
      <c r="L3941" t="s">
        <v>54</v>
      </c>
    </row>
    <row r="3942" spans="1:12" x14ac:dyDescent="0.25">
      <c r="A3942" t="s">
        <v>487</v>
      </c>
      <c r="B3942" t="s">
        <v>463</v>
      </c>
      <c r="C3942" t="s">
        <v>464</v>
      </c>
      <c r="D3942" t="s">
        <v>344</v>
      </c>
      <c r="E3942" t="s">
        <v>350</v>
      </c>
      <c r="F3942">
        <v>3</v>
      </c>
      <c r="G3942" t="s">
        <v>498</v>
      </c>
      <c r="H3942" s="4">
        <v>20836270</v>
      </c>
      <c r="I3942" s="4">
        <v>13606935</v>
      </c>
      <c r="J3942" s="3">
        <v>0.34695917263502535</v>
      </c>
      <c r="K3942" s="3">
        <v>0.5312978271741579</v>
      </c>
      <c r="L3942" t="s">
        <v>54</v>
      </c>
    </row>
    <row r="3943" spans="1:12" x14ac:dyDescent="0.25">
      <c r="A3943" t="s">
        <v>487</v>
      </c>
      <c r="B3943" t="s">
        <v>463</v>
      </c>
      <c r="C3943" t="s">
        <v>464</v>
      </c>
      <c r="D3943" t="s">
        <v>344</v>
      </c>
      <c r="E3943" t="s">
        <v>350</v>
      </c>
      <c r="F3943">
        <v>3</v>
      </c>
      <c r="G3943" t="s">
        <v>499</v>
      </c>
      <c r="H3943" s="4">
        <v>20836270</v>
      </c>
      <c r="I3943" s="4">
        <v>30068655</v>
      </c>
      <c r="J3943" s="3">
        <v>0.44309202174861434</v>
      </c>
      <c r="K3943" s="3">
        <v>-0.3070434976223579</v>
      </c>
      <c r="L3943" t="s">
        <v>54</v>
      </c>
    </row>
    <row r="3944" spans="1:12" x14ac:dyDescent="0.25">
      <c r="A3944" t="s">
        <v>487</v>
      </c>
      <c r="B3944" t="s">
        <v>463</v>
      </c>
      <c r="C3944" t="s">
        <v>464</v>
      </c>
      <c r="D3944" t="s">
        <v>346</v>
      </c>
      <c r="E3944" t="s">
        <v>348</v>
      </c>
      <c r="F3944">
        <v>1</v>
      </c>
      <c r="G3944" t="s">
        <v>488</v>
      </c>
      <c r="H3944" s="4">
        <v>23789224</v>
      </c>
      <c r="I3944" s="4">
        <v>21622140.812167685</v>
      </c>
      <c r="J3944" s="3">
        <v>0.09109516089437447</v>
      </c>
      <c r="K3944" s="3">
        <v>0.10022519077356142</v>
      </c>
      <c r="L3944" t="s">
        <v>54</v>
      </c>
    </row>
    <row r="3945" spans="1:12" x14ac:dyDescent="0.25">
      <c r="A3945" t="s">
        <v>487</v>
      </c>
      <c r="B3945" t="s">
        <v>463</v>
      </c>
      <c r="C3945" t="s">
        <v>464</v>
      </c>
      <c r="D3945" t="s">
        <v>346</v>
      </c>
      <c r="E3945" t="s">
        <v>348</v>
      </c>
      <c r="F3945">
        <v>1</v>
      </c>
      <c r="G3945" t="s">
        <v>498</v>
      </c>
      <c r="H3945" s="4">
        <v>23789224</v>
      </c>
      <c r="I3945" s="4">
        <v>16160673</v>
      </c>
      <c r="J3945" s="3">
        <v>0.32067254484635566</v>
      </c>
      <c r="K3945" s="3">
        <v>0.47204414073597056</v>
      </c>
      <c r="L3945" t="s">
        <v>54</v>
      </c>
    </row>
    <row r="3946" spans="1:12" x14ac:dyDescent="0.25">
      <c r="A3946" t="s">
        <v>487</v>
      </c>
      <c r="B3946" t="s">
        <v>463</v>
      </c>
      <c r="C3946" t="s">
        <v>464</v>
      </c>
      <c r="D3946" t="s">
        <v>346</v>
      </c>
      <c r="E3946" t="s">
        <v>348</v>
      </c>
      <c r="F3946">
        <v>1</v>
      </c>
      <c r="G3946" t="s">
        <v>499</v>
      </c>
      <c r="H3946" s="4">
        <v>23789224</v>
      </c>
      <c r="I3946" s="4">
        <v>28236122</v>
      </c>
      <c r="J3946" s="3">
        <v>0.1869290902469118</v>
      </c>
      <c r="K3946" s="3">
        <v>-0.1574896864378189</v>
      </c>
      <c r="L3946" t="s">
        <v>54</v>
      </c>
    </row>
    <row r="3947" spans="1:12" x14ac:dyDescent="0.25">
      <c r="A3947" t="s">
        <v>487</v>
      </c>
      <c r="B3947" t="s">
        <v>463</v>
      </c>
      <c r="C3947" t="s">
        <v>464</v>
      </c>
      <c r="D3947" t="s">
        <v>346</v>
      </c>
      <c r="E3947" t="s">
        <v>350</v>
      </c>
      <c r="F3947">
        <v>2</v>
      </c>
      <c r="G3947" t="s">
        <v>488</v>
      </c>
      <c r="H3947" s="4">
        <v>20836270</v>
      </c>
      <c r="I3947" s="4">
        <v>18205372.05300874</v>
      </c>
      <c r="J3947" s="3">
        <v>0.12626530309845577</v>
      </c>
      <c r="K3947" s="3">
        <v>0.14451217691848608</v>
      </c>
      <c r="L3947" t="s">
        <v>54</v>
      </c>
    </row>
    <row r="3948" spans="1:12" x14ac:dyDescent="0.25">
      <c r="A3948" t="s">
        <v>487</v>
      </c>
      <c r="B3948" t="s">
        <v>463</v>
      </c>
      <c r="C3948" t="s">
        <v>464</v>
      </c>
      <c r="D3948" t="s">
        <v>346</v>
      </c>
      <c r="E3948" t="s">
        <v>350</v>
      </c>
      <c r="F3948">
        <v>2</v>
      </c>
      <c r="G3948" t="s">
        <v>498</v>
      </c>
      <c r="H3948" s="4">
        <v>20836270</v>
      </c>
      <c r="I3948" s="4">
        <v>13606935</v>
      </c>
      <c r="J3948" s="3">
        <v>0.34695917263502535</v>
      </c>
      <c r="K3948" s="3">
        <v>0.5312978271741579</v>
      </c>
      <c r="L3948" t="s">
        <v>54</v>
      </c>
    </row>
    <row r="3949" spans="1:12" x14ac:dyDescent="0.25">
      <c r="A3949" t="s">
        <v>487</v>
      </c>
      <c r="B3949" t="s">
        <v>463</v>
      </c>
      <c r="C3949" t="s">
        <v>464</v>
      </c>
      <c r="D3949" t="s">
        <v>346</v>
      </c>
      <c r="E3949" t="s">
        <v>350</v>
      </c>
      <c r="F3949">
        <v>2</v>
      </c>
      <c r="G3949" t="s">
        <v>499</v>
      </c>
      <c r="H3949" s="4">
        <v>20836270</v>
      </c>
      <c r="I3949" s="4">
        <v>28236122</v>
      </c>
      <c r="J3949" s="3">
        <v>0.3551428350659691</v>
      </c>
      <c r="K3949" s="3">
        <v>-0.26207040754392547</v>
      </c>
      <c r="L3949" t="s">
        <v>54</v>
      </c>
    </row>
    <row r="3950" spans="1:12" x14ac:dyDescent="0.25">
      <c r="A3950" t="s">
        <v>487</v>
      </c>
      <c r="B3950" t="s">
        <v>463</v>
      </c>
      <c r="C3950" t="s">
        <v>464</v>
      </c>
      <c r="D3950" t="s">
        <v>346</v>
      </c>
      <c r="E3950" t="s">
        <v>352</v>
      </c>
      <c r="F3950">
        <v>3</v>
      </c>
      <c r="G3950" t="s">
        <v>488</v>
      </c>
      <c r="H3950" s="4">
        <v>20715558</v>
      </c>
      <c r="I3950" s="4">
        <v>22146581.658332236</v>
      </c>
      <c r="J3950" s="3">
        <v>0.06907965782684859</v>
      </c>
      <c r="K3950" s="3">
        <v>-0.06461600622657901</v>
      </c>
      <c r="L3950" t="s">
        <v>54</v>
      </c>
    </row>
    <row r="3951" spans="1:12" x14ac:dyDescent="0.25">
      <c r="A3951" t="s">
        <v>487</v>
      </c>
      <c r="B3951" t="s">
        <v>463</v>
      </c>
      <c r="C3951" t="s">
        <v>464</v>
      </c>
      <c r="D3951" t="s">
        <v>346</v>
      </c>
      <c r="E3951" t="s">
        <v>352</v>
      </c>
      <c r="F3951">
        <v>3</v>
      </c>
      <c r="G3951" t="s">
        <v>498</v>
      </c>
      <c r="H3951" s="4">
        <v>20715558</v>
      </c>
      <c r="I3951" s="4">
        <v>16552647</v>
      </c>
      <c r="J3951" s="3">
        <v>0.20095577439912551</v>
      </c>
      <c r="K3951" s="3">
        <v>0.25149518382165703</v>
      </c>
      <c r="L3951" t="s">
        <v>54</v>
      </c>
    </row>
    <row r="3952" spans="1:12" x14ac:dyDescent="0.25">
      <c r="A3952" t="s">
        <v>487</v>
      </c>
      <c r="B3952" t="s">
        <v>463</v>
      </c>
      <c r="C3952" t="s">
        <v>464</v>
      </c>
      <c r="D3952" t="s">
        <v>346</v>
      </c>
      <c r="E3952" t="s">
        <v>352</v>
      </c>
      <c r="F3952">
        <v>3</v>
      </c>
      <c r="G3952" t="s">
        <v>499</v>
      </c>
      <c r="H3952" s="4">
        <v>20715558</v>
      </c>
      <c r="I3952" s="4">
        <v>28236122</v>
      </c>
      <c r="J3952" s="3">
        <v>0.3630394122137574</v>
      </c>
      <c r="K3952" s="3">
        <v>-0.2663454988613521</v>
      </c>
      <c r="L3952" t="s">
        <v>54</v>
      </c>
    </row>
    <row r="3953" spans="1:12" x14ac:dyDescent="0.25">
      <c r="A3953" t="s">
        <v>487</v>
      </c>
      <c r="B3953" t="s">
        <v>463</v>
      </c>
      <c r="C3953" t="s">
        <v>464</v>
      </c>
      <c r="D3953" t="s">
        <v>348</v>
      </c>
      <c r="E3953" t="s">
        <v>350</v>
      </c>
      <c r="F3953">
        <v>1</v>
      </c>
      <c r="G3953" t="s">
        <v>488</v>
      </c>
      <c r="H3953" s="4">
        <v>20836270</v>
      </c>
      <c r="I3953" s="4">
        <v>18972394.285454962</v>
      </c>
      <c r="J3953" s="3">
        <v>0.08945342494338178</v>
      </c>
      <c r="K3953" s="3">
        <v>0.09824146001298124</v>
      </c>
      <c r="L3953" t="s">
        <v>54</v>
      </c>
    </row>
    <row r="3954" spans="1:12" x14ac:dyDescent="0.25">
      <c r="A3954" t="s">
        <v>487</v>
      </c>
      <c r="B3954" t="s">
        <v>463</v>
      </c>
      <c r="C3954" t="s">
        <v>464</v>
      </c>
      <c r="D3954" t="s">
        <v>348</v>
      </c>
      <c r="E3954" t="s">
        <v>350</v>
      </c>
      <c r="F3954">
        <v>1</v>
      </c>
      <c r="G3954" t="s">
        <v>498</v>
      </c>
      <c r="H3954" s="4">
        <v>20836270</v>
      </c>
      <c r="I3954" s="4">
        <v>13606935</v>
      </c>
      <c r="J3954" s="3">
        <v>0.34695917263502535</v>
      </c>
      <c r="K3954" s="3">
        <v>0.5312978271741579</v>
      </c>
      <c r="L3954" t="s">
        <v>54</v>
      </c>
    </row>
    <row r="3955" spans="1:12" x14ac:dyDescent="0.25">
      <c r="A3955" t="s">
        <v>487</v>
      </c>
      <c r="B3955" t="s">
        <v>463</v>
      </c>
      <c r="C3955" t="s">
        <v>464</v>
      </c>
      <c r="D3955" t="s">
        <v>348</v>
      </c>
      <c r="E3955" t="s">
        <v>350</v>
      </c>
      <c r="F3955">
        <v>1</v>
      </c>
      <c r="G3955" t="s">
        <v>499</v>
      </c>
      <c r="H3955" s="4">
        <v>20836270</v>
      </c>
      <c r="I3955" s="4">
        <v>23789224</v>
      </c>
      <c r="J3955" s="3">
        <v>0.1417218148929727</v>
      </c>
      <c r="K3955" s="3">
        <v>-0.12412990015983708</v>
      </c>
      <c r="L3955" t="s">
        <v>54</v>
      </c>
    </row>
    <row r="3956" spans="1:12" x14ac:dyDescent="0.25">
      <c r="A3956" t="s">
        <v>487</v>
      </c>
      <c r="B3956" t="s">
        <v>463</v>
      </c>
      <c r="C3956" t="s">
        <v>464</v>
      </c>
      <c r="D3956" t="s">
        <v>348</v>
      </c>
      <c r="E3956" t="s">
        <v>352</v>
      </c>
      <c r="F3956">
        <v>2</v>
      </c>
      <c r="G3956" t="s">
        <v>488</v>
      </c>
      <c r="H3956" s="4">
        <v>20715558</v>
      </c>
      <c r="I3956" s="4">
        <v>23079653.526084546</v>
      </c>
      <c r="J3956" s="3">
        <v>0.11412174009913448</v>
      </c>
      <c r="K3956" s="3">
        <v>-0.10243201976202343</v>
      </c>
      <c r="L3956" t="s">
        <v>54</v>
      </c>
    </row>
    <row r="3957" spans="1:12" x14ac:dyDescent="0.25">
      <c r="A3957" t="s">
        <v>487</v>
      </c>
      <c r="B3957" t="s">
        <v>463</v>
      </c>
      <c r="C3957" t="s">
        <v>464</v>
      </c>
      <c r="D3957" t="s">
        <v>348</v>
      </c>
      <c r="E3957" t="s">
        <v>352</v>
      </c>
      <c r="F3957">
        <v>2</v>
      </c>
      <c r="G3957" t="s">
        <v>498</v>
      </c>
      <c r="H3957" s="4">
        <v>20715558</v>
      </c>
      <c r="I3957" s="4">
        <v>16552647</v>
      </c>
      <c r="J3957" s="3">
        <v>0.20095577439912551</v>
      </c>
      <c r="K3957" s="3">
        <v>0.25149518382165703</v>
      </c>
      <c r="L3957" t="s">
        <v>54</v>
      </c>
    </row>
    <row r="3958" spans="1:12" x14ac:dyDescent="0.25">
      <c r="A3958" t="s">
        <v>487</v>
      </c>
      <c r="B3958" t="s">
        <v>463</v>
      </c>
      <c r="C3958" t="s">
        <v>464</v>
      </c>
      <c r="D3958" t="s">
        <v>348</v>
      </c>
      <c r="E3958" t="s">
        <v>352</v>
      </c>
      <c r="F3958">
        <v>2</v>
      </c>
      <c r="G3958" t="s">
        <v>499</v>
      </c>
      <c r="H3958" s="4">
        <v>20715558</v>
      </c>
      <c r="I3958" s="4">
        <v>23789224</v>
      </c>
      <c r="J3958" s="3">
        <v>0.14837476258182378</v>
      </c>
      <c r="K3958" s="3">
        <v>-0.12920413040795278</v>
      </c>
      <c r="L3958" t="s">
        <v>54</v>
      </c>
    </row>
    <row r="3959" spans="1:12" x14ac:dyDescent="0.25">
      <c r="A3959" t="s">
        <v>487</v>
      </c>
      <c r="B3959" t="s">
        <v>463</v>
      </c>
      <c r="C3959" t="s">
        <v>464</v>
      </c>
      <c r="D3959" t="s">
        <v>348</v>
      </c>
      <c r="E3959" t="s">
        <v>354</v>
      </c>
      <c r="F3959">
        <v>3</v>
      </c>
      <c r="G3959" t="s">
        <v>488</v>
      </c>
      <c r="H3959" s="4">
        <v>28812821</v>
      </c>
      <c r="I3959" s="4">
        <v>27259434.034110136</v>
      </c>
      <c r="J3959" s="3">
        <v>0.053913046761018775</v>
      </c>
      <c r="K3959" s="3">
        <v>0.056985297785203004</v>
      </c>
      <c r="L3959" t="s">
        <v>54</v>
      </c>
    </row>
    <row r="3960" spans="1:12" x14ac:dyDescent="0.25">
      <c r="A3960" t="s">
        <v>487</v>
      </c>
      <c r="B3960" t="s">
        <v>463</v>
      </c>
      <c r="C3960" t="s">
        <v>464</v>
      </c>
      <c r="D3960" t="s">
        <v>348</v>
      </c>
      <c r="E3960" t="s">
        <v>354</v>
      </c>
      <c r="F3960">
        <v>3</v>
      </c>
      <c r="G3960" t="s">
        <v>498</v>
      </c>
      <c r="H3960" s="4">
        <v>28812821</v>
      </c>
      <c r="I3960" s="4">
        <v>19550371</v>
      </c>
      <c r="J3960" s="3">
        <v>0.32146973737837053</v>
      </c>
      <c r="K3960" s="3">
        <v>0.47377361790218714</v>
      </c>
      <c r="L3960" t="s">
        <v>54</v>
      </c>
    </row>
    <row r="3961" spans="1:12" x14ac:dyDescent="0.25">
      <c r="A3961" t="s">
        <v>487</v>
      </c>
      <c r="B3961" t="s">
        <v>463</v>
      </c>
      <c r="C3961" t="s">
        <v>464</v>
      </c>
      <c r="D3961" t="s">
        <v>348</v>
      </c>
      <c r="E3961" t="s">
        <v>354</v>
      </c>
      <c r="F3961">
        <v>3</v>
      </c>
      <c r="G3961" t="s">
        <v>499</v>
      </c>
      <c r="H3961" s="4">
        <v>28812821</v>
      </c>
      <c r="I3961" s="4">
        <v>23789224</v>
      </c>
      <c r="J3961" s="3">
        <v>0.17435283410812152</v>
      </c>
      <c r="K3961" s="3">
        <v>0.21117111680481884</v>
      </c>
      <c r="L3961" t="s">
        <v>54</v>
      </c>
    </row>
    <row r="3962" spans="1:12" x14ac:dyDescent="0.25">
      <c r="A3962" t="s">
        <v>487</v>
      </c>
      <c r="B3962" t="s">
        <v>463</v>
      </c>
      <c r="C3962" t="s">
        <v>464</v>
      </c>
      <c r="D3962" t="s">
        <v>350</v>
      </c>
      <c r="E3962" t="s">
        <v>352</v>
      </c>
      <c r="F3962">
        <v>1</v>
      </c>
      <c r="G3962" t="s">
        <v>488</v>
      </c>
      <c r="H3962" s="4">
        <v>20715558</v>
      </c>
      <c r="I3962" s="4">
        <v>23861959.28242866</v>
      </c>
      <c r="J3962" s="3">
        <v>0.1518859053870844</v>
      </c>
      <c r="K3962" s="3">
        <v>-0.1318584633050476</v>
      </c>
      <c r="L3962" t="s">
        <v>54</v>
      </c>
    </row>
    <row r="3963" spans="1:12" x14ac:dyDescent="0.25">
      <c r="A3963" t="s">
        <v>487</v>
      </c>
      <c r="B3963" t="s">
        <v>463</v>
      </c>
      <c r="C3963" t="s">
        <v>464</v>
      </c>
      <c r="D3963" t="s">
        <v>350</v>
      </c>
      <c r="E3963" t="s">
        <v>352</v>
      </c>
      <c r="F3963">
        <v>1</v>
      </c>
      <c r="G3963" t="s">
        <v>498</v>
      </c>
      <c r="H3963" s="4">
        <v>20715558</v>
      </c>
      <c r="I3963" s="4">
        <v>16552647</v>
      </c>
      <c r="J3963" s="3">
        <v>0.20095577439912551</v>
      </c>
      <c r="K3963" s="3">
        <v>0.25149518382165703</v>
      </c>
      <c r="L3963" t="s">
        <v>54</v>
      </c>
    </row>
    <row r="3964" spans="1:12" x14ac:dyDescent="0.25">
      <c r="A3964" t="s">
        <v>487</v>
      </c>
      <c r="B3964" t="s">
        <v>463</v>
      </c>
      <c r="C3964" t="s">
        <v>464</v>
      </c>
      <c r="D3964" t="s">
        <v>350</v>
      </c>
      <c r="E3964" t="s">
        <v>352</v>
      </c>
      <c r="F3964">
        <v>1</v>
      </c>
      <c r="G3964" t="s">
        <v>499</v>
      </c>
      <c r="H3964" s="4">
        <v>20715558</v>
      </c>
      <c r="I3964" s="4">
        <v>20836270</v>
      </c>
      <c r="J3964" s="3">
        <v>0.005827117956465377</v>
      </c>
      <c r="K3964" s="3">
        <v>-0.005793359368063478</v>
      </c>
      <c r="L3964" t="s">
        <v>54</v>
      </c>
    </row>
    <row r="3965" spans="1:12" x14ac:dyDescent="0.25">
      <c r="A3965" t="s">
        <v>487</v>
      </c>
      <c r="B3965" t="s">
        <v>463</v>
      </c>
      <c r="C3965" t="s">
        <v>464</v>
      </c>
      <c r="D3965" t="s">
        <v>350</v>
      </c>
      <c r="E3965" t="s">
        <v>354</v>
      </c>
      <c r="F3965">
        <v>2</v>
      </c>
      <c r="G3965" t="s">
        <v>488</v>
      </c>
      <c r="H3965" s="4">
        <v>28812821</v>
      </c>
      <c r="I3965" s="4">
        <v>28183417.235827845</v>
      </c>
      <c r="J3965" s="3">
        <v>0.021844572739758993</v>
      </c>
      <c r="K3965" s="3">
        <v>0.0223324147992967</v>
      </c>
      <c r="L3965" t="s">
        <v>54</v>
      </c>
    </row>
    <row r="3966" spans="1:12" x14ac:dyDescent="0.25">
      <c r="A3966" t="s">
        <v>487</v>
      </c>
      <c r="B3966" t="s">
        <v>463</v>
      </c>
      <c r="C3966" t="s">
        <v>464</v>
      </c>
      <c r="D3966" t="s">
        <v>350</v>
      </c>
      <c r="E3966" t="s">
        <v>354</v>
      </c>
      <c r="F3966">
        <v>2</v>
      </c>
      <c r="G3966" t="s">
        <v>498</v>
      </c>
      <c r="H3966" s="4">
        <v>28812821</v>
      </c>
      <c r="I3966" s="4">
        <v>19550371</v>
      </c>
      <c r="J3966" s="3">
        <v>0.32146973737837053</v>
      </c>
      <c r="K3966" s="3">
        <v>0.47377361790218714</v>
      </c>
      <c r="L3966" t="s">
        <v>54</v>
      </c>
    </row>
    <row r="3967" spans="1:12" x14ac:dyDescent="0.25">
      <c r="A3967" t="s">
        <v>487</v>
      </c>
      <c r="B3967" t="s">
        <v>463</v>
      </c>
      <c r="C3967" t="s">
        <v>464</v>
      </c>
      <c r="D3967" t="s">
        <v>350</v>
      </c>
      <c r="E3967" t="s">
        <v>354</v>
      </c>
      <c r="F3967">
        <v>2</v>
      </c>
      <c r="G3967" t="s">
        <v>499</v>
      </c>
      <c r="H3967" s="4">
        <v>28812821</v>
      </c>
      <c r="I3967" s="4">
        <v>20836270</v>
      </c>
      <c r="J3967" s="3">
        <v>0.27684033437753286</v>
      </c>
      <c r="K3967" s="3">
        <v>0.3828204856243464</v>
      </c>
      <c r="L3967" t="s">
        <v>54</v>
      </c>
    </row>
    <row r="3968" spans="1:12" x14ac:dyDescent="0.25">
      <c r="A3968" t="s">
        <v>487</v>
      </c>
      <c r="B3968" t="s">
        <v>463</v>
      </c>
      <c r="C3968" t="s">
        <v>464</v>
      </c>
      <c r="D3968" t="s">
        <v>350</v>
      </c>
      <c r="E3968" t="s">
        <v>356</v>
      </c>
      <c r="F3968">
        <v>3</v>
      </c>
      <c r="G3968" t="s">
        <v>488</v>
      </c>
      <c r="H3968" s="4">
        <v>40609601</v>
      </c>
      <c r="I3968" s="4">
        <v>45898059.894372344</v>
      </c>
      <c r="J3968" s="3">
        <v>0.13022681248142143</v>
      </c>
      <c r="K3968" s="3">
        <v>-0.11522183958413398</v>
      </c>
      <c r="L3968" t="s">
        <v>54</v>
      </c>
    </row>
    <row r="3969" spans="1:12" x14ac:dyDescent="0.25">
      <c r="A3969" t="s">
        <v>487</v>
      </c>
      <c r="B3969" t="s">
        <v>463</v>
      </c>
      <c r="C3969" t="s">
        <v>464</v>
      </c>
      <c r="D3969" t="s">
        <v>350</v>
      </c>
      <c r="E3969" t="s">
        <v>356</v>
      </c>
      <c r="F3969">
        <v>3</v>
      </c>
      <c r="G3969" t="s">
        <v>498</v>
      </c>
      <c r="H3969" s="4">
        <v>40609601</v>
      </c>
      <c r="I3969" s="4">
        <v>31838726</v>
      </c>
      <c r="J3969" s="3">
        <v>0.21598032938072945</v>
      </c>
      <c r="K3969" s="3">
        <v>0.2754782022371121</v>
      </c>
      <c r="L3969" t="s">
        <v>54</v>
      </c>
    </row>
    <row r="3970" spans="1:12" x14ac:dyDescent="0.25">
      <c r="A3970" t="s">
        <v>487</v>
      </c>
      <c r="B3970" t="s">
        <v>463</v>
      </c>
      <c r="C3970" t="s">
        <v>464</v>
      </c>
      <c r="D3970" t="s">
        <v>350</v>
      </c>
      <c r="E3970" t="s">
        <v>356</v>
      </c>
      <c r="F3970">
        <v>3</v>
      </c>
      <c r="G3970" t="s">
        <v>499</v>
      </c>
      <c r="H3970" s="4">
        <v>40609601</v>
      </c>
      <c r="I3970" s="4">
        <v>20836270</v>
      </c>
      <c r="J3970" s="3">
        <v>0.48691271307984535</v>
      </c>
      <c r="K3970" s="3">
        <v>0.9489861189166775</v>
      </c>
      <c r="L3970" t="s">
        <v>54</v>
      </c>
    </row>
    <row r="3971" spans="1:12" x14ac:dyDescent="0.25">
      <c r="A3971" t="s">
        <v>487</v>
      </c>
      <c r="B3971" t="s">
        <v>463</v>
      </c>
      <c r="C3971" t="s">
        <v>464</v>
      </c>
      <c r="D3971" t="s">
        <v>352</v>
      </c>
      <c r="E3971" t="s">
        <v>354</v>
      </c>
      <c r="F3971">
        <v>1</v>
      </c>
      <c r="G3971" t="s">
        <v>488</v>
      </c>
      <c r="H3971" s="4">
        <v>28812821</v>
      </c>
      <c r="I3971" s="4">
        <v>27521014.640396267</v>
      </c>
      <c r="J3971" s="3">
        <v>0.04483442838185587</v>
      </c>
      <c r="K3971" s="3">
        <v>0.046938907467008</v>
      </c>
      <c r="L3971" t="s">
        <v>54</v>
      </c>
    </row>
    <row r="3972" spans="1:12" x14ac:dyDescent="0.25">
      <c r="A3972" t="s">
        <v>487</v>
      </c>
      <c r="B3972" t="s">
        <v>463</v>
      </c>
      <c r="C3972" t="s">
        <v>464</v>
      </c>
      <c r="D3972" t="s">
        <v>352</v>
      </c>
      <c r="E3972" t="s">
        <v>354</v>
      </c>
      <c r="F3972">
        <v>1</v>
      </c>
      <c r="G3972" t="s">
        <v>498</v>
      </c>
      <c r="H3972" s="4">
        <v>28812821</v>
      </c>
      <c r="I3972" s="4">
        <v>19550371</v>
      </c>
      <c r="J3972" s="3">
        <v>0.32146973737837053</v>
      </c>
      <c r="K3972" s="3">
        <v>0.47377361790218714</v>
      </c>
      <c r="L3972" t="s">
        <v>54</v>
      </c>
    </row>
    <row r="3973" spans="1:12" x14ac:dyDescent="0.25">
      <c r="A3973" t="s">
        <v>487</v>
      </c>
      <c r="B3973" t="s">
        <v>463</v>
      </c>
      <c r="C3973" t="s">
        <v>464</v>
      </c>
      <c r="D3973" t="s">
        <v>352</v>
      </c>
      <c r="E3973" t="s">
        <v>354</v>
      </c>
      <c r="F3973">
        <v>1</v>
      </c>
      <c r="G3973" t="s">
        <v>499</v>
      </c>
      <c r="H3973" s="4">
        <v>28812821</v>
      </c>
      <c r="I3973" s="4">
        <v>20715558</v>
      </c>
      <c r="J3973" s="3">
        <v>0.2810298582009724</v>
      </c>
      <c r="K3973" s="3">
        <v>0.3908783437066962</v>
      </c>
      <c r="L3973" t="s">
        <v>54</v>
      </c>
    </row>
    <row r="3974" spans="1:12" x14ac:dyDescent="0.25">
      <c r="A3974" t="s">
        <v>487</v>
      </c>
      <c r="B3974" t="s">
        <v>463</v>
      </c>
      <c r="C3974" t="s">
        <v>464</v>
      </c>
      <c r="D3974" t="s">
        <v>352</v>
      </c>
      <c r="E3974" t="s">
        <v>356</v>
      </c>
      <c r="F3974">
        <v>2</v>
      </c>
      <c r="G3974" t="s">
        <v>488</v>
      </c>
      <c r="H3974" s="4">
        <v>40609601</v>
      </c>
      <c r="I3974" s="4">
        <v>44819305.18748546</v>
      </c>
      <c r="J3974" s="3">
        <v>0.10366278130842646</v>
      </c>
      <c r="K3974" s="3">
        <v>-0.09392613673674038</v>
      </c>
      <c r="L3974" t="s">
        <v>54</v>
      </c>
    </row>
    <row r="3975" spans="1:12" x14ac:dyDescent="0.25">
      <c r="A3975" t="s">
        <v>487</v>
      </c>
      <c r="B3975" t="s">
        <v>463</v>
      </c>
      <c r="C3975" t="s">
        <v>464</v>
      </c>
      <c r="D3975" t="s">
        <v>352</v>
      </c>
      <c r="E3975" t="s">
        <v>356</v>
      </c>
      <c r="F3975">
        <v>2</v>
      </c>
      <c r="G3975" t="s">
        <v>498</v>
      </c>
      <c r="H3975" s="4">
        <v>40609601</v>
      </c>
      <c r="I3975" s="4">
        <v>31838726</v>
      </c>
      <c r="J3975" s="3">
        <v>0.21598032938072945</v>
      </c>
      <c r="K3975" s="3">
        <v>0.2754782022371121</v>
      </c>
      <c r="L3975" t="s">
        <v>54</v>
      </c>
    </row>
    <row r="3976" spans="1:12" x14ac:dyDescent="0.25">
      <c r="A3976" t="s">
        <v>487</v>
      </c>
      <c r="B3976" t="s">
        <v>463</v>
      </c>
      <c r="C3976" t="s">
        <v>464</v>
      </c>
      <c r="D3976" t="s">
        <v>352</v>
      </c>
      <c r="E3976" t="s">
        <v>356</v>
      </c>
      <c r="F3976">
        <v>2</v>
      </c>
      <c r="G3976" t="s">
        <v>499</v>
      </c>
      <c r="H3976" s="4">
        <v>40609601</v>
      </c>
      <c r="I3976" s="4">
        <v>20715558</v>
      </c>
      <c r="J3976" s="3">
        <v>0.4898852121201585</v>
      </c>
      <c r="K3976" s="3">
        <v>0.9603430909271187</v>
      </c>
      <c r="L3976" t="s">
        <v>54</v>
      </c>
    </row>
    <row r="3977" spans="1:12" x14ac:dyDescent="0.25">
      <c r="A3977" t="s">
        <v>487</v>
      </c>
      <c r="B3977" t="s">
        <v>463</v>
      </c>
      <c r="C3977" t="s">
        <v>464</v>
      </c>
      <c r="D3977" t="s">
        <v>352</v>
      </c>
      <c r="E3977" t="s">
        <v>358</v>
      </c>
      <c r="F3977">
        <v>3</v>
      </c>
      <c r="G3977" t="s">
        <v>488</v>
      </c>
      <c r="H3977" s="4">
        <v>43693218</v>
      </c>
      <c r="I3977" s="4">
        <v>55742905.13308596</v>
      </c>
      <c r="J3977" s="3">
        <v>0.2757793471079644</v>
      </c>
      <c r="K3977" s="3">
        <v>-0.2161653954762024</v>
      </c>
      <c r="L3977" t="s">
        <v>54</v>
      </c>
    </row>
    <row r="3978" spans="1:12" x14ac:dyDescent="0.25">
      <c r="A3978" t="s">
        <v>487</v>
      </c>
      <c r="B3978" t="s">
        <v>463</v>
      </c>
      <c r="C3978" t="s">
        <v>464</v>
      </c>
      <c r="D3978" t="s">
        <v>352</v>
      </c>
      <c r="E3978" t="s">
        <v>358</v>
      </c>
      <c r="F3978">
        <v>3</v>
      </c>
      <c r="G3978" t="s">
        <v>498</v>
      </c>
      <c r="H3978" s="4">
        <v>43693218</v>
      </c>
      <c r="I3978" s="4">
        <v>39598630</v>
      </c>
      <c r="J3978" s="3">
        <v>0.0937122095241417</v>
      </c>
      <c r="K3978" s="3">
        <v>0.1034022641692402</v>
      </c>
      <c r="L3978" t="s">
        <v>54</v>
      </c>
    </row>
    <row r="3979" spans="1:12" x14ac:dyDescent="0.25">
      <c r="A3979" t="s">
        <v>487</v>
      </c>
      <c r="B3979" t="s">
        <v>463</v>
      </c>
      <c r="C3979" t="s">
        <v>464</v>
      </c>
      <c r="D3979" t="s">
        <v>352</v>
      </c>
      <c r="E3979" t="s">
        <v>358</v>
      </c>
      <c r="F3979">
        <v>3</v>
      </c>
      <c r="G3979" t="s">
        <v>499</v>
      </c>
      <c r="H3979" s="4">
        <v>43693218</v>
      </c>
      <c r="I3979" s="4">
        <v>20715558</v>
      </c>
      <c r="J3979" s="3">
        <v>0.5258861913077677</v>
      </c>
      <c r="K3979" s="3">
        <v>1.1091982171081272</v>
      </c>
      <c r="L3979" t="s">
        <v>54</v>
      </c>
    </row>
    <row r="3980" spans="1:12" x14ac:dyDescent="0.25">
      <c r="A3980" t="s">
        <v>487</v>
      </c>
      <c r="B3980" t="s">
        <v>463</v>
      </c>
      <c r="C3980" t="s">
        <v>464</v>
      </c>
      <c r="D3980" t="s">
        <v>354</v>
      </c>
      <c r="E3980" t="s">
        <v>356</v>
      </c>
      <c r="F3980">
        <v>1</v>
      </c>
      <c r="G3980" t="s">
        <v>488</v>
      </c>
      <c r="H3980" s="4">
        <v>40609601</v>
      </c>
      <c r="I3980" s="4">
        <v>45265219.85000929</v>
      </c>
      <c r="J3980" s="3">
        <v>0.11464330442471701</v>
      </c>
      <c r="K3980" s="3">
        <v>-0.10285201011805838</v>
      </c>
      <c r="L3980" t="s">
        <v>54</v>
      </c>
    </row>
    <row r="3981" spans="1:12" x14ac:dyDescent="0.25">
      <c r="A3981" t="s">
        <v>487</v>
      </c>
      <c r="B3981" t="s">
        <v>463</v>
      </c>
      <c r="C3981" t="s">
        <v>464</v>
      </c>
      <c r="D3981" t="s">
        <v>354</v>
      </c>
      <c r="E3981" t="s">
        <v>356</v>
      </c>
      <c r="F3981">
        <v>1</v>
      </c>
      <c r="G3981" t="s">
        <v>498</v>
      </c>
      <c r="H3981" s="4">
        <v>40609601</v>
      </c>
      <c r="I3981" s="4">
        <v>31838726</v>
      </c>
      <c r="J3981" s="3">
        <v>0.21598032938072945</v>
      </c>
      <c r="K3981" s="3">
        <v>0.2754782022371121</v>
      </c>
      <c r="L3981" t="s">
        <v>54</v>
      </c>
    </row>
    <row r="3982" spans="1:12" x14ac:dyDescent="0.25">
      <c r="A3982" t="s">
        <v>487</v>
      </c>
      <c r="B3982" t="s">
        <v>463</v>
      </c>
      <c r="C3982" t="s">
        <v>464</v>
      </c>
      <c r="D3982" t="s">
        <v>354</v>
      </c>
      <c r="E3982" t="s">
        <v>356</v>
      </c>
      <c r="F3982">
        <v>1</v>
      </c>
      <c r="G3982" t="s">
        <v>499</v>
      </c>
      <c r="H3982" s="4">
        <v>40609601</v>
      </c>
      <c r="I3982" s="4">
        <v>28812821</v>
      </c>
      <c r="J3982" s="3">
        <v>0.2904923887333934</v>
      </c>
      <c r="K3982" s="3">
        <v>0.40942815005861455</v>
      </c>
      <c r="L3982" t="s">
        <v>54</v>
      </c>
    </row>
    <row r="3983" spans="1:12" x14ac:dyDescent="0.25">
      <c r="A3983" t="s">
        <v>487</v>
      </c>
      <c r="B3983" t="s">
        <v>463</v>
      </c>
      <c r="C3983" t="s">
        <v>464</v>
      </c>
      <c r="D3983" t="s">
        <v>354</v>
      </c>
      <c r="E3983" t="s">
        <v>358</v>
      </c>
      <c r="F3983">
        <v>2</v>
      </c>
      <c r="G3983" t="s">
        <v>488</v>
      </c>
      <c r="H3983" s="4">
        <v>43693218</v>
      </c>
      <c r="I3983" s="4">
        <v>56297500.49386943</v>
      </c>
      <c r="J3983" s="3">
        <v>0.2884722863367361</v>
      </c>
      <c r="K3983" s="3">
        <v>-0.2238870710652951</v>
      </c>
      <c r="L3983" t="s">
        <v>54</v>
      </c>
    </row>
    <row r="3984" spans="1:12" x14ac:dyDescent="0.25">
      <c r="A3984" t="s">
        <v>487</v>
      </c>
      <c r="B3984" t="s">
        <v>463</v>
      </c>
      <c r="C3984" t="s">
        <v>464</v>
      </c>
      <c r="D3984" t="s">
        <v>354</v>
      </c>
      <c r="E3984" t="s">
        <v>358</v>
      </c>
      <c r="F3984">
        <v>2</v>
      </c>
      <c r="G3984" t="s">
        <v>498</v>
      </c>
      <c r="H3984" s="4">
        <v>43693218</v>
      </c>
      <c r="I3984" s="4">
        <v>39598630</v>
      </c>
      <c r="J3984" s="3">
        <v>0.0937122095241417</v>
      </c>
      <c r="K3984" s="3">
        <v>0.1034022641692402</v>
      </c>
      <c r="L3984" t="s">
        <v>54</v>
      </c>
    </row>
    <row r="3985" spans="1:12" x14ac:dyDescent="0.25">
      <c r="A3985" t="s">
        <v>487</v>
      </c>
      <c r="B3985" t="s">
        <v>463</v>
      </c>
      <c r="C3985" t="s">
        <v>464</v>
      </c>
      <c r="D3985" t="s">
        <v>354</v>
      </c>
      <c r="E3985" t="s">
        <v>358</v>
      </c>
      <c r="F3985">
        <v>2</v>
      </c>
      <c r="G3985" t="s">
        <v>499</v>
      </c>
      <c r="H3985" s="4">
        <v>43693218</v>
      </c>
      <c r="I3985" s="4">
        <v>28812821</v>
      </c>
      <c r="J3985" s="3">
        <v>0.34056537103767454</v>
      </c>
      <c r="K3985" s="3">
        <v>0.5164505412364864</v>
      </c>
      <c r="L3985" t="s">
        <v>54</v>
      </c>
    </row>
    <row r="3986" spans="1:12" x14ac:dyDescent="0.25">
      <c r="A3986" t="s">
        <v>487</v>
      </c>
      <c r="B3986" t="s">
        <v>463</v>
      </c>
      <c r="C3986" t="s">
        <v>464</v>
      </c>
      <c r="D3986" t="s">
        <v>354</v>
      </c>
      <c r="E3986" t="s">
        <v>360</v>
      </c>
      <c r="F3986">
        <v>3</v>
      </c>
      <c r="G3986" t="s">
        <v>488</v>
      </c>
      <c r="H3986" s="4">
        <v>43966828</v>
      </c>
      <c r="I3986" s="4">
        <v>65840165.97939049</v>
      </c>
      <c r="J3986" s="3">
        <v>0.49749638476058555</v>
      </c>
      <c r="K3986" s="3">
        <v>-0.33221875513250304</v>
      </c>
      <c r="L3986" t="s">
        <v>54</v>
      </c>
    </row>
    <row r="3987" spans="1:12" x14ac:dyDescent="0.25">
      <c r="A3987" t="s">
        <v>487</v>
      </c>
      <c r="B3987" t="s">
        <v>463</v>
      </c>
      <c r="C3987" t="s">
        <v>464</v>
      </c>
      <c r="D3987" t="s">
        <v>354</v>
      </c>
      <c r="E3987" t="s">
        <v>360</v>
      </c>
      <c r="F3987">
        <v>3</v>
      </c>
      <c r="G3987" t="s">
        <v>498</v>
      </c>
      <c r="H3987" s="4">
        <v>43966828</v>
      </c>
      <c r="I3987" s="4">
        <v>46310766</v>
      </c>
      <c r="J3987" s="3">
        <v>0.05331151021401862</v>
      </c>
      <c r="K3987" s="3">
        <v>-0.05061324185395681</v>
      </c>
      <c r="L3987" t="s">
        <v>54</v>
      </c>
    </row>
    <row r="3988" spans="1:12" x14ac:dyDescent="0.25">
      <c r="A3988" t="s">
        <v>487</v>
      </c>
      <c r="B3988" t="s">
        <v>463</v>
      </c>
      <c r="C3988" t="s">
        <v>464</v>
      </c>
      <c r="D3988" t="s">
        <v>354</v>
      </c>
      <c r="E3988" t="s">
        <v>360</v>
      </c>
      <c r="F3988">
        <v>3</v>
      </c>
      <c r="G3988" t="s">
        <v>499</v>
      </c>
      <c r="H3988" s="4">
        <v>43966828</v>
      </c>
      <c r="I3988" s="4">
        <v>28812821</v>
      </c>
      <c r="J3988" s="3">
        <v>0.3446690991672176</v>
      </c>
      <c r="K3988" s="3">
        <v>0.5259466610367656</v>
      </c>
      <c r="L3988" t="s">
        <v>54</v>
      </c>
    </row>
    <row r="3989" spans="1:12" x14ac:dyDescent="0.25">
      <c r="A3989" t="s">
        <v>487</v>
      </c>
      <c r="B3989" t="s">
        <v>463</v>
      </c>
      <c r="C3989" t="s">
        <v>464</v>
      </c>
      <c r="D3989" t="s">
        <v>356</v>
      </c>
      <c r="E3989" t="s">
        <v>358</v>
      </c>
      <c r="F3989">
        <v>1</v>
      </c>
      <c r="G3989" t="s">
        <v>488</v>
      </c>
      <c r="H3989" s="4">
        <v>43693218</v>
      </c>
      <c r="I3989" s="4">
        <v>56058282.33459151</v>
      </c>
      <c r="J3989" s="3">
        <v>0.28299733690000833</v>
      </c>
      <c r="K3989" s="3">
        <v>-0.2205751553497293</v>
      </c>
      <c r="L3989" t="s">
        <v>54</v>
      </c>
    </row>
    <row r="3990" spans="1:12" x14ac:dyDescent="0.25">
      <c r="A3990" t="s">
        <v>487</v>
      </c>
      <c r="B3990" t="s">
        <v>463</v>
      </c>
      <c r="C3990" t="s">
        <v>464</v>
      </c>
      <c r="D3990" t="s">
        <v>356</v>
      </c>
      <c r="E3990" t="s">
        <v>358</v>
      </c>
      <c r="F3990">
        <v>1</v>
      </c>
      <c r="G3990" t="s">
        <v>498</v>
      </c>
      <c r="H3990" s="4">
        <v>43693218</v>
      </c>
      <c r="I3990" s="4">
        <v>39598630</v>
      </c>
      <c r="J3990" s="3">
        <v>0.0937122095241417</v>
      </c>
      <c r="K3990" s="3">
        <v>0.1034022641692402</v>
      </c>
      <c r="L3990" t="s">
        <v>54</v>
      </c>
    </row>
    <row r="3991" spans="1:12" x14ac:dyDescent="0.25">
      <c r="A3991" t="s">
        <v>487</v>
      </c>
      <c r="B3991" t="s">
        <v>463</v>
      </c>
      <c r="C3991" t="s">
        <v>464</v>
      </c>
      <c r="D3991" t="s">
        <v>356</v>
      </c>
      <c r="E3991" t="s">
        <v>358</v>
      </c>
      <c r="F3991">
        <v>1</v>
      </c>
      <c r="G3991" t="s">
        <v>499</v>
      </c>
      <c r="H3991" s="4">
        <v>43693218</v>
      </c>
      <c r="I3991" s="4">
        <v>40609601</v>
      </c>
      <c r="J3991" s="3">
        <v>0.07057427081704076</v>
      </c>
      <c r="K3991" s="3">
        <v>0.0759332011166522</v>
      </c>
      <c r="L3991" t="s">
        <v>54</v>
      </c>
    </row>
    <row r="3992" spans="1:12" x14ac:dyDescent="0.25">
      <c r="A3992" t="s">
        <v>487</v>
      </c>
      <c r="B3992" t="s">
        <v>463</v>
      </c>
      <c r="C3992" t="s">
        <v>464</v>
      </c>
      <c r="D3992" t="s">
        <v>356</v>
      </c>
      <c r="E3992" t="s">
        <v>360</v>
      </c>
      <c r="F3992">
        <v>2</v>
      </c>
      <c r="G3992" t="s">
        <v>488</v>
      </c>
      <c r="H3992" s="4">
        <v>43966828</v>
      </c>
      <c r="I3992" s="4">
        <v>65560399.325916104</v>
      </c>
      <c r="J3992" s="3">
        <v>0.4911332545053308</v>
      </c>
      <c r="K3992" s="3">
        <v>-0.32936912447054206</v>
      </c>
      <c r="L3992" t="s">
        <v>54</v>
      </c>
    </row>
    <row r="3993" spans="1:12" x14ac:dyDescent="0.25">
      <c r="A3993" t="s">
        <v>487</v>
      </c>
      <c r="B3993" t="s">
        <v>463</v>
      </c>
      <c r="C3993" t="s">
        <v>464</v>
      </c>
      <c r="D3993" t="s">
        <v>356</v>
      </c>
      <c r="E3993" t="s">
        <v>360</v>
      </c>
      <c r="F3993">
        <v>2</v>
      </c>
      <c r="G3993" t="s">
        <v>498</v>
      </c>
      <c r="H3993" s="4">
        <v>43966828</v>
      </c>
      <c r="I3993" s="4">
        <v>46310766</v>
      </c>
      <c r="J3993" s="3">
        <v>0.05331151021401862</v>
      </c>
      <c r="K3993" s="3">
        <v>-0.05061324185395681</v>
      </c>
      <c r="L3993" t="s">
        <v>54</v>
      </c>
    </row>
    <row r="3994" spans="1:12" x14ac:dyDescent="0.25">
      <c r="A3994" t="s">
        <v>487</v>
      </c>
      <c r="B3994" t="s">
        <v>463</v>
      </c>
      <c r="C3994" t="s">
        <v>464</v>
      </c>
      <c r="D3994" t="s">
        <v>356</v>
      </c>
      <c r="E3994" t="s">
        <v>360</v>
      </c>
      <c r="F3994">
        <v>2</v>
      </c>
      <c r="G3994" t="s">
        <v>499</v>
      </c>
      <c r="H3994" s="4">
        <v>43966828</v>
      </c>
      <c r="I3994" s="4">
        <v>40609601</v>
      </c>
      <c r="J3994" s="3">
        <v>0.07635818076300614</v>
      </c>
      <c r="K3994" s="3">
        <v>0.0826707703924498</v>
      </c>
      <c r="L3994" t="s">
        <v>54</v>
      </c>
    </row>
    <row r="3995" spans="1:12" x14ac:dyDescent="0.25">
      <c r="A3995" t="s">
        <v>487</v>
      </c>
      <c r="B3995" t="s">
        <v>463</v>
      </c>
      <c r="C3995" t="s">
        <v>464</v>
      </c>
      <c r="D3995" t="s">
        <v>356</v>
      </c>
      <c r="E3995" t="s">
        <v>362</v>
      </c>
      <c r="F3995">
        <v>3</v>
      </c>
      <c r="G3995" t="s">
        <v>488</v>
      </c>
      <c r="H3995" s="4">
        <v>41909904</v>
      </c>
      <c r="I3995" s="4">
        <v>60140562.20354845</v>
      </c>
      <c r="J3995" s="3">
        <v>0.43499642002397443</v>
      </c>
      <c r="K3995" s="3">
        <v>-0.30313414999091565</v>
      </c>
      <c r="L3995" t="s">
        <v>54</v>
      </c>
    </row>
    <row r="3996" spans="1:12" x14ac:dyDescent="0.25">
      <c r="A3996" t="s">
        <v>487</v>
      </c>
      <c r="B3996" t="s">
        <v>463</v>
      </c>
      <c r="C3996" t="s">
        <v>464</v>
      </c>
      <c r="D3996" t="s">
        <v>356</v>
      </c>
      <c r="E3996" t="s">
        <v>362</v>
      </c>
      <c r="F3996">
        <v>3</v>
      </c>
      <c r="G3996" t="s">
        <v>498</v>
      </c>
      <c r="H3996" s="4">
        <v>41909904</v>
      </c>
      <c r="I3996" s="4">
        <v>42482284</v>
      </c>
      <c r="J3996" s="3">
        <v>0.013657392295625397</v>
      </c>
      <c r="K3996" s="3">
        <v>-0.01347338104514343</v>
      </c>
      <c r="L3996" t="s">
        <v>54</v>
      </c>
    </row>
    <row r="3997" spans="1:12" x14ac:dyDescent="0.25">
      <c r="A3997" t="s">
        <v>487</v>
      </c>
      <c r="B3997" t="s">
        <v>463</v>
      </c>
      <c r="C3997" t="s">
        <v>464</v>
      </c>
      <c r="D3997" t="s">
        <v>356</v>
      </c>
      <c r="E3997" t="s">
        <v>362</v>
      </c>
      <c r="F3997">
        <v>3</v>
      </c>
      <c r="G3997" t="s">
        <v>499</v>
      </c>
      <c r="H3997" s="4">
        <v>41909904</v>
      </c>
      <c r="I3997" s="4">
        <v>40609601</v>
      </c>
      <c r="J3997" s="3">
        <v>0.03102615076379082</v>
      </c>
      <c r="K3997" s="3">
        <v>0.03201959556312804</v>
      </c>
      <c r="L3997" t="s">
        <v>54</v>
      </c>
    </row>
    <row r="3998" spans="1:12" x14ac:dyDescent="0.25">
      <c r="A3998" t="s">
        <v>487</v>
      </c>
      <c r="B3998" t="s">
        <v>463</v>
      </c>
      <c r="C3998" t="s">
        <v>464</v>
      </c>
      <c r="D3998" t="s">
        <v>358</v>
      </c>
      <c r="E3998" t="s">
        <v>360</v>
      </c>
      <c r="F3998">
        <v>1</v>
      </c>
      <c r="G3998" t="s">
        <v>488</v>
      </c>
      <c r="H3998" s="4">
        <v>43966828</v>
      </c>
      <c r="I3998" s="4">
        <v>64817103.170645475</v>
      </c>
      <c r="J3998" s="3">
        <v>0.4742274146009686</v>
      </c>
      <c r="K3998" s="3">
        <v>-0.3216786025711837</v>
      </c>
      <c r="L3998" t="s">
        <v>54</v>
      </c>
    </row>
    <row r="3999" spans="1:12" x14ac:dyDescent="0.25">
      <c r="A3999" t="s">
        <v>487</v>
      </c>
      <c r="B3999" t="s">
        <v>463</v>
      </c>
      <c r="C3999" t="s">
        <v>464</v>
      </c>
      <c r="D3999" t="s">
        <v>358</v>
      </c>
      <c r="E3999" t="s">
        <v>360</v>
      </c>
      <c r="F3999">
        <v>1</v>
      </c>
      <c r="G3999" t="s">
        <v>498</v>
      </c>
      <c r="H3999" s="4">
        <v>43966828</v>
      </c>
      <c r="I3999" s="4">
        <v>46310766</v>
      </c>
      <c r="J3999" s="3">
        <v>0.05331151021401862</v>
      </c>
      <c r="K3999" s="3">
        <v>-0.05061324185395681</v>
      </c>
      <c r="L3999" t="s">
        <v>54</v>
      </c>
    </row>
    <row r="4000" spans="1:12" x14ac:dyDescent="0.25">
      <c r="A4000" t="s">
        <v>487</v>
      </c>
      <c r="B4000" t="s">
        <v>463</v>
      </c>
      <c r="C4000" t="s">
        <v>464</v>
      </c>
      <c r="D4000" t="s">
        <v>358</v>
      </c>
      <c r="E4000" t="s">
        <v>360</v>
      </c>
      <c r="F4000">
        <v>1</v>
      </c>
      <c r="G4000" t="s">
        <v>499</v>
      </c>
      <c r="H4000" s="4">
        <v>43966828</v>
      </c>
      <c r="I4000" s="4">
        <v>43693218</v>
      </c>
      <c r="J4000" s="3">
        <v>0.006223100743132982</v>
      </c>
      <c r="K4000" s="3">
        <v>0.006262070237078899</v>
      </c>
      <c r="L4000" t="s">
        <v>54</v>
      </c>
    </row>
    <row r="4001" spans="1:12" x14ac:dyDescent="0.25">
      <c r="A4001" t="s">
        <v>487</v>
      </c>
      <c r="B4001" t="s">
        <v>463</v>
      </c>
      <c r="C4001" t="s">
        <v>464</v>
      </c>
      <c r="D4001" t="s">
        <v>358</v>
      </c>
      <c r="E4001" t="s">
        <v>362</v>
      </c>
      <c r="F4001">
        <v>2</v>
      </c>
      <c r="G4001" t="s">
        <v>488</v>
      </c>
      <c r="H4001" s="4">
        <v>41909904</v>
      </c>
      <c r="I4001" s="4">
        <v>59458713.875574015</v>
      </c>
      <c r="J4001" s="3">
        <v>0.41872703587137816</v>
      </c>
      <c r="K4001" s="3">
        <v>-0.295142776083207</v>
      </c>
      <c r="L4001" t="s">
        <v>54</v>
      </c>
    </row>
    <row r="4002" spans="1:12" x14ac:dyDescent="0.25">
      <c r="A4002" t="s">
        <v>487</v>
      </c>
      <c r="B4002" t="s">
        <v>463</v>
      </c>
      <c r="C4002" t="s">
        <v>464</v>
      </c>
      <c r="D4002" t="s">
        <v>358</v>
      </c>
      <c r="E4002" t="s">
        <v>362</v>
      </c>
      <c r="F4002">
        <v>2</v>
      </c>
      <c r="G4002" t="s">
        <v>498</v>
      </c>
      <c r="H4002" s="4">
        <v>41909904</v>
      </c>
      <c r="I4002" s="4">
        <v>42482284</v>
      </c>
      <c r="J4002" s="3">
        <v>0.013657392295625397</v>
      </c>
      <c r="K4002" s="3">
        <v>-0.01347338104514343</v>
      </c>
      <c r="L4002" t="s">
        <v>54</v>
      </c>
    </row>
    <row r="4003" spans="1:12" x14ac:dyDescent="0.25">
      <c r="A4003" t="s">
        <v>487</v>
      </c>
      <c r="B4003" t="s">
        <v>463</v>
      </c>
      <c r="C4003" t="s">
        <v>464</v>
      </c>
      <c r="D4003" t="s">
        <v>358</v>
      </c>
      <c r="E4003" t="s">
        <v>362</v>
      </c>
      <c r="F4003">
        <v>2</v>
      </c>
      <c r="G4003" t="s">
        <v>499</v>
      </c>
      <c r="H4003" s="4">
        <v>41909904</v>
      </c>
      <c r="I4003" s="4">
        <v>43693218</v>
      </c>
      <c r="J4003" s="3">
        <v>0.04255113540703887</v>
      </c>
      <c r="K4003" s="3">
        <v>-0.040814434862637035</v>
      </c>
      <c r="L4003" t="s">
        <v>54</v>
      </c>
    </row>
    <row r="4004" spans="1:12" x14ac:dyDescent="0.25">
      <c r="A4004" t="s">
        <v>487</v>
      </c>
      <c r="B4004" t="s">
        <v>463</v>
      </c>
      <c r="C4004" t="s">
        <v>464</v>
      </c>
      <c r="D4004" t="s">
        <v>358</v>
      </c>
      <c r="E4004" t="s">
        <v>364</v>
      </c>
      <c r="F4004">
        <v>3</v>
      </c>
      <c r="G4004" t="s">
        <v>488</v>
      </c>
      <c r="H4004" s="4">
        <v>36593505</v>
      </c>
      <c r="I4004" s="4">
        <v>61088613.818819046</v>
      </c>
      <c r="J4004" s="3">
        <v>0.6693840565100021</v>
      </c>
      <c r="K4004" s="3">
        <v>-0.40097666795105846</v>
      </c>
      <c r="L4004" t="s">
        <v>54</v>
      </c>
    </row>
    <row r="4005" spans="1:12" x14ac:dyDescent="0.25">
      <c r="A4005" t="s">
        <v>487</v>
      </c>
      <c r="B4005" t="s">
        <v>463</v>
      </c>
      <c r="C4005" t="s">
        <v>464</v>
      </c>
      <c r="D4005" t="s">
        <v>358</v>
      </c>
      <c r="E4005" t="s">
        <v>364</v>
      </c>
      <c r="F4005">
        <v>3</v>
      </c>
      <c r="G4005" t="s">
        <v>498</v>
      </c>
      <c r="H4005" s="4">
        <v>36593505</v>
      </c>
      <c r="I4005" s="4">
        <v>43646821</v>
      </c>
      <c r="J4005" s="3">
        <v>0.19274775673989142</v>
      </c>
      <c r="K4005" s="3">
        <v>-0.1615997646197417</v>
      </c>
      <c r="L4005" t="s">
        <v>54</v>
      </c>
    </row>
    <row r="4006" spans="1:12" x14ac:dyDescent="0.25">
      <c r="A4006" t="s">
        <v>487</v>
      </c>
      <c r="B4006" t="s">
        <v>463</v>
      </c>
      <c r="C4006" t="s">
        <v>464</v>
      </c>
      <c r="D4006" t="s">
        <v>358</v>
      </c>
      <c r="E4006" t="s">
        <v>364</v>
      </c>
      <c r="F4006">
        <v>3</v>
      </c>
      <c r="G4006" t="s">
        <v>499</v>
      </c>
      <c r="H4006" s="4">
        <v>36593505</v>
      </c>
      <c r="I4006" s="4">
        <v>43693218</v>
      </c>
      <c r="J4006" s="3">
        <v>0.19401565933626747</v>
      </c>
      <c r="K4006" s="3">
        <v>-0.16249004593802177</v>
      </c>
      <c r="L4006" t="s">
        <v>54</v>
      </c>
    </row>
    <row r="4007" spans="1:12" x14ac:dyDescent="0.25">
      <c r="A4007" t="s">
        <v>487</v>
      </c>
      <c r="B4007" t="s">
        <v>463</v>
      </c>
      <c r="C4007" t="s">
        <v>464</v>
      </c>
      <c r="D4007" t="s">
        <v>360</v>
      </c>
      <c r="E4007" t="s">
        <v>362</v>
      </c>
      <c r="F4007">
        <v>1</v>
      </c>
      <c r="G4007" t="s">
        <v>488</v>
      </c>
      <c r="H4007" s="4">
        <v>41909904</v>
      </c>
      <c r="I4007" s="4">
        <v>58484000.026569836</v>
      </c>
      <c r="J4007" s="3">
        <v>0.395469672910008</v>
      </c>
      <c r="K4007" s="3">
        <v>-0.2833953905177496</v>
      </c>
      <c r="L4007" t="s">
        <v>54</v>
      </c>
    </row>
    <row r="4008" spans="1:12" x14ac:dyDescent="0.25">
      <c r="A4008" t="s">
        <v>487</v>
      </c>
      <c r="B4008" t="s">
        <v>463</v>
      </c>
      <c r="C4008" t="s">
        <v>464</v>
      </c>
      <c r="D4008" t="s">
        <v>360</v>
      </c>
      <c r="E4008" t="s">
        <v>362</v>
      </c>
      <c r="F4008">
        <v>1</v>
      </c>
      <c r="G4008" t="s">
        <v>498</v>
      </c>
      <c r="H4008" s="4">
        <v>41909904</v>
      </c>
      <c r="I4008" s="4">
        <v>42482284</v>
      </c>
      <c r="J4008" s="3">
        <v>0.013657392295625397</v>
      </c>
      <c r="K4008" s="3">
        <v>-0.01347338104514343</v>
      </c>
      <c r="L4008" t="s">
        <v>54</v>
      </c>
    </row>
    <row r="4009" spans="1:12" x14ac:dyDescent="0.25">
      <c r="A4009" t="s">
        <v>487</v>
      </c>
      <c r="B4009" t="s">
        <v>463</v>
      </c>
      <c r="C4009" t="s">
        <v>464</v>
      </c>
      <c r="D4009" t="s">
        <v>360</v>
      </c>
      <c r="E4009" t="s">
        <v>362</v>
      </c>
      <c r="F4009">
        <v>1</v>
      </c>
      <c r="G4009" t="s">
        <v>499</v>
      </c>
      <c r="H4009" s="4">
        <v>41909904</v>
      </c>
      <c r="I4009" s="4">
        <v>43966828</v>
      </c>
      <c r="J4009" s="3">
        <v>0.049079663842704103</v>
      </c>
      <c r="K4009" s="3">
        <v>-0.04678354326584579</v>
      </c>
      <c r="L4009" t="s">
        <v>54</v>
      </c>
    </row>
    <row r="4010" spans="1:12" x14ac:dyDescent="0.25">
      <c r="A4010" t="s">
        <v>487</v>
      </c>
      <c r="B4010" t="s">
        <v>463</v>
      </c>
      <c r="C4010" t="s">
        <v>464</v>
      </c>
      <c r="D4010" t="s">
        <v>360</v>
      </c>
      <c r="E4010" t="s">
        <v>364</v>
      </c>
      <c r="F4010">
        <v>2</v>
      </c>
      <c r="G4010" t="s">
        <v>488</v>
      </c>
      <c r="H4010" s="4">
        <v>36593505</v>
      </c>
      <c r="I4010" s="4">
        <v>60087180.82398039</v>
      </c>
      <c r="J4010" s="3">
        <v>0.6420176428571243</v>
      </c>
      <c r="K4010" s="3">
        <v>-0.3909931453233403</v>
      </c>
      <c r="L4010" t="s">
        <v>54</v>
      </c>
    </row>
    <row r="4011" spans="1:12" x14ac:dyDescent="0.25">
      <c r="A4011" t="s">
        <v>487</v>
      </c>
      <c r="B4011" t="s">
        <v>463</v>
      </c>
      <c r="C4011" t="s">
        <v>464</v>
      </c>
      <c r="D4011" t="s">
        <v>360</v>
      </c>
      <c r="E4011" t="s">
        <v>364</v>
      </c>
      <c r="F4011">
        <v>2</v>
      </c>
      <c r="G4011" t="s">
        <v>498</v>
      </c>
      <c r="H4011" s="4">
        <v>36593505</v>
      </c>
      <c r="I4011" s="4">
        <v>43646821</v>
      </c>
      <c r="J4011" s="3">
        <v>0.19274775673989142</v>
      </c>
      <c r="K4011" s="3">
        <v>-0.1615997646197417</v>
      </c>
      <c r="L4011" t="s">
        <v>54</v>
      </c>
    </row>
    <row r="4012" spans="1:12" x14ac:dyDescent="0.25">
      <c r="A4012" t="s">
        <v>487</v>
      </c>
      <c r="B4012" t="s">
        <v>463</v>
      </c>
      <c r="C4012" t="s">
        <v>464</v>
      </c>
      <c r="D4012" t="s">
        <v>360</v>
      </c>
      <c r="E4012" t="s">
        <v>364</v>
      </c>
      <c r="F4012">
        <v>2</v>
      </c>
      <c r="G4012" t="s">
        <v>499</v>
      </c>
      <c r="H4012" s="4">
        <v>36593505</v>
      </c>
      <c r="I4012" s="4">
        <v>43966828</v>
      </c>
      <c r="J4012" s="3">
        <v>0.20149266925920323</v>
      </c>
      <c r="K4012" s="3">
        <v>-0.16770195475552616</v>
      </c>
      <c r="L4012" t="s">
        <v>54</v>
      </c>
    </row>
    <row r="4013" spans="1:12" x14ac:dyDescent="0.25">
      <c r="A4013" t="s">
        <v>487</v>
      </c>
      <c r="B4013" t="s">
        <v>463</v>
      </c>
      <c r="C4013" t="s">
        <v>464</v>
      </c>
      <c r="D4013" t="s">
        <v>360</v>
      </c>
      <c r="E4013" t="s">
        <v>366</v>
      </c>
      <c r="F4013">
        <v>3</v>
      </c>
      <c r="G4013" t="s">
        <v>488</v>
      </c>
      <c r="H4013" s="4">
        <v>35487995</v>
      </c>
      <c r="I4013" s="4">
        <v>49772337.679975286</v>
      </c>
      <c r="J4013" s="3">
        <v>0.4025119672152593</v>
      </c>
      <c r="K4013" s="3">
        <v>-0.28699360620391856</v>
      </c>
      <c r="L4013" t="s">
        <v>54</v>
      </c>
    </row>
    <row r="4014" spans="1:12" x14ac:dyDescent="0.25">
      <c r="A4014" t="s">
        <v>487</v>
      </c>
      <c r="B4014" t="s">
        <v>463</v>
      </c>
      <c r="C4014" t="s">
        <v>464</v>
      </c>
      <c r="D4014" t="s">
        <v>360</v>
      </c>
      <c r="E4014" t="s">
        <v>366</v>
      </c>
      <c r="F4014">
        <v>3</v>
      </c>
      <c r="G4014" t="s">
        <v>498</v>
      </c>
      <c r="H4014" s="4">
        <v>35487995</v>
      </c>
      <c r="I4014" s="4">
        <v>36154206</v>
      </c>
      <c r="J4014" s="3">
        <v>0.01877285544026931</v>
      </c>
      <c r="K4014" s="3">
        <v>-0.018426929359200973</v>
      </c>
      <c r="L4014" t="s">
        <v>54</v>
      </c>
    </row>
    <row r="4015" spans="1:12" x14ac:dyDescent="0.25">
      <c r="A4015" t="s">
        <v>487</v>
      </c>
      <c r="B4015" t="s">
        <v>463</v>
      </c>
      <c r="C4015" t="s">
        <v>464</v>
      </c>
      <c r="D4015" t="s">
        <v>360</v>
      </c>
      <c r="E4015" t="s">
        <v>366</v>
      </c>
      <c r="F4015">
        <v>3</v>
      </c>
      <c r="G4015" t="s">
        <v>499</v>
      </c>
      <c r="H4015" s="4">
        <v>35487995</v>
      </c>
      <c r="I4015" s="4">
        <v>43966828</v>
      </c>
      <c r="J4015" s="3">
        <v>0.23892116193095722</v>
      </c>
      <c r="K4015" s="3">
        <v>-0.19284613845692938</v>
      </c>
      <c r="L4015" t="s">
        <v>54</v>
      </c>
    </row>
    <row r="4016" spans="1:12" x14ac:dyDescent="0.25">
      <c r="A4016" t="s">
        <v>487</v>
      </c>
      <c r="B4016" t="s">
        <v>463</v>
      </c>
      <c r="C4016" t="s">
        <v>464</v>
      </c>
      <c r="D4016" t="s">
        <v>362</v>
      </c>
      <c r="E4016" t="s">
        <v>364</v>
      </c>
      <c r="F4016">
        <v>1</v>
      </c>
      <c r="G4016" t="s">
        <v>488</v>
      </c>
      <c r="H4016" s="4">
        <v>36593505</v>
      </c>
      <c r="I4016" s="4">
        <v>57781261.85844334</v>
      </c>
      <c r="J4016" s="3">
        <v>0.579003209953333</v>
      </c>
      <c r="K4016" s="3">
        <v>-0.36668906453359607</v>
      </c>
      <c r="L4016" t="s">
        <v>54</v>
      </c>
    </row>
    <row r="4017" spans="1:12" x14ac:dyDescent="0.25">
      <c r="A4017" t="s">
        <v>487</v>
      </c>
      <c r="B4017" t="s">
        <v>463</v>
      </c>
      <c r="C4017" t="s">
        <v>464</v>
      </c>
      <c r="D4017" t="s">
        <v>362</v>
      </c>
      <c r="E4017" t="s">
        <v>364</v>
      </c>
      <c r="F4017">
        <v>1</v>
      </c>
      <c r="G4017" t="s">
        <v>498</v>
      </c>
      <c r="H4017" s="4">
        <v>36593505</v>
      </c>
      <c r="I4017" s="4">
        <v>43646821</v>
      </c>
      <c r="J4017" s="3">
        <v>0.19274775673989142</v>
      </c>
      <c r="K4017" s="3">
        <v>-0.1615997646197417</v>
      </c>
      <c r="L4017" t="s">
        <v>54</v>
      </c>
    </row>
    <row r="4018" spans="1:12" x14ac:dyDescent="0.25">
      <c r="A4018" t="s">
        <v>487</v>
      </c>
      <c r="B4018" t="s">
        <v>463</v>
      </c>
      <c r="C4018" t="s">
        <v>464</v>
      </c>
      <c r="D4018" t="s">
        <v>362</v>
      </c>
      <c r="E4018" t="s">
        <v>364</v>
      </c>
      <c r="F4018">
        <v>1</v>
      </c>
      <c r="G4018" t="s">
        <v>499</v>
      </c>
      <c r="H4018" s="4">
        <v>36593505</v>
      </c>
      <c r="I4018" s="4">
        <v>41909904</v>
      </c>
      <c r="J4018" s="3">
        <v>0.14528258498331875</v>
      </c>
      <c r="K4018" s="3">
        <v>-0.12685304647798765</v>
      </c>
      <c r="L4018" t="s">
        <v>54</v>
      </c>
    </row>
    <row r="4019" spans="1:12" x14ac:dyDescent="0.25">
      <c r="A4019" t="s">
        <v>487</v>
      </c>
      <c r="B4019" t="s">
        <v>463</v>
      </c>
      <c r="C4019" t="s">
        <v>464</v>
      </c>
      <c r="D4019" t="s">
        <v>362</v>
      </c>
      <c r="E4019" t="s">
        <v>366</v>
      </c>
      <c r="F4019">
        <v>2</v>
      </c>
      <c r="G4019" t="s">
        <v>488</v>
      </c>
      <c r="H4019" s="4">
        <v>35487995</v>
      </c>
      <c r="I4019" s="4">
        <v>47862263.42051586</v>
      </c>
      <c r="J4019" s="3">
        <v>0.3486888571900401</v>
      </c>
      <c r="K4019" s="3">
        <v>-0.2585391399440526</v>
      </c>
      <c r="L4019" t="s">
        <v>54</v>
      </c>
    </row>
    <row r="4020" spans="1:12" x14ac:dyDescent="0.25">
      <c r="A4020" t="s">
        <v>487</v>
      </c>
      <c r="B4020" t="s">
        <v>463</v>
      </c>
      <c r="C4020" t="s">
        <v>464</v>
      </c>
      <c r="D4020" t="s">
        <v>362</v>
      </c>
      <c r="E4020" t="s">
        <v>366</v>
      </c>
      <c r="F4020">
        <v>2</v>
      </c>
      <c r="G4020" t="s">
        <v>498</v>
      </c>
      <c r="H4020" s="4">
        <v>35487995</v>
      </c>
      <c r="I4020" s="4">
        <v>36154206</v>
      </c>
      <c r="J4020" s="3">
        <v>0.01877285544026931</v>
      </c>
      <c r="K4020" s="3">
        <v>-0.018426929359200973</v>
      </c>
      <c r="L4020" t="s">
        <v>54</v>
      </c>
    </row>
    <row r="4021" spans="1:12" x14ac:dyDescent="0.25">
      <c r="A4021" t="s">
        <v>487</v>
      </c>
      <c r="B4021" t="s">
        <v>463</v>
      </c>
      <c r="C4021" t="s">
        <v>464</v>
      </c>
      <c r="D4021" t="s">
        <v>362</v>
      </c>
      <c r="E4021" t="s">
        <v>366</v>
      </c>
      <c r="F4021">
        <v>2</v>
      </c>
      <c r="G4021" t="s">
        <v>499</v>
      </c>
      <c r="H4021" s="4">
        <v>35487995</v>
      </c>
      <c r="I4021" s="4">
        <v>41909904</v>
      </c>
      <c r="J4021" s="3">
        <v>0.18096004014878833</v>
      </c>
      <c r="K4021" s="3">
        <v>-0.15323129826305495</v>
      </c>
      <c r="L4021" t="s">
        <v>54</v>
      </c>
    </row>
    <row r="4022" spans="1:12" x14ac:dyDescent="0.25">
      <c r="A4022" t="s">
        <v>487</v>
      </c>
      <c r="B4022" t="s">
        <v>463</v>
      </c>
      <c r="C4022" t="s">
        <v>464</v>
      </c>
      <c r="D4022" t="s">
        <v>362</v>
      </c>
      <c r="E4022" t="s">
        <v>368</v>
      </c>
      <c r="F4022">
        <v>3</v>
      </c>
      <c r="G4022" t="s">
        <v>488</v>
      </c>
      <c r="H4022" s="4">
        <v>34083743</v>
      </c>
      <c r="I4022" s="4">
        <v>39805987.89282252</v>
      </c>
      <c r="J4022" s="3">
        <v>0.16788780776872184</v>
      </c>
      <c r="K4022" s="3">
        <v>-0.14375336967467414</v>
      </c>
      <c r="L4022" t="s">
        <v>54</v>
      </c>
    </row>
    <row r="4023" spans="1:12" x14ac:dyDescent="0.25">
      <c r="A4023" t="s">
        <v>487</v>
      </c>
      <c r="B4023" t="s">
        <v>463</v>
      </c>
      <c r="C4023" t="s">
        <v>464</v>
      </c>
      <c r="D4023" t="s">
        <v>362</v>
      </c>
      <c r="E4023" t="s">
        <v>368</v>
      </c>
      <c r="F4023">
        <v>3</v>
      </c>
      <c r="G4023" t="s">
        <v>498</v>
      </c>
      <c r="H4023" s="4">
        <v>34083743</v>
      </c>
      <c r="I4023" s="4">
        <v>30068655</v>
      </c>
      <c r="J4023" s="3">
        <v>0.11780067699724177</v>
      </c>
      <c r="K4023" s="3">
        <v>0.13353068170159257</v>
      </c>
      <c r="L4023" t="s">
        <v>54</v>
      </c>
    </row>
    <row r="4024" spans="1:12" x14ac:dyDescent="0.25">
      <c r="A4024" t="s">
        <v>487</v>
      </c>
      <c r="B4024" t="s">
        <v>463</v>
      </c>
      <c r="C4024" t="s">
        <v>464</v>
      </c>
      <c r="D4024" t="s">
        <v>362</v>
      </c>
      <c r="E4024" t="s">
        <v>368</v>
      </c>
      <c r="F4024">
        <v>3</v>
      </c>
      <c r="G4024" t="s">
        <v>499</v>
      </c>
      <c r="H4024" s="4">
        <v>34083743</v>
      </c>
      <c r="I4024" s="4">
        <v>41909904</v>
      </c>
      <c r="J4024" s="3">
        <v>0.22961565576879275</v>
      </c>
      <c r="K4024" s="3">
        <v>-0.18673774580824617</v>
      </c>
      <c r="L4024" t="s">
        <v>54</v>
      </c>
    </row>
    <row r="4025" spans="1:12" x14ac:dyDescent="0.25">
      <c r="A4025" t="s">
        <v>487</v>
      </c>
      <c r="B4025" t="s">
        <v>463</v>
      </c>
      <c r="C4025" t="s">
        <v>464</v>
      </c>
      <c r="D4025" t="s">
        <v>364</v>
      </c>
      <c r="E4025" t="s">
        <v>366</v>
      </c>
      <c r="F4025">
        <v>1</v>
      </c>
      <c r="G4025" t="s">
        <v>488</v>
      </c>
      <c r="H4025" s="4">
        <v>35487995</v>
      </c>
      <c r="I4025" s="4">
        <v>44888816.99155172</v>
      </c>
      <c r="J4025" s="3">
        <v>0.26490146855441454</v>
      </c>
      <c r="K4025" s="3">
        <v>-0.20942458771682482</v>
      </c>
      <c r="L4025" t="s">
        <v>54</v>
      </c>
    </row>
    <row r="4026" spans="1:12" x14ac:dyDescent="0.25">
      <c r="A4026" t="s">
        <v>487</v>
      </c>
      <c r="B4026" t="s">
        <v>463</v>
      </c>
      <c r="C4026" t="s">
        <v>464</v>
      </c>
      <c r="D4026" t="s">
        <v>364</v>
      </c>
      <c r="E4026" t="s">
        <v>366</v>
      </c>
      <c r="F4026">
        <v>1</v>
      </c>
      <c r="G4026" t="s">
        <v>498</v>
      </c>
      <c r="H4026" s="4">
        <v>35487995</v>
      </c>
      <c r="I4026" s="4">
        <v>36154206</v>
      </c>
      <c r="J4026" s="3">
        <v>0.01877285544026931</v>
      </c>
      <c r="K4026" s="3">
        <v>-0.018426929359200973</v>
      </c>
      <c r="L4026" t="s">
        <v>54</v>
      </c>
    </row>
    <row r="4027" spans="1:12" x14ac:dyDescent="0.25">
      <c r="A4027" t="s">
        <v>487</v>
      </c>
      <c r="B4027" t="s">
        <v>463</v>
      </c>
      <c r="C4027" t="s">
        <v>464</v>
      </c>
      <c r="D4027" t="s">
        <v>364</v>
      </c>
      <c r="E4027" t="s">
        <v>366</v>
      </c>
      <c r="F4027">
        <v>1</v>
      </c>
      <c r="G4027" t="s">
        <v>499</v>
      </c>
      <c r="H4027" s="4">
        <v>35487995</v>
      </c>
      <c r="I4027" s="4">
        <v>36593505</v>
      </c>
      <c r="J4027" s="3">
        <v>0.03115166128714795</v>
      </c>
      <c r="K4027" s="3">
        <v>-0.030210552391742744</v>
      </c>
      <c r="L4027" t="s">
        <v>54</v>
      </c>
    </row>
    <row r="4028" spans="1:12" x14ac:dyDescent="0.25">
      <c r="A4028" t="s">
        <v>487</v>
      </c>
      <c r="B4028" t="s">
        <v>463</v>
      </c>
      <c r="C4028" t="s">
        <v>464</v>
      </c>
      <c r="D4028" t="s">
        <v>364</v>
      </c>
      <c r="E4028" t="s">
        <v>368</v>
      </c>
      <c r="F4028">
        <v>2</v>
      </c>
      <c r="G4028" t="s">
        <v>488</v>
      </c>
      <c r="H4028" s="4">
        <v>34083743</v>
      </c>
      <c r="I4028" s="4">
        <v>37333038.13882972</v>
      </c>
      <c r="J4028" s="3">
        <v>0.09533269684699017</v>
      </c>
      <c r="K4028" s="3">
        <v>-0.08703537940701814</v>
      </c>
      <c r="L4028" t="s">
        <v>54</v>
      </c>
    </row>
    <row r="4029" spans="1:12" x14ac:dyDescent="0.25">
      <c r="A4029" t="s">
        <v>487</v>
      </c>
      <c r="B4029" t="s">
        <v>463</v>
      </c>
      <c r="C4029" t="s">
        <v>464</v>
      </c>
      <c r="D4029" t="s">
        <v>364</v>
      </c>
      <c r="E4029" t="s">
        <v>368</v>
      </c>
      <c r="F4029">
        <v>2</v>
      </c>
      <c r="G4029" t="s">
        <v>498</v>
      </c>
      <c r="H4029" s="4">
        <v>34083743</v>
      </c>
      <c r="I4029" s="4">
        <v>30068655</v>
      </c>
      <c r="J4029" s="3">
        <v>0.11780067699724177</v>
      </c>
      <c r="K4029" s="3">
        <v>0.13353068170159257</v>
      </c>
      <c r="L4029" t="s">
        <v>54</v>
      </c>
    </row>
    <row r="4030" spans="1:12" x14ac:dyDescent="0.25">
      <c r="A4030" t="s">
        <v>487</v>
      </c>
      <c r="B4030" t="s">
        <v>463</v>
      </c>
      <c r="C4030" t="s">
        <v>464</v>
      </c>
      <c r="D4030" t="s">
        <v>364</v>
      </c>
      <c r="E4030" t="s">
        <v>368</v>
      </c>
      <c r="F4030">
        <v>2</v>
      </c>
      <c r="G4030" t="s">
        <v>499</v>
      </c>
      <c r="H4030" s="4">
        <v>34083743</v>
      </c>
      <c r="I4030" s="4">
        <v>36593505</v>
      </c>
      <c r="J4030" s="3">
        <v>0.07363516383749284</v>
      </c>
      <c r="K4030" s="3">
        <v>-0.06858490324990732</v>
      </c>
      <c r="L4030" t="s">
        <v>54</v>
      </c>
    </row>
    <row r="4031" spans="1:12" x14ac:dyDescent="0.25">
      <c r="A4031" t="s">
        <v>487</v>
      </c>
      <c r="B4031" t="s">
        <v>463</v>
      </c>
      <c r="C4031" t="s">
        <v>464</v>
      </c>
      <c r="D4031" t="s">
        <v>364</v>
      </c>
      <c r="E4031" t="s">
        <v>370</v>
      </c>
      <c r="F4031">
        <v>3</v>
      </c>
      <c r="G4031" t="s">
        <v>488</v>
      </c>
      <c r="H4031" s="4">
        <v>30727680</v>
      </c>
      <c r="I4031" s="4">
        <v>35057777.593266115</v>
      </c>
      <c r="J4031" s="3">
        <v>0.14091846808044456</v>
      </c>
      <c r="K4031" s="3">
        <v>-0.1235131799711639</v>
      </c>
      <c r="L4031" t="s">
        <v>54</v>
      </c>
    </row>
    <row r="4032" spans="1:12" x14ac:dyDescent="0.25">
      <c r="A4032" t="s">
        <v>487</v>
      </c>
      <c r="B4032" t="s">
        <v>463</v>
      </c>
      <c r="C4032" t="s">
        <v>464</v>
      </c>
      <c r="D4032" t="s">
        <v>364</v>
      </c>
      <c r="E4032" t="s">
        <v>370</v>
      </c>
      <c r="F4032">
        <v>3</v>
      </c>
      <c r="G4032" t="s">
        <v>498</v>
      </c>
      <c r="H4032" s="4">
        <v>30727680</v>
      </c>
      <c r="I4032" s="4">
        <v>28236122</v>
      </c>
      <c r="J4032" s="3">
        <v>0.08108513236274265</v>
      </c>
      <c r="K4032" s="3">
        <v>0.08824009189363893</v>
      </c>
      <c r="L4032" t="s">
        <v>54</v>
      </c>
    </row>
    <row r="4033" spans="1:12" x14ac:dyDescent="0.25">
      <c r="A4033" t="s">
        <v>487</v>
      </c>
      <c r="B4033" t="s">
        <v>463</v>
      </c>
      <c r="C4033" t="s">
        <v>464</v>
      </c>
      <c r="D4033" t="s">
        <v>364</v>
      </c>
      <c r="E4033" t="s">
        <v>370</v>
      </c>
      <c r="F4033">
        <v>3</v>
      </c>
      <c r="G4033" t="s">
        <v>499</v>
      </c>
      <c r="H4033" s="4">
        <v>30727680</v>
      </c>
      <c r="I4033" s="4">
        <v>36593505</v>
      </c>
      <c r="J4033" s="3">
        <v>0.19089709994376405</v>
      </c>
      <c r="K4033" s="3">
        <v>-0.16029688875115952</v>
      </c>
      <c r="L4033" t="s">
        <v>54</v>
      </c>
    </row>
    <row r="4034" spans="1:12" x14ac:dyDescent="0.25">
      <c r="A4034" t="s">
        <v>487</v>
      </c>
      <c r="B4034" t="s">
        <v>463</v>
      </c>
      <c r="C4034" t="s">
        <v>464</v>
      </c>
      <c r="D4034" t="s">
        <v>366</v>
      </c>
      <c r="E4034" t="s">
        <v>368</v>
      </c>
      <c r="F4034">
        <v>1</v>
      </c>
      <c r="G4034" t="s">
        <v>488</v>
      </c>
      <c r="H4034" s="4">
        <v>34083743</v>
      </c>
      <c r="I4034" s="4">
        <v>36232938.898731455</v>
      </c>
      <c r="J4034" s="3">
        <v>0.06305633447392955</v>
      </c>
      <c r="K4034" s="3">
        <v>-0.05931607990006851</v>
      </c>
      <c r="L4034" t="s">
        <v>54</v>
      </c>
    </row>
    <row r="4035" spans="1:12" x14ac:dyDescent="0.25">
      <c r="A4035" t="s">
        <v>487</v>
      </c>
      <c r="B4035" t="s">
        <v>463</v>
      </c>
      <c r="C4035" t="s">
        <v>464</v>
      </c>
      <c r="D4035" t="s">
        <v>366</v>
      </c>
      <c r="E4035" t="s">
        <v>368</v>
      </c>
      <c r="F4035">
        <v>1</v>
      </c>
      <c r="G4035" t="s">
        <v>498</v>
      </c>
      <c r="H4035" s="4">
        <v>34083743</v>
      </c>
      <c r="I4035" s="4">
        <v>30068655</v>
      </c>
      <c r="J4035" s="3">
        <v>0.11780067699724177</v>
      </c>
      <c r="K4035" s="3">
        <v>0.13353068170159257</v>
      </c>
      <c r="L4035" t="s">
        <v>54</v>
      </c>
    </row>
    <row r="4036" spans="1:12" x14ac:dyDescent="0.25">
      <c r="A4036" t="s">
        <v>487</v>
      </c>
      <c r="B4036" t="s">
        <v>463</v>
      </c>
      <c r="C4036" t="s">
        <v>464</v>
      </c>
      <c r="D4036" t="s">
        <v>366</v>
      </c>
      <c r="E4036" t="s">
        <v>368</v>
      </c>
      <c r="F4036">
        <v>1</v>
      </c>
      <c r="G4036" t="s">
        <v>499</v>
      </c>
      <c r="H4036" s="4">
        <v>34083743</v>
      </c>
      <c r="I4036" s="4">
        <v>35487995</v>
      </c>
      <c r="J4036" s="3">
        <v>0.041200052470762964</v>
      </c>
      <c r="K4036" s="3">
        <v>-0.039569775638212304</v>
      </c>
      <c r="L4036" t="s">
        <v>54</v>
      </c>
    </row>
    <row r="4037" spans="1:12" x14ac:dyDescent="0.25">
      <c r="A4037" t="s">
        <v>487</v>
      </c>
      <c r="B4037" t="s">
        <v>463</v>
      </c>
      <c r="C4037" t="s">
        <v>464</v>
      </c>
      <c r="D4037" t="s">
        <v>366</v>
      </c>
      <c r="E4037" t="s">
        <v>370</v>
      </c>
      <c r="F4037">
        <v>2</v>
      </c>
      <c r="G4037" t="s">
        <v>488</v>
      </c>
      <c r="H4037" s="4">
        <v>30727680</v>
      </c>
      <c r="I4037" s="4">
        <v>34024723.85822136</v>
      </c>
      <c r="J4037" s="3">
        <v>0.10729882172104628</v>
      </c>
      <c r="K4037" s="3">
        <v>-0.09690141415871324</v>
      </c>
      <c r="L4037" t="s">
        <v>54</v>
      </c>
    </row>
    <row r="4038" spans="1:12" x14ac:dyDescent="0.25">
      <c r="A4038" t="s">
        <v>487</v>
      </c>
      <c r="B4038" t="s">
        <v>463</v>
      </c>
      <c r="C4038" t="s">
        <v>464</v>
      </c>
      <c r="D4038" t="s">
        <v>366</v>
      </c>
      <c r="E4038" t="s">
        <v>370</v>
      </c>
      <c r="F4038">
        <v>2</v>
      </c>
      <c r="G4038" t="s">
        <v>498</v>
      </c>
      <c r="H4038" s="4">
        <v>30727680</v>
      </c>
      <c r="I4038" s="4">
        <v>28236122</v>
      </c>
      <c r="J4038" s="3">
        <v>0.08108513236274265</v>
      </c>
      <c r="K4038" s="3">
        <v>0.08824009189363893</v>
      </c>
      <c r="L4038" t="s">
        <v>54</v>
      </c>
    </row>
    <row r="4039" spans="1:12" x14ac:dyDescent="0.25">
      <c r="A4039" t="s">
        <v>487</v>
      </c>
      <c r="B4039" t="s">
        <v>463</v>
      </c>
      <c r="C4039" t="s">
        <v>464</v>
      </c>
      <c r="D4039" t="s">
        <v>366</v>
      </c>
      <c r="E4039" t="s">
        <v>370</v>
      </c>
      <c r="F4039">
        <v>2</v>
      </c>
      <c r="G4039" t="s">
        <v>499</v>
      </c>
      <c r="H4039" s="4">
        <v>30727680</v>
      </c>
      <c r="I4039" s="4">
        <v>35487995</v>
      </c>
      <c r="J4039" s="3">
        <v>0.15491944071273847</v>
      </c>
      <c r="K4039" s="3">
        <v>-0.13413874184777133</v>
      </c>
      <c r="L4039" t="s">
        <v>54</v>
      </c>
    </row>
    <row r="4040" spans="1:12" x14ac:dyDescent="0.25">
      <c r="A4040" t="s">
        <v>487</v>
      </c>
      <c r="B4040" t="s">
        <v>463</v>
      </c>
      <c r="C4040" t="s">
        <v>464</v>
      </c>
      <c r="D4040" t="s">
        <v>366</v>
      </c>
      <c r="E4040" t="s">
        <v>372</v>
      </c>
      <c r="F4040">
        <v>3</v>
      </c>
      <c r="G4040" t="s">
        <v>488</v>
      </c>
      <c r="H4040" s="4">
        <v>19780274</v>
      </c>
      <c r="I4040" s="4">
        <v>28666180.7666567</v>
      </c>
      <c r="J4040" s="3">
        <v>0.44923072181187684</v>
      </c>
      <c r="K4040" s="3">
        <v>-0.30997874599996994</v>
      </c>
      <c r="L4040" t="s">
        <v>54</v>
      </c>
    </row>
    <row r="4041" spans="1:12" x14ac:dyDescent="0.25">
      <c r="A4041" t="s">
        <v>487</v>
      </c>
      <c r="B4041" t="s">
        <v>463</v>
      </c>
      <c r="C4041" t="s">
        <v>464</v>
      </c>
      <c r="D4041" t="s">
        <v>366</v>
      </c>
      <c r="E4041" t="s">
        <v>372</v>
      </c>
      <c r="F4041">
        <v>3</v>
      </c>
      <c r="G4041" t="s">
        <v>498</v>
      </c>
      <c r="H4041" s="4">
        <v>19780274</v>
      </c>
      <c r="I4041" s="4">
        <v>23789224</v>
      </c>
      <c r="J4041" s="3">
        <v>0.2026741388921104</v>
      </c>
      <c r="K4041" s="3">
        <v>-0.16851957844442508</v>
      </c>
      <c r="L4041" t="s">
        <v>54</v>
      </c>
    </row>
    <row r="4042" spans="1:12" x14ac:dyDescent="0.25">
      <c r="A4042" t="s">
        <v>487</v>
      </c>
      <c r="B4042" t="s">
        <v>463</v>
      </c>
      <c r="C4042" t="s">
        <v>464</v>
      </c>
      <c r="D4042" t="s">
        <v>366</v>
      </c>
      <c r="E4042" t="s">
        <v>372</v>
      </c>
      <c r="F4042">
        <v>3</v>
      </c>
      <c r="G4042" t="s">
        <v>499</v>
      </c>
      <c r="H4042" s="4">
        <v>19780274</v>
      </c>
      <c r="I4042" s="4">
        <v>35487995</v>
      </c>
      <c r="J4042" s="3">
        <v>0.7941103849218671</v>
      </c>
      <c r="K4042" s="3">
        <v>-0.44262069468844323</v>
      </c>
      <c r="L4042" t="s">
        <v>54</v>
      </c>
    </row>
    <row r="4043" spans="1:12" x14ac:dyDescent="0.25">
      <c r="A4043" t="s">
        <v>487</v>
      </c>
      <c r="B4043" t="s">
        <v>463</v>
      </c>
      <c r="C4043" t="s">
        <v>464</v>
      </c>
      <c r="D4043" t="s">
        <v>368</v>
      </c>
      <c r="E4043" t="s">
        <v>370</v>
      </c>
      <c r="F4043">
        <v>1</v>
      </c>
      <c r="G4043" t="s">
        <v>488</v>
      </c>
      <c r="H4043" s="4">
        <v>30727680</v>
      </c>
      <c r="I4043" s="4">
        <v>33758739.08538384</v>
      </c>
      <c r="J4043" s="3">
        <v>0.09864262727885216</v>
      </c>
      <c r="K4043" s="3">
        <v>-0.08978590929351876</v>
      </c>
      <c r="L4043" t="s">
        <v>54</v>
      </c>
    </row>
    <row r="4044" spans="1:12" x14ac:dyDescent="0.25">
      <c r="A4044" t="s">
        <v>487</v>
      </c>
      <c r="B4044" t="s">
        <v>463</v>
      </c>
      <c r="C4044" t="s">
        <v>464</v>
      </c>
      <c r="D4044" t="s">
        <v>368</v>
      </c>
      <c r="E4044" t="s">
        <v>370</v>
      </c>
      <c r="F4044">
        <v>1</v>
      </c>
      <c r="G4044" t="s">
        <v>498</v>
      </c>
      <c r="H4044" s="4">
        <v>30727680</v>
      </c>
      <c r="I4044" s="4">
        <v>28236122</v>
      </c>
      <c r="J4044" s="3">
        <v>0.08108513236274265</v>
      </c>
      <c r="K4044" s="3">
        <v>0.08824009189363893</v>
      </c>
      <c r="L4044" t="s">
        <v>54</v>
      </c>
    </row>
    <row r="4045" spans="1:12" x14ac:dyDescent="0.25">
      <c r="A4045" t="s">
        <v>487</v>
      </c>
      <c r="B4045" t="s">
        <v>463</v>
      </c>
      <c r="C4045" t="s">
        <v>464</v>
      </c>
      <c r="D4045" t="s">
        <v>368</v>
      </c>
      <c r="E4045" t="s">
        <v>370</v>
      </c>
      <c r="F4045">
        <v>1</v>
      </c>
      <c r="G4045" t="s">
        <v>499</v>
      </c>
      <c r="H4045" s="4">
        <v>30727680</v>
      </c>
      <c r="I4045" s="4">
        <v>34083743</v>
      </c>
      <c r="J4045" s="3">
        <v>0.10921953756352579</v>
      </c>
      <c r="K4045" s="3">
        <v>-0.09846521257949868</v>
      </c>
      <c r="L4045" t="s">
        <v>54</v>
      </c>
    </row>
    <row r="4046" spans="1:12" x14ac:dyDescent="0.25">
      <c r="A4046" t="s">
        <v>487</v>
      </c>
      <c r="B4046" t="s">
        <v>463</v>
      </c>
      <c r="C4046" t="s">
        <v>464</v>
      </c>
      <c r="D4046" t="s">
        <v>368</v>
      </c>
      <c r="E4046" t="s">
        <v>372</v>
      </c>
      <c r="F4046">
        <v>2</v>
      </c>
      <c r="G4046" t="s">
        <v>488</v>
      </c>
      <c r="H4046" s="4">
        <v>19780274</v>
      </c>
      <c r="I4046" s="4">
        <v>28442085.8522906</v>
      </c>
      <c r="J4046" s="3">
        <v>0.4379015099735525</v>
      </c>
      <c r="K4046" s="3">
        <v>-0.30454207533421873</v>
      </c>
      <c r="L4046" t="s">
        <v>54</v>
      </c>
    </row>
    <row r="4047" spans="1:12" x14ac:dyDescent="0.25">
      <c r="A4047" t="s">
        <v>487</v>
      </c>
      <c r="B4047" t="s">
        <v>463</v>
      </c>
      <c r="C4047" t="s">
        <v>464</v>
      </c>
      <c r="D4047" t="s">
        <v>368</v>
      </c>
      <c r="E4047" t="s">
        <v>372</v>
      </c>
      <c r="F4047">
        <v>2</v>
      </c>
      <c r="G4047" t="s">
        <v>498</v>
      </c>
      <c r="H4047" s="4">
        <v>19780274</v>
      </c>
      <c r="I4047" s="4">
        <v>23789224</v>
      </c>
      <c r="J4047" s="3">
        <v>0.2026741388921104</v>
      </c>
      <c r="K4047" s="3">
        <v>-0.16851957844442508</v>
      </c>
      <c r="L4047" t="s">
        <v>54</v>
      </c>
    </row>
    <row r="4048" spans="1:12" x14ac:dyDescent="0.25">
      <c r="A4048" t="s">
        <v>487</v>
      </c>
      <c r="B4048" t="s">
        <v>463</v>
      </c>
      <c r="C4048" t="s">
        <v>464</v>
      </c>
      <c r="D4048" t="s">
        <v>368</v>
      </c>
      <c r="E4048" t="s">
        <v>372</v>
      </c>
      <c r="F4048">
        <v>2</v>
      </c>
      <c r="G4048" t="s">
        <v>499</v>
      </c>
      <c r="H4048" s="4">
        <v>19780274</v>
      </c>
      <c r="I4048" s="4">
        <v>34083743</v>
      </c>
      <c r="J4048" s="3">
        <v>0.7231178395203222</v>
      </c>
      <c r="K4048" s="3">
        <v>-0.4196566380634897</v>
      </c>
      <c r="L4048" t="s">
        <v>54</v>
      </c>
    </row>
    <row r="4049" spans="1:12" x14ac:dyDescent="0.25">
      <c r="A4049" t="s">
        <v>487</v>
      </c>
      <c r="B4049" t="s">
        <v>463</v>
      </c>
      <c r="C4049" t="s">
        <v>464</v>
      </c>
      <c r="D4049" t="s">
        <v>368</v>
      </c>
      <c r="E4049" t="s">
        <v>374</v>
      </c>
      <c r="F4049">
        <v>3</v>
      </c>
      <c r="G4049" t="s">
        <v>488</v>
      </c>
      <c r="H4049" s="4">
        <v>20519527</v>
      </c>
      <c r="I4049" s="4">
        <v>24911572.575108252</v>
      </c>
      <c r="J4049" s="3">
        <v>0.2140422425481958</v>
      </c>
      <c r="K4049" s="3">
        <v>-0.17630543241966196</v>
      </c>
      <c r="L4049" t="s">
        <v>54</v>
      </c>
    </row>
    <row r="4050" spans="1:12" x14ac:dyDescent="0.25">
      <c r="A4050" t="s">
        <v>487</v>
      </c>
      <c r="B4050" t="s">
        <v>463</v>
      </c>
      <c r="C4050" t="s">
        <v>464</v>
      </c>
      <c r="D4050" t="s">
        <v>368</v>
      </c>
      <c r="E4050" t="s">
        <v>374</v>
      </c>
      <c r="F4050">
        <v>3</v>
      </c>
      <c r="G4050" t="s">
        <v>498</v>
      </c>
      <c r="H4050" s="4">
        <v>20519527</v>
      </c>
      <c r="I4050" s="4">
        <v>20836270</v>
      </c>
      <c r="J4050" s="3">
        <v>0.015436174527804662</v>
      </c>
      <c r="K4050" s="3">
        <v>-0.015201521193572555</v>
      </c>
      <c r="L4050" t="s">
        <v>54</v>
      </c>
    </row>
    <row r="4051" spans="1:12" x14ac:dyDescent="0.25">
      <c r="A4051" t="s">
        <v>487</v>
      </c>
      <c r="B4051" t="s">
        <v>463</v>
      </c>
      <c r="C4051" t="s">
        <v>464</v>
      </c>
      <c r="D4051" t="s">
        <v>368</v>
      </c>
      <c r="E4051" t="s">
        <v>374</v>
      </c>
      <c r="F4051">
        <v>3</v>
      </c>
      <c r="G4051" t="s">
        <v>499</v>
      </c>
      <c r="H4051" s="4">
        <v>20519527</v>
      </c>
      <c r="I4051" s="4">
        <v>34083743</v>
      </c>
      <c r="J4051" s="3">
        <v>0.6610394089493389</v>
      </c>
      <c r="K4051" s="3">
        <v>-0.3979673241873699</v>
      </c>
      <c r="L4051" t="s">
        <v>54</v>
      </c>
    </row>
    <row r="4052" spans="1:12" x14ac:dyDescent="0.25">
      <c r="A4052" t="s">
        <v>487</v>
      </c>
      <c r="B4052" t="s">
        <v>463</v>
      </c>
      <c r="C4052" t="s">
        <v>464</v>
      </c>
      <c r="D4052" t="s">
        <v>370</v>
      </c>
      <c r="E4052" t="s">
        <v>372</v>
      </c>
      <c r="F4052">
        <v>1</v>
      </c>
      <c r="G4052" t="s">
        <v>488</v>
      </c>
      <c r="H4052" s="4">
        <v>19780274</v>
      </c>
      <c r="I4052" s="4">
        <v>27922896.443776306</v>
      </c>
      <c r="J4052" s="3">
        <v>0.41165367293578975</v>
      </c>
      <c r="K4052" s="3">
        <v>-0.2916109530460692</v>
      </c>
      <c r="L4052" t="s">
        <v>54</v>
      </c>
    </row>
    <row r="4053" spans="1:12" x14ac:dyDescent="0.25">
      <c r="A4053" t="s">
        <v>487</v>
      </c>
      <c r="B4053" t="s">
        <v>463</v>
      </c>
      <c r="C4053" t="s">
        <v>464</v>
      </c>
      <c r="D4053" t="s">
        <v>370</v>
      </c>
      <c r="E4053" t="s">
        <v>372</v>
      </c>
      <c r="F4053">
        <v>1</v>
      </c>
      <c r="G4053" t="s">
        <v>498</v>
      </c>
      <c r="H4053" s="4">
        <v>19780274</v>
      </c>
      <c r="I4053" s="4">
        <v>23789224</v>
      </c>
      <c r="J4053" s="3">
        <v>0.2026741388921104</v>
      </c>
      <c r="K4053" s="3">
        <v>-0.16851957844442508</v>
      </c>
      <c r="L4053" t="s">
        <v>54</v>
      </c>
    </row>
    <row r="4054" spans="1:12" x14ac:dyDescent="0.25">
      <c r="A4054" t="s">
        <v>487</v>
      </c>
      <c r="B4054" t="s">
        <v>463</v>
      </c>
      <c r="C4054" t="s">
        <v>464</v>
      </c>
      <c r="D4054" t="s">
        <v>370</v>
      </c>
      <c r="E4054" t="s">
        <v>372</v>
      </c>
      <c r="F4054">
        <v>1</v>
      </c>
      <c r="G4054" t="s">
        <v>499</v>
      </c>
      <c r="H4054" s="4">
        <v>19780274</v>
      </c>
      <c r="I4054" s="4">
        <v>30727680</v>
      </c>
      <c r="J4054" s="3">
        <v>0.5534506751524271</v>
      </c>
      <c r="K4054" s="3">
        <v>-0.3562718044447222</v>
      </c>
      <c r="L4054" t="s">
        <v>54</v>
      </c>
    </row>
    <row r="4055" spans="1:12" x14ac:dyDescent="0.25">
      <c r="A4055" t="s">
        <v>487</v>
      </c>
      <c r="B4055" t="s">
        <v>463</v>
      </c>
      <c r="C4055" t="s">
        <v>464</v>
      </c>
      <c r="D4055" t="s">
        <v>370</v>
      </c>
      <c r="E4055" t="s">
        <v>374</v>
      </c>
      <c r="F4055">
        <v>2</v>
      </c>
      <c r="G4055" t="s">
        <v>488</v>
      </c>
      <c r="H4055" s="4">
        <v>20519527</v>
      </c>
      <c r="I4055" s="4">
        <v>24456830.09603688</v>
      </c>
      <c r="J4055" s="3">
        <v>0.19188079218574977</v>
      </c>
      <c r="K4055" s="3">
        <v>-0.1609899189950583</v>
      </c>
      <c r="L4055" t="s">
        <v>54</v>
      </c>
    </row>
    <row r="4056" spans="1:12" x14ac:dyDescent="0.25">
      <c r="A4056" t="s">
        <v>487</v>
      </c>
      <c r="B4056" t="s">
        <v>463</v>
      </c>
      <c r="C4056" t="s">
        <v>464</v>
      </c>
      <c r="D4056" t="s">
        <v>370</v>
      </c>
      <c r="E4056" t="s">
        <v>374</v>
      </c>
      <c r="F4056">
        <v>2</v>
      </c>
      <c r="G4056" t="s">
        <v>498</v>
      </c>
      <c r="H4056" s="4">
        <v>20519527</v>
      </c>
      <c r="I4056" s="4">
        <v>20836270</v>
      </c>
      <c r="J4056" s="3">
        <v>0.015436174527804662</v>
      </c>
      <c r="K4056" s="3">
        <v>-0.015201521193572555</v>
      </c>
      <c r="L4056" t="s">
        <v>54</v>
      </c>
    </row>
    <row r="4057" spans="1:12" x14ac:dyDescent="0.25">
      <c r="A4057" t="s">
        <v>487</v>
      </c>
      <c r="B4057" t="s">
        <v>463</v>
      </c>
      <c r="C4057" t="s">
        <v>464</v>
      </c>
      <c r="D4057" t="s">
        <v>370</v>
      </c>
      <c r="E4057" t="s">
        <v>374</v>
      </c>
      <c r="F4057">
        <v>2</v>
      </c>
      <c r="G4057" t="s">
        <v>499</v>
      </c>
      <c r="H4057" s="4">
        <v>20519527</v>
      </c>
      <c r="I4057" s="4">
        <v>30727680</v>
      </c>
      <c r="J4057" s="3">
        <v>0.49748481044421733</v>
      </c>
      <c r="K4057" s="3">
        <v>-0.33221359373698245</v>
      </c>
      <c r="L4057" t="s">
        <v>54</v>
      </c>
    </row>
    <row r="4058" spans="1:12" x14ac:dyDescent="0.25">
      <c r="A4058" t="s">
        <v>487</v>
      </c>
      <c r="B4058" t="s">
        <v>463</v>
      </c>
      <c r="C4058" t="s">
        <v>464</v>
      </c>
      <c r="D4058" t="s">
        <v>370</v>
      </c>
      <c r="E4058" t="s">
        <v>376</v>
      </c>
      <c r="F4058">
        <v>3</v>
      </c>
      <c r="G4058" t="s">
        <v>488</v>
      </c>
      <c r="H4058" s="4">
        <v>21714826</v>
      </c>
      <c r="I4058" s="4">
        <v>24315142.89028687</v>
      </c>
      <c r="J4058" s="3">
        <v>0.11974845620622843</v>
      </c>
      <c r="K4058" s="3">
        <v>-0.10694228292302632</v>
      </c>
      <c r="L4058" t="s">
        <v>377</v>
      </c>
    </row>
    <row r="4059" spans="1:12" x14ac:dyDescent="0.25">
      <c r="A4059" t="s">
        <v>487</v>
      </c>
      <c r="B4059" t="s">
        <v>463</v>
      </c>
      <c r="C4059" t="s">
        <v>464</v>
      </c>
      <c r="D4059" t="s">
        <v>370</v>
      </c>
      <c r="E4059" t="s">
        <v>376</v>
      </c>
      <c r="F4059">
        <v>3</v>
      </c>
      <c r="G4059" t="s">
        <v>498</v>
      </c>
      <c r="H4059" s="4">
        <v>21714826</v>
      </c>
      <c r="I4059" s="4">
        <v>20715558</v>
      </c>
      <c r="J4059" s="3">
        <v>0.046017776057703616</v>
      </c>
      <c r="K4059" s="3">
        <v>0.04823756135364541</v>
      </c>
      <c r="L4059" t="s">
        <v>377</v>
      </c>
    </row>
    <row r="4060" spans="1:12" x14ac:dyDescent="0.25">
      <c r="A4060" t="s">
        <v>487</v>
      </c>
      <c r="B4060" t="s">
        <v>463</v>
      </c>
      <c r="C4060" t="s">
        <v>464</v>
      </c>
      <c r="D4060" t="s">
        <v>370</v>
      </c>
      <c r="E4060" t="s">
        <v>376</v>
      </c>
      <c r="F4060">
        <v>3</v>
      </c>
      <c r="G4060" t="s">
        <v>499</v>
      </c>
      <c r="H4060" s="4">
        <v>21714826</v>
      </c>
      <c r="I4060" s="4">
        <v>30727680</v>
      </c>
      <c r="J4060" s="3">
        <v>0.4150553175051921</v>
      </c>
      <c r="K4060" s="3">
        <v>-0.29331384601766225</v>
      </c>
      <c r="L4060" t="s">
        <v>377</v>
      </c>
    </row>
    <row r="4061" spans="1:12" x14ac:dyDescent="0.25">
      <c r="A4061" t="s">
        <v>487</v>
      </c>
      <c r="B4061" t="s">
        <v>463</v>
      </c>
      <c r="C4061" t="s">
        <v>464</v>
      </c>
      <c r="D4061" t="s">
        <v>372</v>
      </c>
      <c r="E4061" t="s">
        <v>374</v>
      </c>
      <c r="F4061">
        <v>1</v>
      </c>
      <c r="G4061" t="s">
        <v>488</v>
      </c>
      <c r="H4061" s="4">
        <v>20519527</v>
      </c>
      <c r="I4061" s="4">
        <v>23344583.545616306</v>
      </c>
      <c r="J4061" s="3">
        <v>0.13767649447359612</v>
      </c>
      <c r="K4061" s="3">
        <v>-0.12101550409310263</v>
      </c>
      <c r="L4061" t="s">
        <v>54</v>
      </c>
    </row>
    <row r="4062" spans="1:12" x14ac:dyDescent="0.25">
      <c r="A4062" t="s">
        <v>487</v>
      </c>
      <c r="B4062" t="s">
        <v>463</v>
      </c>
      <c r="C4062" t="s">
        <v>464</v>
      </c>
      <c r="D4062" t="s">
        <v>372</v>
      </c>
      <c r="E4062" t="s">
        <v>374</v>
      </c>
      <c r="F4062">
        <v>1</v>
      </c>
      <c r="G4062" t="s">
        <v>498</v>
      </c>
      <c r="H4062" s="4">
        <v>20519527</v>
      </c>
      <c r="I4062" s="4">
        <v>20836270</v>
      </c>
      <c r="J4062" s="3">
        <v>0.015436174527804662</v>
      </c>
      <c r="K4062" s="3">
        <v>-0.015201521193572555</v>
      </c>
      <c r="L4062" t="s">
        <v>54</v>
      </c>
    </row>
    <row r="4063" spans="1:12" x14ac:dyDescent="0.25">
      <c r="A4063" t="s">
        <v>487</v>
      </c>
      <c r="B4063" t="s">
        <v>463</v>
      </c>
      <c r="C4063" t="s">
        <v>464</v>
      </c>
      <c r="D4063" t="s">
        <v>372</v>
      </c>
      <c r="E4063" t="s">
        <v>374</v>
      </c>
      <c r="F4063">
        <v>1</v>
      </c>
      <c r="G4063" t="s">
        <v>499</v>
      </c>
      <c r="H4063" s="4">
        <v>20519527</v>
      </c>
      <c r="I4063" s="4">
        <v>19780274</v>
      </c>
      <c r="J4063" s="3">
        <v>0.03602680510130667</v>
      </c>
      <c r="K4063" s="3">
        <v>0.037373243666897635</v>
      </c>
      <c r="L4063" t="s">
        <v>54</v>
      </c>
    </row>
    <row r="4064" spans="1:12" x14ac:dyDescent="0.25">
      <c r="A4064" t="s">
        <v>487</v>
      </c>
      <c r="B4064" t="s">
        <v>463</v>
      </c>
      <c r="C4064" t="s">
        <v>464</v>
      </c>
      <c r="D4064" t="s">
        <v>372</v>
      </c>
      <c r="E4064" t="s">
        <v>376</v>
      </c>
      <c r="F4064">
        <v>2</v>
      </c>
      <c r="G4064" t="s">
        <v>488</v>
      </c>
      <c r="H4064" s="4">
        <v>21714826</v>
      </c>
      <c r="I4064" s="4">
        <v>23209339.98383877</v>
      </c>
      <c r="J4064" s="3">
        <v>0.06882458942285656</v>
      </c>
      <c r="K4064" s="3">
        <v>-0.0643927825987054</v>
      </c>
      <c r="L4064" t="s">
        <v>377</v>
      </c>
    </row>
    <row r="4065" spans="1:12" x14ac:dyDescent="0.25">
      <c r="A4065" t="s">
        <v>487</v>
      </c>
      <c r="B4065" t="s">
        <v>463</v>
      </c>
      <c r="C4065" t="s">
        <v>464</v>
      </c>
      <c r="D4065" t="s">
        <v>372</v>
      </c>
      <c r="E4065" t="s">
        <v>376</v>
      </c>
      <c r="F4065">
        <v>2</v>
      </c>
      <c r="G4065" t="s">
        <v>498</v>
      </c>
      <c r="H4065" s="4">
        <v>21714826</v>
      </c>
      <c r="I4065" s="4">
        <v>20715558</v>
      </c>
      <c r="J4065" s="3">
        <v>0.046017776057703616</v>
      </c>
      <c r="K4065" s="3">
        <v>0.04823756135364541</v>
      </c>
      <c r="L4065" t="s">
        <v>377</v>
      </c>
    </row>
    <row r="4066" spans="1:12" x14ac:dyDescent="0.25">
      <c r="A4066" t="s">
        <v>487</v>
      </c>
      <c r="B4066" t="s">
        <v>463</v>
      </c>
      <c r="C4066" t="s">
        <v>464</v>
      </c>
      <c r="D4066" t="s">
        <v>372</v>
      </c>
      <c r="E4066" t="s">
        <v>376</v>
      </c>
      <c r="F4066">
        <v>2</v>
      </c>
      <c r="G4066" t="s">
        <v>499</v>
      </c>
      <c r="H4066" s="4">
        <v>21714826</v>
      </c>
      <c r="I4066" s="4">
        <v>19780274</v>
      </c>
      <c r="J4066" s="3">
        <v>0.08908899385148193</v>
      </c>
      <c r="K4066" s="3">
        <v>0.09780208302473464</v>
      </c>
      <c r="L4066" t="s">
        <v>377</v>
      </c>
    </row>
    <row r="4067" spans="1:12" x14ac:dyDescent="0.25">
      <c r="A4067" t="s">
        <v>487</v>
      </c>
      <c r="B4067" t="s">
        <v>463</v>
      </c>
      <c r="C4067" t="s">
        <v>464</v>
      </c>
      <c r="D4067" t="s">
        <v>372</v>
      </c>
      <c r="E4067" t="s">
        <v>379</v>
      </c>
      <c r="F4067">
        <v>3</v>
      </c>
      <c r="G4067" t="s">
        <v>488</v>
      </c>
      <c r="H4067" s="4">
        <v>21717892</v>
      </c>
      <c r="I4067" s="4">
        <v>32281368.355247267</v>
      </c>
      <c r="J4067" s="3">
        <v>0.48639510479411474</v>
      </c>
      <c r="K4067" s="3">
        <v>-0.3272313688502674</v>
      </c>
      <c r="L4067" t="s">
        <v>377</v>
      </c>
    </row>
    <row r="4068" spans="1:12" x14ac:dyDescent="0.25">
      <c r="A4068" t="s">
        <v>487</v>
      </c>
      <c r="B4068" t="s">
        <v>463</v>
      </c>
      <c r="C4068" t="s">
        <v>464</v>
      </c>
      <c r="D4068" t="s">
        <v>372</v>
      </c>
      <c r="E4068" t="s">
        <v>379</v>
      </c>
      <c r="F4068">
        <v>3</v>
      </c>
      <c r="G4068" t="s">
        <v>498</v>
      </c>
      <c r="H4068" s="4">
        <v>21717892</v>
      </c>
      <c r="I4068" s="4">
        <v>28812821</v>
      </c>
      <c r="J4068" s="3">
        <v>0.3266858956661171</v>
      </c>
      <c r="K4068" s="3">
        <v>-0.24624208091252156</v>
      </c>
      <c r="L4068" t="s">
        <v>377</v>
      </c>
    </row>
    <row r="4069" spans="1:12" x14ac:dyDescent="0.25">
      <c r="A4069" t="s">
        <v>487</v>
      </c>
      <c r="B4069" t="s">
        <v>463</v>
      </c>
      <c r="C4069" t="s">
        <v>464</v>
      </c>
      <c r="D4069" t="s">
        <v>372</v>
      </c>
      <c r="E4069" t="s">
        <v>379</v>
      </c>
      <c r="F4069">
        <v>3</v>
      </c>
      <c r="G4069" t="s">
        <v>499</v>
      </c>
      <c r="H4069" s="4">
        <v>21717892</v>
      </c>
      <c r="I4069" s="4">
        <v>19780274</v>
      </c>
      <c r="J4069" s="3">
        <v>0.08921759073118146</v>
      </c>
      <c r="K4069" s="3">
        <v>0.09795708593318778</v>
      </c>
      <c r="L4069" t="s">
        <v>377</v>
      </c>
    </row>
    <row r="4070" spans="1:12" x14ac:dyDescent="0.25">
      <c r="A4070" t="s">
        <v>487</v>
      </c>
      <c r="B4070" t="s">
        <v>463</v>
      </c>
      <c r="C4070" t="s">
        <v>464</v>
      </c>
      <c r="D4070" t="s">
        <v>374</v>
      </c>
      <c r="E4070" t="s">
        <v>376</v>
      </c>
      <c r="F4070">
        <v>1</v>
      </c>
      <c r="G4070" t="s">
        <v>488</v>
      </c>
      <c r="H4070" s="4">
        <v>21714826</v>
      </c>
      <c r="I4070" s="4">
        <v>22265920.071499277</v>
      </c>
      <c r="J4070" s="3">
        <v>0.02537870077795129</v>
      </c>
      <c r="K4070" s="3">
        <v>-0.024750563629512255</v>
      </c>
      <c r="L4070" t="s">
        <v>377</v>
      </c>
    </row>
    <row r="4071" spans="1:12" x14ac:dyDescent="0.25">
      <c r="A4071" t="s">
        <v>487</v>
      </c>
      <c r="B4071" t="s">
        <v>463</v>
      </c>
      <c r="C4071" t="s">
        <v>464</v>
      </c>
      <c r="D4071" t="s">
        <v>374</v>
      </c>
      <c r="E4071" t="s">
        <v>376</v>
      </c>
      <c r="F4071">
        <v>1</v>
      </c>
      <c r="G4071" t="s">
        <v>498</v>
      </c>
      <c r="H4071" s="4">
        <v>21714826</v>
      </c>
      <c r="I4071" s="4">
        <v>20715558</v>
      </c>
      <c r="J4071" s="3">
        <v>0.046017776057703616</v>
      </c>
      <c r="K4071" s="3">
        <v>0.04823756135364541</v>
      </c>
      <c r="L4071" t="s">
        <v>377</v>
      </c>
    </row>
    <row r="4072" spans="1:12" x14ac:dyDescent="0.25">
      <c r="A4072" t="s">
        <v>487</v>
      </c>
      <c r="B4072" t="s">
        <v>463</v>
      </c>
      <c r="C4072" t="s">
        <v>464</v>
      </c>
      <c r="D4072" t="s">
        <v>374</v>
      </c>
      <c r="E4072" t="s">
        <v>376</v>
      </c>
      <c r="F4072">
        <v>1</v>
      </c>
      <c r="G4072" t="s">
        <v>499</v>
      </c>
      <c r="H4072" s="4">
        <v>21714826</v>
      </c>
      <c r="I4072" s="4">
        <v>20519527</v>
      </c>
      <c r="J4072" s="3">
        <v>0.055045294859834476</v>
      </c>
      <c r="K4072" s="3">
        <v>0.05825178133979404</v>
      </c>
      <c r="L4072" t="s">
        <v>377</v>
      </c>
    </row>
    <row r="4073" spans="1:12" x14ac:dyDescent="0.25">
      <c r="A4073" t="s">
        <v>487</v>
      </c>
      <c r="B4073" t="s">
        <v>463</v>
      </c>
      <c r="C4073" t="s">
        <v>464</v>
      </c>
      <c r="D4073" t="s">
        <v>374</v>
      </c>
      <c r="E4073" t="s">
        <v>379</v>
      </c>
      <c r="F4073">
        <v>2</v>
      </c>
      <c r="G4073" t="s">
        <v>488</v>
      </c>
      <c r="H4073" s="4">
        <v>21717892</v>
      </c>
      <c r="I4073" s="4">
        <v>30969186.030152597</v>
      </c>
      <c r="J4073" s="3">
        <v>0.4259756900049322</v>
      </c>
      <c r="K4073" s="3">
        <v>-0.298725772809955</v>
      </c>
      <c r="L4073" t="s">
        <v>377</v>
      </c>
    </row>
    <row r="4074" spans="1:12" x14ac:dyDescent="0.25">
      <c r="A4074" t="s">
        <v>487</v>
      </c>
      <c r="B4074" t="s">
        <v>463</v>
      </c>
      <c r="C4074" t="s">
        <v>464</v>
      </c>
      <c r="D4074" t="s">
        <v>374</v>
      </c>
      <c r="E4074" t="s">
        <v>379</v>
      </c>
      <c r="F4074">
        <v>2</v>
      </c>
      <c r="G4074" t="s">
        <v>498</v>
      </c>
      <c r="H4074" s="4">
        <v>21717892</v>
      </c>
      <c r="I4074" s="4">
        <v>28812821</v>
      </c>
      <c r="J4074" s="3">
        <v>0.3266858956661171</v>
      </c>
      <c r="K4074" s="3">
        <v>-0.24624208091252156</v>
      </c>
      <c r="L4074" t="s">
        <v>377</v>
      </c>
    </row>
    <row r="4075" spans="1:12" x14ac:dyDescent="0.25">
      <c r="A4075" t="s">
        <v>487</v>
      </c>
      <c r="B4075" t="s">
        <v>463</v>
      </c>
      <c r="C4075" t="s">
        <v>464</v>
      </c>
      <c r="D4075" t="s">
        <v>374</v>
      </c>
      <c r="E4075" t="s">
        <v>379</v>
      </c>
      <c r="F4075">
        <v>2</v>
      </c>
      <c r="G4075" t="s">
        <v>499</v>
      </c>
      <c r="H4075" s="4">
        <v>21717892</v>
      </c>
      <c r="I4075" s="4">
        <v>20519527</v>
      </c>
      <c r="J4075" s="3">
        <v>0.05517869782205382</v>
      </c>
      <c r="K4075" s="3">
        <v>0.058401199988674206</v>
      </c>
      <c r="L4075" t="s">
        <v>377</v>
      </c>
    </row>
    <row r="4076" spans="1:12" x14ac:dyDescent="0.25">
      <c r="A4076" t="s">
        <v>487</v>
      </c>
      <c r="B4076" t="s">
        <v>463</v>
      </c>
      <c r="C4076" t="s">
        <v>464</v>
      </c>
      <c r="D4076" t="s">
        <v>374</v>
      </c>
      <c r="E4076" t="s">
        <v>381</v>
      </c>
      <c r="F4076">
        <v>3</v>
      </c>
      <c r="G4076" t="s">
        <v>488</v>
      </c>
      <c r="H4076" s="4">
        <v>31326442</v>
      </c>
      <c r="I4076" s="4">
        <v>43648842.57529906</v>
      </c>
      <c r="J4076" s="3">
        <v>0.3933546163748523</v>
      </c>
      <c r="K4076" s="3">
        <v>-0.28230761340444627</v>
      </c>
      <c r="L4076" t="s">
        <v>377</v>
      </c>
    </row>
    <row r="4077" spans="1:12" x14ac:dyDescent="0.25">
      <c r="A4077" t="s">
        <v>487</v>
      </c>
      <c r="B4077" t="s">
        <v>463</v>
      </c>
      <c r="C4077" t="s">
        <v>464</v>
      </c>
      <c r="D4077" t="s">
        <v>374</v>
      </c>
      <c r="E4077" t="s">
        <v>381</v>
      </c>
      <c r="F4077">
        <v>3</v>
      </c>
      <c r="G4077" t="s">
        <v>498</v>
      </c>
      <c r="H4077" s="4">
        <v>31326442</v>
      </c>
      <c r="I4077" s="4">
        <v>40609601</v>
      </c>
      <c r="J4077" s="3">
        <v>0.29633620696534896</v>
      </c>
      <c r="K4077" s="3">
        <v>-0.22859517876080584</v>
      </c>
      <c r="L4077" t="s">
        <v>377</v>
      </c>
    </row>
    <row r="4078" spans="1:12" x14ac:dyDescent="0.25">
      <c r="A4078" t="s">
        <v>487</v>
      </c>
      <c r="B4078" t="s">
        <v>463</v>
      </c>
      <c r="C4078" t="s">
        <v>464</v>
      </c>
      <c r="D4078" t="s">
        <v>374</v>
      </c>
      <c r="E4078" t="s">
        <v>381</v>
      </c>
      <c r="F4078">
        <v>3</v>
      </c>
      <c r="G4078" t="s">
        <v>499</v>
      </c>
      <c r="H4078" s="4">
        <v>31326442</v>
      </c>
      <c r="I4078" s="4">
        <v>20519527</v>
      </c>
      <c r="J4078" s="3">
        <v>0.34497741556478073</v>
      </c>
      <c r="K4078" s="3">
        <v>0.5266649177634553</v>
      </c>
      <c r="L4078" t="s">
        <v>377</v>
      </c>
    </row>
    <row r="4079" spans="1:12" x14ac:dyDescent="0.25">
      <c r="A4079" t="s">
        <v>487</v>
      </c>
      <c r="B4079" t="s">
        <v>463</v>
      </c>
      <c r="C4079" t="s">
        <v>464</v>
      </c>
      <c r="D4079" t="s">
        <v>376</v>
      </c>
      <c r="E4079" t="s">
        <v>379</v>
      </c>
      <c r="F4079">
        <v>1</v>
      </c>
      <c r="G4079" t="s">
        <v>488</v>
      </c>
      <c r="H4079" s="4">
        <v>21717892</v>
      </c>
      <c r="I4079" s="4">
        <v>30481150.5723979</v>
      </c>
      <c r="J4079" s="3">
        <v>0.4035041049286873</v>
      </c>
      <c r="K4079" s="3">
        <v>-0.28749763075982565</v>
      </c>
      <c r="L4079" t="s">
        <v>377</v>
      </c>
    </row>
    <row r="4080" spans="1:12" x14ac:dyDescent="0.25">
      <c r="A4080" t="s">
        <v>487</v>
      </c>
      <c r="B4080" t="s">
        <v>463</v>
      </c>
      <c r="C4080" t="s">
        <v>464</v>
      </c>
      <c r="D4080" t="s">
        <v>376</v>
      </c>
      <c r="E4080" t="s">
        <v>379</v>
      </c>
      <c r="F4080">
        <v>1</v>
      </c>
      <c r="G4080" t="s">
        <v>498</v>
      </c>
      <c r="H4080" s="4">
        <v>21717892</v>
      </c>
      <c r="I4080" s="4">
        <v>28812821</v>
      </c>
      <c r="J4080" s="3">
        <v>0.3266858956661171</v>
      </c>
      <c r="K4080" s="3">
        <v>-0.24624208091252156</v>
      </c>
      <c r="L4080" t="s">
        <v>377</v>
      </c>
    </row>
    <row r="4081" spans="1:12" x14ac:dyDescent="0.25">
      <c r="A4081" t="s">
        <v>487</v>
      </c>
      <c r="B4081" t="s">
        <v>463</v>
      </c>
      <c r="C4081" t="s">
        <v>464</v>
      </c>
      <c r="D4081" t="s">
        <v>376</v>
      </c>
      <c r="E4081" t="s">
        <v>379</v>
      </c>
      <c r="F4081">
        <v>1</v>
      </c>
      <c r="G4081" t="s">
        <v>499</v>
      </c>
      <c r="H4081" s="4">
        <v>21717892</v>
      </c>
      <c r="I4081" s="4">
        <v>21714826</v>
      </c>
      <c r="J4081" s="3">
        <v>0.0001411739224046238</v>
      </c>
      <c r="K4081" s="3">
        <v>0.00014119385529499522</v>
      </c>
      <c r="L4081" t="s">
        <v>377</v>
      </c>
    </row>
    <row r="4082" spans="1:12" x14ac:dyDescent="0.25">
      <c r="A4082" t="s">
        <v>487</v>
      </c>
      <c r="B4082" t="s">
        <v>463</v>
      </c>
      <c r="C4082" t="s">
        <v>464</v>
      </c>
      <c r="D4082" t="s">
        <v>376</v>
      </c>
      <c r="E4082" t="s">
        <v>381</v>
      </c>
      <c r="F4082">
        <v>2</v>
      </c>
      <c r="G4082" t="s">
        <v>488</v>
      </c>
      <c r="H4082" s="4">
        <v>31326442</v>
      </c>
      <c r="I4082" s="4">
        <v>42960991.66291285</v>
      </c>
      <c r="J4082" s="3">
        <v>0.3713970984292711</v>
      </c>
      <c r="K4082" s="3">
        <v>-0.2708165992582678</v>
      </c>
      <c r="L4082" t="s">
        <v>377</v>
      </c>
    </row>
    <row r="4083" spans="1:12" x14ac:dyDescent="0.25">
      <c r="A4083" t="s">
        <v>487</v>
      </c>
      <c r="B4083" t="s">
        <v>463</v>
      </c>
      <c r="C4083" t="s">
        <v>464</v>
      </c>
      <c r="D4083" t="s">
        <v>376</v>
      </c>
      <c r="E4083" t="s">
        <v>381</v>
      </c>
      <c r="F4083">
        <v>2</v>
      </c>
      <c r="G4083" t="s">
        <v>498</v>
      </c>
      <c r="H4083" s="4">
        <v>31326442</v>
      </c>
      <c r="I4083" s="4">
        <v>40609601</v>
      </c>
      <c r="J4083" s="3">
        <v>0.29633620696534896</v>
      </c>
      <c r="K4083" s="3">
        <v>-0.22859517876080584</v>
      </c>
      <c r="L4083" t="s">
        <v>377</v>
      </c>
    </row>
    <row r="4084" spans="1:12" x14ac:dyDescent="0.25">
      <c r="A4084" t="s">
        <v>487</v>
      </c>
      <c r="B4084" t="s">
        <v>463</v>
      </c>
      <c r="C4084" t="s">
        <v>464</v>
      </c>
      <c r="D4084" t="s">
        <v>376</v>
      </c>
      <c r="E4084" t="s">
        <v>381</v>
      </c>
      <c r="F4084">
        <v>2</v>
      </c>
      <c r="G4084" t="s">
        <v>499</v>
      </c>
      <c r="H4084" s="4">
        <v>31326442</v>
      </c>
      <c r="I4084" s="4">
        <v>21714826</v>
      </c>
      <c r="J4084" s="3">
        <v>0.30682118320363355</v>
      </c>
      <c r="K4084" s="3">
        <v>0.4426291972130009</v>
      </c>
      <c r="L4084" t="s">
        <v>377</v>
      </c>
    </row>
    <row r="4085" spans="1:12" x14ac:dyDescent="0.25">
      <c r="A4085" t="s">
        <v>487</v>
      </c>
      <c r="B4085" t="s">
        <v>463</v>
      </c>
      <c r="C4085" t="s">
        <v>464</v>
      </c>
      <c r="D4085" t="s">
        <v>376</v>
      </c>
      <c r="E4085" t="s">
        <v>383</v>
      </c>
      <c r="F4085">
        <v>3</v>
      </c>
      <c r="G4085" t="s">
        <v>488</v>
      </c>
      <c r="H4085" s="4">
        <v>47751329</v>
      </c>
      <c r="I4085" s="4">
        <v>46223157.28302363</v>
      </c>
      <c r="J4085" s="3">
        <v>0.03200270545300146</v>
      </c>
      <c r="K4085" s="3">
        <v>0.03306073853024354</v>
      </c>
      <c r="L4085" t="s">
        <v>377</v>
      </c>
    </row>
    <row r="4086" spans="1:12" x14ac:dyDescent="0.25">
      <c r="A4086" t="s">
        <v>487</v>
      </c>
      <c r="B4086" t="s">
        <v>463</v>
      </c>
      <c r="C4086" t="s">
        <v>464</v>
      </c>
      <c r="D4086" t="s">
        <v>376</v>
      </c>
      <c r="E4086" t="s">
        <v>383</v>
      </c>
      <c r="F4086">
        <v>3</v>
      </c>
      <c r="G4086" t="s">
        <v>498</v>
      </c>
      <c r="H4086" s="4">
        <v>47751329</v>
      </c>
      <c r="I4086" s="4">
        <v>43693218</v>
      </c>
      <c r="J4086" s="3">
        <v>0.08498425248017705</v>
      </c>
      <c r="K4086" s="3">
        <v>0.09287736600220199</v>
      </c>
      <c r="L4086" t="s">
        <v>377</v>
      </c>
    </row>
    <row r="4087" spans="1:12" x14ac:dyDescent="0.25">
      <c r="A4087" t="s">
        <v>487</v>
      </c>
      <c r="B4087" t="s">
        <v>463</v>
      </c>
      <c r="C4087" t="s">
        <v>464</v>
      </c>
      <c r="D4087" t="s">
        <v>376</v>
      </c>
      <c r="E4087" t="s">
        <v>383</v>
      </c>
      <c r="F4087">
        <v>3</v>
      </c>
      <c r="G4087" t="s">
        <v>499</v>
      </c>
      <c r="H4087" s="4">
        <v>47751329</v>
      </c>
      <c r="I4087" s="4">
        <v>21714826</v>
      </c>
      <c r="J4087" s="3">
        <v>0.5452519028318562</v>
      </c>
      <c r="K4087" s="3">
        <v>1.1990196467611576</v>
      </c>
      <c r="L4087" t="s">
        <v>377</v>
      </c>
    </row>
    <row r="4088" spans="1:12" x14ac:dyDescent="0.25">
      <c r="A4088" t="s">
        <v>487</v>
      </c>
      <c r="B4088" t="s">
        <v>463</v>
      </c>
      <c r="C4088" t="s">
        <v>464</v>
      </c>
      <c r="D4088" t="s">
        <v>379</v>
      </c>
      <c r="E4088" t="s">
        <v>381</v>
      </c>
      <c r="F4088">
        <v>1</v>
      </c>
      <c r="G4088" t="s">
        <v>488</v>
      </c>
      <c r="H4088" s="4">
        <v>31326442</v>
      </c>
      <c r="I4088" s="4">
        <v>40524362.47602939</v>
      </c>
      <c r="J4088" s="3">
        <v>0.29361523009952384</v>
      </c>
      <c r="K4088" s="3">
        <v>-0.22697261385592582</v>
      </c>
      <c r="L4088" t="s">
        <v>377</v>
      </c>
    </row>
    <row r="4089" spans="1:12" x14ac:dyDescent="0.25">
      <c r="A4089" t="s">
        <v>487</v>
      </c>
      <c r="B4089" t="s">
        <v>463</v>
      </c>
      <c r="C4089" t="s">
        <v>464</v>
      </c>
      <c r="D4089" t="s">
        <v>379</v>
      </c>
      <c r="E4089" t="s">
        <v>381</v>
      </c>
      <c r="F4089">
        <v>1</v>
      </c>
      <c r="G4089" t="s">
        <v>498</v>
      </c>
      <c r="H4089" s="4">
        <v>31326442</v>
      </c>
      <c r="I4089" s="4">
        <v>40609601</v>
      </c>
      <c r="J4089" s="3">
        <v>0.29633620696534896</v>
      </c>
      <c r="K4089" s="3">
        <v>-0.22859517876080584</v>
      </c>
      <c r="L4089" t="s">
        <v>377</v>
      </c>
    </row>
    <row r="4090" spans="1:12" x14ac:dyDescent="0.25">
      <c r="A4090" t="s">
        <v>487</v>
      </c>
      <c r="B4090" t="s">
        <v>463</v>
      </c>
      <c r="C4090" t="s">
        <v>464</v>
      </c>
      <c r="D4090" t="s">
        <v>379</v>
      </c>
      <c r="E4090" t="s">
        <v>381</v>
      </c>
      <c r="F4090">
        <v>1</v>
      </c>
      <c r="G4090" t="s">
        <v>499</v>
      </c>
      <c r="H4090" s="4">
        <v>31326442</v>
      </c>
      <c r="I4090" s="4">
        <v>21717892</v>
      </c>
      <c r="J4090" s="3">
        <v>0.3067233106140812</v>
      </c>
      <c r="K4090" s="3">
        <v>0.44242553559065495</v>
      </c>
      <c r="L4090" t="s">
        <v>377</v>
      </c>
    </row>
    <row r="4091" spans="1:12" x14ac:dyDescent="0.25">
      <c r="A4091" t="s">
        <v>487</v>
      </c>
      <c r="B4091" t="s">
        <v>463</v>
      </c>
      <c r="C4091" t="s">
        <v>464</v>
      </c>
      <c r="D4091" t="s">
        <v>379</v>
      </c>
      <c r="E4091" t="s">
        <v>383</v>
      </c>
      <c r="F4091">
        <v>2</v>
      </c>
      <c r="G4091" t="s">
        <v>488</v>
      </c>
      <c r="H4091" s="4">
        <v>47751329</v>
      </c>
      <c r="I4091" s="4">
        <v>43601507.04204585</v>
      </c>
      <c r="J4091" s="3">
        <v>0.08690484735941388</v>
      </c>
      <c r="K4091" s="3">
        <v>0.09517611292546363</v>
      </c>
      <c r="L4091" t="s">
        <v>377</v>
      </c>
    </row>
    <row r="4092" spans="1:12" x14ac:dyDescent="0.25">
      <c r="A4092" t="s">
        <v>487</v>
      </c>
      <c r="B4092" t="s">
        <v>463</v>
      </c>
      <c r="C4092" t="s">
        <v>464</v>
      </c>
      <c r="D4092" t="s">
        <v>379</v>
      </c>
      <c r="E4092" t="s">
        <v>383</v>
      </c>
      <c r="F4092">
        <v>2</v>
      </c>
      <c r="G4092" t="s">
        <v>498</v>
      </c>
      <c r="H4092" s="4">
        <v>47751329</v>
      </c>
      <c r="I4092" s="4">
        <v>43693218</v>
      </c>
      <c r="J4092" s="3">
        <v>0.08498425248017705</v>
      </c>
      <c r="K4092" s="3">
        <v>0.09287736600220199</v>
      </c>
      <c r="L4092" t="s">
        <v>377</v>
      </c>
    </row>
    <row r="4093" spans="1:12" x14ac:dyDescent="0.25">
      <c r="A4093" t="s">
        <v>487</v>
      </c>
      <c r="B4093" t="s">
        <v>463</v>
      </c>
      <c r="C4093" t="s">
        <v>464</v>
      </c>
      <c r="D4093" t="s">
        <v>379</v>
      </c>
      <c r="E4093" t="s">
        <v>383</v>
      </c>
      <c r="F4093">
        <v>2</v>
      </c>
      <c r="G4093" t="s">
        <v>499</v>
      </c>
      <c r="H4093" s="4">
        <v>47751329</v>
      </c>
      <c r="I4093" s="4">
        <v>21717892</v>
      </c>
      <c r="J4093" s="3">
        <v>0.545187695194829</v>
      </c>
      <c r="K4093" s="3">
        <v>1.1987092025321795</v>
      </c>
      <c r="L4093" t="s">
        <v>377</v>
      </c>
    </row>
    <row r="4094" spans="1:12" x14ac:dyDescent="0.25">
      <c r="A4094" t="s">
        <v>487</v>
      </c>
      <c r="B4094" t="s">
        <v>463</v>
      </c>
      <c r="C4094" t="s">
        <v>464</v>
      </c>
      <c r="D4094" t="s">
        <v>379</v>
      </c>
      <c r="E4094" t="s">
        <v>385</v>
      </c>
      <c r="F4094">
        <v>3</v>
      </c>
      <c r="G4094" t="s">
        <v>488</v>
      </c>
      <c r="H4094" s="4">
        <v>46183779</v>
      </c>
      <c r="I4094" s="4">
        <v>43874542.74158563</v>
      </c>
      <c r="J4094" s="3">
        <v>0.05000102435130683</v>
      </c>
      <c r="K4094" s="3">
        <v>0.052632713963890694</v>
      </c>
      <c r="L4094" t="s">
        <v>377</v>
      </c>
    </row>
    <row r="4095" spans="1:12" x14ac:dyDescent="0.25">
      <c r="A4095" t="s">
        <v>487</v>
      </c>
      <c r="B4095" t="s">
        <v>463</v>
      </c>
      <c r="C4095" t="s">
        <v>464</v>
      </c>
      <c r="D4095" t="s">
        <v>379</v>
      </c>
      <c r="E4095" t="s">
        <v>385</v>
      </c>
      <c r="F4095">
        <v>3</v>
      </c>
      <c r="G4095" t="s">
        <v>498</v>
      </c>
      <c r="H4095" s="4">
        <v>46183779</v>
      </c>
      <c r="I4095" s="4">
        <v>43966828</v>
      </c>
      <c r="J4095" s="3">
        <v>0.04800280635328694</v>
      </c>
      <c r="K4095" s="3">
        <v>0.05042326455754324</v>
      </c>
      <c r="L4095" t="s">
        <v>377</v>
      </c>
    </row>
    <row r="4096" spans="1:12" x14ac:dyDescent="0.25">
      <c r="A4096" t="s">
        <v>487</v>
      </c>
      <c r="B4096" t="s">
        <v>463</v>
      </c>
      <c r="C4096" t="s">
        <v>464</v>
      </c>
      <c r="D4096" t="s">
        <v>379</v>
      </c>
      <c r="E4096" t="s">
        <v>385</v>
      </c>
      <c r="F4096">
        <v>3</v>
      </c>
      <c r="G4096" t="s">
        <v>499</v>
      </c>
      <c r="H4096" s="4">
        <v>46183779</v>
      </c>
      <c r="I4096" s="4">
        <v>21717892</v>
      </c>
      <c r="J4096" s="3">
        <v>0.5297506511972526</v>
      </c>
      <c r="K4096" s="3">
        <v>1.1265313871162081</v>
      </c>
      <c r="L4096" t="s">
        <v>377</v>
      </c>
    </row>
    <row r="4097" spans="1:12" x14ac:dyDescent="0.25">
      <c r="A4097" t="s">
        <v>487</v>
      </c>
      <c r="B4097" t="s">
        <v>463</v>
      </c>
      <c r="C4097" t="s">
        <v>464</v>
      </c>
      <c r="D4097" t="s">
        <v>381</v>
      </c>
      <c r="E4097" t="s">
        <v>383</v>
      </c>
      <c r="F4097">
        <v>1</v>
      </c>
      <c r="G4097" t="s">
        <v>488</v>
      </c>
      <c r="H4097" s="4">
        <v>47751329</v>
      </c>
      <c r="I4097" s="4">
        <v>41766124.698384255</v>
      </c>
      <c r="J4097" s="3">
        <v>0.1253411041526351</v>
      </c>
      <c r="K4097" s="3">
        <v>0.14330284039608984</v>
      </c>
      <c r="L4097" t="s">
        <v>377</v>
      </c>
    </row>
    <row r="4098" spans="1:12" x14ac:dyDescent="0.25">
      <c r="A4098" t="s">
        <v>487</v>
      </c>
      <c r="B4098" t="s">
        <v>463</v>
      </c>
      <c r="C4098" t="s">
        <v>464</v>
      </c>
      <c r="D4098" t="s">
        <v>381</v>
      </c>
      <c r="E4098" t="s">
        <v>383</v>
      </c>
      <c r="F4098">
        <v>1</v>
      </c>
      <c r="G4098" t="s">
        <v>498</v>
      </c>
      <c r="H4098" s="4">
        <v>47751329</v>
      </c>
      <c r="I4098" s="4">
        <v>43693218</v>
      </c>
      <c r="J4098" s="3">
        <v>0.08498425248017705</v>
      </c>
      <c r="K4098" s="3">
        <v>0.09287736600220199</v>
      </c>
      <c r="L4098" t="s">
        <v>377</v>
      </c>
    </row>
    <row r="4099" spans="1:12" x14ac:dyDescent="0.25">
      <c r="A4099" t="s">
        <v>487</v>
      </c>
      <c r="B4099" t="s">
        <v>463</v>
      </c>
      <c r="C4099" t="s">
        <v>464</v>
      </c>
      <c r="D4099" t="s">
        <v>381</v>
      </c>
      <c r="E4099" t="s">
        <v>383</v>
      </c>
      <c r="F4099">
        <v>1</v>
      </c>
      <c r="G4099" t="s">
        <v>499</v>
      </c>
      <c r="H4099" s="4">
        <v>47751329</v>
      </c>
      <c r="I4099" s="4">
        <v>31326442</v>
      </c>
      <c r="J4099" s="3">
        <v>0.34396711764818105</v>
      </c>
      <c r="K4099" s="3">
        <v>0.5243138368538629</v>
      </c>
      <c r="L4099" t="s">
        <v>377</v>
      </c>
    </row>
    <row r="4100" spans="1:12" x14ac:dyDescent="0.25">
      <c r="A4100" t="s">
        <v>487</v>
      </c>
      <c r="B4100" t="s">
        <v>463</v>
      </c>
      <c r="C4100" t="s">
        <v>464</v>
      </c>
      <c r="D4100" t="s">
        <v>381</v>
      </c>
      <c r="E4100" t="s">
        <v>385</v>
      </c>
      <c r="F4100">
        <v>2</v>
      </c>
      <c r="G4100" t="s">
        <v>488</v>
      </c>
      <c r="H4100" s="4">
        <v>46183779</v>
      </c>
      <c r="I4100" s="4">
        <v>42027667.10477614</v>
      </c>
      <c r="J4100" s="3">
        <v>0.08999072802647577</v>
      </c>
      <c r="K4100" s="3">
        <v>0.09888990233177972</v>
      </c>
      <c r="L4100" t="s">
        <v>377</v>
      </c>
    </row>
    <row r="4101" spans="1:12" x14ac:dyDescent="0.25">
      <c r="A4101" t="s">
        <v>487</v>
      </c>
      <c r="B4101" t="s">
        <v>463</v>
      </c>
      <c r="C4101" t="s">
        <v>464</v>
      </c>
      <c r="D4101" t="s">
        <v>381</v>
      </c>
      <c r="E4101" t="s">
        <v>385</v>
      </c>
      <c r="F4101">
        <v>2</v>
      </c>
      <c r="G4101" t="s">
        <v>498</v>
      </c>
      <c r="H4101" s="4">
        <v>46183779</v>
      </c>
      <c r="I4101" s="4">
        <v>43966828</v>
      </c>
      <c r="J4101" s="3">
        <v>0.04800280635328694</v>
      </c>
      <c r="K4101" s="3">
        <v>0.05042326455754324</v>
      </c>
      <c r="L4101" t="s">
        <v>377</v>
      </c>
    </row>
    <row r="4102" spans="1:12" x14ac:dyDescent="0.25">
      <c r="A4102" t="s">
        <v>487</v>
      </c>
      <c r="B4102" t="s">
        <v>463</v>
      </c>
      <c r="C4102" t="s">
        <v>464</v>
      </c>
      <c r="D4102" t="s">
        <v>381</v>
      </c>
      <c r="E4102" t="s">
        <v>385</v>
      </c>
      <c r="F4102">
        <v>2</v>
      </c>
      <c r="G4102" t="s">
        <v>499</v>
      </c>
      <c r="H4102" s="4">
        <v>46183779</v>
      </c>
      <c r="I4102" s="4">
        <v>31326442</v>
      </c>
      <c r="J4102" s="3">
        <v>0.3217003311920404</v>
      </c>
      <c r="K4102" s="3">
        <v>0.47427463993517044</v>
      </c>
      <c r="L4102" t="s">
        <v>377</v>
      </c>
    </row>
    <row r="4103" spans="1:12" x14ac:dyDescent="0.25">
      <c r="A4103" t="s">
        <v>487</v>
      </c>
      <c r="B4103" t="s">
        <v>463</v>
      </c>
      <c r="C4103" t="s">
        <v>464</v>
      </c>
      <c r="D4103" t="s">
        <v>381</v>
      </c>
      <c r="E4103" t="s">
        <v>387</v>
      </c>
      <c r="F4103">
        <v>3</v>
      </c>
      <c r="G4103" t="s">
        <v>488</v>
      </c>
      <c r="H4103" s="4">
        <v>43520123</v>
      </c>
      <c r="I4103" s="4">
        <v>40061463.922417276</v>
      </c>
      <c r="J4103" s="3">
        <v>0.07947264022169065</v>
      </c>
      <c r="K4103" s="3">
        <v>0.08633381656448544</v>
      </c>
      <c r="L4103" t="s">
        <v>377</v>
      </c>
    </row>
    <row r="4104" spans="1:12" x14ac:dyDescent="0.25">
      <c r="A4104" t="s">
        <v>487</v>
      </c>
      <c r="B4104" t="s">
        <v>463</v>
      </c>
      <c r="C4104" t="s">
        <v>464</v>
      </c>
      <c r="D4104" t="s">
        <v>381</v>
      </c>
      <c r="E4104" t="s">
        <v>387</v>
      </c>
      <c r="F4104">
        <v>3</v>
      </c>
      <c r="G4104" t="s">
        <v>498</v>
      </c>
      <c r="H4104" s="4">
        <v>43520123</v>
      </c>
      <c r="I4104" s="4">
        <v>41909904</v>
      </c>
      <c r="J4104" s="3">
        <v>0.03699941289228433</v>
      </c>
      <c r="K4104" s="3">
        <v>0.038420966079998654</v>
      </c>
      <c r="L4104" t="s">
        <v>377</v>
      </c>
    </row>
    <row r="4105" spans="1:12" x14ac:dyDescent="0.25">
      <c r="A4105" t="s">
        <v>487</v>
      </c>
      <c r="B4105" t="s">
        <v>463</v>
      </c>
      <c r="C4105" t="s">
        <v>464</v>
      </c>
      <c r="D4105" t="s">
        <v>381</v>
      </c>
      <c r="E4105" t="s">
        <v>387</v>
      </c>
      <c r="F4105">
        <v>3</v>
      </c>
      <c r="G4105" t="s">
        <v>499</v>
      </c>
      <c r="H4105" s="4">
        <v>43520123</v>
      </c>
      <c r="I4105" s="4">
        <v>31326442</v>
      </c>
      <c r="J4105" s="3">
        <v>0.2801848928597927</v>
      </c>
      <c r="K4105" s="3">
        <v>0.38924564111047144</v>
      </c>
      <c r="L4105" t="s">
        <v>377</v>
      </c>
    </row>
    <row r="4106" spans="1:12" x14ac:dyDescent="0.25">
      <c r="A4106" t="s">
        <v>487</v>
      </c>
      <c r="B4106" t="s">
        <v>463</v>
      </c>
      <c r="C4106" t="s">
        <v>464</v>
      </c>
      <c r="D4106" t="s">
        <v>383</v>
      </c>
      <c r="E4106" t="s">
        <v>385</v>
      </c>
      <c r="F4106">
        <v>1</v>
      </c>
      <c r="G4106" t="s">
        <v>488</v>
      </c>
      <c r="H4106" s="4">
        <v>46183779</v>
      </c>
      <c r="I4106" s="4">
        <v>41989104.90582383</v>
      </c>
      <c r="J4106" s="3">
        <v>0.09082570081967899</v>
      </c>
      <c r="K4106" s="3">
        <v>0.09989910724661287</v>
      </c>
      <c r="L4106" t="s">
        <v>377</v>
      </c>
    </row>
    <row r="4107" spans="1:12" x14ac:dyDescent="0.25">
      <c r="A4107" t="s">
        <v>487</v>
      </c>
      <c r="B4107" t="s">
        <v>463</v>
      </c>
      <c r="C4107" t="s">
        <v>464</v>
      </c>
      <c r="D4107" t="s">
        <v>383</v>
      </c>
      <c r="E4107" t="s">
        <v>385</v>
      </c>
      <c r="F4107">
        <v>1</v>
      </c>
      <c r="G4107" t="s">
        <v>498</v>
      </c>
      <c r="H4107" s="4">
        <v>46183779</v>
      </c>
      <c r="I4107" s="4">
        <v>43966828</v>
      </c>
      <c r="J4107" s="3">
        <v>0.04800280635328694</v>
      </c>
      <c r="K4107" s="3">
        <v>0.05042326455754324</v>
      </c>
      <c r="L4107" t="s">
        <v>377</v>
      </c>
    </row>
    <row r="4108" spans="1:12" x14ac:dyDescent="0.25">
      <c r="A4108" t="s">
        <v>487</v>
      </c>
      <c r="B4108" t="s">
        <v>463</v>
      </c>
      <c r="C4108" t="s">
        <v>464</v>
      </c>
      <c r="D4108" t="s">
        <v>383</v>
      </c>
      <c r="E4108" t="s">
        <v>385</v>
      </c>
      <c r="F4108">
        <v>1</v>
      </c>
      <c r="G4108" t="s">
        <v>499</v>
      </c>
      <c r="H4108" s="4">
        <v>46183779</v>
      </c>
      <c r="I4108" s="4">
        <v>47751329</v>
      </c>
      <c r="J4108" s="3">
        <v>0.03394157069736541</v>
      </c>
      <c r="K4108" s="3">
        <v>-0.03282735858514011</v>
      </c>
      <c r="L4108" t="s">
        <v>377</v>
      </c>
    </row>
    <row r="4109" spans="1:12" x14ac:dyDescent="0.25">
      <c r="A4109" t="s">
        <v>487</v>
      </c>
      <c r="B4109" t="s">
        <v>463</v>
      </c>
      <c r="C4109" t="s">
        <v>464</v>
      </c>
      <c r="D4109" t="s">
        <v>383</v>
      </c>
      <c r="E4109" t="s">
        <v>387</v>
      </c>
      <c r="F4109">
        <v>2</v>
      </c>
      <c r="G4109" t="s">
        <v>488</v>
      </c>
      <c r="H4109" s="4">
        <v>43520123</v>
      </c>
      <c r="I4109" s="4">
        <v>40024705.79976808</v>
      </c>
      <c r="J4109" s="3">
        <v>0.08031726381453282</v>
      </c>
      <c r="K4109" s="3">
        <v>0.08733149014807176</v>
      </c>
      <c r="L4109" t="s">
        <v>377</v>
      </c>
    </row>
    <row r="4110" spans="1:12" x14ac:dyDescent="0.25">
      <c r="A4110" t="s">
        <v>487</v>
      </c>
      <c r="B4110" t="s">
        <v>463</v>
      </c>
      <c r="C4110" t="s">
        <v>464</v>
      </c>
      <c r="D4110" t="s">
        <v>383</v>
      </c>
      <c r="E4110" t="s">
        <v>387</v>
      </c>
      <c r="F4110">
        <v>2</v>
      </c>
      <c r="G4110" t="s">
        <v>498</v>
      </c>
      <c r="H4110" s="4">
        <v>43520123</v>
      </c>
      <c r="I4110" s="4">
        <v>41909904</v>
      </c>
      <c r="J4110" s="3">
        <v>0.03699941289228433</v>
      </c>
      <c r="K4110" s="3">
        <v>0.038420966079998654</v>
      </c>
      <c r="L4110" t="s">
        <v>377</v>
      </c>
    </row>
    <row r="4111" spans="1:12" x14ac:dyDescent="0.25">
      <c r="A4111" t="s">
        <v>487</v>
      </c>
      <c r="B4111" t="s">
        <v>463</v>
      </c>
      <c r="C4111" t="s">
        <v>464</v>
      </c>
      <c r="D4111" t="s">
        <v>383</v>
      </c>
      <c r="E4111" t="s">
        <v>387</v>
      </c>
      <c r="F4111">
        <v>2</v>
      </c>
      <c r="G4111" t="s">
        <v>499</v>
      </c>
      <c r="H4111" s="4">
        <v>43520123</v>
      </c>
      <c r="I4111" s="4">
        <v>47751329</v>
      </c>
      <c r="J4111" s="3">
        <v>0.09722412779026383</v>
      </c>
      <c r="K4111" s="3">
        <v>-0.08860917776759679</v>
      </c>
      <c r="L4111" t="s">
        <v>377</v>
      </c>
    </row>
    <row r="4112" spans="1:12" x14ac:dyDescent="0.25">
      <c r="A4112" t="s">
        <v>487</v>
      </c>
      <c r="B4112" t="s">
        <v>463</v>
      </c>
      <c r="C4112" t="s">
        <v>464</v>
      </c>
      <c r="D4112" t="s">
        <v>383</v>
      </c>
      <c r="E4112" t="s">
        <v>389</v>
      </c>
      <c r="F4112">
        <v>3</v>
      </c>
      <c r="G4112" t="s">
        <v>488</v>
      </c>
      <c r="H4112" s="4">
        <v>40406425</v>
      </c>
      <c r="I4112" s="4">
        <v>34947449.93468232</v>
      </c>
      <c r="J4112" s="3">
        <v>0.13510165933555573</v>
      </c>
      <c r="K4112" s="3">
        <v>0.1562052474649981</v>
      </c>
      <c r="L4112" t="s">
        <v>377</v>
      </c>
    </row>
    <row r="4113" spans="1:12" x14ac:dyDescent="0.25">
      <c r="A4113" t="s">
        <v>487</v>
      </c>
      <c r="B4113" t="s">
        <v>463</v>
      </c>
      <c r="C4113" t="s">
        <v>464</v>
      </c>
      <c r="D4113" t="s">
        <v>383</v>
      </c>
      <c r="E4113" t="s">
        <v>389</v>
      </c>
      <c r="F4113">
        <v>3</v>
      </c>
      <c r="G4113" t="s">
        <v>498</v>
      </c>
      <c r="H4113" s="4">
        <v>40406425</v>
      </c>
      <c r="I4113" s="4">
        <v>36593505</v>
      </c>
      <c r="J4113" s="3">
        <v>0.0943642007428274</v>
      </c>
      <c r="K4113" s="3">
        <v>0.10419663270845468</v>
      </c>
      <c r="L4113" t="s">
        <v>377</v>
      </c>
    </row>
    <row r="4114" spans="1:12" x14ac:dyDescent="0.25">
      <c r="A4114" t="s">
        <v>487</v>
      </c>
      <c r="B4114" t="s">
        <v>463</v>
      </c>
      <c r="C4114" t="s">
        <v>464</v>
      </c>
      <c r="D4114" t="s">
        <v>383</v>
      </c>
      <c r="E4114" t="s">
        <v>389</v>
      </c>
      <c r="F4114">
        <v>3</v>
      </c>
      <c r="G4114" t="s">
        <v>499</v>
      </c>
      <c r="H4114" s="4">
        <v>40406425</v>
      </c>
      <c r="I4114" s="4">
        <v>47751329</v>
      </c>
      <c r="J4114" s="3">
        <v>0.18177564582860276</v>
      </c>
      <c r="K4114" s="3">
        <v>-0.15381569798821726</v>
      </c>
      <c r="L4114" t="s">
        <v>377</v>
      </c>
    </row>
    <row r="4115" spans="1:12" x14ac:dyDescent="0.25">
      <c r="A4115" t="s">
        <v>487</v>
      </c>
      <c r="B4115" t="s">
        <v>463</v>
      </c>
      <c r="C4115" t="s">
        <v>464</v>
      </c>
      <c r="D4115" t="s">
        <v>385</v>
      </c>
      <c r="E4115" t="s">
        <v>387</v>
      </c>
      <c r="F4115">
        <v>1</v>
      </c>
      <c r="G4115" t="s">
        <v>488</v>
      </c>
      <c r="H4115" s="4">
        <v>43520123</v>
      </c>
      <c r="I4115" s="4">
        <v>40377574.99011819</v>
      </c>
      <c r="J4115" s="3">
        <v>0.072209079231734</v>
      </c>
      <c r="K4115" s="3">
        <v>0.07782904274590292</v>
      </c>
      <c r="L4115" t="s">
        <v>377</v>
      </c>
    </row>
    <row r="4116" spans="1:12" x14ac:dyDescent="0.25">
      <c r="A4116" t="s">
        <v>487</v>
      </c>
      <c r="B4116" t="s">
        <v>463</v>
      </c>
      <c r="C4116" t="s">
        <v>464</v>
      </c>
      <c r="D4116" t="s">
        <v>385</v>
      </c>
      <c r="E4116" t="s">
        <v>387</v>
      </c>
      <c r="F4116">
        <v>1</v>
      </c>
      <c r="G4116" t="s">
        <v>498</v>
      </c>
      <c r="H4116" s="4">
        <v>43520123</v>
      </c>
      <c r="I4116" s="4">
        <v>41909904</v>
      </c>
      <c r="J4116" s="3">
        <v>0.03699941289228433</v>
      </c>
      <c r="K4116" s="3">
        <v>0.038420966079998654</v>
      </c>
      <c r="L4116" t="s">
        <v>377</v>
      </c>
    </row>
    <row r="4117" spans="1:12" x14ac:dyDescent="0.25">
      <c r="A4117" t="s">
        <v>487</v>
      </c>
      <c r="B4117" t="s">
        <v>463</v>
      </c>
      <c r="C4117" t="s">
        <v>464</v>
      </c>
      <c r="D4117" t="s">
        <v>385</v>
      </c>
      <c r="E4117" t="s">
        <v>387</v>
      </c>
      <c r="F4117">
        <v>1</v>
      </c>
      <c r="G4117" t="s">
        <v>499</v>
      </c>
      <c r="H4117" s="4">
        <v>43520123</v>
      </c>
      <c r="I4117" s="4">
        <v>46183779</v>
      </c>
      <c r="J4117" s="3">
        <v>0.06120515789902524</v>
      </c>
      <c r="K4117" s="3">
        <v>-0.057675141741865686</v>
      </c>
      <c r="L4117" t="s">
        <v>377</v>
      </c>
    </row>
    <row r="4118" spans="1:12" x14ac:dyDescent="0.25">
      <c r="A4118" t="s">
        <v>487</v>
      </c>
      <c r="B4118" t="s">
        <v>463</v>
      </c>
      <c r="C4118" t="s">
        <v>464</v>
      </c>
      <c r="D4118" t="s">
        <v>385</v>
      </c>
      <c r="E4118" t="s">
        <v>389</v>
      </c>
      <c r="F4118">
        <v>2</v>
      </c>
      <c r="G4118" t="s">
        <v>488</v>
      </c>
      <c r="H4118" s="4">
        <v>40406425</v>
      </c>
      <c r="I4118" s="4">
        <v>35255556.593228295</v>
      </c>
      <c r="J4118" s="3">
        <v>0.12747646956571151</v>
      </c>
      <c r="K4118" s="3">
        <v>0.1461008959864516</v>
      </c>
      <c r="L4118" t="s">
        <v>377</v>
      </c>
    </row>
    <row r="4119" spans="1:12" x14ac:dyDescent="0.25">
      <c r="A4119" t="s">
        <v>487</v>
      </c>
      <c r="B4119" t="s">
        <v>463</v>
      </c>
      <c r="C4119" t="s">
        <v>464</v>
      </c>
      <c r="D4119" t="s">
        <v>385</v>
      </c>
      <c r="E4119" t="s">
        <v>389</v>
      </c>
      <c r="F4119">
        <v>2</v>
      </c>
      <c r="G4119" t="s">
        <v>498</v>
      </c>
      <c r="H4119" s="4">
        <v>40406425</v>
      </c>
      <c r="I4119" s="4">
        <v>36593505</v>
      </c>
      <c r="J4119" s="3">
        <v>0.0943642007428274</v>
      </c>
      <c r="K4119" s="3">
        <v>0.10419663270845468</v>
      </c>
      <c r="L4119" t="s">
        <v>377</v>
      </c>
    </row>
    <row r="4120" spans="1:12" x14ac:dyDescent="0.25">
      <c r="A4120" t="s">
        <v>487</v>
      </c>
      <c r="B4120" t="s">
        <v>463</v>
      </c>
      <c r="C4120" t="s">
        <v>464</v>
      </c>
      <c r="D4120" t="s">
        <v>385</v>
      </c>
      <c r="E4120" t="s">
        <v>389</v>
      </c>
      <c r="F4120">
        <v>2</v>
      </c>
      <c r="G4120" t="s">
        <v>499</v>
      </c>
      <c r="H4120" s="4">
        <v>40406425</v>
      </c>
      <c r="I4120" s="4">
        <v>46183779</v>
      </c>
      <c r="J4120" s="3">
        <v>0.14298107293580167</v>
      </c>
      <c r="K4120" s="3">
        <v>-0.12509487367848351</v>
      </c>
      <c r="L4120" t="s">
        <v>377</v>
      </c>
    </row>
    <row r="4121" spans="1:12" x14ac:dyDescent="0.25">
      <c r="A4121" t="s">
        <v>487</v>
      </c>
      <c r="B4121" t="s">
        <v>463</v>
      </c>
      <c r="C4121" t="s">
        <v>464</v>
      </c>
      <c r="D4121" t="s">
        <v>385</v>
      </c>
      <c r="E4121" t="s">
        <v>391</v>
      </c>
      <c r="F4121">
        <v>3</v>
      </c>
      <c r="G4121" t="s">
        <v>488</v>
      </c>
      <c r="H4121" s="4">
        <v>30856303</v>
      </c>
      <c r="I4121" s="4">
        <v>34190466.753668524</v>
      </c>
      <c r="J4121" s="3">
        <v>0.10805454411270606</v>
      </c>
      <c r="K4121" s="3">
        <v>-0.09751735118710479</v>
      </c>
      <c r="L4121" t="s">
        <v>377</v>
      </c>
    </row>
    <row r="4122" spans="1:12" x14ac:dyDescent="0.25">
      <c r="A4122" t="s">
        <v>487</v>
      </c>
      <c r="B4122" t="s">
        <v>463</v>
      </c>
      <c r="C4122" t="s">
        <v>464</v>
      </c>
      <c r="D4122" t="s">
        <v>385</v>
      </c>
      <c r="E4122" t="s">
        <v>391</v>
      </c>
      <c r="F4122">
        <v>3</v>
      </c>
      <c r="G4122" t="s">
        <v>498</v>
      </c>
      <c r="H4122" s="4">
        <v>30856303</v>
      </c>
      <c r="I4122" s="4">
        <v>35487995</v>
      </c>
      <c r="J4122" s="3">
        <v>0.1501052151322211</v>
      </c>
      <c r="K4122" s="3">
        <v>-0.13051433308644234</v>
      </c>
      <c r="L4122" t="s">
        <v>377</v>
      </c>
    </row>
    <row r="4123" spans="1:12" x14ac:dyDescent="0.25">
      <c r="A4123" t="s">
        <v>487</v>
      </c>
      <c r="B4123" t="s">
        <v>463</v>
      </c>
      <c r="C4123" t="s">
        <v>464</v>
      </c>
      <c r="D4123" t="s">
        <v>385</v>
      </c>
      <c r="E4123" t="s">
        <v>391</v>
      </c>
      <c r="F4123">
        <v>3</v>
      </c>
      <c r="G4123" t="s">
        <v>499</v>
      </c>
      <c r="H4123" s="4">
        <v>30856303</v>
      </c>
      <c r="I4123" s="4">
        <v>46183779</v>
      </c>
      <c r="J4123" s="3">
        <v>0.4967372792521515</v>
      </c>
      <c r="K4123" s="3">
        <v>-0.33188007417063037</v>
      </c>
      <c r="L4123" t="s">
        <v>377</v>
      </c>
    </row>
    <row r="4124" spans="1:12" x14ac:dyDescent="0.25">
      <c r="A4124" t="s">
        <v>487</v>
      </c>
      <c r="B4124" t="s">
        <v>463</v>
      </c>
      <c r="C4124" t="s">
        <v>464</v>
      </c>
      <c r="D4124" t="s">
        <v>387</v>
      </c>
      <c r="E4124" t="s">
        <v>389</v>
      </c>
      <c r="F4124">
        <v>1</v>
      </c>
      <c r="G4124" t="s">
        <v>488</v>
      </c>
      <c r="H4124" s="4">
        <v>40406425</v>
      </c>
      <c r="I4124" s="4">
        <v>35413806.2641446</v>
      </c>
      <c r="J4124" s="3">
        <v>0.12356002135441085</v>
      </c>
      <c r="K4124" s="3">
        <v>0.14097944453122158</v>
      </c>
      <c r="L4124" t="s">
        <v>377</v>
      </c>
    </row>
    <row r="4125" spans="1:12" x14ac:dyDescent="0.25">
      <c r="A4125" t="s">
        <v>487</v>
      </c>
      <c r="B4125" t="s">
        <v>463</v>
      </c>
      <c r="C4125" t="s">
        <v>464</v>
      </c>
      <c r="D4125" t="s">
        <v>387</v>
      </c>
      <c r="E4125" t="s">
        <v>389</v>
      </c>
      <c r="F4125">
        <v>1</v>
      </c>
      <c r="G4125" t="s">
        <v>498</v>
      </c>
      <c r="H4125" s="4">
        <v>40406425</v>
      </c>
      <c r="I4125" s="4">
        <v>36593505</v>
      </c>
      <c r="J4125" s="3">
        <v>0.0943642007428274</v>
      </c>
      <c r="K4125" s="3">
        <v>0.10419663270845468</v>
      </c>
      <c r="L4125" t="s">
        <v>377</v>
      </c>
    </row>
    <row r="4126" spans="1:12" x14ac:dyDescent="0.25">
      <c r="A4126" t="s">
        <v>487</v>
      </c>
      <c r="B4126" t="s">
        <v>463</v>
      </c>
      <c r="C4126" t="s">
        <v>464</v>
      </c>
      <c r="D4126" t="s">
        <v>387</v>
      </c>
      <c r="E4126" t="s">
        <v>389</v>
      </c>
      <c r="F4126">
        <v>1</v>
      </c>
      <c r="G4126" t="s">
        <v>499</v>
      </c>
      <c r="H4126" s="4">
        <v>40406425</v>
      </c>
      <c r="I4126" s="4">
        <v>43520123</v>
      </c>
      <c r="J4126" s="3">
        <v>0.07705947754595958</v>
      </c>
      <c r="K4126" s="3">
        <v>-0.07154616727530848</v>
      </c>
      <c r="L4126" t="s">
        <v>377</v>
      </c>
    </row>
    <row r="4127" spans="1:12" x14ac:dyDescent="0.25">
      <c r="A4127" t="s">
        <v>487</v>
      </c>
      <c r="B4127" t="s">
        <v>463</v>
      </c>
      <c r="C4127" t="s">
        <v>464</v>
      </c>
      <c r="D4127" t="s">
        <v>387</v>
      </c>
      <c r="E4127" t="s">
        <v>391</v>
      </c>
      <c r="F4127">
        <v>2</v>
      </c>
      <c r="G4127" t="s">
        <v>488</v>
      </c>
      <c r="H4127" s="4">
        <v>30856303</v>
      </c>
      <c r="I4127" s="4">
        <v>34343935.61461063</v>
      </c>
      <c r="J4127" s="3">
        <v>0.11302820738474817</v>
      </c>
      <c r="K4127" s="3">
        <v>-0.10155017333327737</v>
      </c>
      <c r="L4127" t="s">
        <v>377</v>
      </c>
    </row>
    <row r="4128" spans="1:12" x14ac:dyDescent="0.25">
      <c r="A4128" t="s">
        <v>487</v>
      </c>
      <c r="B4128" t="s">
        <v>463</v>
      </c>
      <c r="C4128" t="s">
        <v>464</v>
      </c>
      <c r="D4128" t="s">
        <v>387</v>
      </c>
      <c r="E4128" t="s">
        <v>391</v>
      </c>
      <c r="F4128">
        <v>2</v>
      </c>
      <c r="G4128" t="s">
        <v>498</v>
      </c>
      <c r="H4128" s="4">
        <v>30856303</v>
      </c>
      <c r="I4128" s="4">
        <v>35487995</v>
      </c>
      <c r="J4128" s="3">
        <v>0.1501052151322211</v>
      </c>
      <c r="K4128" s="3">
        <v>-0.13051433308644234</v>
      </c>
      <c r="L4128" t="s">
        <v>377</v>
      </c>
    </row>
    <row r="4129" spans="1:12" x14ac:dyDescent="0.25">
      <c r="A4129" t="s">
        <v>487</v>
      </c>
      <c r="B4129" t="s">
        <v>463</v>
      </c>
      <c r="C4129" t="s">
        <v>464</v>
      </c>
      <c r="D4129" t="s">
        <v>387</v>
      </c>
      <c r="E4129" t="s">
        <v>391</v>
      </c>
      <c r="F4129">
        <v>2</v>
      </c>
      <c r="G4129" t="s">
        <v>499</v>
      </c>
      <c r="H4129" s="4">
        <v>30856303</v>
      </c>
      <c r="I4129" s="4">
        <v>43520123</v>
      </c>
      <c r="J4129" s="3">
        <v>0.4104127445209493</v>
      </c>
      <c r="K4129" s="3">
        <v>-0.29098768861475877</v>
      </c>
      <c r="L4129" t="s">
        <v>377</v>
      </c>
    </row>
    <row r="4130" spans="1:12" x14ac:dyDescent="0.25">
      <c r="A4130" t="s">
        <v>487</v>
      </c>
      <c r="B4130" t="s">
        <v>463</v>
      </c>
      <c r="C4130" t="s">
        <v>464</v>
      </c>
      <c r="D4130" t="s">
        <v>387</v>
      </c>
      <c r="E4130" t="s">
        <v>393</v>
      </c>
      <c r="F4130">
        <v>3</v>
      </c>
      <c r="G4130" t="s">
        <v>488</v>
      </c>
      <c r="H4130" s="4">
        <v>36144800</v>
      </c>
      <c r="I4130" s="4">
        <v>32984953.78780728</v>
      </c>
      <c r="J4130" s="3">
        <v>0.08742187568316111</v>
      </c>
      <c r="K4130" s="3">
        <v>0.09579659357778889</v>
      </c>
      <c r="L4130" t="s">
        <v>377</v>
      </c>
    </row>
    <row r="4131" spans="1:12" x14ac:dyDescent="0.25">
      <c r="A4131" t="s">
        <v>487</v>
      </c>
      <c r="B4131" t="s">
        <v>463</v>
      </c>
      <c r="C4131" t="s">
        <v>464</v>
      </c>
      <c r="D4131" t="s">
        <v>387</v>
      </c>
      <c r="E4131" t="s">
        <v>393</v>
      </c>
      <c r="F4131">
        <v>3</v>
      </c>
      <c r="G4131" t="s">
        <v>498</v>
      </c>
      <c r="H4131" s="4">
        <v>36144800</v>
      </c>
      <c r="I4131" s="4">
        <v>34083743</v>
      </c>
      <c r="J4131" s="3">
        <v>0.05702222726367278</v>
      </c>
      <c r="K4131" s="3">
        <v>0.060470383197056735</v>
      </c>
      <c r="L4131" t="s">
        <v>377</v>
      </c>
    </row>
    <row r="4132" spans="1:12" x14ac:dyDescent="0.25">
      <c r="A4132" t="s">
        <v>487</v>
      </c>
      <c r="B4132" t="s">
        <v>463</v>
      </c>
      <c r="C4132" t="s">
        <v>464</v>
      </c>
      <c r="D4132" t="s">
        <v>387</v>
      </c>
      <c r="E4132" t="s">
        <v>393</v>
      </c>
      <c r="F4132">
        <v>3</v>
      </c>
      <c r="G4132" t="s">
        <v>499</v>
      </c>
      <c r="H4132" s="4">
        <v>36144800</v>
      </c>
      <c r="I4132" s="4">
        <v>43520123</v>
      </c>
      <c r="J4132" s="3">
        <v>0.20404935149731082</v>
      </c>
      <c r="K4132" s="3">
        <v>-0.16946925908274663</v>
      </c>
      <c r="L4132" t="s">
        <v>377</v>
      </c>
    </row>
    <row r="4133" spans="1:12" x14ac:dyDescent="0.25">
      <c r="A4133" t="s">
        <v>487</v>
      </c>
      <c r="B4133" t="s">
        <v>463</v>
      </c>
      <c r="C4133" t="s">
        <v>464</v>
      </c>
      <c r="D4133" t="s">
        <v>389</v>
      </c>
      <c r="E4133" t="s">
        <v>391</v>
      </c>
      <c r="F4133">
        <v>1</v>
      </c>
      <c r="G4133" t="s">
        <v>488</v>
      </c>
      <c r="H4133" s="4">
        <v>30856303</v>
      </c>
      <c r="I4133" s="4">
        <v>35129984.04956072</v>
      </c>
      <c r="J4133" s="3">
        <v>0.13850269261229117</v>
      </c>
      <c r="K4133" s="3">
        <v>-0.12165337290024071</v>
      </c>
      <c r="L4133" t="s">
        <v>377</v>
      </c>
    </row>
    <row r="4134" spans="1:12" x14ac:dyDescent="0.25">
      <c r="A4134" t="s">
        <v>487</v>
      </c>
      <c r="B4134" t="s">
        <v>463</v>
      </c>
      <c r="C4134" t="s">
        <v>464</v>
      </c>
      <c r="D4134" t="s">
        <v>389</v>
      </c>
      <c r="E4134" t="s">
        <v>391</v>
      </c>
      <c r="F4134">
        <v>1</v>
      </c>
      <c r="G4134" t="s">
        <v>498</v>
      </c>
      <c r="H4134" s="4">
        <v>30856303</v>
      </c>
      <c r="I4134" s="4">
        <v>35487995</v>
      </c>
      <c r="J4134" s="3">
        <v>0.1501052151322211</v>
      </c>
      <c r="K4134" s="3">
        <v>-0.13051433308644234</v>
      </c>
      <c r="L4134" t="s">
        <v>377</v>
      </c>
    </row>
    <row r="4135" spans="1:12" x14ac:dyDescent="0.25">
      <c r="A4135" t="s">
        <v>487</v>
      </c>
      <c r="B4135" t="s">
        <v>463</v>
      </c>
      <c r="C4135" t="s">
        <v>464</v>
      </c>
      <c r="D4135" t="s">
        <v>389</v>
      </c>
      <c r="E4135" t="s">
        <v>391</v>
      </c>
      <c r="F4135">
        <v>1</v>
      </c>
      <c r="G4135" t="s">
        <v>499</v>
      </c>
      <c r="H4135" s="4">
        <v>30856303</v>
      </c>
      <c r="I4135" s="4">
        <v>40406425</v>
      </c>
      <c r="J4135" s="3">
        <v>0.3095031183742265</v>
      </c>
      <c r="K4135" s="3">
        <v>-0.23635157032575885</v>
      </c>
      <c r="L4135" t="s">
        <v>377</v>
      </c>
    </row>
    <row r="4136" spans="1:12" x14ac:dyDescent="0.25">
      <c r="A4136" t="s">
        <v>487</v>
      </c>
      <c r="B4136" t="s">
        <v>463</v>
      </c>
      <c r="C4136" t="s">
        <v>464</v>
      </c>
      <c r="D4136" t="s">
        <v>389</v>
      </c>
      <c r="E4136" t="s">
        <v>393</v>
      </c>
      <c r="F4136">
        <v>2</v>
      </c>
      <c r="G4136" t="s">
        <v>488</v>
      </c>
      <c r="H4136" s="4">
        <v>36144800</v>
      </c>
      <c r="I4136" s="4">
        <v>33739898.462545626</v>
      </c>
      <c r="J4136" s="3">
        <v>0.06653520112033748</v>
      </c>
      <c r="K4136" s="3">
        <v>0.07127767560190007</v>
      </c>
      <c r="L4136" t="s">
        <v>377</v>
      </c>
    </row>
    <row r="4137" spans="1:12" x14ac:dyDescent="0.25">
      <c r="A4137" t="s">
        <v>487</v>
      </c>
      <c r="B4137" t="s">
        <v>463</v>
      </c>
      <c r="C4137" t="s">
        <v>464</v>
      </c>
      <c r="D4137" t="s">
        <v>389</v>
      </c>
      <c r="E4137" t="s">
        <v>393</v>
      </c>
      <c r="F4137">
        <v>2</v>
      </c>
      <c r="G4137" t="s">
        <v>498</v>
      </c>
      <c r="H4137" s="4">
        <v>36144800</v>
      </c>
      <c r="I4137" s="4">
        <v>34083743</v>
      </c>
      <c r="J4137" s="3">
        <v>0.05702222726367278</v>
      </c>
      <c r="K4137" s="3">
        <v>0.060470383197056735</v>
      </c>
      <c r="L4137" t="s">
        <v>377</v>
      </c>
    </row>
    <row r="4138" spans="1:12" x14ac:dyDescent="0.25">
      <c r="A4138" t="s">
        <v>487</v>
      </c>
      <c r="B4138" t="s">
        <v>463</v>
      </c>
      <c r="C4138" t="s">
        <v>464</v>
      </c>
      <c r="D4138" t="s">
        <v>389</v>
      </c>
      <c r="E4138" t="s">
        <v>393</v>
      </c>
      <c r="F4138">
        <v>2</v>
      </c>
      <c r="G4138" t="s">
        <v>499</v>
      </c>
      <c r="H4138" s="4">
        <v>36144800</v>
      </c>
      <c r="I4138" s="4">
        <v>40406425</v>
      </c>
      <c r="J4138" s="3">
        <v>0.11790423518735751</v>
      </c>
      <c r="K4138" s="3">
        <v>-0.10546899410180435</v>
      </c>
      <c r="L4138" t="s">
        <v>377</v>
      </c>
    </row>
    <row r="4139" spans="1:12" x14ac:dyDescent="0.25">
      <c r="A4139" t="s">
        <v>487</v>
      </c>
      <c r="B4139" t="s">
        <v>463</v>
      </c>
      <c r="C4139" t="s">
        <v>464</v>
      </c>
      <c r="D4139" t="s">
        <v>389</v>
      </c>
      <c r="E4139" t="s">
        <v>395</v>
      </c>
      <c r="F4139">
        <v>3</v>
      </c>
      <c r="G4139" t="s">
        <v>488</v>
      </c>
      <c r="H4139" s="4">
        <v>25674040</v>
      </c>
      <c r="I4139" s="4">
        <v>30417692.188020367</v>
      </c>
      <c r="J4139" s="3">
        <v>0.18476453990179836</v>
      </c>
      <c r="K4139" s="3">
        <v>-0.15595043038434706</v>
      </c>
      <c r="L4139" t="s">
        <v>377</v>
      </c>
    </row>
    <row r="4140" spans="1:12" x14ac:dyDescent="0.25">
      <c r="A4140" t="s">
        <v>487</v>
      </c>
      <c r="B4140" t="s">
        <v>463</v>
      </c>
      <c r="C4140" t="s">
        <v>464</v>
      </c>
      <c r="D4140" t="s">
        <v>389</v>
      </c>
      <c r="E4140" t="s">
        <v>395</v>
      </c>
      <c r="F4140">
        <v>3</v>
      </c>
      <c r="G4140" t="s">
        <v>498</v>
      </c>
      <c r="H4140" s="4">
        <v>25674040</v>
      </c>
      <c r="I4140" s="4">
        <v>30727680</v>
      </c>
      <c r="J4140" s="3">
        <v>0.19683851859699525</v>
      </c>
      <c r="K4140" s="3">
        <v>-0.16446539406814964</v>
      </c>
      <c r="L4140" t="s">
        <v>377</v>
      </c>
    </row>
    <row r="4141" spans="1:12" x14ac:dyDescent="0.25">
      <c r="A4141" t="s">
        <v>487</v>
      </c>
      <c r="B4141" t="s">
        <v>463</v>
      </c>
      <c r="C4141" t="s">
        <v>464</v>
      </c>
      <c r="D4141" t="s">
        <v>389</v>
      </c>
      <c r="E4141" t="s">
        <v>395</v>
      </c>
      <c r="F4141">
        <v>3</v>
      </c>
      <c r="G4141" t="s">
        <v>499</v>
      </c>
      <c r="H4141" s="4">
        <v>25674040</v>
      </c>
      <c r="I4141" s="4">
        <v>40406425</v>
      </c>
      <c r="J4141" s="3">
        <v>0.5738241819363061</v>
      </c>
      <c r="K4141" s="3">
        <v>-0.3646050102180532</v>
      </c>
      <c r="L4141" t="s">
        <v>377</v>
      </c>
    </row>
    <row r="4142" spans="1:12" x14ac:dyDescent="0.25">
      <c r="A4142" t="s">
        <v>487</v>
      </c>
      <c r="B4142" t="s">
        <v>463</v>
      </c>
      <c r="C4142" t="s">
        <v>464</v>
      </c>
      <c r="D4142" t="s">
        <v>391</v>
      </c>
      <c r="E4142" t="s">
        <v>393</v>
      </c>
      <c r="F4142">
        <v>1</v>
      </c>
      <c r="G4142" t="s">
        <v>488</v>
      </c>
      <c r="H4142" s="4">
        <v>36144800</v>
      </c>
      <c r="I4142" s="4">
        <v>33421535.274030913</v>
      </c>
      <c r="J4142" s="3">
        <v>0.07534319531354683</v>
      </c>
      <c r="K4142" s="3">
        <v>0.08148233477727486</v>
      </c>
      <c r="L4142" t="s">
        <v>377</v>
      </c>
    </row>
    <row r="4143" spans="1:12" x14ac:dyDescent="0.25">
      <c r="A4143" t="s">
        <v>487</v>
      </c>
      <c r="B4143" t="s">
        <v>463</v>
      </c>
      <c r="C4143" t="s">
        <v>464</v>
      </c>
      <c r="D4143" t="s">
        <v>391</v>
      </c>
      <c r="E4143" t="s">
        <v>393</v>
      </c>
      <c r="F4143">
        <v>1</v>
      </c>
      <c r="G4143" t="s">
        <v>498</v>
      </c>
      <c r="H4143" s="4">
        <v>36144800</v>
      </c>
      <c r="I4143" s="4">
        <v>34083743</v>
      </c>
      <c r="J4143" s="3">
        <v>0.05702222726367278</v>
      </c>
      <c r="K4143" s="3">
        <v>0.060470383197056735</v>
      </c>
      <c r="L4143" t="s">
        <v>377</v>
      </c>
    </row>
    <row r="4144" spans="1:12" x14ac:dyDescent="0.25">
      <c r="A4144" t="s">
        <v>487</v>
      </c>
      <c r="B4144" t="s">
        <v>463</v>
      </c>
      <c r="C4144" t="s">
        <v>464</v>
      </c>
      <c r="D4144" t="s">
        <v>391</v>
      </c>
      <c r="E4144" t="s">
        <v>393</v>
      </c>
      <c r="F4144">
        <v>1</v>
      </c>
      <c r="G4144" t="s">
        <v>499</v>
      </c>
      <c r="H4144" s="4">
        <v>36144800</v>
      </c>
      <c r="I4144" s="4">
        <v>30856303</v>
      </c>
      <c r="J4144" s="3">
        <v>0.14631418627299086</v>
      </c>
      <c r="K4144" s="3">
        <v>0.1713911417061208</v>
      </c>
      <c r="L4144" t="s">
        <v>377</v>
      </c>
    </row>
    <row r="4145" spans="1:12" x14ac:dyDescent="0.25">
      <c r="A4145" t="s">
        <v>487</v>
      </c>
      <c r="B4145" t="s">
        <v>463</v>
      </c>
      <c r="C4145" t="s">
        <v>464</v>
      </c>
      <c r="D4145" t="s">
        <v>391</v>
      </c>
      <c r="E4145" t="s">
        <v>395</v>
      </c>
      <c r="F4145">
        <v>2</v>
      </c>
      <c r="G4145" t="s">
        <v>488</v>
      </c>
      <c r="H4145" s="4">
        <v>25674040</v>
      </c>
      <c r="I4145" s="4">
        <v>30130676.698540244</v>
      </c>
      <c r="J4145" s="3">
        <v>0.17358532971594046</v>
      </c>
      <c r="K4145" s="3">
        <v>-0.14791027573423723</v>
      </c>
      <c r="L4145" t="s">
        <v>377</v>
      </c>
    </row>
    <row r="4146" spans="1:12" x14ac:dyDescent="0.25">
      <c r="A4146" t="s">
        <v>487</v>
      </c>
      <c r="B4146" t="s">
        <v>463</v>
      </c>
      <c r="C4146" t="s">
        <v>464</v>
      </c>
      <c r="D4146" t="s">
        <v>391</v>
      </c>
      <c r="E4146" t="s">
        <v>395</v>
      </c>
      <c r="F4146">
        <v>2</v>
      </c>
      <c r="G4146" t="s">
        <v>498</v>
      </c>
      <c r="H4146" s="4">
        <v>25674040</v>
      </c>
      <c r="I4146" s="4">
        <v>30727680</v>
      </c>
      <c r="J4146" s="3">
        <v>0.19683851859699525</v>
      </c>
      <c r="K4146" s="3">
        <v>-0.16446539406814964</v>
      </c>
      <c r="L4146" t="s">
        <v>377</v>
      </c>
    </row>
    <row r="4147" spans="1:12" x14ac:dyDescent="0.25">
      <c r="A4147" t="s">
        <v>487</v>
      </c>
      <c r="B4147" t="s">
        <v>463</v>
      </c>
      <c r="C4147" t="s">
        <v>464</v>
      </c>
      <c r="D4147" t="s">
        <v>391</v>
      </c>
      <c r="E4147" t="s">
        <v>395</v>
      </c>
      <c r="F4147">
        <v>2</v>
      </c>
      <c r="G4147" t="s">
        <v>499</v>
      </c>
      <c r="H4147" s="4">
        <v>25674040</v>
      </c>
      <c r="I4147" s="4">
        <v>30856303</v>
      </c>
      <c r="J4147" s="3">
        <v>0.20184836511900736</v>
      </c>
      <c r="K4147" s="3">
        <v>-0.16794827948118088</v>
      </c>
      <c r="L4147" t="s">
        <v>377</v>
      </c>
    </row>
    <row r="4148" spans="1:12" x14ac:dyDescent="0.25">
      <c r="A4148" t="s">
        <v>487</v>
      </c>
      <c r="B4148" t="s">
        <v>463</v>
      </c>
      <c r="C4148" t="s">
        <v>464</v>
      </c>
      <c r="D4148" t="s">
        <v>391</v>
      </c>
      <c r="E4148" t="s">
        <v>397</v>
      </c>
      <c r="F4148">
        <v>3</v>
      </c>
      <c r="G4148" t="s">
        <v>488</v>
      </c>
      <c r="H4148" s="4">
        <v>19450418</v>
      </c>
      <c r="I4148" s="4">
        <v>19395966.142010767</v>
      </c>
      <c r="J4148" s="3">
        <v>0.002799521223103431</v>
      </c>
      <c r="K4148" s="3">
        <v>0.00280738054451914</v>
      </c>
      <c r="L4148" t="s">
        <v>377</v>
      </c>
    </row>
    <row r="4149" spans="1:12" x14ac:dyDescent="0.25">
      <c r="A4149" t="s">
        <v>487</v>
      </c>
      <c r="B4149" t="s">
        <v>463</v>
      </c>
      <c r="C4149" t="s">
        <v>464</v>
      </c>
      <c r="D4149" t="s">
        <v>391</v>
      </c>
      <c r="E4149" t="s">
        <v>397</v>
      </c>
      <c r="F4149">
        <v>3</v>
      </c>
      <c r="G4149" t="s">
        <v>498</v>
      </c>
      <c r="H4149" s="4">
        <v>19450418</v>
      </c>
      <c r="I4149" s="4">
        <v>19780274</v>
      </c>
      <c r="J4149" s="3">
        <v>0.016958812916000057</v>
      </c>
      <c r="K4149" s="3">
        <v>-0.01667600762254355</v>
      </c>
      <c r="L4149" t="s">
        <v>377</v>
      </c>
    </row>
    <row r="4150" spans="1:12" x14ac:dyDescent="0.25">
      <c r="A4150" t="s">
        <v>487</v>
      </c>
      <c r="B4150" t="s">
        <v>463</v>
      </c>
      <c r="C4150" t="s">
        <v>464</v>
      </c>
      <c r="D4150" t="s">
        <v>391</v>
      </c>
      <c r="E4150" t="s">
        <v>397</v>
      </c>
      <c r="F4150">
        <v>3</v>
      </c>
      <c r="G4150" t="s">
        <v>499</v>
      </c>
      <c r="H4150" s="4">
        <v>19450418</v>
      </c>
      <c r="I4150" s="4">
        <v>30856303</v>
      </c>
      <c r="J4150" s="3">
        <v>0.5864082201215418</v>
      </c>
      <c r="K4150" s="3">
        <v>-0.3696452228901175</v>
      </c>
      <c r="L4150" t="s">
        <v>377</v>
      </c>
    </row>
    <row r="4151" spans="1:12" x14ac:dyDescent="0.25">
      <c r="A4151" t="s">
        <v>487</v>
      </c>
      <c r="B4151" t="s">
        <v>463</v>
      </c>
      <c r="C4151" t="s">
        <v>464</v>
      </c>
      <c r="D4151" t="s">
        <v>393</v>
      </c>
      <c r="E4151" t="s">
        <v>395</v>
      </c>
      <c r="F4151">
        <v>1</v>
      </c>
      <c r="G4151" t="s">
        <v>488</v>
      </c>
      <c r="H4151" s="4">
        <v>25674040</v>
      </c>
      <c r="I4151" s="4">
        <v>29943595.57577759</v>
      </c>
      <c r="J4151" s="3">
        <v>0.16629854809673858</v>
      </c>
      <c r="K4151" s="3">
        <v>-0.14258660303411863</v>
      </c>
      <c r="L4151" t="s">
        <v>377</v>
      </c>
    </row>
    <row r="4152" spans="1:12" x14ac:dyDescent="0.25">
      <c r="A4152" t="s">
        <v>487</v>
      </c>
      <c r="B4152" t="s">
        <v>463</v>
      </c>
      <c r="C4152" t="s">
        <v>464</v>
      </c>
      <c r="D4152" t="s">
        <v>393</v>
      </c>
      <c r="E4152" t="s">
        <v>395</v>
      </c>
      <c r="F4152">
        <v>1</v>
      </c>
      <c r="G4152" t="s">
        <v>498</v>
      </c>
      <c r="H4152" s="4">
        <v>25674040</v>
      </c>
      <c r="I4152" s="4">
        <v>30727680</v>
      </c>
      <c r="J4152" s="3">
        <v>0.19683851859699525</v>
      </c>
      <c r="K4152" s="3">
        <v>-0.16446539406814964</v>
      </c>
      <c r="L4152" t="s">
        <v>377</v>
      </c>
    </row>
    <row r="4153" spans="1:12" x14ac:dyDescent="0.25">
      <c r="A4153" t="s">
        <v>487</v>
      </c>
      <c r="B4153" t="s">
        <v>463</v>
      </c>
      <c r="C4153" t="s">
        <v>464</v>
      </c>
      <c r="D4153" t="s">
        <v>393</v>
      </c>
      <c r="E4153" t="s">
        <v>395</v>
      </c>
      <c r="F4153">
        <v>1</v>
      </c>
      <c r="G4153" t="s">
        <v>499</v>
      </c>
      <c r="H4153" s="4">
        <v>25674040</v>
      </c>
      <c r="I4153" s="4">
        <v>36144800</v>
      </c>
      <c r="J4153" s="3">
        <v>0.40783452857438873</v>
      </c>
      <c r="K4153" s="3">
        <v>-0.2896892499059339</v>
      </c>
      <c r="L4153" t="s">
        <v>377</v>
      </c>
    </row>
    <row r="4154" spans="1:12" x14ac:dyDescent="0.25">
      <c r="A4154" t="s">
        <v>487</v>
      </c>
      <c r="B4154" t="s">
        <v>463</v>
      </c>
      <c r="C4154" t="s">
        <v>464</v>
      </c>
      <c r="D4154" t="s">
        <v>393</v>
      </c>
      <c r="E4154" t="s">
        <v>397</v>
      </c>
      <c r="F4154">
        <v>2</v>
      </c>
      <c r="G4154" t="s">
        <v>488</v>
      </c>
      <c r="H4154" s="4">
        <v>19450418</v>
      </c>
      <c r="I4154" s="4">
        <v>19275536.74843231</v>
      </c>
      <c r="J4154" s="3">
        <v>0.008991130759641853</v>
      </c>
      <c r="K4154" s="3">
        <v>0.009072704633343856</v>
      </c>
      <c r="L4154" t="s">
        <v>377</v>
      </c>
    </row>
    <row r="4155" spans="1:12" x14ac:dyDescent="0.25">
      <c r="A4155" t="s">
        <v>487</v>
      </c>
      <c r="B4155" t="s">
        <v>463</v>
      </c>
      <c r="C4155" t="s">
        <v>464</v>
      </c>
      <c r="D4155" t="s">
        <v>393</v>
      </c>
      <c r="E4155" t="s">
        <v>397</v>
      </c>
      <c r="F4155">
        <v>2</v>
      </c>
      <c r="G4155" t="s">
        <v>498</v>
      </c>
      <c r="H4155" s="4">
        <v>19450418</v>
      </c>
      <c r="I4155" s="4">
        <v>19780274</v>
      </c>
      <c r="J4155" s="3">
        <v>0.016958812916000057</v>
      </c>
      <c r="K4155" s="3">
        <v>-0.01667600762254355</v>
      </c>
      <c r="L4155" t="s">
        <v>377</v>
      </c>
    </row>
    <row r="4156" spans="1:12" x14ac:dyDescent="0.25">
      <c r="A4156" t="s">
        <v>487</v>
      </c>
      <c r="B4156" t="s">
        <v>463</v>
      </c>
      <c r="C4156" t="s">
        <v>464</v>
      </c>
      <c r="D4156" t="s">
        <v>393</v>
      </c>
      <c r="E4156" t="s">
        <v>397</v>
      </c>
      <c r="F4156">
        <v>2</v>
      </c>
      <c r="G4156" t="s">
        <v>499</v>
      </c>
      <c r="H4156" s="4">
        <v>19450418</v>
      </c>
      <c r="I4156" s="4">
        <v>36144800</v>
      </c>
      <c r="J4156" s="3">
        <v>0.8583045361801479</v>
      </c>
      <c r="K4156" s="3">
        <v>-0.46187506916624244</v>
      </c>
      <c r="L4156" t="s">
        <v>377</v>
      </c>
    </row>
    <row r="4157" spans="1:12" x14ac:dyDescent="0.25">
      <c r="A4157" t="s">
        <v>487</v>
      </c>
      <c r="B4157" t="s">
        <v>463</v>
      </c>
      <c r="C4157" t="s">
        <v>464</v>
      </c>
      <c r="D4157" t="s">
        <v>393</v>
      </c>
      <c r="E4157" t="s">
        <v>399</v>
      </c>
      <c r="F4157">
        <v>3</v>
      </c>
      <c r="G4157" t="s">
        <v>488</v>
      </c>
      <c r="H4157" s="4">
        <v>20721614</v>
      </c>
      <c r="I4157" s="4">
        <v>19995926.08014171</v>
      </c>
      <c r="J4157" s="3">
        <v>0.035020820282546127</v>
      </c>
      <c r="K4157" s="3">
        <v>0.036291788484804646</v>
      </c>
      <c r="L4157" t="s">
        <v>377</v>
      </c>
    </row>
    <row r="4158" spans="1:12" x14ac:dyDescent="0.25">
      <c r="A4158" t="s">
        <v>487</v>
      </c>
      <c r="B4158" t="s">
        <v>463</v>
      </c>
      <c r="C4158" t="s">
        <v>464</v>
      </c>
      <c r="D4158" t="s">
        <v>393</v>
      </c>
      <c r="E4158" t="s">
        <v>399</v>
      </c>
      <c r="F4158">
        <v>3</v>
      </c>
      <c r="G4158" t="s">
        <v>498</v>
      </c>
      <c r="H4158" s="4">
        <v>20721614</v>
      </c>
      <c r="I4158" s="4">
        <v>20519527</v>
      </c>
      <c r="J4158" s="3">
        <v>0.00975247391443543</v>
      </c>
      <c r="K4158" s="3">
        <v>0.009848521362115219</v>
      </c>
      <c r="L4158" t="s">
        <v>377</v>
      </c>
    </row>
    <row r="4159" spans="1:12" x14ac:dyDescent="0.25">
      <c r="A4159" t="s">
        <v>487</v>
      </c>
      <c r="B4159" t="s">
        <v>463</v>
      </c>
      <c r="C4159" t="s">
        <v>464</v>
      </c>
      <c r="D4159" t="s">
        <v>393</v>
      </c>
      <c r="E4159" t="s">
        <v>399</v>
      </c>
      <c r="F4159">
        <v>3</v>
      </c>
      <c r="G4159" t="s">
        <v>499</v>
      </c>
      <c r="H4159" s="4">
        <v>20721614</v>
      </c>
      <c r="I4159" s="4">
        <v>36144800</v>
      </c>
      <c r="J4159" s="3">
        <v>0.7443042805449421</v>
      </c>
      <c r="K4159" s="3">
        <v>-0.42670552887275626</v>
      </c>
      <c r="L4159" t="s">
        <v>377</v>
      </c>
    </row>
    <row r="4160" spans="1:12" x14ac:dyDescent="0.25">
      <c r="A4160" t="s">
        <v>487</v>
      </c>
      <c r="B4160" t="s">
        <v>463</v>
      </c>
      <c r="C4160" t="s">
        <v>464</v>
      </c>
      <c r="D4160" t="s">
        <v>395</v>
      </c>
      <c r="E4160" t="s">
        <v>397</v>
      </c>
      <c r="F4160">
        <v>1</v>
      </c>
      <c r="G4160" t="s">
        <v>488</v>
      </c>
      <c r="H4160" s="4">
        <v>19450418</v>
      </c>
      <c r="I4160" s="4">
        <v>18858988.1022967</v>
      </c>
      <c r="J4160" s="3">
        <v>0.030407053344730234</v>
      </c>
      <c r="K4160" s="3">
        <v>0.03136063793535535</v>
      </c>
      <c r="L4160" t="s">
        <v>377</v>
      </c>
    </row>
    <row r="4161" spans="1:12" x14ac:dyDescent="0.25">
      <c r="A4161" t="s">
        <v>487</v>
      </c>
      <c r="B4161" t="s">
        <v>463</v>
      </c>
      <c r="C4161" t="s">
        <v>464</v>
      </c>
      <c r="D4161" t="s">
        <v>395</v>
      </c>
      <c r="E4161" t="s">
        <v>397</v>
      </c>
      <c r="F4161">
        <v>1</v>
      </c>
      <c r="G4161" t="s">
        <v>498</v>
      </c>
      <c r="H4161" s="4">
        <v>19450418</v>
      </c>
      <c r="I4161" s="4">
        <v>19780274</v>
      </c>
      <c r="J4161" s="3">
        <v>0.016958812916000057</v>
      </c>
      <c r="K4161" s="3">
        <v>-0.01667600762254355</v>
      </c>
      <c r="L4161" t="s">
        <v>377</v>
      </c>
    </row>
    <row r="4162" spans="1:12" x14ac:dyDescent="0.25">
      <c r="A4162" t="s">
        <v>487</v>
      </c>
      <c r="B4162" t="s">
        <v>463</v>
      </c>
      <c r="C4162" t="s">
        <v>464</v>
      </c>
      <c r="D4162" t="s">
        <v>395</v>
      </c>
      <c r="E4162" t="s">
        <v>397</v>
      </c>
      <c r="F4162">
        <v>1</v>
      </c>
      <c r="G4162" t="s">
        <v>499</v>
      </c>
      <c r="H4162" s="4">
        <v>19450418</v>
      </c>
      <c r="I4162" s="4">
        <v>25674040</v>
      </c>
      <c r="J4162" s="3">
        <v>0.3199736889973264</v>
      </c>
      <c r="K4162" s="3">
        <v>-0.24240914168553138</v>
      </c>
      <c r="L4162" t="s">
        <v>377</v>
      </c>
    </row>
    <row r="4163" spans="1:12" x14ac:dyDescent="0.25">
      <c r="A4163" t="s">
        <v>487</v>
      </c>
      <c r="B4163" t="s">
        <v>463</v>
      </c>
      <c r="C4163" t="s">
        <v>464</v>
      </c>
      <c r="D4163" t="s">
        <v>395</v>
      </c>
      <c r="E4163" t="s">
        <v>399</v>
      </c>
      <c r="F4163">
        <v>2</v>
      </c>
      <c r="G4163" t="s">
        <v>488</v>
      </c>
      <c r="H4163" s="4">
        <v>20721614</v>
      </c>
      <c r="I4163" s="4">
        <v>19563809.659954958</v>
      </c>
      <c r="J4163" s="3">
        <v>0.055874235474371946</v>
      </c>
      <c r="K4163" s="3">
        <v>0.05918092437869833</v>
      </c>
      <c r="L4163" t="s">
        <v>377</v>
      </c>
    </row>
    <row r="4164" spans="1:12" x14ac:dyDescent="0.25">
      <c r="A4164" t="s">
        <v>487</v>
      </c>
      <c r="B4164" t="s">
        <v>463</v>
      </c>
      <c r="C4164" t="s">
        <v>464</v>
      </c>
      <c r="D4164" t="s">
        <v>395</v>
      </c>
      <c r="E4164" t="s">
        <v>399</v>
      </c>
      <c r="F4164">
        <v>2</v>
      </c>
      <c r="G4164" t="s">
        <v>498</v>
      </c>
      <c r="H4164" s="4">
        <v>20721614</v>
      </c>
      <c r="I4164" s="4">
        <v>20519527</v>
      </c>
      <c r="J4164" s="3">
        <v>0.00975247391443543</v>
      </c>
      <c r="K4164" s="3">
        <v>0.009848521362115219</v>
      </c>
      <c r="L4164" t="s">
        <v>377</v>
      </c>
    </row>
    <row r="4165" spans="1:12" x14ac:dyDescent="0.25">
      <c r="A4165" t="s">
        <v>487</v>
      </c>
      <c r="B4165" t="s">
        <v>463</v>
      </c>
      <c r="C4165" t="s">
        <v>464</v>
      </c>
      <c r="D4165" t="s">
        <v>395</v>
      </c>
      <c r="E4165" t="s">
        <v>399</v>
      </c>
      <c r="F4165">
        <v>2</v>
      </c>
      <c r="G4165" t="s">
        <v>499</v>
      </c>
      <c r="H4165" s="4">
        <v>20721614</v>
      </c>
      <c r="I4165" s="4">
        <v>25674040</v>
      </c>
      <c r="J4165" s="3">
        <v>0.2389980819061681</v>
      </c>
      <c r="K4165" s="3">
        <v>-0.19289624850627327</v>
      </c>
      <c r="L4165" t="s">
        <v>377</v>
      </c>
    </row>
    <row r="4166" spans="1:12" x14ac:dyDescent="0.25">
      <c r="A4166" t="s">
        <v>487</v>
      </c>
      <c r="B4166" t="s">
        <v>463</v>
      </c>
      <c r="C4166" t="s">
        <v>464</v>
      </c>
      <c r="D4166" t="s">
        <v>395</v>
      </c>
      <c r="E4166" t="s">
        <v>401</v>
      </c>
      <c r="F4166">
        <v>3</v>
      </c>
      <c r="G4166" t="s">
        <v>488</v>
      </c>
      <c r="H4166" s="4">
        <v>21250471</v>
      </c>
      <c r="I4166" s="4">
        <v>20703436.422440004</v>
      </c>
      <c r="J4166" s="3">
        <v>0.025742233080857192</v>
      </c>
      <c r="K4166" s="3">
        <v>0.026422404783346863</v>
      </c>
      <c r="L4166" t="s">
        <v>377</v>
      </c>
    </row>
    <row r="4167" spans="1:12" x14ac:dyDescent="0.25">
      <c r="A4167" t="s">
        <v>487</v>
      </c>
      <c r="B4167" t="s">
        <v>463</v>
      </c>
      <c r="C4167" t="s">
        <v>464</v>
      </c>
      <c r="D4167" t="s">
        <v>395</v>
      </c>
      <c r="E4167" t="s">
        <v>401</v>
      </c>
      <c r="F4167">
        <v>3</v>
      </c>
      <c r="G4167" t="s">
        <v>498</v>
      </c>
      <c r="H4167" s="4">
        <v>21250471</v>
      </c>
      <c r="I4167" s="4">
        <v>21714826</v>
      </c>
      <c r="J4167" s="3">
        <v>0.021851515667582144</v>
      </c>
      <c r="K4167" s="3">
        <v>-0.021384237663244456</v>
      </c>
      <c r="L4167" t="s">
        <v>377</v>
      </c>
    </row>
    <row r="4168" spans="1:12" x14ac:dyDescent="0.25">
      <c r="A4168" t="s">
        <v>487</v>
      </c>
      <c r="B4168" t="s">
        <v>463</v>
      </c>
      <c r="C4168" t="s">
        <v>464</v>
      </c>
      <c r="D4168" t="s">
        <v>395</v>
      </c>
      <c r="E4168" t="s">
        <v>401</v>
      </c>
      <c r="F4168">
        <v>3</v>
      </c>
      <c r="G4168" t="s">
        <v>499</v>
      </c>
      <c r="H4168" s="4">
        <v>21250471</v>
      </c>
      <c r="I4168" s="4">
        <v>25674040</v>
      </c>
      <c r="J4168" s="3">
        <v>0.20816333906199067</v>
      </c>
      <c r="K4168" s="3">
        <v>-0.1722973478268321</v>
      </c>
      <c r="L4168" t="s">
        <v>377</v>
      </c>
    </row>
    <row r="4169" spans="1:12" x14ac:dyDescent="0.25">
      <c r="A4169" t="s">
        <v>487</v>
      </c>
      <c r="B4169" t="s">
        <v>463</v>
      </c>
      <c r="C4169" t="s">
        <v>464</v>
      </c>
      <c r="D4169" t="s">
        <v>397</v>
      </c>
      <c r="E4169" t="s">
        <v>399</v>
      </c>
      <c r="F4169">
        <v>1</v>
      </c>
      <c r="G4169" t="s">
        <v>488</v>
      </c>
      <c r="H4169" s="4">
        <v>20721614</v>
      </c>
      <c r="I4169" s="4">
        <v>19823456.18089296</v>
      </c>
      <c r="J4169" s="3">
        <v>0.04334400877784138</v>
      </c>
      <c r="K4169" s="3">
        <v>0.0453078318387658</v>
      </c>
      <c r="L4169" t="s">
        <v>377</v>
      </c>
    </row>
    <row r="4170" spans="1:12" x14ac:dyDescent="0.25">
      <c r="A4170" t="s">
        <v>487</v>
      </c>
      <c r="B4170" t="s">
        <v>463</v>
      </c>
      <c r="C4170" t="s">
        <v>464</v>
      </c>
      <c r="D4170" t="s">
        <v>397</v>
      </c>
      <c r="E4170" t="s">
        <v>399</v>
      </c>
      <c r="F4170">
        <v>1</v>
      </c>
      <c r="G4170" t="s">
        <v>498</v>
      </c>
      <c r="H4170" s="4">
        <v>20721614</v>
      </c>
      <c r="I4170" s="4">
        <v>20519527</v>
      </c>
      <c r="J4170" s="3">
        <v>0.00975247391443543</v>
      </c>
      <c r="K4170" s="3">
        <v>0.009848521362115219</v>
      </c>
      <c r="L4170" t="s">
        <v>377</v>
      </c>
    </row>
    <row r="4171" spans="1:12" x14ac:dyDescent="0.25">
      <c r="A4171" t="s">
        <v>487</v>
      </c>
      <c r="B4171" t="s">
        <v>463</v>
      </c>
      <c r="C4171" t="s">
        <v>464</v>
      </c>
      <c r="D4171" t="s">
        <v>397</v>
      </c>
      <c r="E4171" t="s">
        <v>399</v>
      </c>
      <c r="F4171">
        <v>1</v>
      </c>
      <c r="G4171" t="s">
        <v>499</v>
      </c>
      <c r="H4171" s="4">
        <v>20721614</v>
      </c>
      <c r="I4171" s="4">
        <v>19450418</v>
      </c>
      <c r="J4171" s="3">
        <v>0.0613463796787258</v>
      </c>
      <c r="K4171" s="3">
        <v>0.0653557162627559</v>
      </c>
      <c r="L4171" t="s">
        <v>377</v>
      </c>
    </row>
    <row r="4172" spans="1:12" x14ac:dyDescent="0.25">
      <c r="A4172" t="s">
        <v>487</v>
      </c>
      <c r="B4172" t="s">
        <v>463</v>
      </c>
      <c r="C4172" t="s">
        <v>464</v>
      </c>
      <c r="D4172" t="s">
        <v>397</v>
      </c>
      <c r="E4172" t="s">
        <v>401</v>
      </c>
      <c r="F4172">
        <v>2</v>
      </c>
      <c r="G4172" t="s">
        <v>488</v>
      </c>
      <c r="H4172" s="4">
        <v>21250471</v>
      </c>
      <c r="I4172" s="4">
        <v>20978207.815741323</v>
      </c>
      <c r="J4172" s="3">
        <v>0.012812101165130743</v>
      </c>
      <c r="K4172" s="3">
        <v>0.012978381501892653</v>
      </c>
      <c r="L4172" t="s">
        <v>377</v>
      </c>
    </row>
    <row r="4173" spans="1:12" x14ac:dyDescent="0.25">
      <c r="A4173" t="s">
        <v>487</v>
      </c>
      <c r="B4173" t="s">
        <v>463</v>
      </c>
      <c r="C4173" t="s">
        <v>464</v>
      </c>
      <c r="D4173" t="s">
        <v>397</v>
      </c>
      <c r="E4173" t="s">
        <v>401</v>
      </c>
      <c r="F4173">
        <v>2</v>
      </c>
      <c r="G4173" t="s">
        <v>498</v>
      </c>
      <c r="H4173" s="4">
        <v>21250471</v>
      </c>
      <c r="I4173" s="4">
        <v>21714826</v>
      </c>
      <c r="J4173" s="3">
        <v>0.021851515667582144</v>
      </c>
      <c r="K4173" s="3">
        <v>-0.021384237663244456</v>
      </c>
      <c r="L4173" t="s">
        <v>377</v>
      </c>
    </row>
    <row r="4174" spans="1:12" x14ac:dyDescent="0.25">
      <c r="A4174" t="s">
        <v>487</v>
      </c>
      <c r="B4174" t="s">
        <v>463</v>
      </c>
      <c r="C4174" t="s">
        <v>464</v>
      </c>
      <c r="D4174" t="s">
        <v>397</v>
      </c>
      <c r="E4174" t="s">
        <v>401</v>
      </c>
      <c r="F4174">
        <v>2</v>
      </c>
      <c r="G4174" t="s">
        <v>499</v>
      </c>
      <c r="H4174" s="4">
        <v>21250471</v>
      </c>
      <c r="I4174" s="4">
        <v>19450418</v>
      </c>
      <c r="J4174" s="3">
        <v>0.08470649897595212</v>
      </c>
      <c r="K4174" s="3">
        <v>0.0925457231818874</v>
      </c>
      <c r="L4174" t="s">
        <v>377</v>
      </c>
    </row>
    <row r="4175" spans="1:12" x14ac:dyDescent="0.25">
      <c r="A4175" t="s">
        <v>487</v>
      </c>
      <c r="B4175" t="s">
        <v>463</v>
      </c>
      <c r="C4175" t="s">
        <v>464</v>
      </c>
      <c r="D4175" t="s">
        <v>397</v>
      </c>
      <c r="E4175" t="s">
        <v>403</v>
      </c>
      <c r="F4175">
        <v>3</v>
      </c>
      <c r="G4175" t="s">
        <v>488</v>
      </c>
      <c r="H4175" s="4">
        <v>21419545</v>
      </c>
      <c r="I4175" s="4">
        <v>20981169.809780005</v>
      </c>
      <c r="J4175" s="3">
        <v>0.020466129893048364</v>
      </c>
      <c r="K4175" s="3">
        <v>0.020893743971113266</v>
      </c>
      <c r="L4175" t="s">
        <v>377</v>
      </c>
    </row>
    <row r="4176" spans="1:12" x14ac:dyDescent="0.25">
      <c r="A4176" t="s">
        <v>487</v>
      </c>
      <c r="B4176" t="s">
        <v>463</v>
      </c>
      <c r="C4176" t="s">
        <v>464</v>
      </c>
      <c r="D4176" t="s">
        <v>397</v>
      </c>
      <c r="E4176" t="s">
        <v>403</v>
      </c>
      <c r="F4176">
        <v>3</v>
      </c>
      <c r="G4176" t="s">
        <v>498</v>
      </c>
      <c r="H4176" s="4">
        <v>21419545</v>
      </c>
      <c r="I4176" s="4">
        <v>21717892</v>
      </c>
      <c r="J4176" s="3">
        <v>0.013928727244206168</v>
      </c>
      <c r="K4176" s="3">
        <v>-0.0137373829835787</v>
      </c>
      <c r="L4176" t="s">
        <v>377</v>
      </c>
    </row>
    <row r="4177" spans="1:12" x14ac:dyDescent="0.25">
      <c r="A4177" t="s">
        <v>487</v>
      </c>
      <c r="B4177" t="s">
        <v>463</v>
      </c>
      <c r="C4177" t="s">
        <v>464</v>
      </c>
      <c r="D4177" t="s">
        <v>397</v>
      </c>
      <c r="E4177" t="s">
        <v>403</v>
      </c>
      <c r="F4177">
        <v>3</v>
      </c>
      <c r="G4177" t="s">
        <v>499</v>
      </c>
      <c r="H4177" s="4">
        <v>21419545</v>
      </c>
      <c r="I4177" s="4">
        <v>19450418</v>
      </c>
      <c r="J4177" s="3">
        <v>0.09193131786879694</v>
      </c>
      <c r="K4177" s="3">
        <v>0.1012382870126493</v>
      </c>
      <c r="L4177" t="s">
        <v>377</v>
      </c>
    </row>
    <row r="4178" spans="1:12" x14ac:dyDescent="0.25">
      <c r="A4178" t="s">
        <v>487</v>
      </c>
      <c r="B4178" t="s">
        <v>463</v>
      </c>
      <c r="C4178" t="s">
        <v>464</v>
      </c>
      <c r="D4178" t="s">
        <v>399</v>
      </c>
      <c r="E4178" t="s">
        <v>401</v>
      </c>
      <c r="F4178">
        <v>1</v>
      </c>
      <c r="G4178" t="s">
        <v>488</v>
      </c>
      <c r="H4178" s="4">
        <v>21250471</v>
      </c>
      <c r="I4178" s="4">
        <v>21023537.592023768</v>
      </c>
      <c r="J4178" s="3">
        <v>0.01067898250237524</v>
      </c>
      <c r="K4178" s="3">
        <v>0.010794254153607808</v>
      </c>
      <c r="L4178" t="s">
        <v>377</v>
      </c>
    </row>
    <row r="4179" spans="1:12" x14ac:dyDescent="0.25">
      <c r="A4179" t="s">
        <v>487</v>
      </c>
      <c r="B4179" t="s">
        <v>463</v>
      </c>
      <c r="C4179" t="s">
        <v>464</v>
      </c>
      <c r="D4179" t="s">
        <v>399</v>
      </c>
      <c r="E4179" t="s">
        <v>401</v>
      </c>
      <c r="F4179">
        <v>1</v>
      </c>
      <c r="G4179" t="s">
        <v>498</v>
      </c>
      <c r="H4179" s="4">
        <v>21250471</v>
      </c>
      <c r="I4179" s="4">
        <v>21714826</v>
      </c>
      <c r="J4179" s="3">
        <v>0.021851515667582144</v>
      </c>
      <c r="K4179" s="3">
        <v>-0.021384237663244456</v>
      </c>
      <c r="L4179" t="s">
        <v>377</v>
      </c>
    </row>
    <row r="4180" spans="1:12" x14ac:dyDescent="0.25">
      <c r="A4180" t="s">
        <v>487</v>
      </c>
      <c r="B4180" t="s">
        <v>463</v>
      </c>
      <c r="C4180" t="s">
        <v>464</v>
      </c>
      <c r="D4180" t="s">
        <v>399</v>
      </c>
      <c r="E4180" t="s">
        <v>401</v>
      </c>
      <c r="F4180">
        <v>1</v>
      </c>
      <c r="G4180" t="s">
        <v>499</v>
      </c>
      <c r="H4180" s="4">
        <v>21250471</v>
      </c>
      <c r="I4180" s="4">
        <v>20721614</v>
      </c>
      <c r="J4180" s="3">
        <v>0.02488683662587996</v>
      </c>
      <c r="K4180" s="3">
        <v>0.025521998431203282</v>
      </c>
      <c r="L4180" t="s">
        <v>377</v>
      </c>
    </row>
    <row r="4181" spans="1:12" x14ac:dyDescent="0.25">
      <c r="A4181" t="s">
        <v>487</v>
      </c>
      <c r="B4181" t="s">
        <v>463</v>
      </c>
      <c r="C4181" t="s">
        <v>464</v>
      </c>
      <c r="D4181" t="s">
        <v>399</v>
      </c>
      <c r="E4181" t="s">
        <v>403</v>
      </c>
      <c r="F4181">
        <v>2</v>
      </c>
      <c r="G4181" t="s">
        <v>488</v>
      </c>
      <c r="H4181" s="4">
        <v>21419545</v>
      </c>
      <c r="I4181" s="4">
        <v>21026505.986348324</v>
      </c>
      <c r="J4181" s="3">
        <v>0.018349550079223273</v>
      </c>
      <c r="K4181" s="3">
        <v>0.018692549960838054</v>
      </c>
      <c r="L4181" t="s">
        <v>377</v>
      </c>
    </row>
    <row r="4182" spans="1:12" x14ac:dyDescent="0.25">
      <c r="A4182" t="s">
        <v>487</v>
      </c>
      <c r="B4182" t="s">
        <v>463</v>
      </c>
      <c r="C4182" t="s">
        <v>464</v>
      </c>
      <c r="D4182" t="s">
        <v>399</v>
      </c>
      <c r="E4182" t="s">
        <v>403</v>
      </c>
      <c r="F4182">
        <v>2</v>
      </c>
      <c r="G4182" t="s">
        <v>498</v>
      </c>
      <c r="H4182" s="4">
        <v>21419545</v>
      </c>
      <c r="I4182" s="4">
        <v>21717892</v>
      </c>
      <c r="J4182" s="3">
        <v>0.013928727244206168</v>
      </c>
      <c r="K4182" s="3">
        <v>-0.0137373829835787</v>
      </c>
      <c r="L4182" t="s">
        <v>377</v>
      </c>
    </row>
    <row r="4183" spans="1:12" x14ac:dyDescent="0.25">
      <c r="A4183" t="s">
        <v>487</v>
      </c>
      <c r="B4183" t="s">
        <v>463</v>
      </c>
      <c r="C4183" t="s">
        <v>464</v>
      </c>
      <c r="D4183" t="s">
        <v>399</v>
      </c>
      <c r="E4183" t="s">
        <v>403</v>
      </c>
      <c r="F4183">
        <v>2</v>
      </c>
      <c r="G4183" t="s">
        <v>499</v>
      </c>
      <c r="H4183" s="4">
        <v>21419545</v>
      </c>
      <c r="I4183" s="4">
        <v>20721614</v>
      </c>
      <c r="J4183" s="3">
        <v>0.03258383873233535</v>
      </c>
      <c r="K4183" s="3">
        <v>0.033681304940821694</v>
      </c>
      <c r="L4183" t="s">
        <v>377</v>
      </c>
    </row>
    <row r="4184" spans="1:12" x14ac:dyDescent="0.25">
      <c r="A4184" t="s">
        <v>487</v>
      </c>
      <c r="B4184" t="s">
        <v>463</v>
      </c>
      <c r="C4184" t="s">
        <v>464</v>
      </c>
      <c r="D4184" t="s">
        <v>399</v>
      </c>
      <c r="E4184" t="s">
        <v>405</v>
      </c>
      <c r="F4184">
        <v>3</v>
      </c>
      <c r="G4184" t="s">
        <v>488</v>
      </c>
      <c r="H4184" s="4">
        <v>37131430</v>
      </c>
      <c r="I4184" s="4">
        <v>30329169.158958595</v>
      </c>
      <c r="J4184" s="3">
        <v>0.18319415225972727</v>
      </c>
      <c r="K4184" s="3">
        <v>0.22428114681908987</v>
      </c>
      <c r="L4184" t="s">
        <v>377</v>
      </c>
    </row>
    <row r="4185" spans="1:12" x14ac:dyDescent="0.25">
      <c r="A4185" t="s">
        <v>487</v>
      </c>
      <c r="B4185" t="s">
        <v>463</v>
      </c>
      <c r="C4185" t="s">
        <v>464</v>
      </c>
      <c r="D4185" t="s">
        <v>399</v>
      </c>
      <c r="E4185" t="s">
        <v>405</v>
      </c>
      <c r="F4185">
        <v>3</v>
      </c>
      <c r="G4185" t="s">
        <v>498</v>
      </c>
      <c r="H4185" s="4">
        <v>37131430</v>
      </c>
      <c r="I4185" s="4">
        <v>31326442</v>
      </c>
      <c r="J4185" s="3">
        <v>0.15633623590580809</v>
      </c>
      <c r="K4185" s="3">
        <v>0.18530633003262867</v>
      </c>
      <c r="L4185" t="s">
        <v>377</v>
      </c>
    </row>
    <row r="4186" spans="1:12" x14ac:dyDescent="0.25">
      <c r="A4186" t="s">
        <v>487</v>
      </c>
      <c r="B4186" t="s">
        <v>463</v>
      </c>
      <c r="C4186" t="s">
        <v>464</v>
      </c>
      <c r="D4186" t="s">
        <v>399</v>
      </c>
      <c r="E4186" t="s">
        <v>405</v>
      </c>
      <c r="F4186">
        <v>3</v>
      </c>
      <c r="G4186" t="s">
        <v>499</v>
      </c>
      <c r="H4186" s="4">
        <v>37131430</v>
      </c>
      <c r="I4186" s="4">
        <v>20721614</v>
      </c>
      <c r="J4186" s="3">
        <v>0.44193870260315854</v>
      </c>
      <c r="K4186" s="3">
        <v>0.7919178496424072</v>
      </c>
      <c r="L4186" t="s">
        <v>377</v>
      </c>
    </row>
    <row r="4187" spans="1:12" x14ac:dyDescent="0.25">
      <c r="A4187" t="s">
        <v>487</v>
      </c>
      <c r="B4187" t="s">
        <v>463</v>
      </c>
      <c r="C4187" t="s">
        <v>464</v>
      </c>
      <c r="D4187" t="s">
        <v>401</v>
      </c>
      <c r="E4187" t="s">
        <v>403</v>
      </c>
      <c r="F4187">
        <v>1</v>
      </c>
      <c r="G4187" t="s">
        <v>488</v>
      </c>
      <c r="H4187" s="4">
        <v>21419545</v>
      </c>
      <c r="I4187" s="4">
        <v>20900502.760357115</v>
      </c>
      <c r="J4187" s="3">
        <v>0.024232178584693773</v>
      </c>
      <c r="K4187" s="3">
        <v>0.024833959526915035</v>
      </c>
      <c r="L4187" t="s">
        <v>377</v>
      </c>
    </row>
    <row r="4188" spans="1:12" x14ac:dyDescent="0.25">
      <c r="A4188" t="s">
        <v>487</v>
      </c>
      <c r="B4188" t="s">
        <v>463</v>
      </c>
      <c r="C4188" t="s">
        <v>464</v>
      </c>
      <c r="D4188" t="s">
        <v>401</v>
      </c>
      <c r="E4188" t="s">
        <v>403</v>
      </c>
      <c r="F4188">
        <v>1</v>
      </c>
      <c r="G4188" t="s">
        <v>498</v>
      </c>
      <c r="H4188" s="4">
        <v>21419545</v>
      </c>
      <c r="I4188" s="4">
        <v>21717892</v>
      </c>
      <c r="J4188" s="3">
        <v>0.013928727244206168</v>
      </c>
      <c r="K4188" s="3">
        <v>-0.0137373829835787</v>
      </c>
      <c r="L4188" t="s">
        <v>377</v>
      </c>
    </row>
    <row r="4189" spans="1:12" x14ac:dyDescent="0.25">
      <c r="A4189" t="s">
        <v>487</v>
      </c>
      <c r="B4189" t="s">
        <v>463</v>
      </c>
      <c r="C4189" t="s">
        <v>464</v>
      </c>
      <c r="D4189" t="s">
        <v>401</v>
      </c>
      <c r="E4189" t="s">
        <v>403</v>
      </c>
      <c r="F4189">
        <v>1</v>
      </c>
      <c r="G4189" t="s">
        <v>499</v>
      </c>
      <c r="H4189" s="4">
        <v>21419545</v>
      </c>
      <c r="I4189" s="4">
        <v>21250471</v>
      </c>
      <c r="J4189" s="3">
        <v>0.00789344498214131</v>
      </c>
      <c r="K4189" s="3">
        <v>0.007956247181533059</v>
      </c>
      <c r="L4189" t="s">
        <v>377</v>
      </c>
    </row>
    <row r="4190" spans="1:12" x14ac:dyDescent="0.25">
      <c r="A4190" t="s">
        <v>487</v>
      </c>
      <c r="B4190" t="s">
        <v>463</v>
      </c>
      <c r="C4190" t="s">
        <v>464</v>
      </c>
      <c r="D4190" t="s">
        <v>401</v>
      </c>
      <c r="E4190" t="s">
        <v>405</v>
      </c>
      <c r="F4190">
        <v>2</v>
      </c>
      <c r="G4190" t="s">
        <v>488</v>
      </c>
      <c r="H4190" s="4">
        <v>37131430</v>
      </c>
      <c r="I4190" s="4">
        <v>30147418.888222072</v>
      </c>
      <c r="J4190" s="3">
        <v>0.18808893467819385</v>
      </c>
      <c r="K4190" s="3">
        <v>0.2316619919493813</v>
      </c>
      <c r="L4190" t="s">
        <v>377</v>
      </c>
    </row>
    <row r="4191" spans="1:12" x14ac:dyDescent="0.25">
      <c r="A4191" t="s">
        <v>487</v>
      </c>
      <c r="B4191" t="s">
        <v>463</v>
      </c>
      <c r="C4191" t="s">
        <v>464</v>
      </c>
      <c r="D4191" t="s">
        <v>401</v>
      </c>
      <c r="E4191" t="s">
        <v>405</v>
      </c>
      <c r="F4191">
        <v>2</v>
      </c>
      <c r="G4191" t="s">
        <v>498</v>
      </c>
      <c r="H4191" s="4">
        <v>37131430</v>
      </c>
      <c r="I4191" s="4">
        <v>31326442</v>
      </c>
      <c r="J4191" s="3">
        <v>0.15633623590580809</v>
      </c>
      <c r="K4191" s="3">
        <v>0.18530633003262867</v>
      </c>
      <c r="L4191" t="s">
        <v>377</v>
      </c>
    </row>
    <row r="4192" spans="1:12" x14ac:dyDescent="0.25">
      <c r="A4192" t="s">
        <v>487</v>
      </c>
      <c r="B4192" t="s">
        <v>463</v>
      </c>
      <c r="C4192" t="s">
        <v>464</v>
      </c>
      <c r="D4192" t="s">
        <v>401</v>
      </c>
      <c r="E4192" t="s">
        <v>405</v>
      </c>
      <c r="F4192">
        <v>2</v>
      </c>
      <c r="G4192" t="s">
        <v>499</v>
      </c>
      <c r="H4192" s="4">
        <v>37131430</v>
      </c>
      <c r="I4192" s="4">
        <v>21250471</v>
      </c>
      <c r="J4192" s="3">
        <v>0.4276958630464811</v>
      </c>
      <c r="K4192" s="3">
        <v>0.7473226828713585</v>
      </c>
      <c r="L4192" t="s">
        <v>377</v>
      </c>
    </row>
    <row r="4193" spans="1:12" x14ac:dyDescent="0.25">
      <c r="A4193" t="s">
        <v>487</v>
      </c>
      <c r="B4193" t="s">
        <v>463</v>
      </c>
      <c r="C4193" t="s">
        <v>464</v>
      </c>
      <c r="D4193" t="s">
        <v>401</v>
      </c>
      <c r="E4193" t="s">
        <v>407</v>
      </c>
      <c r="F4193">
        <v>3</v>
      </c>
      <c r="G4193" t="s">
        <v>488</v>
      </c>
      <c r="H4193" s="4">
        <v>45377599</v>
      </c>
      <c r="I4193" s="4">
        <v>45954127.756746404</v>
      </c>
      <c r="J4193" s="3">
        <v>0.012705140189246325</v>
      </c>
      <c r="K4193" s="3">
        <v>-0.012545744743501636</v>
      </c>
      <c r="L4193" t="s">
        <v>377</v>
      </c>
    </row>
    <row r="4194" spans="1:12" x14ac:dyDescent="0.25">
      <c r="A4194" t="s">
        <v>487</v>
      </c>
      <c r="B4194" t="s">
        <v>463</v>
      </c>
      <c r="C4194" t="s">
        <v>464</v>
      </c>
      <c r="D4194" t="s">
        <v>401</v>
      </c>
      <c r="E4194" t="s">
        <v>407</v>
      </c>
      <c r="F4194">
        <v>3</v>
      </c>
      <c r="G4194" t="s">
        <v>498</v>
      </c>
      <c r="H4194" s="4">
        <v>45377599</v>
      </c>
      <c r="I4194" s="4">
        <v>47751329</v>
      </c>
      <c r="J4194" s="3">
        <v>0.05231061255576788</v>
      </c>
      <c r="K4194" s="3">
        <v>-0.0497102394783609</v>
      </c>
      <c r="L4194" t="s">
        <v>377</v>
      </c>
    </row>
    <row r="4195" spans="1:12" x14ac:dyDescent="0.25">
      <c r="A4195" t="s">
        <v>487</v>
      </c>
      <c r="B4195" t="s">
        <v>463</v>
      </c>
      <c r="C4195" t="s">
        <v>464</v>
      </c>
      <c r="D4195" t="s">
        <v>401</v>
      </c>
      <c r="E4195" t="s">
        <v>407</v>
      </c>
      <c r="F4195">
        <v>3</v>
      </c>
      <c r="G4195" t="s">
        <v>499</v>
      </c>
      <c r="H4195" s="4">
        <v>45377599</v>
      </c>
      <c r="I4195" s="4">
        <v>21250471</v>
      </c>
      <c r="J4195" s="3">
        <v>0.5316968841828762</v>
      </c>
      <c r="K4195" s="3">
        <v>1.1353690937014995</v>
      </c>
      <c r="L4195" t="s">
        <v>377</v>
      </c>
    </row>
    <row r="4196" spans="1:12" x14ac:dyDescent="0.25">
      <c r="A4196" t="s">
        <v>487</v>
      </c>
      <c r="B4196" t="s">
        <v>463</v>
      </c>
      <c r="C4196" t="s">
        <v>464</v>
      </c>
      <c r="D4196" t="s">
        <v>403</v>
      </c>
      <c r="E4196" t="s">
        <v>405</v>
      </c>
      <c r="F4196">
        <v>1</v>
      </c>
      <c r="G4196" t="s">
        <v>488</v>
      </c>
      <c r="H4196" s="4">
        <v>37131430</v>
      </c>
      <c r="I4196" s="4">
        <v>30754380.96608862</v>
      </c>
      <c r="J4196" s="3">
        <v>0.1717426189595009</v>
      </c>
      <c r="K4196" s="3">
        <v>0.20735416658013853</v>
      </c>
      <c r="L4196" t="s">
        <v>377</v>
      </c>
    </row>
    <row r="4197" spans="1:12" x14ac:dyDescent="0.25">
      <c r="A4197" t="s">
        <v>487</v>
      </c>
      <c r="B4197" t="s">
        <v>463</v>
      </c>
      <c r="C4197" t="s">
        <v>464</v>
      </c>
      <c r="D4197" t="s">
        <v>403</v>
      </c>
      <c r="E4197" t="s">
        <v>405</v>
      </c>
      <c r="F4197">
        <v>1</v>
      </c>
      <c r="G4197" t="s">
        <v>498</v>
      </c>
      <c r="H4197" s="4">
        <v>37131430</v>
      </c>
      <c r="I4197" s="4">
        <v>31326442</v>
      </c>
      <c r="J4197" s="3">
        <v>0.15633623590580809</v>
      </c>
      <c r="K4197" s="3">
        <v>0.18530633003262867</v>
      </c>
      <c r="L4197" t="s">
        <v>377</v>
      </c>
    </row>
    <row r="4198" spans="1:12" x14ac:dyDescent="0.25">
      <c r="A4198" t="s">
        <v>487</v>
      </c>
      <c r="B4198" t="s">
        <v>463</v>
      </c>
      <c r="C4198" t="s">
        <v>464</v>
      </c>
      <c r="D4198" t="s">
        <v>403</v>
      </c>
      <c r="E4198" t="s">
        <v>405</v>
      </c>
      <c r="F4198">
        <v>1</v>
      </c>
      <c r="G4198" t="s">
        <v>499</v>
      </c>
      <c r="H4198" s="4">
        <v>37131430</v>
      </c>
      <c r="I4198" s="4">
        <v>21419545</v>
      </c>
      <c r="J4198" s="3">
        <v>0.423142469869865</v>
      </c>
      <c r="K4198" s="3">
        <v>0.7335302874080658</v>
      </c>
      <c r="L4198" t="s">
        <v>377</v>
      </c>
    </row>
    <row r="4199" spans="1:12" x14ac:dyDescent="0.25">
      <c r="A4199" t="s">
        <v>487</v>
      </c>
      <c r="B4199" t="s">
        <v>463</v>
      </c>
      <c r="C4199" t="s">
        <v>464</v>
      </c>
      <c r="D4199" t="s">
        <v>403</v>
      </c>
      <c r="E4199" t="s">
        <v>407</v>
      </c>
      <c r="F4199">
        <v>2</v>
      </c>
      <c r="G4199" t="s">
        <v>488</v>
      </c>
      <c r="H4199" s="4">
        <v>45377599</v>
      </c>
      <c r="I4199" s="4">
        <v>46879328.450483955</v>
      </c>
      <c r="J4199" s="3">
        <v>0.03309407028088805</v>
      </c>
      <c r="K4199" s="3">
        <v>-0.03203393692104931</v>
      </c>
      <c r="L4199" t="s">
        <v>377</v>
      </c>
    </row>
    <row r="4200" spans="1:12" x14ac:dyDescent="0.25">
      <c r="A4200" t="s">
        <v>487</v>
      </c>
      <c r="B4200" t="s">
        <v>463</v>
      </c>
      <c r="C4200" t="s">
        <v>464</v>
      </c>
      <c r="D4200" t="s">
        <v>403</v>
      </c>
      <c r="E4200" t="s">
        <v>407</v>
      </c>
      <c r="F4200">
        <v>2</v>
      </c>
      <c r="G4200" t="s">
        <v>498</v>
      </c>
      <c r="H4200" s="4">
        <v>45377599</v>
      </c>
      <c r="I4200" s="4">
        <v>47751329</v>
      </c>
      <c r="J4200" s="3">
        <v>0.05231061255576788</v>
      </c>
      <c r="K4200" s="3">
        <v>-0.0497102394783609</v>
      </c>
      <c r="L4200" t="s">
        <v>377</v>
      </c>
    </row>
    <row r="4201" spans="1:12" x14ac:dyDescent="0.25">
      <c r="A4201" t="s">
        <v>487</v>
      </c>
      <c r="B4201" t="s">
        <v>463</v>
      </c>
      <c r="C4201" t="s">
        <v>464</v>
      </c>
      <c r="D4201" t="s">
        <v>403</v>
      </c>
      <c r="E4201" t="s">
        <v>407</v>
      </c>
      <c r="F4201">
        <v>2</v>
      </c>
      <c r="G4201" t="s">
        <v>499</v>
      </c>
      <c r="H4201" s="4">
        <v>45377599</v>
      </c>
      <c r="I4201" s="4">
        <v>21419545</v>
      </c>
      <c r="J4201" s="3">
        <v>0.5279709488375531</v>
      </c>
      <c r="K4201" s="3">
        <v>1.1185136752438019</v>
      </c>
      <c r="L4201" t="s">
        <v>377</v>
      </c>
    </row>
    <row r="4202" spans="1:12" x14ac:dyDescent="0.25">
      <c r="A4202" t="s">
        <v>487</v>
      </c>
      <c r="B4202" t="s">
        <v>463</v>
      </c>
      <c r="C4202" t="s">
        <v>464</v>
      </c>
      <c r="D4202" t="s">
        <v>403</v>
      </c>
      <c r="E4202" t="s">
        <v>409</v>
      </c>
      <c r="F4202">
        <v>3</v>
      </c>
      <c r="G4202" t="s">
        <v>488</v>
      </c>
      <c r="H4202" s="4">
        <v>53241305</v>
      </c>
      <c r="I4202" s="4">
        <v>45340403.92520936</v>
      </c>
      <c r="J4202" s="3">
        <v>0.14839796047055273</v>
      </c>
      <c r="K4202" s="3">
        <v>0.1742574037898618</v>
      </c>
      <c r="L4202" t="s">
        <v>377</v>
      </c>
    </row>
    <row r="4203" spans="1:12" x14ac:dyDescent="0.25">
      <c r="A4203" t="s">
        <v>487</v>
      </c>
      <c r="B4203" t="s">
        <v>463</v>
      </c>
      <c r="C4203" t="s">
        <v>464</v>
      </c>
      <c r="D4203" t="s">
        <v>403</v>
      </c>
      <c r="E4203" t="s">
        <v>409</v>
      </c>
      <c r="F4203">
        <v>3</v>
      </c>
      <c r="G4203" t="s">
        <v>498</v>
      </c>
      <c r="H4203" s="4">
        <v>53241305</v>
      </c>
      <c r="I4203" s="4">
        <v>46183779</v>
      </c>
      <c r="J4203" s="3">
        <v>0.13255734434007582</v>
      </c>
      <c r="K4203" s="3">
        <v>0.1528139566058464</v>
      </c>
      <c r="L4203" t="s">
        <v>377</v>
      </c>
    </row>
    <row r="4204" spans="1:12" x14ac:dyDescent="0.25">
      <c r="A4204" t="s">
        <v>487</v>
      </c>
      <c r="B4204" t="s">
        <v>463</v>
      </c>
      <c r="C4204" t="s">
        <v>464</v>
      </c>
      <c r="D4204" t="s">
        <v>403</v>
      </c>
      <c r="E4204" t="s">
        <v>409</v>
      </c>
      <c r="F4204">
        <v>3</v>
      </c>
      <c r="G4204" t="s">
        <v>499</v>
      </c>
      <c r="H4204" s="4">
        <v>53241305</v>
      </c>
      <c r="I4204" s="4">
        <v>21419545</v>
      </c>
      <c r="J4204" s="3">
        <v>0.5976893316195011</v>
      </c>
      <c r="K4204" s="3">
        <v>1.4856412682902462</v>
      </c>
      <c r="L4204" t="s">
        <v>377</v>
      </c>
    </row>
    <row r="4205" spans="1:12" x14ac:dyDescent="0.25">
      <c r="A4205" t="s">
        <v>487</v>
      </c>
      <c r="B4205" t="s">
        <v>463</v>
      </c>
      <c r="C4205" t="s">
        <v>464</v>
      </c>
      <c r="D4205" t="s">
        <v>405</v>
      </c>
      <c r="E4205" t="s">
        <v>407</v>
      </c>
      <c r="F4205">
        <v>1</v>
      </c>
      <c r="G4205" t="s">
        <v>488</v>
      </c>
      <c r="H4205" s="4">
        <v>45377599</v>
      </c>
      <c r="I4205" s="4">
        <v>48526357.377149925</v>
      </c>
      <c r="J4205" s="3">
        <v>0.0693901494689026</v>
      </c>
      <c r="K4205" s="3">
        <v>-0.06488758990660633</v>
      </c>
      <c r="L4205" t="s">
        <v>377</v>
      </c>
    </row>
    <row r="4206" spans="1:12" x14ac:dyDescent="0.25">
      <c r="A4206" t="s">
        <v>487</v>
      </c>
      <c r="B4206" t="s">
        <v>463</v>
      </c>
      <c r="C4206" t="s">
        <v>464</v>
      </c>
      <c r="D4206" t="s">
        <v>405</v>
      </c>
      <c r="E4206" t="s">
        <v>407</v>
      </c>
      <c r="F4206">
        <v>1</v>
      </c>
      <c r="G4206" t="s">
        <v>498</v>
      </c>
      <c r="H4206" s="4">
        <v>45377599</v>
      </c>
      <c r="I4206" s="4">
        <v>47751329</v>
      </c>
      <c r="J4206" s="3">
        <v>0.05231061255576788</v>
      </c>
      <c r="K4206" s="3">
        <v>-0.0497102394783609</v>
      </c>
      <c r="L4206" t="s">
        <v>377</v>
      </c>
    </row>
    <row r="4207" spans="1:12" x14ac:dyDescent="0.25">
      <c r="A4207" t="s">
        <v>487</v>
      </c>
      <c r="B4207" t="s">
        <v>463</v>
      </c>
      <c r="C4207" t="s">
        <v>464</v>
      </c>
      <c r="D4207" t="s">
        <v>405</v>
      </c>
      <c r="E4207" t="s">
        <v>407</v>
      </c>
      <c r="F4207">
        <v>1</v>
      </c>
      <c r="G4207" t="s">
        <v>499</v>
      </c>
      <c r="H4207" s="4">
        <v>45377599</v>
      </c>
      <c r="I4207" s="4">
        <v>37131430</v>
      </c>
      <c r="J4207" s="3">
        <v>0.18172334327340678</v>
      </c>
      <c r="K4207" s="3">
        <v>0.22208056624805456</v>
      </c>
      <c r="L4207" t="s">
        <v>377</v>
      </c>
    </row>
    <row r="4208" spans="1:12" x14ac:dyDescent="0.25">
      <c r="A4208" t="s">
        <v>487</v>
      </c>
      <c r="B4208" t="s">
        <v>463</v>
      </c>
      <c r="C4208" t="s">
        <v>464</v>
      </c>
      <c r="D4208" t="s">
        <v>405</v>
      </c>
      <c r="E4208" t="s">
        <v>409</v>
      </c>
      <c r="F4208">
        <v>2</v>
      </c>
      <c r="G4208" t="s">
        <v>488</v>
      </c>
      <c r="H4208" s="4">
        <v>53241305</v>
      </c>
      <c r="I4208" s="4">
        <v>46933365.24269956</v>
      </c>
      <c r="J4208" s="3">
        <v>0.11847830847310066</v>
      </c>
      <c r="K4208" s="3">
        <v>0.13440203413245824</v>
      </c>
      <c r="L4208" t="s">
        <v>377</v>
      </c>
    </row>
    <row r="4209" spans="1:12" x14ac:dyDescent="0.25">
      <c r="A4209" t="s">
        <v>487</v>
      </c>
      <c r="B4209" t="s">
        <v>463</v>
      </c>
      <c r="C4209" t="s">
        <v>464</v>
      </c>
      <c r="D4209" t="s">
        <v>405</v>
      </c>
      <c r="E4209" t="s">
        <v>409</v>
      </c>
      <c r="F4209">
        <v>2</v>
      </c>
      <c r="G4209" t="s">
        <v>498</v>
      </c>
      <c r="H4209" s="4">
        <v>53241305</v>
      </c>
      <c r="I4209" s="4">
        <v>46183779</v>
      </c>
      <c r="J4209" s="3">
        <v>0.13255734434007582</v>
      </c>
      <c r="K4209" s="3">
        <v>0.1528139566058464</v>
      </c>
      <c r="L4209" t="s">
        <v>377</v>
      </c>
    </row>
    <row r="4210" spans="1:12" x14ac:dyDescent="0.25">
      <c r="A4210" t="s">
        <v>487</v>
      </c>
      <c r="B4210" t="s">
        <v>463</v>
      </c>
      <c r="C4210" t="s">
        <v>464</v>
      </c>
      <c r="D4210" t="s">
        <v>405</v>
      </c>
      <c r="E4210" t="s">
        <v>409</v>
      </c>
      <c r="F4210">
        <v>2</v>
      </c>
      <c r="G4210" t="s">
        <v>499</v>
      </c>
      <c r="H4210" s="4">
        <v>53241305</v>
      </c>
      <c r="I4210" s="4">
        <v>37131430</v>
      </c>
      <c r="J4210" s="3">
        <v>0.3025822714150226</v>
      </c>
      <c r="K4210" s="3">
        <v>0.4338608828154477</v>
      </c>
      <c r="L4210" t="s">
        <v>377</v>
      </c>
    </row>
    <row r="4211" spans="1:12" x14ac:dyDescent="0.25">
      <c r="A4211" t="s">
        <v>487</v>
      </c>
      <c r="B4211" t="s">
        <v>463</v>
      </c>
      <c r="C4211" t="s">
        <v>464</v>
      </c>
      <c r="D4211" t="s">
        <v>405</v>
      </c>
      <c r="E4211" t="s">
        <v>411</v>
      </c>
      <c r="F4211">
        <v>3</v>
      </c>
      <c r="G4211" t="s">
        <v>488</v>
      </c>
      <c r="H4211" s="4">
        <v>50359719</v>
      </c>
      <c r="I4211" s="4">
        <v>44226476.74990411</v>
      </c>
      <c r="J4211" s="3">
        <v>0.12178865116574397</v>
      </c>
      <c r="K4211" s="3">
        <v>0.13867806573828395</v>
      </c>
      <c r="L4211" t="s">
        <v>377</v>
      </c>
    </row>
    <row r="4212" spans="1:12" x14ac:dyDescent="0.25">
      <c r="A4212" t="s">
        <v>487</v>
      </c>
      <c r="B4212" t="s">
        <v>463</v>
      </c>
      <c r="C4212" t="s">
        <v>464</v>
      </c>
      <c r="D4212" t="s">
        <v>405</v>
      </c>
      <c r="E4212" t="s">
        <v>411</v>
      </c>
      <c r="F4212">
        <v>3</v>
      </c>
      <c r="G4212" t="s">
        <v>498</v>
      </c>
      <c r="H4212" s="4">
        <v>50359719</v>
      </c>
      <c r="I4212" s="4">
        <v>43520123</v>
      </c>
      <c r="J4212" s="3">
        <v>0.1358148165997511</v>
      </c>
      <c r="K4212" s="3">
        <v>0.15715939038131854</v>
      </c>
      <c r="L4212" t="s">
        <v>377</v>
      </c>
    </row>
    <row r="4213" spans="1:12" x14ac:dyDescent="0.25">
      <c r="A4213" t="s">
        <v>487</v>
      </c>
      <c r="B4213" t="s">
        <v>463</v>
      </c>
      <c r="C4213" t="s">
        <v>464</v>
      </c>
      <c r="D4213" t="s">
        <v>405</v>
      </c>
      <c r="E4213" t="s">
        <v>411</v>
      </c>
      <c r="F4213">
        <v>3</v>
      </c>
      <c r="G4213" t="s">
        <v>499</v>
      </c>
      <c r="H4213" s="4">
        <v>50359719</v>
      </c>
      <c r="I4213" s="4">
        <v>37131430</v>
      </c>
      <c r="J4213" s="3">
        <v>0.26267598911741347</v>
      </c>
      <c r="K4213" s="3">
        <v>0.35625584578886405</v>
      </c>
      <c r="L4213" t="s">
        <v>377</v>
      </c>
    </row>
    <row r="4214" spans="1:12" x14ac:dyDescent="0.25">
      <c r="A4214" t="s">
        <v>487</v>
      </c>
      <c r="B4214" t="s">
        <v>463</v>
      </c>
      <c r="C4214" t="s">
        <v>464</v>
      </c>
      <c r="D4214" t="s">
        <v>407</v>
      </c>
      <c r="E4214" t="s">
        <v>409</v>
      </c>
      <c r="F4214">
        <v>1</v>
      </c>
      <c r="G4214" t="s">
        <v>488</v>
      </c>
      <c r="H4214" s="4">
        <v>53241305</v>
      </c>
      <c r="I4214" s="4">
        <v>46384595.70439511</v>
      </c>
      <c r="J4214" s="3">
        <v>0.12878552273662136</v>
      </c>
      <c r="K4214" s="3">
        <v>0.14782298285625015</v>
      </c>
      <c r="L4214" t="s">
        <v>377</v>
      </c>
    </row>
    <row r="4215" spans="1:12" x14ac:dyDescent="0.25">
      <c r="A4215" t="s">
        <v>487</v>
      </c>
      <c r="B4215" t="s">
        <v>463</v>
      </c>
      <c r="C4215" t="s">
        <v>464</v>
      </c>
      <c r="D4215" t="s">
        <v>407</v>
      </c>
      <c r="E4215" t="s">
        <v>409</v>
      </c>
      <c r="F4215">
        <v>1</v>
      </c>
      <c r="G4215" t="s">
        <v>498</v>
      </c>
      <c r="H4215" s="4">
        <v>53241305</v>
      </c>
      <c r="I4215" s="4">
        <v>46183779</v>
      </c>
      <c r="J4215" s="3">
        <v>0.13255734434007582</v>
      </c>
      <c r="K4215" s="3">
        <v>0.1528139566058464</v>
      </c>
      <c r="L4215" t="s">
        <v>377</v>
      </c>
    </row>
    <row r="4216" spans="1:12" x14ac:dyDescent="0.25">
      <c r="A4216" t="s">
        <v>487</v>
      </c>
      <c r="B4216" t="s">
        <v>463</v>
      </c>
      <c r="C4216" t="s">
        <v>464</v>
      </c>
      <c r="D4216" t="s">
        <v>407</v>
      </c>
      <c r="E4216" t="s">
        <v>409</v>
      </c>
      <c r="F4216">
        <v>1</v>
      </c>
      <c r="G4216" t="s">
        <v>499</v>
      </c>
      <c r="H4216" s="4">
        <v>53241305</v>
      </c>
      <c r="I4216" s="4">
        <v>45377599</v>
      </c>
      <c r="J4216" s="3">
        <v>0.14769934733943882</v>
      </c>
      <c r="K4216" s="3">
        <v>0.17329488940126603</v>
      </c>
      <c r="L4216" t="s">
        <v>377</v>
      </c>
    </row>
    <row r="4217" spans="1:12" x14ac:dyDescent="0.25">
      <c r="A4217" t="s">
        <v>487</v>
      </c>
      <c r="B4217" t="s">
        <v>463</v>
      </c>
      <c r="C4217" t="s">
        <v>464</v>
      </c>
      <c r="D4217" t="s">
        <v>407</v>
      </c>
      <c r="E4217" t="s">
        <v>411</v>
      </c>
      <c r="F4217">
        <v>2</v>
      </c>
      <c r="G4217" t="s">
        <v>488</v>
      </c>
      <c r="H4217" s="4">
        <v>50359719</v>
      </c>
      <c r="I4217" s="4">
        <v>43709357.57250499</v>
      </c>
      <c r="J4217" s="3">
        <v>0.13205715916514565</v>
      </c>
      <c r="K4217" s="3">
        <v>0.15214960358233143</v>
      </c>
      <c r="L4217" t="s">
        <v>377</v>
      </c>
    </row>
    <row r="4218" spans="1:12" x14ac:dyDescent="0.25">
      <c r="A4218" t="s">
        <v>487</v>
      </c>
      <c r="B4218" t="s">
        <v>463</v>
      </c>
      <c r="C4218" t="s">
        <v>464</v>
      </c>
      <c r="D4218" t="s">
        <v>407</v>
      </c>
      <c r="E4218" t="s">
        <v>411</v>
      </c>
      <c r="F4218">
        <v>2</v>
      </c>
      <c r="G4218" t="s">
        <v>498</v>
      </c>
      <c r="H4218" s="4">
        <v>50359719</v>
      </c>
      <c r="I4218" s="4">
        <v>43520123</v>
      </c>
      <c r="J4218" s="3">
        <v>0.1358148165997511</v>
      </c>
      <c r="K4218" s="3">
        <v>0.15715939038131854</v>
      </c>
      <c r="L4218" t="s">
        <v>377</v>
      </c>
    </row>
    <row r="4219" spans="1:12" x14ac:dyDescent="0.25">
      <c r="A4219" t="s">
        <v>487</v>
      </c>
      <c r="B4219" t="s">
        <v>463</v>
      </c>
      <c r="C4219" t="s">
        <v>464</v>
      </c>
      <c r="D4219" t="s">
        <v>407</v>
      </c>
      <c r="E4219" t="s">
        <v>411</v>
      </c>
      <c r="F4219">
        <v>2</v>
      </c>
      <c r="G4219" t="s">
        <v>499</v>
      </c>
      <c r="H4219" s="4">
        <v>50359719</v>
      </c>
      <c r="I4219" s="4">
        <v>45377599</v>
      </c>
      <c r="J4219" s="3">
        <v>0.09893065527232191</v>
      </c>
      <c r="K4219" s="3">
        <v>0.10979249915800966</v>
      </c>
      <c r="L4219" t="s">
        <v>377</v>
      </c>
    </row>
    <row r="4220" spans="1:12" x14ac:dyDescent="0.25">
      <c r="A4220" t="s">
        <v>487</v>
      </c>
      <c r="B4220" t="s">
        <v>463</v>
      </c>
      <c r="C4220" t="s">
        <v>464</v>
      </c>
      <c r="D4220" t="s">
        <v>407</v>
      </c>
      <c r="E4220" t="s">
        <v>413</v>
      </c>
      <c r="F4220">
        <v>3</v>
      </c>
      <c r="G4220" t="s">
        <v>488</v>
      </c>
      <c r="H4220" s="4">
        <v>37105983</v>
      </c>
      <c r="I4220" s="4">
        <v>40582120.564126275</v>
      </c>
      <c r="J4220" s="3">
        <v>0.0936813226084396</v>
      </c>
      <c r="K4220" s="3">
        <v>-0.08565687341629719</v>
      </c>
      <c r="L4220" t="s">
        <v>377</v>
      </c>
    </row>
    <row r="4221" spans="1:12" x14ac:dyDescent="0.25">
      <c r="A4221" t="s">
        <v>487</v>
      </c>
      <c r="B4221" t="s">
        <v>463</v>
      </c>
      <c r="C4221" t="s">
        <v>464</v>
      </c>
      <c r="D4221" t="s">
        <v>407</v>
      </c>
      <c r="E4221" t="s">
        <v>413</v>
      </c>
      <c r="F4221">
        <v>3</v>
      </c>
      <c r="G4221" t="s">
        <v>498</v>
      </c>
      <c r="H4221" s="4">
        <v>37105983</v>
      </c>
      <c r="I4221" s="4">
        <v>40406425</v>
      </c>
      <c r="J4221" s="3">
        <v>0.08894635671018337</v>
      </c>
      <c r="K4221" s="3">
        <v>-0.08168111878247086</v>
      </c>
      <c r="L4221" t="s">
        <v>377</v>
      </c>
    </row>
    <row r="4222" spans="1:12" x14ac:dyDescent="0.25">
      <c r="A4222" t="s">
        <v>487</v>
      </c>
      <c r="B4222" t="s">
        <v>463</v>
      </c>
      <c r="C4222" t="s">
        <v>464</v>
      </c>
      <c r="D4222" t="s">
        <v>407</v>
      </c>
      <c r="E4222" t="s">
        <v>413</v>
      </c>
      <c r="F4222">
        <v>3</v>
      </c>
      <c r="G4222" t="s">
        <v>499</v>
      </c>
      <c r="H4222" s="4">
        <v>37105983</v>
      </c>
      <c r="I4222" s="4">
        <v>45377599</v>
      </c>
      <c r="J4222" s="3">
        <v>0.22291865977516348</v>
      </c>
      <c r="K4222" s="3">
        <v>-0.18228412657972495</v>
      </c>
      <c r="L4222" t="s">
        <v>377</v>
      </c>
    </row>
    <row r="4223" spans="1:12" x14ac:dyDescent="0.25">
      <c r="A4223" t="s">
        <v>487</v>
      </c>
      <c r="B4223" t="s">
        <v>463</v>
      </c>
      <c r="C4223" t="s">
        <v>464</v>
      </c>
      <c r="D4223" t="s">
        <v>409</v>
      </c>
      <c r="E4223" t="s">
        <v>411</v>
      </c>
      <c r="F4223">
        <v>1</v>
      </c>
      <c r="G4223" t="s">
        <v>488</v>
      </c>
      <c r="H4223" s="4">
        <v>50359719</v>
      </c>
      <c r="I4223" s="4">
        <v>44080695.53183809</v>
      </c>
      <c r="J4223" s="3">
        <v>0.1246834492496257</v>
      </c>
      <c r="K4223" s="3">
        <v>0.14244383833795843</v>
      </c>
      <c r="L4223" t="s">
        <v>377</v>
      </c>
    </row>
    <row r="4224" spans="1:12" x14ac:dyDescent="0.25">
      <c r="A4224" t="s">
        <v>487</v>
      </c>
      <c r="B4224" t="s">
        <v>463</v>
      </c>
      <c r="C4224" t="s">
        <v>464</v>
      </c>
      <c r="D4224" t="s">
        <v>409</v>
      </c>
      <c r="E4224" t="s">
        <v>411</v>
      </c>
      <c r="F4224">
        <v>1</v>
      </c>
      <c r="G4224" t="s">
        <v>498</v>
      </c>
      <c r="H4224" s="4">
        <v>50359719</v>
      </c>
      <c r="I4224" s="4">
        <v>43520123</v>
      </c>
      <c r="J4224" s="3">
        <v>0.1358148165997511</v>
      </c>
      <c r="K4224" s="3">
        <v>0.15715939038131854</v>
      </c>
      <c r="L4224" t="s">
        <v>377</v>
      </c>
    </row>
    <row r="4225" spans="1:12" x14ac:dyDescent="0.25">
      <c r="A4225" t="s">
        <v>487</v>
      </c>
      <c r="B4225" t="s">
        <v>463</v>
      </c>
      <c r="C4225" t="s">
        <v>464</v>
      </c>
      <c r="D4225" t="s">
        <v>409</v>
      </c>
      <c r="E4225" t="s">
        <v>411</v>
      </c>
      <c r="F4225">
        <v>1</v>
      </c>
      <c r="G4225" t="s">
        <v>499</v>
      </c>
      <c r="H4225" s="4">
        <v>50359719</v>
      </c>
      <c r="I4225" s="4">
        <v>53241305</v>
      </c>
      <c r="J4225" s="3">
        <v>0.057220057165132315</v>
      </c>
      <c r="K4225" s="3">
        <v>-0.054123128649833055</v>
      </c>
      <c r="L4225" t="s">
        <v>377</v>
      </c>
    </row>
    <row r="4226" spans="1:12" x14ac:dyDescent="0.25">
      <c r="A4226" t="s">
        <v>487</v>
      </c>
      <c r="B4226" t="s">
        <v>463</v>
      </c>
      <c r="C4226" t="s">
        <v>464</v>
      </c>
      <c r="D4226" t="s">
        <v>409</v>
      </c>
      <c r="E4226" t="s">
        <v>413</v>
      </c>
      <c r="F4226">
        <v>2</v>
      </c>
      <c r="G4226" t="s">
        <v>488</v>
      </c>
      <c r="H4226" s="4">
        <v>37105983</v>
      </c>
      <c r="I4226" s="4">
        <v>40926890.71570526</v>
      </c>
      <c r="J4226" s="3">
        <v>0.10297282019735902</v>
      </c>
      <c r="K4226" s="3">
        <v>-0.09335934513684001</v>
      </c>
      <c r="L4226" t="s">
        <v>377</v>
      </c>
    </row>
    <row r="4227" spans="1:12" x14ac:dyDescent="0.25">
      <c r="A4227" t="s">
        <v>487</v>
      </c>
      <c r="B4227" t="s">
        <v>463</v>
      </c>
      <c r="C4227" t="s">
        <v>464</v>
      </c>
      <c r="D4227" t="s">
        <v>409</v>
      </c>
      <c r="E4227" t="s">
        <v>413</v>
      </c>
      <c r="F4227">
        <v>2</v>
      </c>
      <c r="G4227" t="s">
        <v>498</v>
      </c>
      <c r="H4227" s="4">
        <v>37105983</v>
      </c>
      <c r="I4227" s="4">
        <v>40406425</v>
      </c>
      <c r="J4227" s="3">
        <v>0.08894635671018337</v>
      </c>
      <c r="K4227" s="3">
        <v>-0.08168111878247086</v>
      </c>
      <c r="L4227" t="s">
        <v>377</v>
      </c>
    </row>
    <row r="4228" spans="1:12" x14ac:dyDescent="0.25">
      <c r="A4228" t="s">
        <v>487</v>
      </c>
      <c r="B4228" t="s">
        <v>463</v>
      </c>
      <c r="C4228" t="s">
        <v>464</v>
      </c>
      <c r="D4228" t="s">
        <v>409</v>
      </c>
      <c r="E4228" t="s">
        <v>413</v>
      </c>
      <c r="F4228">
        <v>2</v>
      </c>
      <c r="G4228" t="s">
        <v>499</v>
      </c>
      <c r="H4228" s="4">
        <v>37105983</v>
      </c>
      <c r="I4228" s="4">
        <v>53241305</v>
      </c>
      <c r="J4228" s="3">
        <v>0.4348442136676449</v>
      </c>
      <c r="K4228" s="3">
        <v>-0.3030602273929987</v>
      </c>
      <c r="L4228" t="s">
        <v>377</v>
      </c>
    </row>
    <row r="4229" spans="1:12" x14ac:dyDescent="0.25">
      <c r="A4229" t="s">
        <v>487</v>
      </c>
      <c r="B4229" t="s">
        <v>463</v>
      </c>
      <c r="C4229" t="s">
        <v>464</v>
      </c>
      <c r="D4229" t="s">
        <v>409</v>
      </c>
      <c r="E4229" t="s">
        <v>415</v>
      </c>
      <c r="F4229">
        <v>3</v>
      </c>
      <c r="G4229" t="s">
        <v>488</v>
      </c>
      <c r="H4229" s="4">
        <v>33465944</v>
      </c>
      <c r="I4229" s="4">
        <v>31253755.826497603</v>
      </c>
      <c r="J4229" s="3">
        <v>0.06610266764034496</v>
      </c>
      <c r="K4229" s="3">
        <v>0.07078151457326151</v>
      </c>
      <c r="L4229" t="s">
        <v>377</v>
      </c>
    </row>
    <row r="4230" spans="1:12" x14ac:dyDescent="0.25">
      <c r="A4230" t="s">
        <v>487</v>
      </c>
      <c r="B4230" t="s">
        <v>463</v>
      </c>
      <c r="C4230" t="s">
        <v>464</v>
      </c>
      <c r="D4230" t="s">
        <v>409</v>
      </c>
      <c r="E4230" t="s">
        <v>415</v>
      </c>
      <c r="F4230">
        <v>3</v>
      </c>
      <c r="G4230" t="s">
        <v>498</v>
      </c>
      <c r="H4230" s="4">
        <v>33465944</v>
      </c>
      <c r="I4230" s="4">
        <v>30856303</v>
      </c>
      <c r="J4230" s="3">
        <v>0.0779790045665528</v>
      </c>
      <c r="K4230" s="3">
        <v>0.08457400097477653</v>
      </c>
      <c r="L4230" t="s">
        <v>377</v>
      </c>
    </row>
    <row r="4231" spans="1:12" x14ac:dyDescent="0.25">
      <c r="A4231" t="s">
        <v>487</v>
      </c>
      <c r="B4231" t="s">
        <v>463</v>
      </c>
      <c r="C4231" t="s">
        <v>464</v>
      </c>
      <c r="D4231" t="s">
        <v>409</v>
      </c>
      <c r="E4231" t="s">
        <v>415</v>
      </c>
      <c r="F4231">
        <v>3</v>
      </c>
      <c r="G4231" t="s">
        <v>499</v>
      </c>
      <c r="H4231" s="4">
        <v>33465944</v>
      </c>
      <c r="I4231" s="4">
        <v>53241305</v>
      </c>
      <c r="J4231" s="3">
        <v>0.5909100009251196</v>
      </c>
      <c r="K4231" s="3">
        <v>-0.37142893097755586</v>
      </c>
      <c r="L4231" t="s">
        <v>377</v>
      </c>
    </row>
    <row r="4232" spans="1:12" x14ac:dyDescent="0.25">
      <c r="A4232" t="s">
        <v>487</v>
      </c>
      <c r="B4232" t="s">
        <v>463</v>
      </c>
      <c r="C4232" t="s">
        <v>464</v>
      </c>
      <c r="D4232" t="s">
        <v>411</v>
      </c>
      <c r="E4232" t="s">
        <v>413</v>
      </c>
      <c r="F4232">
        <v>1</v>
      </c>
      <c r="G4232" t="s">
        <v>488</v>
      </c>
      <c r="H4232" s="4">
        <v>37105983</v>
      </c>
      <c r="I4232" s="4">
        <v>41326706.98538439</v>
      </c>
      <c r="J4232" s="3">
        <v>0.11374780140939508</v>
      </c>
      <c r="K4232" s="3">
        <v>-0.10213066303291699</v>
      </c>
      <c r="L4232" t="s">
        <v>377</v>
      </c>
    </row>
    <row r="4233" spans="1:12" x14ac:dyDescent="0.25">
      <c r="A4233" t="s">
        <v>487</v>
      </c>
      <c r="B4233" t="s">
        <v>463</v>
      </c>
      <c r="C4233" t="s">
        <v>464</v>
      </c>
      <c r="D4233" t="s">
        <v>411</v>
      </c>
      <c r="E4233" t="s">
        <v>413</v>
      </c>
      <c r="F4233">
        <v>1</v>
      </c>
      <c r="G4233" t="s">
        <v>498</v>
      </c>
      <c r="H4233" s="4">
        <v>37105983</v>
      </c>
      <c r="I4233" s="4">
        <v>40406425</v>
      </c>
      <c r="J4233" s="3">
        <v>0.08894635671018337</v>
      </c>
      <c r="K4233" s="3">
        <v>-0.08168111878247086</v>
      </c>
      <c r="L4233" t="s">
        <v>377</v>
      </c>
    </row>
    <row r="4234" spans="1:12" x14ac:dyDescent="0.25">
      <c r="A4234" t="s">
        <v>487</v>
      </c>
      <c r="B4234" t="s">
        <v>463</v>
      </c>
      <c r="C4234" t="s">
        <v>464</v>
      </c>
      <c r="D4234" t="s">
        <v>411</v>
      </c>
      <c r="E4234" t="s">
        <v>413</v>
      </c>
      <c r="F4234">
        <v>1</v>
      </c>
      <c r="G4234" t="s">
        <v>499</v>
      </c>
      <c r="H4234" s="4">
        <v>37105983</v>
      </c>
      <c r="I4234" s="4">
        <v>50359719</v>
      </c>
      <c r="J4234" s="3">
        <v>0.35718595569884243</v>
      </c>
      <c r="K4234" s="3">
        <v>-0.2631812937637718</v>
      </c>
      <c r="L4234" t="s">
        <v>377</v>
      </c>
    </row>
    <row r="4235" spans="1:12" x14ac:dyDescent="0.25">
      <c r="A4235" t="s">
        <v>487</v>
      </c>
      <c r="B4235" t="s">
        <v>463</v>
      </c>
      <c r="C4235" t="s">
        <v>464</v>
      </c>
      <c r="D4235" t="s">
        <v>411</v>
      </c>
      <c r="E4235" t="s">
        <v>415</v>
      </c>
      <c r="F4235">
        <v>2</v>
      </c>
      <c r="G4235" t="s">
        <v>488</v>
      </c>
      <c r="H4235" s="4">
        <v>33465944</v>
      </c>
      <c r="I4235" s="4">
        <v>31559074.89299628</v>
      </c>
      <c r="J4235" s="3">
        <v>0.05697939095946968</v>
      </c>
      <c r="K4235" s="3">
        <v>0.06042221178754827</v>
      </c>
      <c r="L4235" t="s">
        <v>377</v>
      </c>
    </row>
    <row r="4236" spans="1:12" x14ac:dyDescent="0.25">
      <c r="A4236" t="s">
        <v>487</v>
      </c>
      <c r="B4236" t="s">
        <v>463</v>
      </c>
      <c r="C4236" t="s">
        <v>464</v>
      </c>
      <c r="D4236" t="s">
        <v>411</v>
      </c>
      <c r="E4236" t="s">
        <v>415</v>
      </c>
      <c r="F4236">
        <v>2</v>
      </c>
      <c r="G4236" t="s">
        <v>498</v>
      </c>
      <c r="H4236" s="4">
        <v>33465944</v>
      </c>
      <c r="I4236" s="4">
        <v>30856303</v>
      </c>
      <c r="J4236" s="3">
        <v>0.0779790045665528</v>
      </c>
      <c r="K4236" s="3">
        <v>0.08457400097477653</v>
      </c>
      <c r="L4236" t="s">
        <v>377</v>
      </c>
    </row>
    <row r="4237" spans="1:12" x14ac:dyDescent="0.25">
      <c r="A4237" t="s">
        <v>487</v>
      </c>
      <c r="B4237" t="s">
        <v>463</v>
      </c>
      <c r="C4237" t="s">
        <v>464</v>
      </c>
      <c r="D4237" t="s">
        <v>411</v>
      </c>
      <c r="E4237" t="s">
        <v>415</v>
      </c>
      <c r="F4237">
        <v>2</v>
      </c>
      <c r="G4237" t="s">
        <v>499</v>
      </c>
      <c r="H4237" s="4">
        <v>33465944</v>
      </c>
      <c r="I4237" s="4">
        <v>50359719</v>
      </c>
      <c r="J4237" s="3">
        <v>0.5048049742747434</v>
      </c>
      <c r="K4237" s="3">
        <v>-0.3354620584757433</v>
      </c>
      <c r="L4237" t="s">
        <v>377</v>
      </c>
    </row>
    <row r="4238" spans="1:12" x14ac:dyDescent="0.25">
      <c r="A4238" t="s">
        <v>487</v>
      </c>
      <c r="B4238" t="s">
        <v>463</v>
      </c>
      <c r="C4238" t="s">
        <v>464</v>
      </c>
      <c r="D4238" t="s">
        <v>411</v>
      </c>
      <c r="E4238" t="s">
        <v>417</v>
      </c>
      <c r="F4238">
        <v>3</v>
      </c>
      <c r="G4238" t="s">
        <v>488</v>
      </c>
      <c r="H4238" s="4">
        <v>37374651</v>
      </c>
      <c r="I4238" s="4">
        <v>36968020.770095885</v>
      </c>
      <c r="J4238" s="3">
        <v>0.010879840186443886</v>
      </c>
      <c r="K4238" s="3">
        <v>0.010999513131442673</v>
      </c>
      <c r="L4238" t="s">
        <v>377</v>
      </c>
    </row>
    <row r="4239" spans="1:12" x14ac:dyDescent="0.25">
      <c r="A4239" t="s">
        <v>487</v>
      </c>
      <c r="B4239" t="s">
        <v>463</v>
      </c>
      <c r="C4239" t="s">
        <v>464</v>
      </c>
      <c r="D4239" t="s">
        <v>411</v>
      </c>
      <c r="E4239" t="s">
        <v>417</v>
      </c>
      <c r="F4239">
        <v>3</v>
      </c>
      <c r="G4239" t="s">
        <v>498</v>
      </c>
      <c r="H4239" s="4">
        <v>37374651</v>
      </c>
      <c r="I4239" s="4">
        <v>36144800</v>
      </c>
      <c r="J4239" s="3">
        <v>0.03290601964417005</v>
      </c>
      <c r="K4239" s="3">
        <v>0.03402566897589695</v>
      </c>
      <c r="L4239" t="s">
        <v>377</v>
      </c>
    </row>
    <row r="4240" spans="1:12" x14ac:dyDescent="0.25">
      <c r="A4240" t="s">
        <v>487</v>
      </c>
      <c r="B4240" t="s">
        <v>463</v>
      </c>
      <c r="C4240" t="s">
        <v>464</v>
      </c>
      <c r="D4240" t="s">
        <v>411</v>
      </c>
      <c r="E4240" t="s">
        <v>417</v>
      </c>
      <c r="F4240">
        <v>3</v>
      </c>
      <c r="G4240" t="s">
        <v>499</v>
      </c>
      <c r="H4240" s="4">
        <v>37374651</v>
      </c>
      <c r="I4240" s="4">
        <v>50359719</v>
      </c>
      <c r="J4240" s="3">
        <v>0.3474298127894224</v>
      </c>
      <c r="K4240" s="3">
        <v>-0.25784631562380245</v>
      </c>
      <c r="L4240" t="s">
        <v>377</v>
      </c>
    </row>
    <row r="4241" spans="1:12" x14ac:dyDescent="0.25">
      <c r="A4241" t="s">
        <v>487</v>
      </c>
      <c r="B4241" t="s">
        <v>463</v>
      </c>
      <c r="C4241" t="s">
        <v>464</v>
      </c>
      <c r="D4241" t="s">
        <v>413</v>
      </c>
      <c r="E4241" t="s">
        <v>415</v>
      </c>
      <c r="F4241">
        <v>1</v>
      </c>
      <c r="G4241" t="s">
        <v>488</v>
      </c>
      <c r="H4241" s="4">
        <v>33465944</v>
      </c>
      <c r="I4241" s="4">
        <v>31081116.54124939</v>
      </c>
      <c r="J4241" s="3">
        <v>0.0712613234143525</v>
      </c>
      <c r="K4241" s="3">
        <v>0.07672914374184656</v>
      </c>
      <c r="L4241" t="s">
        <v>377</v>
      </c>
    </row>
    <row r="4242" spans="1:12" x14ac:dyDescent="0.25">
      <c r="A4242" t="s">
        <v>487</v>
      </c>
      <c r="B4242" t="s">
        <v>463</v>
      </c>
      <c r="C4242" t="s">
        <v>464</v>
      </c>
      <c r="D4242" t="s">
        <v>413</v>
      </c>
      <c r="E4242" t="s">
        <v>415</v>
      </c>
      <c r="F4242">
        <v>1</v>
      </c>
      <c r="G4242" t="s">
        <v>498</v>
      </c>
      <c r="H4242" s="4">
        <v>33465944</v>
      </c>
      <c r="I4242" s="4">
        <v>30856303</v>
      </c>
      <c r="J4242" s="3">
        <v>0.0779790045665528</v>
      </c>
      <c r="K4242" s="3">
        <v>0.08457400097477653</v>
      </c>
      <c r="L4242" t="s">
        <v>377</v>
      </c>
    </row>
    <row r="4243" spans="1:12" x14ac:dyDescent="0.25">
      <c r="A4243" t="s">
        <v>487</v>
      </c>
      <c r="B4243" t="s">
        <v>463</v>
      </c>
      <c r="C4243" t="s">
        <v>464</v>
      </c>
      <c r="D4243" t="s">
        <v>413</v>
      </c>
      <c r="E4243" t="s">
        <v>415</v>
      </c>
      <c r="F4243">
        <v>1</v>
      </c>
      <c r="G4243" t="s">
        <v>499</v>
      </c>
      <c r="H4243" s="4">
        <v>33465944</v>
      </c>
      <c r="I4243" s="4">
        <v>37105983</v>
      </c>
      <c r="J4243" s="3">
        <v>0.10876845428295703</v>
      </c>
      <c r="K4243" s="3">
        <v>-0.09809843873426019</v>
      </c>
      <c r="L4243" t="s">
        <v>377</v>
      </c>
    </row>
    <row r="4244" spans="1:12" x14ac:dyDescent="0.25">
      <c r="A4244" t="s">
        <v>487</v>
      </c>
      <c r="B4244" t="s">
        <v>463</v>
      </c>
      <c r="C4244" t="s">
        <v>464</v>
      </c>
      <c r="D4244" t="s">
        <v>413</v>
      </c>
      <c r="E4244" t="s">
        <v>417</v>
      </c>
      <c r="F4244">
        <v>2</v>
      </c>
      <c r="G4244" t="s">
        <v>488</v>
      </c>
      <c r="H4244" s="4">
        <v>37374651</v>
      </c>
      <c r="I4244" s="4">
        <v>36408144.59075512</v>
      </c>
      <c r="J4244" s="3">
        <v>0.025859944732189742</v>
      </c>
      <c r="K4244" s="3">
        <v>0.026546434049547766</v>
      </c>
      <c r="L4244" t="s">
        <v>377</v>
      </c>
    </row>
    <row r="4245" spans="1:12" x14ac:dyDescent="0.25">
      <c r="A4245" t="s">
        <v>487</v>
      </c>
      <c r="B4245" t="s">
        <v>463</v>
      </c>
      <c r="C4245" t="s">
        <v>464</v>
      </c>
      <c r="D4245" t="s">
        <v>413</v>
      </c>
      <c r="E4245" t="s">
        <v>417</v>
      </c>
      <c r="F4245">
        <v>2</v>
      </c>
      <c r="G4245" t="s">
        <v>498</v>
      </c>
      <c r="H4245" s="4">
        <v>37374651</v>
      </c>
      <c r="I4245" s="4">
        <v>36144800</v>
      </c>
      <c r="J4245" s="3">
        <v>0.03290601964417005</v>
      </c>
      <c r="K4245" s="3">
        <v>0.03402566897589695</v>
      </c>
      <c r="L4245" t="s">
        <v>377</v>
      </c>
    </row>
    <row r="4246" spans="1:12" x14ac:dyDescent="0.25">
      <c r="A4246" t="s">
        <v>487</v>
      </c>
      <c r="B4246" t="s">
        <v>463</v>
      </c>
      <c r="C4246" t="s">
        <v>464</v>
      </c>
      <c r="D4246" t="s">
        <v>413</v>
      </c>
      <c r="E4246" t="s">
        <v>417</v>
      </c>
      <c r="F4246">
        <v>2</v>
      </c>
      <c r="G4246" t="s">
        <v>499</v>
      </c>
      <c r="H4246" s="4">
        <v>37374651</v>
      </c>
      <c r="I4246" s="4">
        <v>37105983</v>
      </c>
      <c r="J4246" s="3">
        <v>0.007188508596374586</v>
      </c>
      <c r="K4246" s="3">
        <v>0.007240557405526758</v>
      </c>
      <c r="L4246" t="s">
        <v>377</v>
      </c>
    </row>
    <row r="4247" spans="1:12" x14ac:dyDescent="0.25">
      <c r="A4247" t="s">
        <v>487</v>
      </c>
      <c r="B4247" t="s">
        <v>463</v>
      </c>
      <c r="C4247" t="s">
        <v>464</v>
      </c>
      <c r="D4247" t="s">
        <v>413</v>
      </c>
      <c r="E4247" t="s">
        <v>419</v>
      </c>
      <c r="F4247">
        <v>3</v>
      </c>
      <c r="G4247" t="s">
        <v>488</v>
      </c>
      <c r="H4247" s="4">
        <v>25434814</v>
      </c>
      <c r="I4247" s="4">
        <v>25861096.49379248</v>
      </c>
      <c r="J4247" s="3">
        <v>0.016759803857519136</v>
      </c>
      <c r="K4247" s="3">
        <v>-0.016483542911446297</v>
      </c>
      <c r="L4247" t="s">
        <v>377</v>
      </c>
    </row>
    <row r="4248" spans="1:12" x14ac:dyDescent="0.25">
      <c r="A4248" t="s">
        <v>487</v>
      </c>
      <c r="B4248" t="s">
        <v>463</v>
      </c>
      <c r="C4248" t="s">
        <v>464</v>
      </c>
      <c r="D4248" t="s">
        <v>413</v>
      </c>
      <c r="E4248" t="s">
        <v>419</v>
      </c>
      <c r="F4248">
        <v>3</v>
      </c>
      <c r="G4248" t="s">
        <v>498</v>
      </c>
      <c r="H4248" s="4">
        <v>25434814</v>
      </c>
      <c r="I4248" s="4">
        <v>25674040</v>
      </c>
      <c r="J4248" s="3">
        <v>0.009405455058566577</v>
      </c>
      <c r="K4248" s="3">
        <v>-0.00931781675186297</v>
      </c>
      <c r="L4248" t="s">
        <v>377</v>
      </c>
    </row>
    <row r="4249" spans="1:12" x14ac:dyDescent="0.25">
      <c r="A4249" t="s">
        <v>487</v>
      </c>
      <c r="B4249" t="s">
        <v>463</v>
      </c>
      <c r="C4249" t="s">
        <v>464</v>
      </c>
      <c r="D4249" t="s">
        <v>413</v>
      </c>
      <c r="E4249" t="s">
        <v>419</v>
      </c>
      <c r="F4249">
        <v>3</v>
      </c>
      <c r="G4249" t="s">
        <v>499</v>
      </c>
      <c r="H4249" s="4">
        <v>25434814</v>
      </c>
      <c r="I4249" s="4">
        <v>37105983</v>
      </c>
      <c r="J4249" s="3">
        <v>0.45886590717746156</v>
      </c>
      <c r="K4249" s="3">
        <v>-0.31453604126321083</v>
      </c>
      <c r="L4249" t="s">
        <v>377</v>
      </c>
    </row>
    <row r="4250" spans="1:12" x14ac:dyDescent="0.25">
      <c r="A4250" t="s">
        <v>487</v>
      </c>
      <c r="B4250" t="s">
        <v>463</v>
      </c>
      <c r="C4250" t="s">
        <v>464</v>
      </c>
      <c r="D4250" t="s">
        <v>415</v>
      </c>
      <c r="E4250" t="s">
        <v>417</v>
      </c>
      <c r="F4250">
        <v>1</v>
      </c>
      <c r="G4250" t="s">
        <v>488</v>
      </c>
      <c r="H4250" s="4">
        <v>37374651</v>
      </c>
      <c r="I4250" s="4">
        <v>37056004.992169775</v>
      </c>
      <c r="J4250" s="3">
        <v>0.008525725305909209</v>
      </c>
      <c r="K4250" s="3">
        <v>0.008599038344731368</v>
      </c>
      <c r="L4250" t="s">
        <v>377</v>
      </c>
    </row>
    <row r="4251" spans="1:12" x14ac:dyDescent="0.25">
      <c r="A4251" t="s">
        <v>487</v>
      </c>
      <c r="B4251" t="s">
        <v>463</v>
      </c>
      <c r="C4251" t="s">
        <v>464</v>
      </c>
      <c r="D4251" t="s">
        <v>415</v>
      </c>
      <c r="E4251" t="s">
        <v>417</v>
      </c>
      <c r="F4251">
        <v>1</v>
      </c>
      <c r="G4251" t="s">
        <v>498</v>
      </c>
      <c r="H4251" s="4">
        <v>37374651</v>
      </c>
      <c r="I4251" s="4">
        <v>36144800</v>
      </c>
      <c r="J4251" s="3">
        <v>0.03290601964417005</v>
      </c>
      <c r="K4251" s="3">
        <v>0.03402566897589695</v>
      </c>
      <c r="L4251" t="s">
        <v>377</v>
      </c>
    </row>
    <row r="4252" spans="1:12" x14ac:dyDescent="0.25">
      <c r="A4252" t="s">
        <v>487</v>
      </c>
      <c r="B4252" t="s">
        <v>463</v>
      </c>
      <c r="C4252" t="s">
        <v>464</v>
      </c>
      <c r="D4252" t="s">
        <v>415</v>
      </c>
      <c r="E4252" t="s">
        <v>417</v>
      </c>
      <c r="F4252">
        <v>1</v>
      </c>
      <c r="G4252" t="s">
        <v>499</v>
      </c>
      <c r="H4252" s="4">
        <v>37374651</v>
      </c>
      <c r="I4252" s="4">
        <v>33465944</v>
      </c>
      <c r="J4252" s="3">
        <v>0.10458176586050262</v>
      </c>
      <c r="K4252" s="3">
        <v>0.11679655592562994</v>
      </c>
      <c r="L4252" t="s">
        <v>377</v>
      </c>
    </row>
    <row r="4253" spans="1:12" x14ac:dyDescent="0.25">
      <c r="A4253" t="s">
        <v>487</v>
      </c>
      <c r="B4253" t="s">
        <v>463</v>
      </c>
      <c r="C4253" t="s">
        <v>464</v>
      </c>
      <c r="D4253" t="s">
        <v>415</v>
      </c>
      <c r="E4253" t="s">
        <v>419</v>
      </c>
      <c r="F4253">
        <v>2</v>
      </c>
      <c r="G4253" t="s">
        <v>488</v>
      </c>
      <c r="H4253" s="4">
        <v>25434814</v>
      </c>
      <c r="I4253" s="4">
        <v>26321278.70147757</v>
      </c>
      <c r="J4253" s="3">
        <v>0.034852415334256766</v>
      </c>
      <c r="K4253" s="3">
        <v>-0.03367863360786519</v>
      </c>
      <c r="L4253" t="s">
        <v>377</v>
      </c>
    </row>
    <row r="4254" spans="1:12" x14ac:dyDescent="0.25">
      <c r="A4254" t="s">
        <v>487</v>
      </c>
      <c r="B4254" t="s">
        <v>463</v>
      </c>
      <c r="C4254" t="s">
        <v>464</v>
      </c>
      <c r="D4254" t="s">
        <v>415</v>
      </c>
      <c r="E4254" t="s">
        <v>419</v>
      </c>
      <c r="F4254">
        <v>2</v>
      </c>
      <c r="G4254" t="s">
        <v>498</v>
      </c>
      <c r="H4254" s="4">
        <v>25434814</v>
      </c>
      <c r="I4254" s="4">
        <v>25674040</v>
      </c>
      <c r="J4254" s="3">
        <v>0.009405455058566577</v>
      </c>
      <c r="K4254" s="3">
        <v>-0.00931781675186297</v>
      </c>
      <c r="L4254" t="s">
        <v>377</v>
      </c>
    </row>
    <row r="4255" spans="1:12" x14ac:dyDescent="0.25">
      <c r="A4255" t="s">
        <v>487</v>
      </c>
      <c r="B4255" t="s">
        <v>463</v>
      </c>
      <c r="C4255" t="s">
        <v>464</v>
      </c>
      <c r="D4255" t="s">
        <v>415</v>
      </c>
      <c r="E4255" t="s">
        <v>419</v>
      </c>
      <c r="F4255">
        <v>2</v>
      </c>
      <c r="G4255" t="s">
        <v>499</v>
      </c>
      <c r="H4255" s="4">
        <v>25434814</v>
      </c>
      <c r="I4255" s="4">
        <v>33465944</v>
      </c>
      <c r="J4255" s="3">
        <v>0.31575343936071243</v>
      </c>
      <c r="K4255" s="3">
        <v>-0.23997918600473364</v>
      </c>
      <c r="L4255" t="s">
        <v>377</v>
      </c>
    </row>
    <row r="4256" spans="1:12" x14ac:dyDescent="0.25">
      <c r="A4256" t="s">
        <v>487</v>
      </c>
      <c r="B4256" t="s">
        <v>463</v>
      </c>
      <c r="C4256" t="s">
        <v>464</v>
      </c>
      <c r="D4256" t="s">
        <v>415</v>
      </c>
      <c r="E4256" t="s">
        <v>421</v>
      </c>
      <c r="F4256">
        <v>3</v>
      </c>
      <c r="G4256" t="s">
        <v>488</v>
      </c>
      <c r="H4256" s="4">
        <v>22261446</v>
      </c>
      <c r="I4256" s="4">
        <v>19940760.123386733</v>
      </c>
      <c r="J4256" s="3">
        <v>0.10424686143987533</v>
      </c>
      <c r="K4256" s="3">
        <v>0.11637900773358895</v>
      </c>
      <c r="L4256" t="s">
        <v>377</v>
      </c>
    </row>
    <row r="4257" spans="1:12" x14ac:dyDescent="0.25">
      <c r="A4257" t="s">
        <v>487</v>
      </c>
      <c r="B4257" t="s">
        <v>463</v>
      </c>
      <c r="C4257" t="s">
        <v>464</v>
      </c>
      <c r="D4257" t="s">
        <v>415</v>
      </c>
      <c r="E4257" t="s">
        <v>421</v>
      </c>
      <c r="F4257">
        <v>3</v>
      </c>
      <c r="G4257" t="s">
        <v>498</v>
      </c>
      <c r="H4257" s="4">
        <v>22261446</v>
      </c>
      <c r="I4257" s="4">
        <v>19450418</v>
      </c>
      <c r="J4257" s="3">
        <v>0.12627337864755056</v>
      </c>
      <c r="K4257" s="3">
        <v>0.14452275524361483</v>
      </c>
      <c r="L4257" t="s">
        <v>377</v>
      </c>
    </row>
    <row r="4258" spans="1:12" x14ac:dyDescent="0.25">
      <c r="A4258" t="s">
        <v>487</v>
      </c>
      <c r="B4258" t="s">
        <v>463</v>
      </c>
      <c r="C4258" t="s">
        <v>464</v>
      </c>
      <c r="D4258" t="s">
        <v>415</v>
      </c>
      <c r="E4258" t="s">
        <v>421</v>
      </c>
      <c r="F4258">
        <v>3</v>
      </c>
      <c r="G4258" t="s">
        <v>499</v>
      </c>
      <c r="H4258" s="4">
        <v>22261446</v>
      </c>
      <c r="I4258" s="4">
        <v>33465944</v>
      </c>
      <c r="J4258" s="3">
        <v>0.5033140255129878</v>
      </c>
      <c r="K4258" s="3">
        <v>-0.3348029865824194</v>
      </c>
      <c r="L4258" t="s">
        <v>377</v>
      </c>
    </row>
    <row r="4259" spans="1:12" x14ac:dyDescent="0.25">
      <c r="A4259" t="s">
        <v>487</v>
      </c>
      <c r="B4259" t="s">
        <v>463</v>
      </c>
      <c r="C4259" t="s">
        <v>464</v>
      </c>
      <c r="D4259" t="s">
        <v>417</v>
      </c>
      <c r="E4259" t="s">
        <v>419</v>
      </c>
      <c r="F4259">
        <v>1</v>
      </c>
      <c r="G4259" t="s">
        <v>488</v>
      </c>
      <c r="H4259" s="4">
        <v>25434814</v>
      </c>
      <c r="I4259" s="4">
        <v>26264700.147252355</v>
      </c>
      <c r="J4259" s="3">
        <v>0.032627962101564996</v>
      </c>
      <c r="K4259" s="3">
        <v>-0.031597015865386616</v>
      </c>
      <c r="L4259" t="s">
        <v>377</v>
      </c>
    </row>
    <row r="4260" spans="1:12" x14ac:dyDescent="0.25">
      <c r="A4260" t="s">
        <v>487</v>
      </c>
      <c r="B4260" t="s">
        <v>463</v>
      </c>
      <c r="C4260" t="s">
        <v>464</v>
      </c>
      <c r="D4260" t="s">
        <v>417</v>
      </c>
      <c r="E4260" t="s">
        <v>419</v>
      </c>
      <c r="F4260">
        <v>1</v>
      </c>
      <c r="G4260" t="s">
        <v>498</v>
      </c>
      <c r="H4260" s="4">
        <v>25434814</v>
      </c>
      <c r="I4260" s="4">
        <v>25674040</v>
      </c>
      <c r="J4260" s="3">
        <v>0.009405455058566577</v>
      </c>
      <c r="K4260" s="3">
        <v>-0.00931781675186297</v>
      </c>
      <c r="L4260" t="s">
        <v>377</v>
      </c>
    </row>
    <row r="4261" spans="1:12" x14ac:dyDescent="0.25">
      <c r="A4261" t="s">
        <v>487</v>
      </c>
      <c r="B4261" t="s">
        <v>463</v>
      </c>
      <c r="C4261" t="s">
        <v>464</v>
      </c>
      <c r="D4261" t="s">
        <v>417</v>
      </c>
      <c r="E4261" t="s">
        <v>419</v>
      </c>
      <c r="F4261">
        <v>1</v>
      </c>
      <c r="G4261" t="s">
        <v>499</v>
      </c>
      <c r="H4261" s="4">
        <v>25434814</v>
      </c>
      <c r="I4261" s="4">
        <v>37374651</v>
      </c>
      <c r="J4261" s="3">
        <v>0.4694289095253458</v>
      </c>
      <c r="K4261" s="3">
        <v>-0.3194635048230952</v>
      </c>
      <c r="L4261" t="s">
        <v>377</v>
      </c>
    </row>
    <row r="4262" spans="1:12" x14ac:dyDescent="0.25">
      <c r="A4262" t="s">
        <v>487</v>
      </c>
      <c r="B4262" t="s">
        <v>463</v>
      </c>
      <c r="C4262" t="s">
        <v>464</v>
      </c>
      <c r="D4262" t="s">
        <v>417</v>
      </c>
      <c r="E4262" t="s">
        <v>421</v>
      </c>
      <c r="F4262">
        <v>2</v>
      </c>
      <c r="G4262" t="s">
        <v>488</v>
      </c>
      <c r="H4262" s="4">
        <v>22261446</v>
      </c>
      <c r="I4262" s="4">
        <v>19897896.727929063</v>
      </c>
      <c r="J4262" s="3">
        <v>0.10617231567396551</v>
      </c>
      <c r="K4262" s="3">
        <v>0.1187838747174426</v>
      </c>
      <c r="L4262" t="s">
        <v>377</v>
      </c>
    </row>
    <row r="4263" spans="1:12" x14ac:dyDescent="0.25">
      <c r="A4263" t="s">
        <v>487</v>
      </c>
      <c r="B4263" t="s">
        <v>463</v>
      </c>
      <c r="C4263" t="s">
        <v>464</v>
      </c>
      <c r="D4263" t="s">
        <v>417</v>
      </c>
      <c r="E4263" t="s">
        <v>421</v>
      </c>
      <c r="F4263">
        <v>2</v>
      </c>
      <c r="G4263" t="s">
        <v>498</v>
      </c>
      <c r="H4263" s="4">
        <v>22261446</v>
      </c>
      <c r="I4263" s="4">
        <v>19450418</v>
      </c>
      <c r="J4263" s="3">
        <v>0.12627337864755056</v>
      </c>
      <c r="K4263" s="3">
        <v>0.14452275524361483</v>
      </c>
      <c r="L4263" t="s">
        <v>377</v>
      </c>
    </row>
    <row r="4264" spans="1:12" x14ac:dyDescent="0.25">
      <c r="A4264" t="s">
        <v>487</v>
      </c>
      <c r="B4264" t="s">
        <v>463</v>
      </c>
      <c r="C4264" t="s">
        <v>464</v>
      </c>
      <c r="D4264" t="s">
        <v>417</v>
      </c>
      <c r="E4264" t="s">
        <v>421</v>
      </c>
      <c r="F4264">
        <v>2</v>
      </c>
      <c r="G4264" t="s">
        <v>499</v>
      </c>
      <c r="H4264" s="4">
        <v>22261446</v>
      </c>
      <c r="I4264" s="4">
        <v>37374651</v>
      </c>
      <c r="J4264" s="3">
        <v>0.6788959261675993</v>
      </c>
      <c r="K4264" s="3">
        <v>-0.40437046489076245</v>
      </c>
      <c r="L4264" t="s">
        <v>377</v>
      </c>
    </row>
    <row r="4265" spans="1:12" x14ac:dyDescent="0.25">
      <c r="A4265" t="s">
        <v>487</v>
      </c>
      <c r="B4265" t="s">
        <v>463</v>
      </c>
      <c r="C4265" t="s">
        <v>464</v>
      </c>
      <c r="D4265" t="s">
        <v>417</v>
      </c>
      <c r="E4265" t="s">
        <v>423</v>
      </c>
      <c r="F4265">
        <v>3</v>
      </c>
      <c r="G4265" t="s">
        <v>488</v>
      </c>
      <c r="H4265" s="4">
        <v>16325216</v>
      </c>
      <c r="I4265" s="4">
        <v>21198338.020705212</v>
      </c>
      <c r="J4265" s="3">
        <v>0.29850275921036584</v>
      </c>
      <c r="K4265" s="3">
        <v>-0.2298822679374888</v>
      </c>
      <c r="L4265" t="s">
        <v>377</v>
      </c>
    </row>
    <row r="4266" spans="1:12" x14ac:dyDescent="0.25">
      <c r="A4266" t="s">
        <v>487</v>
      </c>
      <c r="B4266" t="s">
        <v>463</v>
      </c>
      <c r="C4266" t="s">
        <v>464</v>
      </c>
      <c r="D4266" t="s">
        <v>417</v>
      </c>
      <c r="E4266" t="s">
        <v>423</v>
      </c>
      <c r="F4266">
        <v>3</v>
      </c>
      <c r="G4266" t="s">
        <v>498</v>
      </c>
      <c r="H4266" s="4">
        <v>16325216</v>
      </c>
      <c r="I4266" s="4">
        <v>20721614</v>
      </c>
      <c r="J4266" s="3">
        <v>0.26930106162148176</v>
      </c>
      <c r="K4266" s="3">
        <v>-0.21216484391611581</v>
      </c>
      <c r="L4266" t="s">
        <v>377</v>
      </c>
    </row>
    <row r="4267" spans="1:12" x14ac:dyDescent="0.25">
      <c r="A4267" t="s">
        <v>487</v>
      </c>
      <c r="B4267" t="s">
        <v>463</v>
      </c>
      <c r="C4267" t="s">
        <v>464</v>
      </c>
      <c r="D4267" t="s">
        <v>417</v>
      </c>
      <c r="E4267" t="s">
        <v>423</v>
      </c>
      <c r="F4267">
        <v>3</v>
      </c>
      <c r="G4267" t="s">
        <v>499</v>
      </c>
      <c r="H4267" s="4">
        <v>16325216</v>
      </c>
      <c r="I4267" s="4">
        <v>37374651</v>
      </c>
      <c r="J4267" s="3">
        <v>1.289381714765673</v>
      </c>
      <c r="K4267" s="3">
        <v>-0.5632008443369813</v>
      </c>
      <c r="L4267" t="s">
        <v>377</v>
      </c>
    </row>
    <row r="4268" spans="1:12" x14ac:dyDescent="0.25">
      <c r="A4268" t="s">
        <v>487</v>
      </c>
      <c r="B4268" t="s">
        <v>463</v>
      </c>
      <c r="C4268" t="s">
        <v>464</v>
      </c>
      <c r="D4268" t="s">
        <v>419</v>
      </c>
      <c r="E4268" t="s">
        <v>421</v>
      </c>
      <c r="F4268">
        <v>1</v>
      </c>
      <c r="G4268" t="s">
        <v>488</v>
      </c>
      <c r="H4268" s="4">
        <v>22261446</v>
      </c>
      <c r="I4268" s="4">
        <v>20149370.497136485</v>
      </c>
      <c r="J4268" s="3">
        <v>0.09487593496233422</v>
      </c>
      <c r="K4268" s="3">
        <v>0.10482091751519837</v>
      </c>
      <c r="L4268" t="s">
        <v>377</v>
      </c>
    </row>
    <row r="4269" spans="1:12" x14ac:dyDescent="0.25">
      <c r="A4269" t="s">
        <v>487</v>
      </c>
      <c r="B4269" t="s">
        <v>463</v>
      </c>
      <c r="C4269" t="s">
        <v>464</v>
      </c>
      <c r="D4269" t="s">
        <v>419</v>
      </c>
      <c r="E4269" t="s">
        <v>421</v>
      </c>
      <c r="F4269">
        <v>1</v>
      </c>
      <c r="G4269" t="s">
        <v>498</v>
      </c>
      <c r="H4269" s="4">
        <v>22261446</v>
      </c>
      <c r="I4269" s="4">
        <v>19450418</v>
      </c>
      <c r="J4269" s="3">
        <v>0.12627337864755056</v>
      </c>
      <c r="K4269" s="3">
        <v>0.14452275524361483</v>
      </c>
      <c r="L4269" t="s">
        <v>377</v>
      </c>
    </row>
    <row r="4270" spans="1:12" x14ac:dyDescent="0.25">
      <c r="A4270" t="s">
        <v>487</v>
      </c>
      <c r="B4270" t="s">
        <v>463</v>
      </c>
      <c r="C4270" t="s">
        <v>464</v>
      </c>
      <c r="D4270" t="s">
        <v>419</v>
      </c>
      <c r="E4270" t="s">
        <v>421</v>
      </c>
      <c r="F4270">
        <v>1</v>
      </c>
      <c r="G4270" t="s">
        <v>499</v>
      </c>
      <c r="H4270" s="4">
        <v>22261446</v>
      </c>
      <c r="I4270" s="4">
        <v>25434814</v>
      </c>
      <c r="J4270" s="3">
        <v>0.14254994936088158</v>
      </c>
      <c r="K4270" s="3">
        <v>-0.12476474174334438</v>
      </c>
      <c r="L4270" t="s">
        <v>377</v>
      </c>
    </row>
    <row r="4271" spans="1:12" x14ac:dyDescent="0.25">
      <c r="A4271" t="s">
        <v>487</v>
      </c>
      <c r="B4271" t="s">
        <v>463</v>
      </c>
      <c r="C4271" t="s">
        <v>464</v>
      </c>
      <c r="D4271" t="s">
        <v>419</v>
      </c>
      <c r="E4271" t="s">
        <v>423</v>
      </c>
      <c r="F4271">
        <v>2</v>
      </c>
      <c r="G4271" t="s">
        <v>488</v>
      </c>
      <c r="H4271" s="4">
        <v>16325216</v>
      </c>
      <c r="I4271" s="4">
        <v>21466247.03822048</v>
      </c>
      <c r="J4271" s="3">
        <v>0.3149135079266627</v>
      </c>
      <c r="K4271" s="3">
        <v>-0.23949370512073748</v>
      </c>
      <c r="L4271" t="s">
        <v>377</v>
      </c>
    </row>
    <row r="4272" spans="1:12" x14ac:dyDescent="0.25">
      <c r="A4272" t="s">
        <v>487</v>
      </c>
      <c r="B4272" t="s">
        <v>463</v>
      </c>
      <c r="C4272" t="s">
        <v>464</v>
      </c>
      <c r="D4272" t="s">
        <v>419</v>
      </c>
      <c r="E4272" t="s">
        <v>423</v>
      </c>
      <c r="F4272">
        <v>2</v>
      </c>
      <c r="G4272" t="s">
        <v>498</v>
      </c>
      <c r="H4272" s="4">
        <v>16325216</v>
      </c>
      <c r="I4272" s="4">
        <v>20721614</v>
      </c>
      <c r="J4272" s="3">
        <v>0.26930106162148176</v>
      </c>
      <c r="K4272" s="3">
        <v>-0.21216484391611581</v>
      </c>
      <c r="L4272" t="s">
        <v>377</v>
      </c>
    </row>
    <row r="4273" spans="1:12" x14ac:dyDescent="0.25">
      <c r="A4273" t="s">
        <v>487</v>
      </c>
      <c r="B4273" t="s">
        <v>463</v>
      </c>
      <c r="C4273" t="s">
        <v>464</v>
      </c>
      <c r="D4273" t="s">
        <v>419</v>
      </c>
      <c r="E4273" t="s">
        <v>423</v>
      </c>
      <c r="F4273">
        <v>2</v>
      </c>
      <c r="G4273" t="s">
        <v>499</v>
      </c>
      <c r="H4273" s="4">
        <v>16325216</v>
      </c>
      <c r="I4273" s="4">
        <v>25434814</v>
      </c>
      <c r="J4273" s="3">
        <v>0.5580078082887234</v>
      </c>
      <c r="K4273" s="3">
        <v>-0.3581546930124985</v>
      </c>
      <c r="L4273" t="s">
        <v>377</v>
      </c>
    </row>
    <row r="4274" spans="1:12" x14ac:dyDescent="0.25">
      <c r="A4274" t="s">
        <v>487</v>
      </c>
      <c r="B4274" t="s">
        <v>463</v>
      </c>
      <c r="C4274" t="s">
        <v>464</v>
      </c>
      <c r="D4274" t="s">
        <v>419</v>
      </c>
      <c r="E4274" t="s">
        <v>425</v>
      </c>
      <c r="F4274">
        <v>3</v>
      </c>
      <c r="G4274" t="s">
        <v>488</v>
      </c>
      <c r="H4274" s="4">
        <v>18303827</v>
      </c>
      <c r="I4274" s="4">
        <v>22014108.561453767</v>
      </c>
      <c r="J4274" s="3">
        <v>0.20270523543812816</v>
      </c>
      <c r="K4274" s="3">
        <v>-0.1685410767870197</v>
      </c>
      <c r="L4274" t="s">
        <v>377</v>
      </c>
    </row>
    <row r="4275" spans="1:12" x14ac:dyDescent="0.25">
      <c r="A4275" t="s">
        <v>487</v>
      </c>
      <c r="B4275" t="s">
        <v>463</v>
      </c>
      <c r="C4275" t="s">
        <v>464</v>
      </c>
      <c r="D4275" t="s">
        <v>419</v>
      </c>
      <c r="E4275" t="s">
        <v>425</v>
      </c>
      <c r="F4275">
        <v>3</v>
      </c>
      <c r="G4275" t="s">
        <v>498</v>
      </c>
      <c r="H4275" s="4">
        <v>18303827</v>
      </c>
      <c r="I4275" s="4">
        <v>21250471</v>
      </c>
      <c r="J4275" s="3">
        <v>0.16098513168858075</v>
      </c>
      <c r="K4275" s="3">
        <v>-0.13866252658588132</v>
      </c>
      <c r="L4275" t="s">
        <v>377</v>
      </c>
    </row>
    <row r="4276" spans="1:12" x14ac:dyDescent="0.25">
      <c r="A4276" t="s">
        <v>487</v>
      </c>
      <c r="B4276" t="s">
        <v>463</v>
      </c>
      <c r="C4276" t="s">
        <v>464</v>
      </c>
      <c r="D4276" t="s">
        <v>419</v>
      </c>
      <c r="E4276" t="s">
        <v>425</v>
      </c>
      <c r="F4276">
        <v>3</v>
      </c>
      <c r="G4276" t="s">
        <v>499</v>
      </c>
      <c r="H4276" s="4">
        <v>18303827</v>
      </c>
      <c r="I4276" s="4">
        <v>25434814</v>
      </c>
      <c r="J4276" s="3">
        <v>0.3895899475011428</v>
      </c>
      <c r="K4276" s="3">
        <v>-0.28036324543202873</v>
      </c>
      <c r="L4276" t="s">
        <v>377</v>
      </c>
    </row>
    <row r="4277" spans="1:12" x14ac:dyDescent="0.25">
      <c r="A4277" t="s">
        <v>487</v>
      </c>
      <c r="B4277" t="s">
        <v>463</v>
      </c>
      <c r="C4277" t="s">
        <v>464</v>
      </c>
      <c r="D4277" t="s">
        <v>421</v>
      </c>
      <c r="E4277" t="s">
        <v>423</v>
      </c>
      <c r="F4277">
        <v>1</v>
      </c>
      <c r="G4277" t="s">
        <v>488</v>
      </c>
      <c r="H4277" s="4">
        <v>16325216</v>
      </c>
      <c r="I4277" s="4">
        <v>21744605.25000299</v>
      </c>
      <c r="J4277" s="3">
        <v>0.3319643213298367</v>
      </c>
      <c r="K4277" s="3">
        <v>-0.2492291392598284</v>
      </c>
      <c r="L4277" t="s">
        <v>377</v>
      </c>
    </row>
    <row r="4278" spans="1:12" x14ac:dyDescent="0.25">
      <c r="A4278" t="s">
        <v>487</v>
      </c>
      <c r="B4278" t="s">
        <v>463</v>
      </c>
      <c r="C4278" t="s">
        <v>464</v>
      </c>
      <c r="D4278" t="s">
        <v>421</v>
      </c>
      <c r="E4278" t="s">
        <v>423</v>
      </c>
      <c r="F4278">
        <v>1</v>
      </c>
      <c r="G4278" t="s">
        <v>498</v>
      </c>
      <c r="H4278" s="4">
        <v>16325216</v>
      </c>
      <c r="I4278" s="4">
        <v>20721614</v>
      </c>
      <c r="J4278" s="3">
        <v>0.26930106162148176</v>
      </c>
      <c r="K4278" s="3">
        <v>-0.21216484391611581</v>
      </c>
      <c r="L4278" t="s">
        <v>377</v>
      </c>
    </row>
    <row r="4279" spans="1:12" x14ac:dyDescent="0.25">
      <c r="A4279" t="s">
        <v>487</v>
      </c>
      <c r="B4279" t="s">
        <v>463</v>
      </c>
      <c r="C4279" t="s">
        <v>464</v>
      </c>
      <c r="D4279" t="s">
        <v>421</v>
      </c>
      <c r="E4279" t="s">
        <v>423</v>
      </c>
      <c r="F4279">
        <v>1</v>
      </c>
      <c r="G4279" t="s">
        <v>499</v>
      </c>
      <c r="H4279" s="4">
        <v>16325216</v>
      </c>
      <c r="I4279" s="4">
        <v>22261446</v>
      </c>
      <c r="J4279" s="3">
        <v>0.3636233664534668</v>
      </c>
      <c r="K4279" s="3">
        <v>-0.2666596770039107</v>
      </c>
      <c r="L4279" t="s">
        <v>377</v>
      </c>
    </row>
    <row r="4280" spans="1:12" x14ac:dyDescent="0.25">
      <c r="A4280" t="s">
        <v>487</v>
      </c>
      <c r="B4280" t="s">
        <v>463</v>
      </c>
      <c r="C4280" t="s">
        <v>464</v>
      </c>
      <c r="D4280" t="s">
        <v>421</v>
      </c>
      <c r="E4280" t="s">
        <v>425</v>
      </c>
      <c r="F4280">
        <v>2</v>
      </c>
      <c r="G4280" t="s">
        <v>488</v>
      </c>
      <c r="H4280" s="4">
        <v>18303827</v>
      </c>
      <c r="I4280" s="4">
        <v>22299571.0310807</v>
      </c>
      <c r="J4280" s="3">
        <v>0.21830101601597854</v>
      </c>
      <c r="K4280" s="3">
        <v>-0.17918479353309136</v>
      </c>
      <c r="L4280" t="s">
        <v>377</v>
      </c>
    </row>
    <row r="4281" spans="1:12" x14ac:dyDescent="0.25">
      <c r="A4281" t="s">
        <v>487</v>
      </c>
      <c r="B4281" t="s">
        <v>463</v>
      </c>
      <c r="C4281" t="s">
        <v>464</v>
      </c>
      <c r="D4281" t="s">
        <v>421</v>
      </c>
      <c r="E4281" t="s">
        <v>425</v>
      </c>
      <c r="F4281">
        <v>2</v>
      </c>
      <c r="G4281" t="s">
        <v>498</v>
      </c>
      <c r="H4281" s="4">
        <v>18303827</v>
      </c>
      <c r="I4281" s="4">
        <v>21250471</v>
      </c>
      <c r="J4281" s="3">
        <v>0.16098513168858075</v>
      </c>
      <c r="K4281" s="3">
        <v>-0.13866252658588132</v>
      </c>
      <c r="L4281" t="s">
        <v>377</v>
      </c>
    </row>
    <row r="4282" spans="1:12" x14ac:dyDescent="0.25">
      <c r="A4282" t="s">
        <v>487</v>
      </c>
      <c r="B4282" t="s">
        <v>463</v>
      </c>
      <c r="C4282" t="s">
        <v>464</v>
      </c>
      <c r="D4282" t="s">
        <v>421</v>
      </c>
      <c r="E4282" t="s">
        <v>425</v>
      </c>
      <c r="F4282">
        <v>2</v>
      </c>
      <c r="G4282" t="s">
        <v>499</v>
      </c>
      <c r="H4282" s="4">
        <v>18303827</v>
      </c>
      <c r="I4282" s="4">
        <v>22261446</v>
      </c>
      <c r="J4282" s="3">
        <v>0.21621811657201523</v>
      </c>
      <c r="K4282" s="3">
        <v>-0.17777906251013523</v>
      </c>
      <c r="L4282" t="s">
        <v>377</v>
      </c>
    </row>
    <row r="4283" spans="1:12" x14ac:dyDescent="0.25">
      <c r="A4283" t="s">
        <v>487</v>
      </c>
      <c r="B4283" t="s">
        <v>463</v>
      </c>
      <c r="C4283" t="s">
        <v>464</v>
      </c>
      <c r="D4283" t="s">
        <v>421</v>
      </c>
      <c r="E4283" t="s">
        <v>427</v>
      </c>
      <c r="F4283">
        <v>3</v>
      </c>
      <c r="G4283" t="s">
        <v>488</v>
      </c>
      <c r="H4283" s="4">
        <v>24094248</v>
      </c>
      <c r="I4283" s="4">
        <v>22476991.930246133</v>
      </c>
      <c r="J4283" s="3">
        <v>0.06712208116036104</v>
      </c>
      <c r="K4283" s="3">
        <v>0.0719516238993532</v>
      </c>
      <c r="L4283" t="s">
        <v>377</v>
      </c>
    </row>
    <row r="4284" spans="1:12" x14ac:dyDescent="0.25">
      <c r="A4284" t="s">
        <v>487</v>
      </c>
      <c r="B4284" t="s">
        <v>463</v>
      </c>
      <c r="C4284" t="s">
        <v>464</v>
      </c>
      <c r="D4284" t="s">
        <v>421</v>
      </c>
      <c r="E4284" t="s">
        <v>427</v>
      </c>
      <c r="F4284">
        <v>3</v>
      </c>
      <c r="G4284" t="s">
        <v>498</v>
      </c>
      <c r="H4284" s="4">
        <v>24094248</v>
      </c>
      <c r="I4284" s="4">
        <v>21419545</v>
      </c>
      <c r="J4284" s="3">
        <v>0.11101002197702954</v>
      </c>
      <c r="K4284" s="3">
        <v>0.12487207361314165</v>
      </c>
      <c r="L4284" t="s">
        <v>377</v>
      </c>
    </row>
    <row r="4285" spans="1:12" x14ac:dyDescent="0.25">
      <c r="A4285" t="s">
        <v>487</v>
      </c>
      <c r="B4285" t="s">
        <v>463</v>
      </c>
      <c r="C4285" t="s">
        <v>464</v>
      </c>
      <c r="D4285" t="s">
        <v>421</v>
      </c>
      <c r="E4285" t="s">
        <v>427</v>
      </c>
      <c r="F4285">
        <v>3</v>
      </c>
      <c r="G4285" t="s">
        <v>499</v>
      </c>
      <c r="H4285" s="4">
        <v>24094248</v>
      </c>
      <c r="I4285" s="4">
        <v>22261446</v>
      </c>
      <c r="J4285" s="3">
        <v>0.07606803084288001</v>
      </c>
      <c r="K4285" s="3">
        <v>0.08233077042704234</v>
      </c>
      <c r="L4285" t="s">
        <v>377</v>
      </c>
    </row>
    <row r="4286" spans="1:12" x14ac:dyDescent="0.25">
      <c r="A4286" t="s">
        <v>487</v>
      </c>
      <c r="B4286" t="s">
        <v>463</v>
      </c>
      <c r="C4286" t="s">
        <v>464</v>
      </c>
      <c r="D4286" t="s">
        <v>423</v>
      </c>
      <c r="E4286" t="s">
        <v>425</v>
      </c>
      <c r="F4286">
        <v>1</v>
      </c>
      <c r="G4286" t="s">
        <v>488</v>
      </c>
      <c r="H4286" s="4">
        <v>18303827</v>
      </c>
      <c r="I4286" s="4">
        <v>21906413.649375908</v>
      </c>
      <c r="J4286" s="3">
        <v>0.19682149800563062</v>
      </c>
      <c r="K4286" s="3">
        <v>-0.16445351151663942</v>
      </c>
      <c r="L4286" t="s">
        <v>377</v>
      </c>
    </row>
    <row r="4287" spans="1:12" x14ac:dyDescent="0.25">
      <c r="A4287" t="s">
        <v>487</v>
      </c>
      <c r="B4287" t="s">
        <v>463</v>
      </c>
      <c r="C4287" t="s">
        <v>464</v>
      </c>
      <c r="D4287" t="s">
        <v>423</v>
      </c>
      <c r="E4287" t="s">
        <v>425</v>
      </c>
      <c r="F4287">
        <v>1</v>
      </c>
      <c r="G4287" t="s">
        <v>498</v>
      </c>
      <c r="H4287" s="4">
        <v>18303827</v>
      </c>
      <c r="I4287" s="4">
        <v>21250471</v>
      </c>
      <c r="J4287" s="3">
        <v>0.16098513168858075</v>
      </c>
      <c r="K4287" s="3">
        <v>-0.13866252658588132</v>
      </c>
      <c r="L4287" t="s">
        <v>377</v>
      </c>
    </row>
    <row r="4288" spans="1:12" x14ac:dyDescent="0.25">
      <c r="A4288" t="s">
        <v>487</v>
      </c>
      <c r="B4288" t="s">
        <v>463</v>
      </c>
      <c r="C4288" t="s">
        <v>464</v>
      </c>
      <c r="D4288" t="s">
        <v>423</v>
      </c>
      <c r="E4288" t="s">
        <v>425</v>
      </c>
      <c r="F4288">
        <v>1</v>
      </c>
      <c r="G4288" t="s">
        <v>499</v>
      </c>
      <c r="H4288" s="4">
        <v>18303827</v>
      </c>
      <c r="I4288" s="4">
        <v>16325216</v>
      </c>
      <c r="J4288" s="3">
        <v>0.10809821355938297</v>
      </c>
      <c r="K4288" s="3">
        <v>0.12119968274845491</v>
      </c>
      <c r="L4288" t="s">
        <v>377</v>
      </c>
    </row>
    <row r="4289" spans="1:12" x14ac:dyDescent="0.25">
      <c r="A4289" t="s">
        <v>487</v>
      </c>
      <c r="B4289" t="s">
        <v>463</v>
      </c>
      <c r="C4289" t="s">
        <v>464</v>
      </c>
      <c r="D4289" t="s">
        <v>423</v>
      </c>
      <c r="E4289" t="s">
        <v>427</v>
      </c>
      <c r="F4289">
        <v>2</v>
      </c>
      <c r="G4289" t="s">
        <v>488</v>
      </c>
      <c r="H4289" s="4">
        <v>24094248</v>
      </c>
      <c r="I4289" s="4">
        <v>22080706.491231255</v>
      </c>
      <c r="J4289" s="3">
        <v>0.08356938588698617</v>
      </c>
      <c r="K4289" s="3">
        <v>0.09119008531581031</v>
      </c>
      <c r="L4289" t="s">
        <v>377</v>
      </c>
    </row>
    <row r="4290" spans="1:12" x14ac:dyDescent="0.25">
      <c r="A4290" t="s">
        <v>487</v>
      </c>
      <c r="B4290" t="s">
        <v>463</v>
      </c>
      <c r="C4290" t="s">
        <v>464</v>
      </c>
      <c r="D4290" t="s">
        <v>423</v>
      </c>
      <c r="E4290" t="s">
        <v>427</v>
      </c>
      <c r="F4290">
        <v>2</v>
      </c>
      <c r="G4290" t="s">
        <v>498</v>
      </c>
      <c r="H4290" s="4">
        <v>24094248</v>
      </c>
      <c r="I4290" s="4">
        <v>21419545</v>
      </c>
      <c r="J4290" s="3">
        <v>0.11101002197702954</v>
      </c>
      <c r="K4290" s="3">
        <v>0.12487207361314165</v>
      </c>
      <c r="L4290" t="s">
        <v>377</v>
      </c>
    </row>
    <row r="4291" spans="1:12" x14ac:dyDescent="0.25">
      <c r="A4291" t="s">
        <v>487</v>
      </c>
      <c r="B4291" t="s">
        <v>463</v>
      </c>
      <c r="C4291" t="s">
        <v>464</v>
      </c>
      <c r="D4291" t="s">
        <v>423</v>
      </c>
      <c r="E4291" t="s">
        <v>427</v>
      </c>
      <c r="F4291">
        <v>2</v>
      </c>
      <c r="G4291" t="s">
        <v>499</v>
      </c>
      <c r="H4291" s="4">
        <v>24094248</v>
      </c>
      <c r="I4291" s="4">
        <v>16325216</v>
      </c>
      <c r="J4291" s="3">
        <v>0.32244343131190484</v>
      </c>
      <c r="K4291" s="3">
        <v>0.47589152878589785</v>
      </c>
      <c r="L4291" t="s">
        <v>377</v>
      </c>
    </row>
    <row r="4292" spans="1:12" x14ac:dyDescent="0.25">
      <c r="A4292" t="s">
        <v>487</v>
      </c>
      <c r="B4292" t="s">
        <v>463</v>
      </c>
      <c r="C4292" t="s">
        <v>464</v>
      </c>
      <c r="D4292" t="s">
        <v>423</v>
      </c>
      <c r="E4292" t="s">
        <v>429</v>
      </c>
      <c r="F4292">
        <v>3</v>
      </c>
      <c r="G4292" t="s">
        <v>488</v>
      </c>
      <c r="H4292" s="4">
        <v>37286662</v>
      </c>
      <c r="I4292" s="4">
        <v>38277573.46991726</v>
      </c>
      <c r="J4292" s="3">
        <v>0.026575494205334338</v>
      </c>
      <c r="K4292" s="3">
        <v>-0.025887520552890522</v>
      </c>
      <c r="L4292" t="s">
        <v>377</v>
      </c>
    </row>
    <row r="4293" spans="1:12" x14ac:dyDescent="0.25">
      <c r="A4293" t="s">
        <v>487</v>
      </c>
      <c r="B4293" t="s">
        <v>463</v>
      </c>
      <c r="C4293" t="s">
        <v>464</v>
      </c>
      <c r="D4293" t="s">
        <v>423</v>
      </c>
      <c r="E4293" t="s">
        <v>429</v>
      </c>
      <c r="F4293">
        <v>3</v>
      </c>
      <c r="G4293" t="s">
        <v>498</v>
      </c>
      <c r="H4293" s="4">
        <v>37286662</v>
      </c>
      <c r="I4293" s="4">
        <v>37131430</v>
      </c>
      <c r="J4293" s="3">
        <v>0.004163204526058138</v>
      </c>
      <c r="K4293" s="3">
        <v>0.004180609257440395</v>
      </c>
      <c r="L4293" t="s">
        <v>377</v>
      </c>
    </row>
    <row r="4294" spans="1:12" x14ac:dyDescent="0.25">
      <c r="A4294" t="s">
        <v>487</v>
      </c>
      <c r="B4294" t="s">
        <v>463</v>
      </c>
      <c r="C4294" t="s">
        <v>464</v>
      </c>
      <c r="D4294" t="s">
        <v>423</v>
      </c>
      <c r="E4294" t="s">
        <v>429</v>
      </c>
      <c r="F4294">
        <v>3</v>
      </c>
      <c r="G4294" t="s">
        <v>499</v>
      </c>
      <c r="H4294" s="4">
        <v>37286662</v>
      </c>
      <c r="I4294" s="4">
        <v>16325216</v>
      </c>
      <c r="J4294" s="3">
        <v>0.5621700864507528</v>
      </c>
      <c r="K4294" s="3">
        <v>1.283991954532179</v>
      </c>
      <c r="L4294" t="s">
        <v>377</v>
      </c>
    </row>
    <row r="4295" spans="1:12" x14ac:dyDescent="0.25">
      <c r="A4295" t="s">
        <v>487</v>
      </c>
      <c r="B4295" t="s">
        <v>463</v>
      </c>
      <c r="C4295" t="s">
        <v>464</v>
      </c>
      <c r="D4295" t="s">
        <v>425</v>
      </c>
      <c r="E4295" t="s">
        <v>427</v>
      </c>
      <c r="F4295">
        <v>1</v>
      </c>
      <c r="G4295" t="s">
        <v>488</v>
      </c>
      <c r="H4295" s="4">
        <v>24094248</v>
      </c>
      <c r="I4295" s="4">
        <v>21871369.19230614</v>
      </c>
      <c r="J4295" s="3">
        <v>0.09225765451131164</v>
      </c>
      <c r="K4295" s="3">
        <v>0.101634186143034</v>
      </c>
      <c r="L4295" t="s">
        <v>377</v>
      </c>
    </row>
    <row r="4296" spans="1:12" x14ac:dyDescent="0.25">
      <c r="A4296" t="s">
        <v>487</v>
      </c>
      <c r="B4296" t="s">
        <v>463</v>
      </c>
      <c r="C4296" t="s">
        <v>464</v>
      </c>
      <c r="D4296" t="s">
        <v>425</v>
      </c>
      <c r="E4296" t="s">
        <v>427</v>
      </c>
      <c r="F4296">
        <v>1</v>
      </c>
      <c r="G4296" t="s">
        <v>498</v>
      </c>
      <c r="H4296" s="4">
        <v>24094248</v>
      </c>
      <c r="I4296" s="4">
        <v>21419545</v>
      </c>
      <c r="J4296" s="3">
        <v>0.11101002197702954</v>
      </c>
      <c r="K4296" s="3">
        <v>0.12487207361314165</v>
      </c>
      <c r="L4296" t="s">
        <v>377</v>
      </c>
    </row>
    <row r="4297" spans="1:12" x14ac:dyDescent="0.25">
      <c r="A4297" t="s">
        <v>487</v>
      </c>
      <c r="B4297" t="s">
        <v>463</v>
      </c>
      <c r="C4297" t="s">
        <v>464</v>
      </c>
      <c r="D4297" t="s">
        <v>425</v>
      </c>
      <c r="E4297" t="s">
        <v>427</v>
      </c>
      <c r="F4297">
        <v>1</v>
      </c>
      <c r="G4297" t="s">
        <v>499</v>
      </c>
      <c r="H4297" s="4">
        <v>24094248</v>
      </c>
      <c r="I4297" s="4">
        <v>18303827</v>
      </c>
      <c r="J4297" s="3">
        <v>0.240323790142776</v>
      </c>
      <c r="K4297" s="3">
        <v>0.31635029111671564</v>
      </c>
      <c r="L4297" t="s">
        <v>377</v>
      </c>
    </row>
    <row r="4298" spans="1:12" x14ac:dyDescent="0.25">
      <c r="A4298" t="s">
        <v>487</v>
      </c>
      <c r="B4298" t="s">
        <v>463</v>
      </c>
      <c r="C4298" t="s">
        <v>464</v>
      </c>
      <c r="D4298" t="s">
        <v>425</v>
      </c>
      <c r="E4298" t="s">
        <v>429</v>
      </c>
      <c r="F4298">
        <v>2</v>
      </c>
      <c r="G4298" t="s">
        <v>488</v>
      </c>
      <c r="H4298" s="4">
        <v>37286662</v>
      </c>
      <c r="I4298" s="4">
        <v>37914680.92194638</v>
      </c>
      <c r="J4298" s="3">
        <v>0.016842991253719</v>
      </c>
      <c r="K4298" s="3">
        <v>-0.016564003881221027</v>
      </c>
      <c r="L4298" t="s">
        <v>377</v>
      </c>
    </row>
    <row r="4299" spans="1:12" x14ac:dyDescent="0.25">
      <c r="A4299" t="s">
        <v>487</v>
      </c>
      <c r="B4299" t="s">
        <v>463</v>
      </c>
      <c r="C4299" t="s">
        <v>464</v>
      </c>
      <c r="D4299" t="s">
        <v>425</v>
      </c>
      <c r="E4299" t="s">
        <v>429</v>
      </c>
      <c r="F4299">
        <v>2</v>
      </c>
      <c r="G4299" t="s">
        <v>498</v>
      </c>
      <c r="H4299" s="4">
        <v>37286662</v>
      </c>
      <c r="I4299" s="4">
        <v>37131430</v>
      </c>
      <c r="J4299" s="3">
        <v>0.004163204526058138</v>
      </c>
      <c r="K4299" s="3">
        <v>0.004180609257440395</v>
      </c>
      <c r="L4299" t="s">
        <v>377</v>
      </c>
    </row>
    <row r="4300" spans="1:12" x14ac:dyDescent="0.25">
      <c r="A4300" t="s">
        <v>487</v>
      </c>
      <c r="B4300" t="s">
        <v>463</v>
      </c>
      <c r="C4300" t="s">
        <v>464</v>
      </c>
      <c r="D4300" t="s">
        <v>425</v>
      </c>
      <c r="E4300" t="s">
        <v>429</v>
      </c>
      <c r="F4300">
        <v>2</v>
      </c>
      <c r="G4300" t="s">
        <v>499</v>
      </c>
      <c r="H4300" s="4">
        <v>37286662</v>
      </c>
      <c r="I4300" s="4">
        <v>18303827</v>
      </c>
      <c r="J4300" s="3">
        <v>0.5091052398308006</v>
      </c>
      <c r="K4300" s="3">
        <v>1.037096504463247</v>
      </c>
      <c r="L4300" t="s">
        <v>377</v>
      </c>
    </row>
    <row r="4301" spans="1:12" x14ac:dyDescent="0.25">
      <c r="A4301" t="s">
        <v>487</v>
      </c>
      <c r="B4301" t="s">
        <v>463</v>
      </c>
      <c r="C4301" t="s">
        <v>464</v>
      </c>
      <c r="D4301" t="s">
        <v>425</v>
      </c>
      <c r="E4301" t="s">
        <v>431</v>
      </c>
      <c r="F4301">
        <v>3</v>
      </c>
      <c r="G4301" t="s">
        <v>488</v>
      </c>
      <c r="H4301" s="4">
        <v>45209064</v>
      </c>
      <c r="I4301" s="4">
        <v>46334794.730206534</v>
      </c>
      <c r="J4301" s="3">
        <v>0.024900553796170923</v>
      </c>
      <c r="K4301" s="3">
        <v>-0.02429558038966878</v>
      </c>
      <c r="L4301" t="s">
        <v>377</v>
      </c>
    </row>
    <row r="4302" spans="1:12" x14ac:dyDescent="0.25">
      <c r="A4302" t="s">
        <v>487</v>
      </c>
      <c r="B4302" t="s">
        <v>463</v>
      </c>
      <c r="C4302" t="s">
        <v>464</v>
      </c>
      <c r="D4302" t="s">
        <v>425</v>
      </c>
      <c r="E4302" t="s">
        <v>431</v>
      </c>
      <c r="F4302">
        <v>3</v>
      </c>
      <c r="G4302" t="s">
        <v>498</v>
      </c>
      <c r="H4302" s="4">
        <v>45209064</v>
      </c>
      <c r="I4302" s="4">
        <v>45377599</v>
      </c>
      <c r="J4302" s="3">
        <v>0.0037279028824839197</v>
      </c>
      <c r="K4302" s="3">
        <v>-0.0037140572378014094</v>
      </c>
      <c r="L4302" t="s">
        <v>377</v>
      </c>
    </row>
    <row r="4303" spans="1:12" x14ac:dyDescent="0.25">
      <c r="A4303" t="s">
        <v>487</v>
      </c>
      <c r="B4303" t="s">
        <v>463</v>
      </c>
      <c r="C4303" t="s">
        <v>464</v>
      </c>
      <c r="D4303" t="s">
        <v>425</v>
      </c>
      <c r="E4303" t="s">
        <v>431</v>
      </c>
      <c r="F4303">
        <v>3</v>
      </c>
      <c r="G4303" t="s">
        <v>499</v>
      </c>
      <c r="H4303" s="4">
        <v>45209064</v>
      </c>
      <c r="I4303" s="4">
        <v>18303827</v>
      </c>
      <c r="J4303" s="3">
        <v>0.595129264343982</v>
      </c>
      <c r="K4303" s="3">
        <v>1.469924131166668</v>
      </c>
      <c r="L4303" t="s">
        <v>377</v>
      </c>
    </row>
    <row r="4304" spans="1:12" x14ac:dyDescent="0.25">
      <c r="A4304" t="s">
        <v>487</v>
      </c>
      <c r="B4304" t="s">
        <v>463</v>
      </c>
      <c r="C4304" t="s">
        <v>464</v>
      </c>
      <c r="D4304" t="s">
        <v>427</v>
      </c>
      <c r="E4304" t="s">
        <v>429</v>
      </c>
      <c r="F4304">
        <v>1</v>
      </c>
      <c r="G4304" t="s">
        <v>488</v>
      </c>
      <c r="H4304" s="4">
        <v>37286662</v>
      </c>
      <c r="I4304" s="4">
        <v>38343578.19985964</v>
      </c>
      <c r="J4304" s="3">
        <v>0.02834569101035758</v>
      </c>
      <c r="K4304" s="3">
        <v>-0.027564360173968072</v>
      </c>
      <c r="L4304" t="s">
        <v>377</v>
      </c>
    </row>
    <row r="4305" spans="1:12" x14ac:dyDescent="0.25">
      <c r="A4305" t="s">
        <v>487</v>
      </c>
      <c r="B4305" t="s">
        <v>463</v>
      </c>
      <c r="C4305" t="s">
        <v>464</v>
      </c>
      <c r="D4305" t="s">
        <v>427</v>
      </c>
      <c r="E4305" t="s">
        <v>429</v>
      </c>
      <c r="F4305">
        <v>1</v>
      </c>
      <c r="G4305" t="s">
        <v>498</v>
      </c>
      <c r="H4305" s="4">
        <v>37286662</v>
      </c>
      <c r="I4305" s="4">
        <v>37131430</v>
      </c>
      <c r="J4305" s="3">
        <v>0.004163204526058138</v>
      </c>
      <c r="K4305" s="3">
        <v>0.004180609257440395</v>
      </c>
      <c r="L4305" t="s">
        <v>377</v>
      </c>
    </row>
    <row r="4306" spans="1:12" x14ac:dyDescent="0.25">
      <c r="A4306" t="s">
        <v>487</v>
      </c>
      <c r="B4306" t="s">
        <v>463</v>
      </c>
      <c r="C4306" t="s">
        <v>464</v>
      </c>
      <c r="D4306" t="s">
        <v>427</v>
      </c>
      <c r="E4306" t="s">
        <v>429</v>
      </c>
      <c r="F4306">
        <v>1</v>
      </c>
      <c r="G4306" t="s">
        <v>499</v>
      </c>
      <c r="H4306" s="4">
        <v>37286662</v>
      </c>
      <c r="I4306" s="4">
        <v>24094248</v>
      </c>
      <c r="J4306" s="3">
        <v>0.3538105395436041</v>
      </c>
      <c r="K4306" s="3">
        <v>0.5475337516240391</v>
      </c>
      <c r="L4306" t="s">
        <v>377</v>
      </c>
    </row>
    <row r="4307" spans="1:12" x14ac:dyDescent="0.25">
      <c r="A4307" t="s">
        <v>487</v>
      </c>
      <c r="B4307" t="s">
        <v>463</v>
      </c>
      <c r="C4307" t="s">
        <v>464</v>
      </c>
      <c r="D4307" t="s">
        <v>427</v>
      </c>
      <c r="E4307" t="s">
        <v>431</v>
      </c>
      <c r="F4307">
        <v>2</v>
      </c>
      <c r="G4307" t="s">
        <v>488</v>
      </c>
      <c r="H4307" s="4">
        <v>45209064</v>
      </c>
      <c r="I4307" s="4">
        <v>46858941.75846103</v>
      </c>
      <c r="J4307" s="3">
        <v>0.03649440206196324</v>
      </c>
      <c r="K4307" s="3">
        <v>-0.035209454088090245</v>
      </c>
      <c r="L4307" t="s">
        <v>377</v>
      </c>
    </row>
    <row r="4308" spans="1:12" x14ac:dyDescent="0.25">
      <c r="A4308" t="s">
        <v>487</v>
      </c>
      <c r="B4308" t="s">
        <v>463</v>
      </c>
      <c r="C4308" t="s">
        <v>464</v>
      </c>
      <c r="D4308" t="s">
        <v>427</v>
      </c>
      <c r="E4308" t="s">
        <v>431</v>
      </c>
      <c r="F4308">
        <v>2</v>
      </c>
      <c r="G4308" t="s">
        <v>498</v>
      </c>
      <c r="H4308" s="4">
        <v>45209064</v>
      </c>
      <c r="I4308" s="4">
        <v>45377599</v>
      </c>
      <c r="J4308" s="3">
        <v>0.0037279028824839197</v>
      </c>
      <c r="K4308" s="3">
        <v>-0.0037140572378014094</v>
      </c>
      <c r="L4308" t="s">
        <v>377</v>
      </c>
    </row>
    <row r="4309" spans="1:12" x14ac:dyDescent="0.25">
      <c r="A4309" t="s">
        <v>487</v>
      </c>
      <c r="B4309" t="s">
        <v>463</v>
      </c>
      <c r="C4309" t="s">
        <v>464</v>
      </c>
      <c r="D4309" t="s">
        <v>427</v>
      </c>
      <c r="E4309" t="s">
        <v>431</v>
      </c>
      <c r="F4309">
        <v>2</v>
      </c>
      <c r="G4309" t="s">
        <v>499</v>
      </c>
      <c r="H4309" s="4">
        <v>45209064</v>
      </c>
      <c r="I4309" s="4">
        <v>24094248</v>
      </c>
      <c r="J4309" s="3">
        <v>0.4670482892545619</v>
      </c>
      <c r="K4309" s="3">
        <v>0.8763426025995914</v>
      </c>
      <c r="L4309" t="s">
        <v>377</v>
      </c>
    </row>
    <row r="4310" spans="1:12" x14ac:dyDescent="0.25">
      <c r="A4310" t="s">
        <v>487</v>
      </c>
      <c r="B4310" t="s">
        <v>463</v>
      </c>
      <c r="C4310" t="s">
        <v>464</v>
      </c>
      <c r="D4310" t="s">
        <v>427</v>
      </c>
      <c r="E4310" t="s">
        <v>433</v>
      </c>
      <c r="F4310">
        <v>3</v>
      </c>
      <c r="G4310" t="s">
        <v>488</v>
      </c>
      <c r="H4310" s="4">
        <v>45818403</v>
      </c>
      <c r="I4310" s="4">
        <v>54979356.8879539</v>
      </c>
      <c r="J4310" s="3">
        <v>0.19994048871484893</v>
      </c>
      <c r="K4310" s="3">
        <v>-0.16662533733567708</v>
      </c>
      <c r="L4310" t="s">
        <v>377</v>
      </c>
    </row>
    <row r="4311" spans="1:12" x14ac:dyDescent="0.25">
      <c r="A4311" t="s">
        <v>487</v>
      </c>
      <c r="B4311" t="s">
        <v>463</v>
      </c>
      <c r="C4311" t="s">
        <v>464</v>
      </c>
      <c r="D4311" t="s">
        <v>427</v>
      </c>
      <c r="E4311" t="s">
        <v>433</v>
      </c>
      <c r="F4311">
        <v>3</v>
      </c>
      <c r="G4311" t="s">
        <v>498</v>
      </c>
      <c r="H4311" s="4">
        <v>45818403</v>
      </c>
      <c r="I4311" s="4">
        <v>53241305</v>
      </c>
      <c r="J4311" s="3">
        <v>0.16200699967652735</v>
      </c>
      <c r="K4311" s="3">
        <v>-0.1394199860427914</v>
      </c>
      <c r="L4311" t="s">
        <v>377</v>
      </c>
    </row>
    <row r="4312" spans="1:12" x14ac:dyDescent="0.25">
      <c r="A4312" t="s">
        <v>487</v>
      </c>
      <c r="B4312" t="s">
        <v>463</v>
      </c>
      <c r="C4312" t="s">
        <v>464</v>
      </c>
      <c r="D4312" t="s">
        <v>427</v>
      </c>
      <c r="E4312" t="s">
        <v>433</v>
      </c>
      <c r="F4312">
        <v>3</v>
      </c>
      <c r="G4312" t="s">
        <v>499</v>
      </c>
      <c r="H4312" s="4">
        <v>45818403</v>
      </c>
      <c r="I4312" s="4">
        <v>24094248</v>
      </c>
      <c r="J4312" s="3">
        <v>0.4741360147362622</v>
      </c>
      <c r="K4312" s="3">
        <v>0.9016324145082262</v>
      </c>
      <c r="L4312" t="s">
        <v>377</v>
      </c>
    </row>
    <row r="4313" spans="1:12" x14ac:dyDescent="0.25">
      <c r="A4313" t="s">
        <v>487</v>
      </c>
      <c r="B4313" t="s">
        <v>463</v>
      </c>
      <c r="C4313" t="s">
        <v>464</v>
      </c>
      <c r="D4313" t="s">
        <v>429</v>
      </c>
      <c r="E4313" t="s">
        <v>431</v>
      </c>
      <c r="F4313">
        <v>1</v>
      </c>
      <c r="G4313" t="s">
        <v>488</v>
      </c>
      <c r="H4313" s="4">
        <v>45209064</v>
      </c>
      <c r="I4313" s="4">
        <v>46174020.89796748</v>
      </c>
      <c r="J4313" s="3">
        <v>0.021344323739316527</v>
      </c>
      <c r="K4313" s="3">
        <v>-0.020898264417989126</v>
      </c>
      <c r="L4313" t="s">
        <v>377</v>
      </c>
    </row>
    <row r="4314" spans="1:12" x14ac:dyDescent="0.25">
      <c r="A4314" t="s">
        <v>487</v>
      </c>
      <c r="B4314" t="s">
        <v>463</v>
      </c>
      <c r="C4314" t="s">
        <v>464</v>
      </c>
      <c r="D4314" t="s">
        <v>429</v>
      </c>
      <c r="E4314" t="s">
        <v>431</v>
      </c>
      <c r="F4314">
        <v>1</v>
      </c>
      <c r="G4314" t="s">
        <v>498</v>
      </c>
      <c r="H4314" s="4">
        <v>45209064</v>
      </c>
      <c r="I4314" s="4">
        <v>45377599</v>
      </c>
      <c r="J4314" s="3">
        <v>0.0037279028824839197</v>
      </c>
      <c r="K4314" s="3">
        <v>-0.0037140572378014094</v>
      </c>
      <c r="L4314" t="s">
        <v>377</v>
      </c>
    </row>
    <row r="4315" spans="1:12" x14ac:dyDescent="0.25">
      <c r="A4315" t="s">
        <v>487</v>
      </c>
      <c r="B4315" t="s">
        <v>463</v>
      </c>
      <c r="C4315" t="s">
        <v>464</v>
      </c>
      <c r="D4315" t="s">
        <v>429</v>
      </c>
      <c r="E4315" t="s">
        <v>431</v>
      </c>
      <c r="F4315">
        <v>1</v>
      </c>
      <c r="G4315" t="s">
        <v>499</v>
      </c>
      <c r="H4315" s="4">
        <v>45209064</v>
      </c>
      <c r="I4315" s="4">
        <v>37286662</v>
      </c>
      <c r="J4315" s="3">
        <v>0.17523923963566243</v>
      </c>
      <c r="K4315" s="3">
        <v>0.21247281400517964</v>
      </c>
      <c r="L4315" t="s">
        <v>377</v>
      </c>
    </row>
    <row r="4316" spans="1:12" x14ac:dyDescent="0.25">
      <c r="A4316" t="s">
        <v>487</v>
      </c>
      <c r="B4316" t="s">
        <v>463</v>
      </c>
      <c r="C4316" t="s">
        <v>464</v>
      </c>
      <c r="D4316" t="s">
        <v>429</v>
      </c>
      <c r="E4316" t="s">
        <v>433</v>
      </c>
      <c r="F4316">
        <v>2</v>
      </c>
      <c r="G4316" t="s">
        <v>488</v>
      </c>
      <c r="H4316" s="4">
        <v>45818403</v>
      </c>
      <c r="I4316" s="4">
        <v>54175742.74269251</v>
      </c>
      <c r="J4316" s="3">
        <v>0.1824013757679967</v>
      </c>
      <c r="K4316" s="3">
        <v>-0.1542635009617803</v>
      </c>
      <c r="L4316" t="s">
        <v>377</v>
      </c>
    </row>
    <row r="4317" spans="1:12" x14ac:dyDescent="0.25">
      <c r="A4317" t="s">
        <v>487</v>
      </c>
      <c r="B4317" t="s">
        <v>463</v>
      </c>
      <c r="C4317" t="s">
        <v>464</v>
      </c>
      <c r="D4317" t="s">
        <v>429</v>
      </c>
      <c r="E4317" t="s">
        <v>433</v>
      </c>
      <c r="F4317">
        <v>2</v>
      </c>
      <c r="G4317" t="s">
        <v>498</v>
      </c>
      <c r="H4317" s="4">
        <v>45818403</v>
      </c>
      <c r="I4317" s="4">
        <v>53241305</v>
      </c>
      <c r="J4317" s="3">
        <v>0.16200699967652735</v>
      </c>
      <c r="K4317" s="3">
        <v>-0.1394199860427914</v>
      </c>
      <c r="L4317" t="s">
        <v>377</v>
      </c>
    </row>
    <row r="4318" spans="1:12" x14ac:dyDescent="0.25">
      <c r="A4318" t="s">
        <v>487</v>
      </c>
      <c r="B4318" t="s">
        <v>463</v>
      </c>
      <c r="C4318" t="s">
        <v>464</v>
      </c>
      <c r="D4318" t="s">
        <v>429</v>
      </c>
      <c r="E4318" t="s">
        <v>433</v>
      </c>
      <c r="F4318">
        <v>2</v>
      </c>
      <c r="G4318" t="s">
        <v>499</v>
      </c>
      <c r="H4318" s="4">
        <v>45818403</v>
      </c>
      <c r="I4318" s="4">
        <v>37286662</v>
      </c>
      <c r="J4318" s="3">
        <v>0.18620773404083943</v>
      </c>
      <c r="K4318" s="3">
        <v>0.2288148239174641</v>
      </c>
      <c r="L4318" t="s">
        <v>377</v>
      </c>
    </row>
    <row r="4319" spans="1:12" x14ac:dyDescent="0.25">
      <c r="A4319" t="s">
        <v>487</v>
      </c>
      <c r="B4319" t="s">
        <v>463</v>
      </c>
      <c r="C4319" t="s">
        <v>464</v>
      </c>
      <c r="D4319" t="s">
        <v>429</v>
      </c>
      <c r="E4319" t="s">
        <v>435</v>
      </c>
      <c r="F4319">
        <v>3</v>
      </c>
      <c r="G4319" t="s">
        <v>488</v>
      </c>
      <c r="H4319" s="4">
        <v>40723384</v>
      </c>
      <c r="I4319" s="4">
        <v>51243582.0485295</v>
      </c>
      <c r="J4319" s="3">
        <v>0.25833310042528634</v>
      </c>
      <c r="K4319" s="3">
        <v>-0.2052978661516382</v>
      </c>
      <c r="L4319" t="s">
        <v>377</v>
      </c>
    </row>
    <row r="4320" spans="1:12" x14ac:dyDescent="0.25">
      <c r="A4320" t="s">
        <v>487</v>
      </c>
      <c r="B4320" t="s">
        <v>463</v>
      </c>
      <c r="C4320" t="s">
        <v>464</v>
      </c>
      <c r="D4320" t="s">
        <v>429</v>
      </c>
      <c r="E4320" t="s">
        <v>435</v>
      </c>
      <c r="F4320">
        <v>3</v>
      </c>
      <c r="G4320" t="s">
        <v>498</v>
      </c>
      <c r="H4320" s="4">
        <v>40723384</v>
      </c>
      <c r="I4320" s="4">
        <v>50359719</v>
      </c>
      <c r="J4320" s="3">
        <v>0.23662903357933124</v>
      </c>
      <c r="K4320" s="3">
        <v>-0.19135005499137117</v>
      </c>
      <c r="L4320" t="s">
        <v>377</v>
      </c>
    </row>
    <row r="4321" spans="1:12" x14ac:dyDescent="0.25">
      <c r="A4321" t="s">
        <v>487</v>
      </c>
      <c r="B4321" t="s">
        <v>463</v>
      </c>
      <c r="C4321" t="s">
        <v>464</v>
      </c>
      <c r="D4321" t="s">
        <v>429</v>
      </c>
      <c r="E4321" t="s">
        <v>435</v>
      </c>
      <c r="F4321">
        <v>3</v>
      </c>
      <c r="G4321" t="s">
        <v>499</v>
      </c>
      <c r="H4321" s="4">
        <v>40723384</v>
      </c>
      <c r="I4321" s="4">
        <v>37286662</v>
      </c>
      <c r="J4321" s="3">
        <v>0.08439185702249105</v>
      </c>
      <c r="K4321" s="3">
        <v>0.09217027794013849</v>
      </c>
      <c r="L4321" t="s">
        <v>377</v>
      </c>
    </row>
    <row r="4322" spans="1:12" x14ac:dyDescent="0.25">
      <c r="A4322" t="s">
        <v>487</v>
      </c>
      <c r="B4322" t="s">
        <v>463</v>
      </c>
      <c r="C4322" t="s">
        <v>464</v>
      </c>
      <c r="D4322" t="s">
        <v>431</v>
      </c>
      <c r="E4322" t="s">
        <v>433</v>
      </c>
      <c r="F4322">
        <v>1</v>
      </c>
      <c r="G4322" t="s">
        <v>488</v>
      </c>
      <c r="H4322" s="4">
        <v>45818403</v>
      </c>
      <c r="I4322" s="4">
        <v>54379817.47331794</v>
      </c>
      <c r="J4322" s="3">
        <v>0.18685536624482402</v>
      </c>
      <c r="K4322" s="3">
        <v>-0.1574373521485006</v>
      </c>
      <c r="L4322" t="s">
        <v>377</v>
      </c>
    </row>
    <row r="4323" spans="1:12" x14ac:dyDescent="0.25">
      <c r="A4323" t="s">
        <v>487</v>
      </c>
      <c r="B4323" t="s">
        <v>463</v>
      </c>
      <c r="C4323" t="s">
        <v>464</v>
      </c>
      <c r="D4323" t="s">
        <v>431</v>
      </c>
      <c r="E4323" t="s">
        <v>433</v>
      </c>
      <c r="F4323">
        <v>1</v>
      </c>
      <c r="G4323" t="s">
        <v>498</v>
      </c>
      <c r="H4323" s="4">
        <v>45818403</v>
      </c>
      <c r="I4323" s="4">
        <v>53241305</v>
      </c>
      <c r="J4323" s="3">
        <v>0.16200699967652735</v>
      </c>
      <c r="K4323" s="3">
        <v>-0.1394199860427914</v>
      </c>
      <c r="L4323" t="s">
        <v>377</v>
      </c>
    </row>
    <row r="4324" spans="1:12" x14ac:dyDescent="0.25">
      <c r="A4324" t="s">
        <v>487</v>
      </c>
      <c r="B4324" t="s">
        <v>463</v>
      </c>
      <c r="C4324" t="s">
        <v>464</v>
      </c>
      <c r="D4324" t="s">
        <v>431</v>
      </c>
      <c r="E4324" t="s">
        <v>433</v>
      </c>
      <c r="F4324">
        <v>1</v>
      </c>
      <c r="G4324" t="s">
        <v>499</v>
      </c>
      <c r="H4324" s="4">
        <v>45818403</v>
      </c>
      <c r="I4324" s="4">
        <v>45209064</v>
      </c>
      <c r="J4324" s="3">
        <v>0.013299001276845027</v>
      </c>
      <c r="K4324" s="3">
        <v>0.013478248521137265</v>
      </c>
      <c r="L4324" t="s">
        <v>377</v>
      </c>
    </row>
    <row r="4325" spans="1:12" x14ac:dyDescent="0.25">
      <c r="A4325" t="s">
        <v>487</v>
      </c>
      <c r="B4325" t="s">
        <v>463</v>
      </c>
      <c r="C4325" t="s">
        <v>464</v>
      </c>
      <c r="D4325" t="s">
        <v>431</v>
      </c>
      <c r="E4325" t="s">
        <v>435</v>
      </c>
      <c r="F4325">
        <v>2</v>
      </c>
      <c r="G4325" t="s">
        <v>488</v>
      </c>
      <c r="H4325" s="4">
        <v>40723384</v>
      </c>
      <c r="I4325" s="4">
        <v>51436611.61625512</v>
      </c>
      <c r="J4325" s="3">
        <v>0.2630731182913267</v>
      </c>
      <c r="K4325" s="3">
        <v>-0.20828019730734945</v>
      </c>
      <c r="L4325" t="s">
        <v>377</v>
      </c>
    </row>
    <row r="4326" spans="1:12" x14ac:dyDescent="0.25">
      <c r="A4326" t="s">
        <v>487</v>
      </c>
      <c r="B4326" t="s">
        <v>463</v>
      </c>
      <c r="C4326" t="s">
        <v>464</v>
      </c>
      <c r="D4326" t="s">
        <v>431</v>
      </c>
      <c r="E4326" t="s">
        <v>435</v>
      </c>
      <c r="F4326">
        <v>2</v>
      </c>
      <c r="G4326" t="s">
        <v>498</v>
      </c>
      <c r="H4326" s="4">
        <v>40723384</v>
      </c>
      <c r="I4326" s="4">
        <v>50359719</v>
      </c>
      <c r="J4326" s="3">
        <v>0.23662903357933124</v>
      </c>
      <c r="K4326" s="3">
        <v>-0.19135005499137117</v>
      </c>
      <c r="L4326" t="s">
        <v>377</v>
      </c>
    </row>
    <row r="4327" spans="1:12" x14ac:dyDescent="0.25">
      <c r="A4327" t="s">
        <v>487</v>
      </c>
      <c r="B4327" t="s">
        <v>463</v>
      </c>
      <c r="C4327" t="s">
        <v>464</v>
      </c>
      <c r="D4327" t="s">
        <v>431</v>
      </c>
      <c r="E4327" t="s">
        <v>435</v>
      </c>
      <c r="F4327">
        <v>2</v>
      </c>
      <c r="G4327" t="s">
        <v>499</v>
      </c>
      <c r="H4327" s="4">
        <v>40723384</v>
      </c>
      <c r="I4327" s="4">
        <v>45209064</v>
      </c>
      <c r="J4327" s="3">
        <v>0.11014998164199714</v>
      </c>
      <c r="K4327" s="3">
        <v>-0.09922081111876149</v>
      </c>
      <c r="L4327" t="s">
        <v>377</v>
      </c>
    </row>
    <row r="4328" spans="1:12" x14ac:dyDescent="0.25">
      <c r="A4328" t="s">
        <v>487</v>
      </c>
      <c r="B4328" t="s">
        <v>463</v>
      </c>
      <c r="C4328" t="s">
        <v>464</v>
      </c>
      <c r="D4328" t="s">
        <v>431</v>
      </c>
      <c r="E4328" t="s">
        <v>437</v>
      </c>
      <c r="F4328">
        <v>3</v>
      </c>
      <c r="G4328" t="s">
        <v>488</v>
      </c>
      <c r="H4328" s="4">
        <v>31983131</v>
      </c>
      <c r="I4328" s="4">
        <v>37899457.62426444</v>
      </c>
      <c r="J4328" s="3">
        <v>0.18498272180620595</v>
      </c>
      <c r="K4328" s="3">
        <v>-0.15610583884653326</v>
      </c>
      <c r="L4328" t="s">
        <v>377</v>
      </c>
    </row>
    <row r="4329" spans="1:12" x14ac:dyDescent="0.25">
      <c r="A4329" t="s">
        <v>487</v>
      </c>
      <c r="B4329" t="s">
        <v>463</v>
      </c>
      <c r="C4329" t="s">
        <v>464</v>
      </c>
      <c r="D4329" t="s">
        <v>431</v>
      </c>
      <c r="E4329" t="s">
        <v>437</v>
      </c>
      <c r="F4329">
        <v>3</v>
      </c>
      <c r="G4329" t="s">
        <v>498</v>
      </c>
      <c r="H4329" s="4">
        <v>31983131</v>
      </c>
      <c r="I4329" s="4">
        <v>37105983</v>
      </c>
      <c r="J4329" s="3">
        <v>0.16017356149402634</v>
      </c>
      <c r="K4329" s="3">
        <v>-0.1380599996501912</v>
      </c>
      <c r="L4329" t="s">
        <v>377</v>
      </c>
    </row>
    <row r="4330" spans="1:12" x14ac:dyDescent="0.25">
      <c r="A4330" t="s">
        <v>487</v>
      </c>
      <c r="B4330" t="s">
        <v>463</v>
      </c>
      <c r="C4330" t="s">
        <v>464</v>
      </c>
      <c r="D4330" t="s">
        <v>431</v>
      </c>
      <c r="E4330" t="s">
        <v>437</v>
      </c>
      <c r="F4330">
        <v>3</v>
      </c>
      <c r="G4330" t="s">
        <v>499</v>
      </c>
      <c r="H4330" s="4">
        <v>31983131</v>
      </c>
      <c r="I4330" s="4">
        <v>45209064</v>
      </c>
      <c r="J4330" s="3">
        <v>0.41352840033078686</v>
      </c>
      <c r="K4330" s="3">
        <v>-0.29255047173726045</v>
      </c>
      <c r="L4330" t="s">
        <v>377</v>
      </c>
    </row>
    <row r="4331" spans="1:12" x14ac:dyDescent="0.25">
      <c r="A4331" t="s">
        <v>487</v>
      </c>
      <c r="B4331" t="s">
        <v>463</v>
      </c>
      <c r="C4331" t="s">
        <v>464</v>
      </c>
      <c r="D4331" t="s">
        <v>433</v>
      </c>
      <c r="E4331" t="s">
        <v>435</v>
      </c>
      <c r="F4331">
        <v>1</v>
      </c>
      <c r="G4331" t="s">
        <v>488</v>
      </c>
      <c r="H4331" s="4">
        <v>40723384</v>
      </c>
      <c r="I4331" s="4">
        <v>50210210.013417825</v>
      </c>
      <c r="J4331" s="3">
        <v>0.23295770345160474</v>
      </c>
      <c r="K4331" s="3">
        <v>-0.1889421695484371</v>
      </c>
      <c r="L4331" t="s">
        <v>377</v>
      </c>
    </row>
    <row r="4332" spans="1:12" x14ac:dyDescent="0.25">
      <c r="A4332" t="s">
        <v>487</v>
      </c>
      <c r="B4332" t="s">
        <v>463</v>
      </c>
      <c r="C4332" t="s">
        <v>464</v>
      </c>
      <c r="D4332" t="s">
        <v>433</v>
      </c>
      <c r="E4332" t="s">
        <v>435</v>
      </c>
      <c r="F4332">
        <v>1</v>
      </c>
      <c r="G4332" t="s">
        <v>498</v>
      </c>
      <c r="H4332" s="4">
        <v>40723384</v>
      </c>
      <c r="I4332" s="4">
        <v>50359719</v>
      </c>
      <c r="J4332" s="3">
        <v>0.23662903357933124</v>
      </c>
      <c r="K4332" s="3">
        <v>-0.19135005499137117</v>
      </c>
      <c r="L4332" t="s">
        <v>377</v>
      </c>
    </row>
    <row r="4333" spans="1:12" x14ac:dyDescent="0.25">
      <c r="A4333" t="s">
        <v>487</v>
      </c>
      <c r="B4333" t="s">
        <v>463</v>
      </c>
      <c r="C4333" t="s">
        <v>464</v>
      </c>
      <c r="D4333" t="s">
        <v>433</v>
      </c>
      <c r="E4333" t="s">
        <v>435</v>
      </c>
      <c r="F4333">
        <v>1</v>
      </c>
      <c r="G4333" t="s">
        <v>499</v>
      </c>
      <c r="H4333" s="4">
        <v>40723384</v>
      </c>
      <c r="I4333" s="4">
        <v>45818403</v>
      </c>
      <c r="J4333" s="3">
        <v>0.12511285899030394</v>
      </c>
      <c r="K4333" s="3">
        <v>-0.11120027470184851</v>
      </c>
      <c r="L4333" t="s">
        <v>377</v>
      </c>
    </row>
    <row r="4334" spans="1:12" x14ac:dyDescent="0.25">
      <c r="A4334" t="s">
        <v>487</v>
      </c>
      <c r="B4334" t="s">
        <v>463</v>
      </c>
      <c r="C4334" t="s">
        <v>464</v>
      </c>
      <c r="D4334" t="s">
        <v>433</v>
      </c>
      <c r="E4334" t="s">
        <v>437</v>
      </c>
      <c r="F4334">
        <v>2</v>
      </c>
      <c r="G4334" t="s">
        <v>488</v>
      </c>
      <c r="H4334" s="4">
        <v>31983131</v>
      </c>
      <c r="I4334" s="4">
        <v>36995821.98193583</v>
      </c>
      <c r="J4334" s="3">
        <v>0.15672921397019662</v>
      </c>
      <c r="K4334" s="3">
        <v>-0.1354934344852077</v>
      </c>
      <c r="L4334" t="s">
        <v>377</v>
      </c>
    </row>
    <row r="4335" spans="1:12" x14ac:dyDescent="0.25">
      <c r="A4335" t="s">
        <v>487</v>
      </c>
      <c r="B4335" t="s">
        <v>463</v>
      </c>
      <c r="C4335" t="s">
        <v>464</v>
      </c>
      <c r="D4335" t="s">
        <v>433</v>
      </c>
      <c r="E4335" t="s">
        <v>437</v>
      </c>
      <c r="F4335">
        <v>2</v>
      </c>
      <c r="G4335" t="s">
        <v>498</v>
      </c>
      <c r="H4335" s="4">
        <v>31983131</v>
      </c>
      <c r="I4335" s="4">
        <v>37105983</v>
      </c>
      <c r="J4335" s="3">
        <v>0.16017356149402634</v>
      </c>
      <c r="K4335" s="3">
        <v>-0.1380599996501912</v>
      </c>
      <c r="L4335" t="s">
        <v>377</v>
      </c>
    </row>
    <row r="4336" spans="1:12" x14ac:dyDescent="0.25">
      <c r="A4336" t="s">
        <v>487</v>
      </c>
      <c r="B4336" t="s">
        <v>463</v>
      </c>
      <c r="C4336" t="s">
        <v>464</v>
      </c>
      <c r="D4336" t="s">
        <v>433</v>
      </c>
      <c r="E4336" t="s">
        <v>437</v>
      </c>
      <c r="F4336">
        <v>2</v>
      </c>
      <c r="G4336" t="s">
        <v>499</v>
      </c>
      <c r="H4336" s="4">
        <v>31983131</v>
      </c>
      <c r="I4336" s="4">
        <v>45818403</v>
      </c>
      <c r="J4336" s="3">
        <v>0.43258028740213084</v>
      </c>
      <c r="K4336" s="3">
        <v>-0.30195884391693006</v>
      </c>
      <c r="L4336" t="s">
        <v>377</v>
      </c>
    </row>
    <row r="4337" spans="1:12" x14ac:dyDescent="0.25">
      <c r="A4337" t="s">
        <v>487</v>
      </c>
      <c r="B4337" t="s">
        <v>463</v>
      </c>
      <c r="C4337" t="s">
        <v>464</v>
      </c>
      <c r="D4337" t="s">
        <v>433</v>
      </c>
      <c r="E4337" t="s">
        <v>11</v>
      </c>
      <c r="F4337">
        <v>3</v>
      </c>
      <c r="G4337" t="s">
        <v>488</v>
      </c>
      <c r="H4337" s="4">
        <v>33632817</v>
      </c>
      <c r="I4337" s="4">
        <v>33366589.605817303</v>
      </c>
      <c r="J4337" s="3">
        <v>0.007915703111716658</v>
      </c>
      <c r="K4337" s="3">
        <v>0.007978861409806217</v>
      </c>
      <c r="L4337" t="s">
        <v>377</v>
      </c>
    </row>
    <row r="4338" spans="1:12" x14ac:dyDescent="0.25">
      <c r="A4338" t="s">
        <v>487</v>
      </c>
      <c r="B4338" t="s">
        <v>463</v>
      </c>
      <c r="C4338" t="s">
        <v>464</v>
      </c>
      <c r="D4338" t="s">
        <v>433</v>
      </c>
      <c r="E4338" t="s">
        <v>11</v>
      </c>
      <c r="F4338">
        <v>3</v>
      </c>
      <c r="G4338" t="s">
        <v>498</v>
      </c>
      <c r="H4338" s="4">
        <v>33632817</v>
      </c>
      <c r="I4338" s="4">
        <v>33465944</v>
      </c>
      <c r="J4338" s="3">
        <v>0.004961612344276722</v>
      </c>
      <c r="K4338" s="3">
        <v>0.00498635269335298</v>
      </c>
      <c r="L4338" t="s">
        <v>377</v>
      </c>
    </row>
    <row r="4339" spans="1:12" x14ac:dyDescent="0.25">
      <c r="A4339" t="s">
        <v>487</v>
      </c>
      <c r="B4339" t="s">
        <v>463</v>
      </c>
      <c r="C4339" t="s">
        <v>464</v>
      </c>
      <c r="D4339" t="s">
        <v>433</v>
      </c>
      <c r="E4339" t="s">
        <v>11</v>
      </c>
      <c r="F4339">
        <v>3</v>
      </c>
      <c r="G4339" t="s">
        <v>499</v>
      </c>
      <c r="H4339" s="4">
        <v>33632817</v>
      </c>
      <c r="I4339" s="4">
        <v>45818403</v>
      </c>
      <c r="J4339" s="3">
        <v>0.36231238079165357</v>
      </c>
      <c r="K4339" s="3">
        <v>-0.26595396613888966</v>
      </c>
      <c r="L4339" t="s">
        <v>377</v>
      </c>
    </row>
    <row r="4340" spans="1:12" x14ac:dyDescent="0.25">
      <c r="A4340" t="s">
        <v>487</v>
      </c>
      <c r="B4340" t="s">
        <v>463</v>
      </c>
      <c r="C4340" t="s">
        <v>464</v>
      </c>
      <c r="D4340" t="s">
        <v>435</v>
      </c>
      <c r="E4340" t="s">
        <v>437</v>
      </c>
      <c r="F4340">
        <v>1</v>
      </c>
      <c r="G4340" t="s">
        <v>488</v>
      </c>
      <c r="H4340" s="4">
        <v>31983131</v>
      </c>
      <c r="I4340" s="4">
        <v>35918173.18565763</v>
      </c>
      <c r="J4340" s="3">
        <v>0.12303492693250163</v>
      </c>
      <c r="K4340" s="3">
        <v>-0.10955574397722759</v>
      </c>
      <c r="L4340" t="s">
        <v>377</v>
      </c>
    </row>
    <row r="4341" spans="1:12" x14ac:dyDescent="0.25">
      <c r="A4341" t="s">
        <v>487</v>
      </c>
      <c r="B4341" t="s">
        <v>463</v>
      </c>
      <c r="C4341" t="s">
        <v>464</v>
      </c>
      <c r="D4341" t="s">
        <v>435</v>
      </c>
      <c r="E4341" t="s">
        <v>437</v>
      </c>
      <c r="F4341">
        <v>1</v>
      </c>
      <c r="G4341" t="s">
        <v>498</v>
      </c>
      <c r="H4341" s="4">
        <v>31983131</v>
      </c>
      <c r="I4341" s="4">
        <v>37105983</v>
      </c>
      <c r="J4341" s="3">
        <v>0.16017356149402634</v>
      </c>
      <c r="K4341" s="3">
        <v>-0.1380599996501912</v>
      </c>
      <c r="L4341" t="s">
        <v>377</v>
      </c>
    </row>
    <row r="4342" spans="1:12" x14ac:dyDescent="0.25">
      <c r="A4342" t="s">
        <v>487</v>
      </c>
      <c r="B4342" t="s">
        <v>463</v>
      </c>
      <c r="C4342" t="s">
        <v>464</v>
      </c>
      <c r="D4342" t="s">
        <v>435</v>
      </c>
      <c r="E4342" t="s">
        <v>437</v>
      </c>
      <c r="F4342">
        <v>1</v>
      </c>
      <c r="G4342" t="s">
        <v>499</v>
      </c>
      <c r="H4342" s="4">
        <v>31983131</v>
      </c>
      <c r="I4342" s="4">
        <v>40723384</v>
      </c>
      <c r="J4342" s="3">
        <v>0.2732769659105608</v>
      </c>
      <c r="K4342" s="3">
        <v>-0.2146249191864802</v>
      </c>
      <c r="L4342" t="s">
        <v>377</v>
      </c>
    </row>
    <row r="4343" spans="1:12" x14ac:dyDescent="0.25">
      <c r="A4343" t="s">
        <v>487</v>
      </c>
      <c r="B4343" t="s">
        <v>463</v>
      </c>
      <c r="C4343" t="s">
        <v>464</v>
      </c>
      <c r="D4343" t="s">
        <v>435</v>
      </c>
      <c r="E4343" t="s">
        <v>11</v>
      </c>
      <c r="F4343">
        <v>2</v>
      </c>
      <c r="G4343" t="s">
        <v>488</v>
      </c>
      <c r="H4343" s="4">
        <v>33632817</v>
      </c>
      <c r="I4343" s="4">
        <v>32394656.473957844</v>
      </c>
      <c r="J4343" s="3">
        <v>0.03681405949558599</v>
      </c>
      <c r="K4343" s="3">
        <v>0.03822113461945542</v>
      </c>
      <c r="L4343" t="s">
        <v>377</v>
      </c>
    </row>
    <row r="4344" spans="1:12" x14ac:dyDescent="0.25">
      <c r="A4344" t="s">
        <v>487</v>
      </c>
      <c r="B4344" t="s">
        <v>463</v>
      </c>
      <c r="C4344" t="s">
        <v>464</v>
      </c>
      <c r="D4344" t="s">
        <v>435</v>
      </c>
      <c r="E4344" t="s">
        <v>11</v>
      </c>
      <c r="F4344">
        <v>2</v>
      </c>
      <c r="G4344" t="s">
        <v>498</v>
      </c>
      <c r="H4344" s="4">
        <v>33632817</v>
      </c>
      <c r="I4344" s="4">
        <v>33465944</v>
      </c>
      <c r="J4344" s="3">
        <v>0.004961612344276722</v>
      </c>
      <c r="K4344" s="3">
        <v>0.00498635269335298</v>
      </c>
      <c r="L4344" t="s">
        <v>377</v>
      </c>
    </row>
    <row r="4345" spans="1:12" x14ac:dyDescent="0.25">
      <c r="A4345" t="s">
        <v>487</v>
      </c>
      <c r="B4345" t="s">
        <v>463</v>
      </c>
      <c r="C4345" t="s">
        <v>464</v>
      </c>
      <c r="D4345" t="s">
        <v>435</v>
      </c>
      <c r="E4345" t="s">
        <v>11</v>
      </c>
      <c r="F4345">
        <v>2</v>
      </c>
      <c r="G4345" t="s">
        <v>499</v>
      </c>
      <c r="H4345" s="4">
        <v>33632817</v>
      </c>
      <c r="I4345" s="4">
        <v>40723384</v>
      </c>
      <c r="J4345" s="3">
        <v>0.21082286981789244</v>
      </c>
      <c r="K4345" s="3">
        <v>-0.17411536821203266</v>
      </c>
      <c r="L4345" t="s">
        <v>377</v>
      </c>
    </row>
    <row r="4346" spans="1:12" x14ac:dyDescent="0.25">
      <c r="A4346" t="s">
        <v>487</v>
      </c>
      <c r="B4346" t="s">
        <v>463</v>
      </c>
      <c r="C4346" t="s">
        <v>464</v>
      </c>
      <c r="D4346" t="s">
        <v>437</v>
      </c>
      <c r="E4346" t="s">
        <v>11</v>
      </c>
      <c r="F4346">
        <v>1</v>
      </c>
      <c r="G4346" t="s">
        <v>488</v>
      </c>
      <c r="H4346" s="4">
        <v>33632817</v>
      </c>
      <c r="I4346" s="4">
        <v>32237425.434799362</v>
      </c>
      <c r="J4346" s="3">
        <v>0.04148898872195683</v>
      </c>
      <c r="K4346" s="3">
        <v>0.04328483265584706</v>
      </c>
      <c r="L4346" t="s">
        <v>377</v>
      </c>
    </row>
    <row r="4347" spans="1:12" x14ac:dyDescent="0.25">
      <c r="A4347" t="s">
        <v>487</v>
      </c>
      <c r="B4347" t="s">
        <v>463</v>
      </c>
      <c r="C4347" t="s">
        <v>464</v>
      </c>
      <c r="D4347" t="s">
        <v>437</v>
      </c>
      <c r="E4347" t="s">
        <v>11</v>
      </c>
      <c r="F4347">
        <v>1</v>
      </c>
      <c r="G4347" t="s">
        <v>498</v>
      </c>
      <c r="H4347" s="4">
        <v>33632817</v>
      </c>
      <c r="I4347" s="4">
        <v>33465944</v>
      </c>
      <c r="J4347" s="3">
        <v>0.004961612344276722</v>
      </c>
      <c r="K4347" s="3">
        <v>0.00498635269335298</v>
      </c>
      <c r="L4347" t="s">
        <v>377</v>
      </c>
    </row>
    <row r="4348" spans="1:12" x14ac:dyDescent="0.25">
      <c r="A4348" t="s">
        <v>487</v>
      </c>
      <c r="B4348" t="s">
        <v>463</v>
      </c>
      <c r="C4348" t="s">
        <v>464</v>
      </c>
      <c r="D4348" t="s">
        <v>437</v>
      </c>
      <c r="E4348" t="s">
        <v>11</v>
      </c>
      <c r="F4348">
        <v>1</v>
      </c>
      <c r="G4348" t="s">
        <v>499</v>
      </c>
      <c r="H4348" s="4">
        <v>33632817</v>
      </c>
      <c r="I4348" s="4">
        <v>31983131</v>
      </c>
      <c r="J4348" s="3">
        <v>0.04904989076591473</v>
      </c>
      <c r="K4348" s="3">
        <v>0.05157987815514372</v>
      </c>
      <c r="L4348" t="s">
        <v>377</v>
      </c>
    </row>
    <row r="4349" spans="1:12" x14ac:dyDescent="0.25">
      <c r="A4349" t="s">
        <v>487</v>
      </c>
      <c r="B4349" t="s">
        <v>465</v>
      </c>
      <c r="C4349" t="s">
        <v>478</v>
      </c>
      <c r="D4349" t="s">
        <v>114</v>
      </c>
      <c r="E4349" t="s">
        <v>116</v>
      </c>
      <c r="F4349">
        <v>1</v>
      </c>
      <c r="G4349" t="s">
        <v>488</v>
      </c>
      <c r="H4349" s="4">
        <v>7503487</v>
      </c>
      <c r="I4349" s="4">
        <v>7517724.834238143</v>
      </c>
      <c r="J4349" s="3">
        <v>0.0018974956894231584</v>
      </c>
      <c r="K4349" s="3">
        <v>-0.001893902018506852</v>
      </c>
      <c r="L4349" t="s">
        <v>54</v>
      </c>
    </row>
    <row r="4350" spans="1:12" x14ac:dyDescent="0.25">
      <c r="A4350" t="s">
        <v>487</v>
      </c>
      <c r="B4350" t="s">
        <v>465</v>
      </c>
      <c r="C4350" t="s">
        <v>478</v>
      </c>
      <c r="D4350" t="s">
        <v>114</v>
      </c>
      <c r="E4350" t="s">
        <v>116</v>
      </c>
      <c r="F4350">
        <v>1</v>
      </c>
      <c r="G4350" t="s">
        <v>498</v>
      </c>
      <c r="H4350" s="4">
        <v>7503487</v>
      </c>
      <c r="I4350" s="4">
        <v>8615722</v>
      </c>
      <c r="J4350" s="3">
        <v>0.14822908335817733</v>
      </c>
      <c r="K4350" s="3">
        <v>-0.12909364995760078</v>
      </c>
      <c r="L4350" t="s">
        <v>54</v>
      </c>
    </row>
    <row r="4351" spans="1:12" x14ac:dyDescent="0.25">
      <c r="A4351" t="s">
        <v>487</v>
      </c>
      <c r="B4351" t="s">
        <v>465</v>
      </c>
      <c r="C4351" t="s">
        <v>478</v>
      </c>
      <c r="D4351" t="s">
        <v>114</v>
      </c>
      <c r="E4351" t="s">
        <v>116</v>
      </c>
      <c r="F4351">
        <v>1</v>
      </c>
      <c r="G4351" t="s">
        <v>499</v>
      </c>
      <c r="H4351" s="4">
        <v>7503487</v>
      </c>
      <c r="I4351" s="4">
        <v>5624648</v>
      </c>
      <c r="J4351" s="3">
        <v>0.2503954494756904</v>
      </c>
      <c r="K4351" s="3">
        <v>0.33403672549820007</v>
      </c>
      <c r="L4351" t="s">
        <v>54</v>
      </c>
    </row>
    <row r="4352" spans="1:12" x14ac:dyDescent="0.25">
      <c r="A4352" t="s">
        <v>487</v>
      </c>
      <c r="B4352" t="s">
        <v>465</v>
      </c>
      <c r="C4352" t="s">
        <v>478</v>
      </c>
      <c r="D4352" t="s">
        <v>114</v>
      </c>
      <c r="E4352" t="s">
        <v>118</v>
      </c>
      <c r="F4352">
        <v>2</v>
      </c>
      <c r="G4352" t="s">
        <v>488</v>
      </c>
      <c r="H4352" s="4">
        <v>7554011</v>
      </c>
      <c r="I4352" s="4">
        <v>7134598.18610388</v>
      </c>
      <c r="J4352" s="3">
        <v>0.05552186962609924</v>
      </c>
      <c r="K4352" s="3">
        <v>0.058785765218427245</v>
      </c>
      <c r="L4352" t="s">
        <v>54</v>
      </c>
    </row>
    <row r="4353" spans="1:12" x14ac:dyDescent="0.25">
      <c r="A4353" t="s">
        <v>487</v>
      </c>
      <c r="B4353" t="s">
        <v>465</v>
      </c>
      <c r="C4353" t="s">
        <v>478</v>
      </c>
      <c r="D4353" t="s">
        <v>114</v>
      </c>
      <c r="E4353" t="s">
        <v>118</v>
      </c>
      <c r="F4353">
        <v>2</v>
      </c>
      <c r="G4353" t="s">
        <v>498</v>
      </c>
      <c r="H4353" s="4">
        <v>7554011</v>
      </c>
      <c r="I4353" s="4">
        <v>8176638</v>
      </c>
      <c r="J4353" s="3">
        <v>0.08242336422332454</v>
      </c>
      <c r="K4353" s="3">
        <v>-0.07614706680178332</v>
      </c>
      <c r="L4353" t="s">
        <v>54</v>
      </c>
    </row>
    <row r="4354" spans="1:12" x14ac:dyDescent="0.25">
      <c r="A4354" t="s">
        <v>487</v>
      </c>
      <c r="B4354" t="s">
        <v>465</v>
      </c>
      <c r="C4354" t="s">
        <v>478</v>
      </c>
      <c r="D4354" t="s">
        <v>114</v>
      </c>
      <c r="E4354" t="s">
        <v>118</v>
      </c>
      <c r="F4354">
        <v>2</v>
      </c>
      <c r="G4354" t="s">
        <v>499</v>
      </c>
      <c r="H4354" s="4">
        <v>7554011</v>
      </c>
      <c r="I4354" s="4">
        <v>5624648</v>
      </c>
      <c r="J4354" s="3">
        <v>0.25540908002384427</v>
      </c>
      <c r="K4354" s="3">
        <v>0.34301933205420143</v>
      </c>
      <c r="L4354" t="s">
        <v>54</v>
      </c>
    </row>
    <row r="4355" spans="1:12" x14ac:dyDescent="0.25">
      <c r="A4355" t="s">
        <v>487</v>
      </c>
      <c r="B4355" t="s">
        <v>465</v>
      </c>
      <c r="C4355" t="s">
        <v>478</v>
      </c>
      <c r="D4355" t="s">
        <v>114</v>
      </c>
      <c r="E4355" t="s">
        <v>120</v>
      </c>
      <c r="F4355">
        <v>3</v>
      </c>
      <c r="G4355" t="s">
        <v>488</v>
      </c>
      <c r="H4355" s="4">
        <v>7855322</v>
      </c>
      <c r="I4355" s="4">
        <v>7641956.278915616</v>
      </c>
      <c r="J4355" s="3">
        <v>0.02716193188317223</v>
      </c>
      <c r="K4355" s="3">
        <v>0.027920301202594762</v>
      </c>
      <c r="L4355" t="s">
        <v>54</v>
      </c>
    </row>
    <row r="4356" spans="1:12" x14ac:dyDescent="0.25">
      <c r="A4356" t="s">
        <v>487</v>
      </c>
      <c r="B4356" t="s">
        <v>465</v>
      </c>
      <c r="C4356" t="s">
        <v>478</v>
      </c>
      <c r="D4356" t="s">
        <v>114</v>
      </c>
      <c r="E4356" t="s">
        <v>120</v>
      </c>
      <c r="F4356">
        <v>3</v>
      </c>
      <c r="G4356" t="s">
        <v>498</v>
      </c>
      <c r="H4356" s="4">
        <v>7855322</v>
      </c>
      <c r="I4356" s="4">
        <v>8758098</v>
      </c>
      <c r="J4356" s="3">
        <v>0.11492539707474754</v>
      </c>
      <c r="K4356" s="3">
        <v>-0.10307900185633913</v>
      </c>
      <c r="L4356" t="s">
        <v>54</v>
      </c>
    </row>
    <row r="4357" spans="1:12" x14ac:dyDescent="0.25">
      <c r="A4357" t="s">
        <v>487</v>
      </c>
      <c r="B4357" t="s">
        <v>465</v>
      </c>
      <c r="C4357" t="s">
        <v>478</v>
      </c>
      <c r="D4357" t="s">
        <v>114</v>
      </c>
      <c r="E4357" t="s">
        <v>120</v>
      </c>
      <c r="F4357">
        <v>3</v>
      </c>
      <c r="G4357" t="s">
        <v>499</v>
      </c>
      <c r="H4357" s="4">
        <v>7855322</v>
      </c>
      <c r="I4357" s="4">
        <v>5624648</v>
      </c>
      <c r="J4357" s="3">
        <v>0.2839697723403318</v>
      </c>
      <c r="K4357" s="3">
        <v>0.39658908433025497</v>
      </c>
      <c r="L4357" t="s">
        <v>54</v>
      </c>
    </row>
    <row r="4358" spans="1:12" x14ac:dyDescent="0.25">
      <c r="A4358" t="s">
        <v>487</v>
      </c>
      <c r="B4358" t="s">
        <v>465</v>
      </c>
      <c r="C4358" t="s">
        <v>478</v>
      </c>
      <c r="D4358" t="s">
        <v>116</v>
      </c>
      <c r="E4358" t="s">
        <v>118</v>
      </c>
      <c r="F4358">
        <v>1</v>
      </c>
      <c r="G4358" t="s">
        <v>488</v>
      </c>
      <c r="H4358" s="4">
        <v>7554011</v>
      </c>
      <c r="I4358" s="4">
        <v>6992518.519448191</v>
      </c>
      <c r="J4358" s="3">
        <v>0.07433037634599805</v>
      </c>
      <c r="K4358" s="3">
        <v>0.08029903374444246</v>
      </c>
      <c r="L4358" t="s">
        <v>54</v>
      </c>
    </row>
    <row r="4359" spans="1:12" x14ac:dyDescent="0.25">
      <c r="A4359" t="s">
        <v>487</v>
      </c>
      <c r="B4359" t="s">
        <v>465</v>
      </c>
      <c r="C4359" t="s">
        <v>478</v>
      </c>
      <c r="D4359" t="s">
        <v>116</v>
      </c>
      <c r="E4359" t="s">
        <v>118</v>
      </c>
      <c r="F4359">
        <v>1</v>
      </c>
      <c r="G4359" t="s">
        <v>498</v>
      </c>
      <c r="H4359" s="4">
        <v>7554011</v>
      </c>
      <c r="I4359" s="4">
        <v>8176638</v>
      </c>
      <c r="J4359" s="3">
        <v>0.08242336422332454</v>
      </c>
      <c r="K4359" s="3">
        <v>-0.07614706680178332</v>
      </c>
      <c r="L4359" t="s">
        <v>54</v>
      </c>
    </row>
    <row r="4360" spans="1:12" x14ac:dyDescent="0.25">
      <c r="A4360" t="s">
        <v>487</v>
      </c>
      <c r="B4360" t="s">
        <v>465</v>
      </c>
      <c r="C4360" t="s">
        <v>478</v>
      </c>
      <c r="D4360" t="s">
        <v>116</v>
      </c>
      <c r="E4360" t="s">
        <v>118</v>
      </c>
      <c r="F4360">
        <v>1</v>
      </c>
      <c r="G4360" t="s">
        <v>499</v>
      </c>
      <c r="H4360" s="4">
        <v>7554011</v>
      </c>
      <c r="I4360" s="4">
        <v>7503487</v>
      </c>
      <c r="J4360" s="3">
        <v>0.006688367279316909</v>
      </c>
      <c r="K4360" s="3">
        <v>0.006733402749948124</v>
      </c>
      <c r="L4360" t="s">
        <v>54</v>
      </c>
    </row>
    <row r="4361" spans="1:12" x14ac:dyDescent="0.25">
      <c r="A4361" t="s">
        <v>487</v>
      </c>
      <c r="B4361" t="s">
        <v>465</v>
      </c>
      <c r="C4361" t="s">
        <v>478</v>
      </c>
      <c r="D4361" t="s">
        <v>116</v>
      </c>
      <c r="E4361" t="s">
        <v>120</v>
      </c>
      <c r="F4361">
        <v>2</v>
      </c>
      <c r="G4361" t="s">
        <v>488</v>
      </c>
      <c r="H4361" s="4">
        <v>7855322</v>
      </c>
      <c r="I4361" s="4">
        <v>7489772.992291228</v>
      </c>
      <c r="J4361" s="3">
        <v>0.046535203484818585</v>
      </c>
      <c r="K4361" s="3">
        <v>0.04880642017922435</v>
      </c>
      <c r="L4361" t="s">
        <v>54</v>
      </c>
    </row>
    <row r="4362" spans="1:12" x14ac:dyDescent="0.25">
      <c r="A4362" t="s">
        <v>487</v>
      </c>
      <c r="B4362" t="s">
        <v>465</v>
      </c>
      <c r="C4362" t="s">
        <v>478</v>
      </c>
      <c r="D4362" t="s">
        <v>116</v>
      </c>
      <c r="E4362" t="s">
        <v>120</v>
      </c>
      <c r="F4362">
        <v>2</v>
      </c>
      <c r="G4362" t="s">
        <v>498</v>
      </c>
      <c r="H4362" s="4">
        <v>7855322</v>
      </c>
      <c r="I4362" s="4">
        <v>8758098</v>
      </c>
      <c r="J4362" s="3">
        <v>0.11492539707474754</v>
      </c>
      <c r="K4362" s="3">
        <v>-0.10307900185633913</v>
      </c>
      <c r="L4362" t="s">
        <v>54</v>
      </c>
    </row>
    <row r="4363" spans="1:12" x14ac:dyDescent="0.25">
      <c r="A4363" t="s">
        <v>487</v>
      </c>
      <c r="B4363" t="s">
        <v>465</v>
      </c>
      <c r="C4363" t="s">
        <v>478</v>
      </c>
      <c r="D4363" t="s">
        <v>116</v>
      </c>
      <c r="E4363" t="s">
        <v>120</v>
      </c>
      <c r="F4363">
        <v>2</v>
      </c>
      <c r="G4363" t="s">
        <v>499</v>
      </c>
      <c r="H4363" s="4">
        <v>7855322</v>
      </c>
      <c r="I4363" s="4">
        <v>7503487</v>
      </c>
      <c r="J4363" s="3">
        <v>0.04478937973516554</v>
      </c>
      <c r="K4363" s="3">
        <v>0.04688953282653785</v>
      </c>
      <c r="L4363" t="s">
        <v>54</v>
      </c>
    </row>
    <row r="4364" spans="1:12" x14ac:dyDescent="0.25">
      <c r="A4364" t="s">
        <v>487</v>
      </c>
      <c r="B4364" t="s">
        <v>465</v>
      </c>
      <c r="C4364" t="s">
        <v>478</v>
      </c>
      <c r="D4364" t="s">
        <v>116</v>
      </c>
      <c r="E4364" t="s">
        <v>122</v>
      </c>
      <c r="F4364">
        <v>3</v>
      </c>
      <c r="G4364" t="s">
        <v>488</v>
      </c>
      <c r="H4364" s="4">
        <v>8204176</v>
      </c>
      <c r="I4364" s="4">
        <v>7309640.750792645</v>
      </c>
      <c r="J4364" s="3">
        <v>0.10903413690873466</v>
      </c>
      <c r="K4364" s="3">
        <v>0.12237745734772988</v>
      </c>
      <c r="L4364" t="s">
        <v>54</v>
      </c>
    </row>
    <row r="4365" spans="1:12" x14ac:dyDescent="0.25">
      <c r="A4365" t="s">
        <v>487</v>
      </c>
      <c r="B4365" t="s">
        <v>465</v>
      </c>
      <c r="C4365" t="s">
        <v>478</v>
      </c>
      <c r="D4365" t="s">
        <v>116</v>
      </c>
      <c r="E4365" t="s">
        <v>122</v>
      </c>
      <c r="F4365">
        <v>3</v>
      </c>
      <c r="G4365" t="s">
        <v>498</v>
      </c>
      <c r="H4365" s="4">
        <v>8204176</v>
      </c>
      <c r="I4365" s="4">
        <v>8547462</v>
      </c>
      <c r="J4365" s="3">
        <v>0.04184283711124676</v>
      </c>
      <c r="K4365" s="3">
        <v>-0.040162331227679045</v>
      </c>
      <c r="L4365" t="s">
        <v>54</v>
      </c>
    </row>
    <row r="4366" spans="1:12" x14ac:dyDescent="0.25">
      <c r="A4366" t="s">
        <v>487</v>
      </c>
      <c r="B4366" t="s">
        <v>465</v>
      </c>
      <c r="C4366" t="s">
        <v>478</v>
      </c>
      <c r="D4366" t="s">
        <v>116</v>
      </c>
      <c r="E4366" t="s">
        <v>122</v>
      </c>
      <c r="F4366">
        <v>3</v>
      </c>
      <c r="G4366" t="s">
        <v>499</v>
      </c>
      <c r="H4366" s="4">
        <v>8204176</v>
      </c>
      <c r="I4366" s="4">
        <v>7503487</v>
      </c>
      <c r="J4366" s="3">
        <v>0.08540638328578032</v>
      </c>
      <c r="K4366" s="3">
        <v>0.09338178369603359</v>
      </c>
      <c r="L4366" t="s">
        <v>54</v>
      </c>
    </row>
    <row r="4367" spans="1:12" x14ac:dyDescent="0.25">
      <c r="A4367" t="s">
        <v>487</v>
      </c>
      <c r="B4367" t="s">
        <v>465</v>
      </c>
      <c r="C4367" t="s">
        <v>478</v>
      </c>
      <c r="D4367" t="s">
        <v>118</v>
      </c>
      <c r="E4367" t="s">
        <v>120</v>
      </c>
      <c r="F4367">
        <v>1</v>
      </c>
      <c r="G4367" t="s">
        <v>488</v>
      </c>
      <c r="H4367" s="4">
        <v>7855322</v>
      </c>
      <c r="I4367" s="4">
        <v>7488398.668899558</v>
      </c>
      <c r="J4367" s="3">
        <v>0.04671015791592534</v>
      </c>
      <c r="K4367" s="3">
        <v>0.04899890448198626</v>
      </c>
      <c r="L4367" t="s">
        <v>54</v>
      </c>
    </row>
    <row r="4368" spans="1:12" x14ac:dyDescent="0.25">
      <c r="A4368" t="s">
        <v>487</v>
      </c>
      <c r="B4368" t="s">
        <v>465</v>
      </c>
      <c r="C4368" t="s">
        <v>478</v>
      </c>
      <c r="D4368" t="s">
        <v>118</v>
      </c>
      <c r="E4368" t="s">
        <v>120</v>
      </c>
      <c r="F4368">
        <v>1</v>
      </c>
      <c r="G4368" t="s">
        <v>498</v>
      </c>
      <c r="H4368" s="4">
        <v>7855322</v>
      </c>
      <c r="I4368" s="4">
        <v>8758098</v>
      </c>
      <c r="J4368" s="3">
        <v>0.11492539707474754</v>
      </c>
      <c r="K4368" s="3">
        <v>-0.10307900185633913</v>
      </c>
      <c r="L4368" t="s">
        <v>54</v>
      </c>
    </row>
    <row r="4369" spans="1:12" x14ac:dyDescent="0.25">
      <c r="A4369" t="s">
        <v>487</v>
      </c>
      <c r="B4369" t="s">
        <v>465</v>
      </c>
      <c r="C4369" t="s">
        <v>478</v>
      </c>
      <c r="D4369" t="s">
        <v>118</v>
      </c>
      <c r="E4369" t="s">
        <v>120</v>
      </c>
      <c r="F4369">
        <v>1</v>
      </c>
      <c r="G4369" t="s">
        <v>499</v>
      </c>
      <c r="H4369" s="4">
        <v>7855322</v>
      </c>
      <c r="I4369" s="4">
        <v>7554011</v>
      </c>
      <c r="J4369" s="3">
        <v>0.03835756191789465</v>
      </c>
      <c r="K4369" s="3">
        <v>0.03988755113012147</v>
      </c>
      <c r="L4369" t="s">
        <v>54</v>
      </c>
    </row>
    <row r="4370" spans="1:12" x14ac:dyDescent="0.25">
      <c r="A4370" t="s">
        <v>487</v>
      </c>
      <c r="B4370" t="s">
        <v>465</v>
      </c>
      <c r="C4370" t="s">
        <v>478</v>
      </c>
      <c r="D4370" t="s">
        <v>118</v>
      </c>
      <c r="E4370" t="s">
        <v>122</v>
      </c>
      <c r="F4370">
        <v>2</v>
      </c>
      <c r="G4370" t="s">
        <v>488</v>
      </c>
      <c r="H4370" s="4">
        <v>8204176</v>
      </c>
      <c r="I4370" s="4">
        <v>7308299.480465913</v>
      </c>
      <c r="J4370" s="3">
        <v>0.10919762320238947</v>
      </c>
      <c r="K4370" s="3">
        <v>0.12258344392271313</v>
      </c>
      <c r="L4370" t="s">
        <v>54</v>
      </c>
    </row>
    <row r="4371" spans="1:12" x14ac:dyDescent="0.25">
      <c r="A4371" t="s">
        <v>487</v>
      </c>
      <c r="B4371" t="s">
        <v>465</v>
      </c>
      <c r="C4371" t="s">
        <v>478</v>
      </c>
      <c r="D4371" t="s">
        <v>118</v>
      </c>
      <c r="E4371" t="s">
        <v>122</v>
      </c>
      <c r="F4371">
        <v>2</v>
      </c>
      <c r="G4371" t="s">
        <v>498</v>
      </c>
      <c r="H4371" s="4">
        <v>8204176</v>
      </c>
      <c r="I4371" s="4">
        <v>8547462</v>
      </c>
      <c r="J4371" s="3">
        <v>0.04184283711124676</v>
      </c>
      <c r="K4371" s="3">
        <v>-0.040162331227679045</v>
      </c>
      <c r="L4371" t="s">
        <v>54</v>
      </c>
    </row>
    <row r="4372" spans="1:12" x14ac:dyDescent="0.25">
      <c r="A4372" t="s">
        <v>487</v>
      </c>
      <c r="B4372" t="s">
        <v>465</v>
      </c>
      <c r="C4372" t="s">
        <v>478</v>
      </c>
      <c r="D4372" t="s">
        <v>118</v>
      </c>
      <c r="E4372" t="s">
        <v>122</v>
      </c>
      <c r="F4372">
        <v>2</v>
      </c>
      <c r="G4372" t="s">
        <v>499</v>
      </c>
      <c r="H4372" s="4">
        <v>8204176</v>
      </c>
      <c r="I4372" s="4">
        <v>7554011</v>
      </c>
      <c r="J4372" s="3">
        <v>0.07924805611191178</v>
      </c>
      <c r="K4372" s="3">
        <v>0.08606884475015988</v>
      </c>
      <c r="L4372" t="s">
        <v>54</v>
      </c>
    </row>
    <row r="4373" spans="1:12" x14ac:dyDescent="0.25">
      <c r="A4373" t="s">
        <v>487</v>
      </c>
      <c r="B4373" t="s">
        <v>465</v>
      </c>
      <c r="C4373" t="s">
        <v>478</v>
      </c>
      <c r="D4373" t="s">
        <v>118</v>
      </c>
      <c r="E4373" t="s">
        <v>124</v>
      </c>
      <c r="F4373">
        <v>3</v>
      </c>
      <c r="G4373" t="s">
        <v>488</v>
      </c>
      <c r="H4373" s="4">
        <v>7042367</v>
      </c>
      <c r="I4373" s="4">
        <v>6157061.273430879</v>
      </c>
      <c r="J4373" s="3">
        <v>0.12571138745951763</v>
      </c>
      <c r="K4373" s="3">
        <v>0.14378705802221206</v>
      </c>
      <c r="L4373" t="s">
        <v>54</v>
      </c>
    </row>
    <row r="4374" spans="1:12" x14ac:dyDescent="0.25">
      <c r="A4374" t="s">
        <v>487</v>
      </c>
      <c r="B4374" t="s">
        <v>465</v>
      </c>
      <c r="C4374" t="s">
        <v>478</v>
      </c>
      <c r="D4374" t="s">
        <v>118</v>
      </c>
      <c r="E4374" t="s">
        <v>124</v>
      </c>
      <c r="F4374">
        <v>3</v>
      </c>
      <c r="G4374" t="s">
        <v>498</v>
      </c>
      <c r="H4374" s="4">
        <v>7042367</v>
      </c>
      <c r="I4374" s="4">
        <v>7201025</v>
      </c>
      <c r="J4374" s="3">
        <v>0.022529072966518217</v>
      </c>
      <c r="K4374" s="3">
        <v>-0.022032696734145485</v>
      </c>
      <c r="L4374" t="s">
        <v>54</v>
      </c>
    </row>
    <row r="4375" spans="1:12" x14ac:dyDescent="0.25">
      <c r="A4375" t="s">
        <v>487</v>
      </c>
      <c r="B4375" t="s">
        <v>465</v>
      </c>
      <c r="C4375" t="s">
        <v>478</v>
      </c>
      <c r="D4375" t="s">
        <v>118</v>
      </c>
      <c r="E4375" t="s">
        <v>124</v>
      </c>
      <c r="F4375">
        <v>3</v>
      </c>
      <c r="G4375" t="s">
        <v>499</v>
      </c>
      <c r="H4375" s="4">
        <v>7042367</v>
      </c>
      <c r="I4375" s="4">
        <v>7554011</v>
      </c>
      <c r="J4375" s="3">
        <v>0.0726522772812039</v>
      </c>
      <c r="K4375" s="3">
        <v>-0.06773143433336276</v>
      </c>
      <c r="L4375" t="s">
        <v>54</v>
      </c>
    </row>
    <row r="4376" spans="1:12" x14ac:dyDescent="0.25">
      <c r="A4376" t="s">
        <v>487</v>
      </c>
      <c r="B4376" t="s">
        <v>465</v>
      </c>
      <c r="C4376" t="s">
        <v>478</v>
      </c>
      <c r="D4376" t="s">
        <v>120</v>
      </c>
      <c r="E4376" t="s">
        <v>122</v>
      </c>
      <c r="F4376">
        <v>1</v>
      </c>
      <c r="G4376" t="s">
        <v>488</v>
      </c>
      <c r="H4376" s="4">
        <v>8204176</v>
      </c>
      <c r="I4376" s="4">
        <v>7350297.988139347</v>
      </c>
      <c r="J4376" s="3">
        <v>0.10407846100091622</v>
      </c>
      <c r="K4376" s="3">
        <v>0.11616916936408497</v>
      </c>
      <c r="L4376" t="s">
        <v>54</v>
      </c>
    </row>
    <row r="4377" spans="1:12" x14ac:dyDescent="0.25">
      <c r="A4377" t="s">
        <v>487</v>
      </c>
      <c r="B4377" t="s">
        <v>465</v>
      </c>
      <c r="C4377" t="s">
        <v>478</v>
      </c>
      <c r="D4377" t="s">
        <v>120</v>
      </c>
      <c r="E4377" t="s">
        <v>122</v>
      </c>
      <c r="F4377">
        <v>1</v>
      </c>
      <c r="G4377" t="s">
        <v>498</v>
      </c>
      <c r="H4377" s="4">
        <v>8204176</v>
      </c>
      <c r="I4377" s="4">
        <v>8547462</v>
      </c>
      <c r="J4377" s="3">
        <v>0.04184283711124676</v>
      </c>
      <c r="K4377" s="3">
        <v>-0.040162331227679045</v>
      </c>
      <c r="L4377" t="s">
        <v>54</v>
      </c>
    </row>
    <row r="4378" spans="1:12" x14ac:dyDescent="0.25">
      <c r="A4378" t="s">
        <v>487</v>
      </c>
      <c r="B4378" t="s">
        <v>465</v>
      </c>
      <c r="C4378" t="s">
        <v>478</v>
      </c>
      <c r="D4378" t="s">
        <v>120</v>
      </c>
      <c r="E4378" t="s">
        <v>122</v>
      </c>
      <c r="F4378">
        <v>1</v>
      </c>
      <c r="G4378" t="s">
        <v>499</v>
      </c>
      <c r="H4378" s="4">
        <v>8204176</v>
      </c>
      <c r="I4378" s="4">
        <v>7855322</v>
      </c>
      <c r="J4378" s="3">
        <v>0.04252151587191694</v>
      </c>
      <c r="K4378" s="3">
        <v>0.04440989179055932</v>
      </c>
      <c r="L4378" t="s">
        <v>54</v>
      </c>
    </row>
    <row r="4379" spans="1:12" x14ac:dyDescent="0.25">
      <c r="A4379" t="s">
        <v>487</v>
      </c>
      <c r="B4379" t="s">
        <v>465</v>
      </c>
      <c r="C4379" t="s">
        <v>478</v>
      </c>
      <c r="D4379" t="s">
        <v>120</v>
      </c>
      <c r="E4379" t="s">
        <v>124</v>
      </c>
      <c r="F4379">
        <v>2</v>
      </c>
      <c r="G4379" t="s">
        <v>488</v>
      </c>
      <c r="H4379" s="4">
        <v>7042367</v>
      </c>
      <c r="I4379" s="4">
        <v>6192443.975772123</v>
      </c>
      <c r="J4379" s="3">
        <v>0.12068712468803133</v>
      </c>
      <c r="K4379" s="3">
        <v>0.1372516291714859</v>
      </c>
      <c r="L4379" t="s">
        <v>54</v>
      </c>
    </row>
    <row r="4380" spans="1:12" x14ac:dyDescent="0.25">
      <c r="A4380" t="s">
        <v>487</v>
      </c>
      <c r="B4380" t="s">
        <v>465</v>
      </c>
      <c r="C4380" t="s">
        <v>478</v>
      </c>
      <c r="D4380" t="s">
        <v>120</v>
      </c>
      <c r="E4380" t="s">
        <v>124</v>
      </c>
      <c r="F4380">
        <v>2</v>
      </c>
      <c r="G4380" t="s">
        <v>498</v>
      </c>
      <c r="H4380" s="4">
        <v>7042367</v>
      </c>
      <c r="I4380" s="4">
        <v>7201025</v>
      </c>
      <c r="J4380" s="3">
        <v>0.022529072966518217</v>
      </c>
      <c r="K4380" s="3">
        <v>-0.022032696734145485</v>
      </c>
      <c r="L4380" t="s">
        <v>54</v>
      </c>
    </row>
    <row r="4381" spans="1:12" x14ac:dyDescent="0.25">
      <c r="A4381" t="s">
        <v>487</v>
      </c>
      <c r="B4381" t="s">
        <v>465</v>
      </c>
      <c r="C4381" t="s">
        <v>478</v>
      </c>
      <c r="D4381" t="s">
        <v>120</v>
      </c>
      <c r="E4381" t="s">
        <v>124</v>
      </c>
      <c r="F4381">
        <v>2</v>
      </c>
      <c r="G4381" t="s">
        <v>499</v>
      </c>
      <c r="H4381" s="4">
        <v>7042367</v>
      </c>
      <c r="I4381" s="4">
        <v>7855322</v>
      </c>
      <c r="J4381" s="3">
        <v>0.11543774983609914</v>
      </c>
      <c r="K4381" s="3">
        <v>-0.10349098356502763</v>
      </c>
      <c r="L4381" t="s">
        <v>54</v>
      </c>
    </row>
    <row r="4382" spans="1:12" x14ac:dyDescent="0.25">
      <c r="A4382" t="s">
        <v>487</v>
      </c>
      <c r="B4382" t="s">
        <v>465</v>
      </c>
      <c r="C4382" t="s">
        <v>478</v>
      </c>
      <c r="D4382" t="s">
        <v>120</v>
      </c>
      <c r="E4382" t="s">
        <v>126</v>
      </c>
      <c r="F4382">
        <v>3</v>
      </c>
      <c r="G4382" t="s">
        <v>488</v>
      </c>
      <c r="H4382" s="4">
        <v>7289097</v>
      </c>
      <c r="I4382" s="4">
        <v>6789994.256137023</v>
      </c>
      <c r="J4382" s="3">
        <v>0.06847250679514585</v>
      </c>
      <c r="K4382" s="3">
        <v>0.07350562092329778</v>
      </c>
      <c r="L4382" t="s">
        <v>54</v>
      </c>
    </row>
    <row r="4383" spans="1:12" x14ac:dyDescent="0.25">
      <c r="A4383" t="s">
        <v>487</v>
      </c>
      <c r="B4383" t="s">
        <v>465</v>
      </c>
      <c r="C4383" t="s">
        <v>478</v>
      </c>
      <c r="D4383" t="s">
        <v>120</v>
      </c>
      <c r="E4383" t="s">
        <v>126</v>
      </c>
      <c r="F4383">
        <v>3</v>
      </c>
      <c r="G4383" t="s">
        <v>498</v>
      </c>
      <c r="H4383" s="4">
        <v>7289097</v>
      </c>
      <c r="I4383" s="4">
        <v>7895900</v>
      </c>
      <c r="J4383" s="3">
        <v>0.08324803470169213</v>
      </c>
      <c r="K4383" s="3">
        <v>-0.0768503907091022</v>
      </c>
      <c r="L4383" t="s">
        <v>54</v>
      </c>
    </row>
    <row r="4384" spans="1:12" x14ac:dyDescent="0.25">
      <c r="A4384" t="s">
        <v>487</v>
      </c>
      <c r="B4384" t="s">
        <v>465</v>
      </c>
      <c r="C4384" t="s">
        <v>478</v>
      </c>
      <c r="D4384" t="s">
        <v>120</v>
      </c>
      <c r="E4384" t="s">
        <v>126</v>
      </c>
      <c r="F4384">
        <v>3</v>
      </c>
      <c r="G4384" t="s">
        <v>499</v>
      </c>
      <c r="H4384" s="4">
        <v>7289097</v>
      </c>
      <c r="I4384" s="4">
        <v>7855322</v>
      </c>
      <c r="J4384" s="3">
        <v>0.07768108998961051</v>
      </c>
      <c r="K4384" s="3">
        <v>-0.07208170460739866</v>
      </c>
      <c r="L4384" t="s">
        <v>54</v>
      </c>
    </row>
    <row r="4385" spans="1:12" x14ac:dyDescent="0.25">
      <c r="A4385" t="s">
        <v>487</v>
      </c>
      <c r="B4385" t="s">
        <v>465</v>
      </c>
      <c r="C4385" t="s">
        <v>478</v>
      </c>
      <c r="D4385" t="s">
        <v>122</v>
      </c>
      <c r="E4385" t="s">
        <v>124</v>
      </c>
      <c r="F4385">
        <v>1</v>
      </c>
      <c r="G4385" t="s">
        <v>488</v>
      </c>
      <c r="H4385" s="4">
        <v>7042367</v>
      </c>
      <c r="I4385" s="4">
        <v>6300132.342428381</v>
      </c>
      <c r="J4385" s="3">
        <v>0.10539562303010044</v>
      </c>
      <c r="K4385" s="3">
        <v>0.11781255015438702</v>
      </c>
      <c r="L4385" t="s">
        <v>54</v>
      </c>
    </row>
    <row r="4386" spans="1:12" x14ac:dyDescent="0.25">
      <c r="A4386" t="s">
        <v>487</v>
      </c>
      <c r="B4386" t="s">
        <v>465</v>
      </c>
      <c r="C4386" t="s">
        <v>478</v>
      </c>
      <c r="D4386" t="s">
        <v>122</v>
      </c>
      <c r="E4386" t="s">
        <v>124</v>
      </c>
      <c r="F4386">
        <v>1</v>
      </c>
      <c r="G4386" t="s">
        <v>498</v>
      </c>
      <c r="H4386" s="4">
        <v>7042367</v>
      </c>
      <c r="I4386" s="4">
        <v>7201025</v>
      </c>
      <c r="J4386" s="3">
        <v>0.022529072966518217</v>
      </c>
      <c r="K4386" s="3">
        <v>-0.022032696734145485</v>
      </c>
      <c r="L4386" t="s">
        <v>54</v>
      </c>
    </row>
    <row r="4387" spans="1:12" x14ac:dyDescent="0.25">
      <c r="A4387" t="s">
        <v>487</v>
      </c>
      <c r="B4387" t="s">
        <v>465</v>
      </c>
      <c r="C4387" t="s">
        <v>478</v>
      </c>
      <c r="D4387" t="s">
        <v>122</v>
      </c>
      <c r="E4387" t="s">
        <v>124</v>
      </c>
      <c r="F4387">
        <v>1</v>
      </c>
      <c r="G4387" t="s">
        <v>499</v>
      </c>
      <c r="H4387" s="4">
        <v>7042367</v>
      </c>
      <c r="I4387" s="4">
        <v>8204176</v>
      </c>
      <c r="J4387" s="3">
        <v>0.16497421960542527</v>
      </c>
      <c r="K4387" s="3">
        <v>-0.14161190593668396</v>
      </c>
      <c r="L4387" t="s">
        <v>54</v>
      </c>
    </row>
    <row r="4388" spans="1:12" x14ac:dyDescent="0.25">
      <c r="A4388" t="s">
        <v>487</v>
      </c>
      <c r="B4388" t="s">
        <v>465</v>
      </c>
      <c r="C4388" t="s">
        <v>478</v>
      </c>
      <c r="D4388" t="s">
        <v>122</v>
      </c>
      <c r="E4388" t="s">
        <v>126</v>
      </c>
      <c r="F4388">
        <v>2</v>
      </c>
      <c r="G4388" t="s">
        <v>488</v>
      </c>
      <c r="H4388" s="4">
        <v>7289097</v>
      </c>
      <c r="I4388" s="4">
        <v>6908074.192574008</v>
      </c>
      <c r="J4388" s="3">
        <v>0.052272978041860554</v>
      </c>
      <c r="K4388" s="3">
        <v>0.05515615449463192</v>
      </c>
      <c r="L4388" t="s">
        <v>54</v>
      </c>
    </row>
    <row r="4389" spans="1:12" x14ac:dyDescent="0.25">
      <c r="A4389" t="s">
        <v>487</v>
      </c>
      <c r="B4389" t="s">
        <v>465</v>
      </c>
      <c r="C4389" t="s">
        <v>478</v>
      </c>
      <c r="D4389" t="s">
        <v>122</v>
      </c>
      <c r="E4389" t="s">
        <v>126</v>
      </c>
      <c r="F4389">
        <v>2</v>
      </c>
      <c r="G4389" t="s">
        <v>498</v>
      </c>
      <c r="H4389" s="4">
        <v>7289097</v>
      </c>
      <c r="I4389" s="4">
        <v>7895900</v>
      </c>
      <c r="J4389" s="3">
        <v>0.08324803470169213</v>
      </c>
      <c r="K4389" s="3">
        <v>-0.0768503907091022</v>
      </c>
      <c r="L4389" t="s">
        <v>54</v>
      </c>
    </row>
    <row r="4390" spans="1:12" x14ac:dyDescent="0.25">
      <c r="A4390" t="s">
        <v>487</v>
      </c>
      <c r="B4390" t="s">
        <v>465</v>
      </c>
      <c r="C4390" t="s">
        <v>478</v>
      </c>
      <c r="D4390" t="s">
        <v>122</v>
      </c>
      <c r="E4390" t="s">
        <v>126</v>
      </c>
      <c r="F4390">
        <v>2</v>
      </c>
      <c r="G4390" t="s">
        <v>499</v>
      </c>
      <c r="H4390" s="4">
        <v>7289097</v>
      </c>
      <c r="I4390" s="4">
        <v>8204176</v>
      </c>
      <c r="J4390" s="3">
        <v>0.12554079058078113</v>
      </c>
      <c r="K4390" s="3">
        <v>-0.11153819713277725</v>
      </c>
      <c r="L4390" t="s">
        <v>54</v>
      </c>
    </row>
    <row r="4391" spans="1:12" x14ac:dyDescent="0.25">
      <c r="A4391" t="s">
        <v>487</v>
      </c>
      <c r="B4391" t="s">
        <v>465</v>
      </c>
      <c r="C4391" t="s">
        <v>478</v>
      </c>
      <c r="D4391" t="s">
        <v>122</v>
      </c>
      <c r="E4391" t="s">
        <v>128</v>
      </c>
      <c r="F4391">
        <v>3</v>
      </c>
      <c r="G4391" t="s">
        <v>488</v>
      </c>
      <c r="H4391" s="4">
        <v>8996185</v>
      </c>
      <c r="I4391" s="4">
        <v>8222418.444497413</v>
      </c>
      <c r="J4391" s="3">
        <v>0.0860105206265308</v>
      </c>
      <c r="K4391" s="3">
        <v>0.09410449744508019</v>
      </c>
      <c r="L4391" t="s">
        <v>54</v>
      </c>
    </row>
    <row r="4392" spans="1:12" x14ac:dyDescent="0.25">
      <c r="A4392" t="s">
        <v>487</v>
      </c>
      <c r="B4392" t="s">
        <v>465</v>
      </c>
      <c r="C4392" t="s">
        <v>478</v>
      </c>
      <c r="D4392" t="s">
        <v>122</v>
      </c>
      <c r="E4392" t="s">
        <v>128</v>
      </c>
      <c r="F4392">
        <v>3</v>
      </c>
      <c r="G4392" t="s">
        <v>498</v>
      </c>
      <c r="H4392" s="4">
        <v>8996185</v>
      </c>
      <c r="I4392" s="4">
        <v>9398190</v>
      </c>
      <c r="J4392" s="3">
        <v>0.044686164190709726</v>
      </c>
      <c r="K4392" s="3">
        <v>-0.042774725771664544</v>
      </c>
      <c r="L4392" t="s">
        <v>54</v>
      </c>
    </row>
    <row r="4393" spans="1:12" x14ac:dyDescent="0.25">
      <c r="A4393" t="s">
        <v>487</v>
      </c>
      <c r="B4393" t="s">
        <v>465</v>
      </c>
      <c r="C4393" t="s">
        <v>478</v>
      </c>
      <c r="D4393" t="s">
        <v>122</v>
      </c>
      <c r="E4393" t="s">
        <v>128</v>
      </c>
      <c r="F4393">
        <v>3</v>
      </c>
      <c r="G4393" t="s">
        <v>499</v>
      </c>
      <c r="H4393" s="4">
        <v>8996185</v>
      </c>
      <c r="I4393" s="4">
        <v>8204176</v>
      </c>
      <c r="J4393" s="3">
        <v>0.08803831846499377</v>
      </c>
      <c r="K4393" s="3">
        <v>0.09653730002866832</v>
      </c>
      <c r="L4393" t="s">
        <v>54</v>
      </c>
    </row>
    <row r="4394" spans="1:12" x14ac:dyDescent="0.25">
      <c r="A4394" t="s">
        <v>487</v>
      </c>
      <c r="B4394" t="s">
        <v>465</v>
      </c>
      <c r="C4394" t="s">
        <v>478</v>
      </c>
      <c r="D4394" t="s">
        <v>124</v>
      </c>
      <c r="E4394" t="s">
        <v>126</v>
      </c>
      <c r="F4394">
        <v>1</v>
      </c>
      <c r="G4394" t="s">
        <v>488</v>
      </c>
      <c r="H4394" s="4">
        <v>7289097</v>
      </c>
      <c r="I4394" s="4">
        <v>7104489.053617525</v>
      </c>
      <c r="J4394" s="3">
        <v>0.025326586596731405</v>
      </c>
      <c r="K4394" s="3">
        <v>0.025984690100757466</v>
      </c>
      <c r="L4394" t="s">
        <v>54</v>
      </c>
    </row>
    <row r="4395" spans="1:12" x14ac:dyDescent="0.25">
      <c r="A4395" t="s">
        <v>487</v>
      </c>
      <c r="B4395" t="s">
        <v>465</v>
      </c>
      <c r="C4395" t="s">
        <v>478</v>
      </c>
      <c r="D4395" t="s">
        <v>124</v>
      </c>
      <c r="E4395" t="s">
        <v>126</v>
      </c>
      <c r="F4395">
        <v>1</v>
      </c>
      <c r="G4395" t="s">
        <v>498</v>
      </c>
      <c r="H4395" s="4">
        <v>7289097</v>
      </c>
      <c r="I4395" s="4">
        <v>7895900</v>
      </c>
      <c r="J4395" s="3">
        <v>0.08324803470169213</v>
      </c>
      <c r="K4395" s="3">
        <v>-0.0768503907091022</v>
      </c>
      <c r="L4395" t="s">
        <v>54</v>
      </c>
    </row>
    <row r="4396" spans="1:12" x14ac:dyDescent="0.25">
      <c r="A4396" t="s">
        <v>487</v>
      </c>
      <c r="B4396" t="s">
        <v>465</v>
      </c>
      <c r="C4396" t="s">
        <v>478</v>
      </c>
      <c r="D4396" t="s">
        <v>124</v>
      </c>
      <c r="E4396" t="s">
        <v>126</v>
      </c>
      <c r="F4396">
        <v>1</v>
      </c>
      <c r="G4396" t="s">
        <v>499</v>
      </c>
      <c r="H4396" s="4">
        <v>7289097</v>
      </c>
      <c r="I4396" s="4">
        <v>7042367</v>
      </c>
      <c r="J4396" s="3">
        <v>0.03384918598284534</v>
      </c>
      <c r="K4396" s="3">
        <v>0.03503509544447201</v>
      </c>
      <c r="L4396" t="s">
        <v>54</v>
      </c>
    </row>
    <row r="4397" spans="1:12" x14ac:dyDescent="0.25">
      <c r="A4397" t="s">
        <v>487</v>
      </c>
      <c r="B4397" t="s">
        <v>465</v>
      </c>
      <c r="C4397" t="s">
        <v>478</v>
      </c>
      <c r="D4397" t="s">
        <v>124</v>
      </c>
      <c r="E4397" t="s">
        <v>128</v>
      </c>
      <c r="F4397">
        <v>2</v>
      </c>
      <c r="G4397" t="s">
        <v>488</v>
      </c>
      <c r="H4397" s="4">
        <v>8996185</v>
      </c>
      <c r="I4397" s="4">
        <v>8456203.596653666</v>
      </c>
      <c r="J4397" s="3">
        <v>0.06002337694770991</v>
      </c>
      <c r="K4397" s="3">
        <v>0.06385624437425064</v>
      </c>
      <c r="L4397" t="s">
        <v>54</v>
      </c>
    </row>
    <row r="4398" spans="1:12" x14ac:dyDescent="0.25">
      <c r="A4398" t="s">
        <v>487</v>
      </c>
      <c r="B4398" t="s">
        <v>465</v>
      </c>
      <c r="C4398" t="s">
        <v>478</v>
      </c>
      <c r="D4398" t="s">
        <v>124</v>
      </c>
      <c r="E4398" t="s">
        <v>128</v>
      </c>
      <c r="F4398">
        <v>2</v>
      </c>
      <c r="G4398" t="s">
        <v>498</v>
      </c>
      <c r="H4398" s="4">
        <v>8996185</v>
      </c>
      <c r="I4398" s="4">
        <v>9398190</v>
      </c>
      <c r="J4398" s="3">
        <v>0.044686164190709726</v>
      </c>
      <c r="K4398" s="3">
        <v>-0.042774725771664544</v>
      </c>
      <c r="L4398" t="s">
        <v>54</v>
      </c>
    </row>
    <row r="4399" spans="1:12" x14ac:dyDescent="0.25">
      <c r="A4399" t="s">
        <v>487</v>
      </c>
      <c r="B4399" t="s">
        <v>465</v>
      </c>
      <c r="C4399" t="s">
        <v>478</v>
      </c>
      <c r="D4399" t="s">
        <v>124</v>
      </c>
      <c r="E4399" t="s">
        <v>128</v>
      </c>
      <c r="F4399">
        <v>2</v>
      </c>
      <c r="G4399" t="s">
        <v>499</v>
      </c>
      <c r="H4399" s="4">
        <v>8996185</v>
      </c>
      <c r="I4399" s="4">
        <v>7042367</v>
      </c>
      <c r="J4399" s="3">
        <v>0.2171829503283892</v>
      </c>
      <c r="K4399" s="3">
        <v>0.277437685369138</v>
      </c>
      <c r="L4399" t="s">
        <v>54</v>
      </c>
    </row>
    <row r="4400" spans="1:12" x14ac:dyDescent="0.25">
      <c r="A4400" t="s">
        <v>487</v>
      </c>
      <c r="B4400" t="s">
        <v>465</v>
      </c>
      <c r="C4400" t="s">
        <v>478</v>
      </c>
      <c r="D4400" t="s">
        <v>124</v>
      </c>
      <c r="E4400" t="s">
        <v>130</v>
      </c>
      <c r="F4400">
        <v>3</v>
      </c>
      <c r="G4400" t="s">
        <v>488</v>
      </c>
      <c r="H4400" s="4">
        <v>9035142</v>
      </c>
      <c r="I4400" s="4">
        <v>8363133.251445636</v>
      </c>
      <c r="J4400" s="3">
        <v>0.0743772204747157</v>
      </c>
      <c r="K4400" s="3">
        <v>0.08035370576430809</v>
      </c>
      <c r="L4400" t="s">
        <v>54</v>
      </c>
    </row>
    <row r="4401" spans="1:12" x14ac:dyDescent="0.25">
      <c r="A4401" t="s">
        <v>487</v>
      </c>
      <c r="B4401" t="s">
        <v>465</v>
      </c>
      <c r="C4401" t="s">
        <v>478</v>
      </c>
      <c r="D4401" t="s">
        <v>124</v>
      </c>
      <c r="E4401" t="s">
        <v>130</v>
      </c>
      <c r="F4401">
        <v>3</v>
      </c>
      <c r="G4401" t="s">
        <v>498</v>
      </c>
      <c r="H4401" s="4">
        <v>9035142</v>
      </c>
      <c r="I4401" s="4">
        <v>9294752</v>
      </c>
      <c r="J4401" s="3">
        <v>0.02873336135724264</v>
      </c>
      <c r="K4401" s="3">
        <v>-0.027930815152464532</v>
      </c>
      <c r="L4401" t="s">
        <v>54</v>
      </c>
    </row>
    <row r="4402" spans="1:12" x14ac:dyDescent="0.25">
      <c r="A4402" t="s">
        <v>487</v>
      </c>
      <c r="B4402" t="s">
        <v>465</v>
      </c>
      <c r="C4402" t="s">
        <v>478</v>
      </c>
      <c r="D4402" t="s">
        <v>124</v>
      </c>
      <c r="E4402" t="s">
        <v>130</v>
      </c>
      <c r="F4402">
        <v>3</v>
      </c>
      <c r="G4402" t="s">
        <v>499</v>
      </c>
      <c r="H4402" s="4">
        <v>9035142</v>
      </c>
      <c r="I4402" s="4">
        <v>7042367</v>
      </c>
      <c r="J4402" s="3">
        <v>0.22055823804429417</v>
      </c>
      <c r="K4402" s="3">
        <v>0.2829694902296344</v>
      </c>
      <c r="L4402" t="s">
        <v>54</v>
      </c>
    </row>
    <row r="4403" spans="1:12" x14ac:dyDescent="0.25">
      <c r="A4403" t="s">
        <v>487</v>
      </c>
      <c r="B4403" t="s">
        <v>465</v>
      </c>
      <c r="C4403" t="s">
        <v>478</v>
      </c>
      <c r="D4403" t="s">
        <v>126</v>
      </c>
      <c r="E4403" t="s">
        <v>128</v>
      </c>
      <c r="F4403">
        <v>1</v>
      </c>
      <c r="G4403" t="s">
        <v>488</v>
      </c>
      <c r="H4403" s="4">
        <v>8996185</v>
      </c>
      <c r="I4403" s="4">
        <v>8505488.747307742</v>
      </c>
      <c r="J4403" s="3">
        <v>0.05454492684312939</v>
      </c>
      <c r="K4403" s="3">
        <v>0.057691717345176544</v>
      </c>
      <c r="L4403" t="s">
        <v>54</v>
      </c>
    </row>
    <row r="4404" spans="1:12" x14ac:dyDescent="0.25">
      <c r="A4404" t="s">
        <v>487</v>
      </c>
      <c r="B4404" t="s">
        <v>465</v>
      </c>
      <c r="C4404" t="s">
        <v>478</v>
      </c>
      <c r="D4404" t="s">
        <v>126</v>
      </c>
      <c r="E4404" t="s">
        <v>128</v>
      </c>
      <c r="F4404">
        <v>1</v>
      </c>
      <c r="G4404" t="s">
        <v>498</v>
      </c>
      <c r="H4404" s="4">
        <v>8996185</v>
      </c>
      <c r="I4404" s="4">
        <v>9398190</v>
      </c>
      <c r="J4404" s="3">
        <v>0.044686164190709726</v>
      </c>
      <c r="K4404" s="3">
        <v>-0.042774725771664544</v>
      </c>
      <c r="L4404" t="s">
        <v>54</v>
      </c>
    </row>
    <row r="4405" spans="1:12" x14ac:dyDescent="0.25">
      <c r="A4405" t="s">
        <v>487</v>
      </c>
      <c r="B4405" t="s">
        <v>465</v>
      </c>
      <c r="C4405" t="s">
        <v>478</v>
      </c>
      <c r="D4405" t="s">
        <v>126</v>
      </c>
      <c r="E4405" t="s">
        <v>128</v>
      </c>
      <c r="F4405">
        <v>1</v>
      </c>
      <c r="G4405" t="s">
        <v>499</v>
      </c>
      <c r="H4405" s="4">
        <v>8996185</v>
      </c>
      <c r="I4405" s="4">
        <v>7289097</v>
      </c>
      <c r="J4405" s="3">
        <v>0.18975688027758433</v>
      </c>
      <c r="K4405" s="3">
        <v>0.23419745957558255</v>
      </c>
      <c r="L4405" t="s">
        <v>54</v>
      </c>
    </row>
    <row r="4406" spans="1:12" x14ac:dyDescent="0.25">
      <c r="A4406" t="s">
        <v>487</v>
      </c>
      <c r="B4406" t="s">
        <v>465</v>
      </c>
      <c r="C4406" t="s">
        <v>478</v>
      </c>
      <c r="D4406" t="s">
        <v>126</v>
      </c>
      <c r="E4406" t="s">
        <v>130</v>
      </c>
      <c r="F4406">
        <v>2</v>
      </c>
      <c r="G4406" t="s">
        <v>488</v>
      </c>
      <c r="H4406" s="4">
        <v>9035142</v>
      </c>
      <c r="I4406" s="4">
        <v>8411875.961756054</v>
      </c>
      <c r="J4406" s="3">
        <v>0.06898242863741884</v>
      </c>
      <c r="K4406" s="3">
        <v>0.07409358400879622</v>
      </c>
      <c r="L4406" t="s">
        <v>54</v>
      </c>
    </row>
    <row r="4407" spans="1:12" x14ac:dyDescent="0.25">
      <c r="A4407" t="s">
        <v>487</v>
      </c>
      <c r="B4407" t="s">
        <v>465</v>
      </c>
      <c r="C4407" t="s">
        <v>478</v>
      </c>
      <c r="D4407" t="s">
        <v>126</v>
      </c>
      <c r="E4407" t="s">
        <v>130</v>
      </c>
      <c r="F4407">
        <v>2</v>
      </c>
      <c r="G4407" t="s">
        <v>498</v>
      </c>
      <c r="H4407" s="4">
        <v>9035142</v>
      </c>
      <c r="I4407" s="4">
        <v>9294752</v>
      </c>
      <c r="J4407" s="3">
        <v>0.02873336135724264</v>
      </c>
      <c r="K4407" s="3">
        <v>-0.027930815152464532</v>
      </c>
      <c r="L4407" t="s">
        <v>54</v>
      </c>
    </row>
    <row r="4408" spans="1:12" x14ac:dyDescent="0.25">
      <c r="A4408" t="s">
        <v>487</v>
      </c>
      <c r="B4408" t="s">
        <v>465</v>
      </c>
      <c r="C4408" t="s">
        <v>478</v>
      </c>
      <c r="D4408" t="s">
        <v>126</v>
      </c>
      <c r="E4408" t="s">
        <v>130</v>
      </c>
      <c r="F4408">
        <v>2</v>
      </c>
      <c r="G4408" t="s">
        <v>499</v>
      </c>
      <c r="H4408" s="4">
        <v>9035142</v>
      </c>
      <c r="I4408" s="4">
        <v>7289097</v>
      </c>
      <c r="J4408" s="3">
        <v>0.19325042152076857</v>
      </c>
      <c r="K4408" s="3">
        <v>0.23954201734453526</v>
      </c>
      <c r="L4408" t="s">
        <v>54</v>
      </c>
    </row>
    <row r="4409" spans="1:12" x14ac:dyDescent="0.25">
      <c r="A4409" t="s">
        <v>487</v>
      </c>
      <c r="B4409" t="s">
        <v>465</v>
      </c>
      <c r="C4409" t="s">
        <v>478</v>
      </c>
      <c r="D4409" t="s">
        <v>126</v>
      </c>
      <c r="E4409" t="s">
        <v>132</v>
      </c>
      <c r="F4409">
        <v>3</v>
      </c>
      <c r="G4409" t="s">
        <v>488</v>
      </c>
      <c r="H4409" s="4">
        <v>9090061</v>
      </c>
      <c r="I4409" s="4">
        <v>6493723.396505582</v>
      </c>
      <c r="J4409" s="3">
        <v>0.28562378222702994</v>
      </c>
      <c r="K4409" s="3">
        <v>0.39982263563790926</v>
      </c>
      <c r="L4409" t="s">
        <v>54</v>
      </c>
    </row>
    <row r="4410" spans="1:12" x14ac:dyDescent="0.25">
      <c r="A4410" t="s">
        <v>487</v>
      </c>
      <c r="B4410" t="s">
        <v>465</v>
      </c>
      <c r="C4410" t="s">
        <v>478</v>
      </c>
      <c r="D4410" t="s">
        <v>126</v>
      </c>
      <c r="E4410" t="s">
        <v>132</v>
      </c>
      <c r="F4410">
        <v>3</v>
      </c>
      <c r="G4410" t="s">
        <v>498</v>
      </c>
      <c r="H4410" s="4">
        <v>9090061</v>
      </c>
      <c r="I4410" s="4">
        <v>7175278</v>
      </c>
      <c r="J4410" s="3">
        <v>0.21064578114492302</v>
      </c>
      <c r="K4410" s="3">
        <v>0.2668583712017848</v>
      </c>
      <c r="L4410" t="s">
        <v>54</v>
      </c>
    </row>
    <row r="4411" spans="1:12" x14ac:dyDescent="0.25">
      <c r="A4411" t="s">
        <v>487</v>
      </c>
      <c r="B4411" t="s">
        <v>465</v>
      </c>
      <c r="C4411" t="s">
        <v>478</v>
      </c>
      <c r="D4411" t="s">
        <v>126</v>
      </c>
      <c r="E4411" t="s">
        <v>132</v>
      </c>
      <c r="F4411">
        <v>3</v>
      </c>
      <c r="G4411" t="s">
        <v>499</v>
      </c>
      <c r="H4411" s="4">
        <v>9090061</v>
      </c>
      <c r="I4411" s="4">
        <v>7289097</v>
      </c>
      <c r="J4411" s="3">
        <v>0.1981245230367541</v>
      </c>
      <c r="K4411" s="3">
        <v>0.2470764211259639</v>
      </c>
      <c r="L4411" t="s">
        <v>54</v>
      </c>
    </row>
    <row r="4412" spans="1:12" x14ac:dyDescent="0.25">
      <c r="A4412" t="s">
        <v>487</v>
      </c>
      <c r="B4412" t="s">
        <v>465</v>
      </c>
      <c r="C4412" t="s">
        <v>478</v>
      </c>
      <c r="D4412" t="s">
        <v>128</v>
      </c>
      <c r="E4412" t="s">
        <v>130</v>
      </c>
      <c r="F4412">
        <v>1</v>
      </c>
      <c r="G4412" t="s">
        <v>488</v>
      </c>
      <c r="H4412" s="4">
        <v>9035142</v>
      </c>
      <c r="I4412" s="4">
        <v>8355489.424292251</v>
      </c>
      <c r="J4412" s="3">
        <v>0.07522323121294047</v>
      </c>
      <c r="K4412" s="3">
        <v>0.0813420424818884</v>
      </c>
      <c r="L4412" t="s">
        <v>54</v>
      </c>
    </row>
    <row r="4413" spans="1:12" x14ac:dyDescent="0.25">
      <c r="A4413" t="s">
        <v>487</v>
      </c>
      <c r="B4413" t="s">
        <v>465</v>
      </c>
      <c r="C4413" t="s">
        <v>478</v>
      </c>
      <c r="D4413" t="s">
        <v>128</v>
      </c>
      <c r="E4413" t="s">
        <v>130</v>
      </c>
      <c r="F4413">
        <v>1</v>
      </c>
      <c r="G4413" t="s">
        <v>498</v>
      </c>
      <c r="H4413" s="4">
        <v>9035142</v>
      </c>
      <c r="I4413" s="4">
        <v>9294752</v>
      </c>
      <c r="J4413" s="3">
        <v>0.02873336135724264</v>
      </c>
      <c r="K4413" s="3">
        <v>-0.027930815152464532</v>
      </c>
      <c r="L4413" t="s">
        <v>54</v>
      </c>
    </row>
    <row r="4414" spans="1:12" x14ac:dyDescent="0.25">
      <c r="A4414" t="s">
        <v>487</v>
      </c>
      <c r="B4414" t="s">
        <v>465</v>
      </c>
      <c r="C4414" t="s">
        <v>478</v>
      </c>
      <c r="D4414" t="s">
        <v>128</v>
      </c>
      <c r="E4414" t="s">
        <v>130</v>
      </c>
      <c r="F4414">
        <v>1</v>
      </c>
      <c r="G4414" t="s">
        <v>499</v>
      </c>
      <c r="H4414" s="4">
        <v>9035142</v>
      </c>
      <c r="I4414" s="4">
        <v>8996185</v>
      </c>
      <c r="J4414" s="3">
        <v>0.0043117197272605125</v>
      </c>
      <c r="K4414" s="3">
        <v>0.004330391160252929</v>
      </c>
      <c r="L4414" t="s">
        <v>54</v>
      </c>
    </row>
    <row r="4415" spans="1:12" x14ac:dyDescent="0.25">
      <c r="A4415" t="s">
        <v>487</v>
      </c>
      <c r="B4415" t="s">
        <v>465</v>
      </c>
      <c r="C4415" t="s">
        <v>478</v>
      </c>
      <c r="D4415" t="s">
        <v>128</v>
      </c>
      <c r="E4415" t="s">
        <v>132</v>
      </c>
      <c r="F4415">
        <v>2</v>
      </c>
      <c r="G4415" t="s">
        <v>488</v>
      </c>
      <c r="H4415" s="4">
        <v>9090061</v>
      </c>
      <c r="I4415" s="4">
        <v>6450194.630836504</v>
      </c>
      <c r="J4415" s="3">
        <v>0.2904123931801444</v>
      </c>
      <c r="K4415" s="3">
        <v>0.4092692577899996</v>
      </c>
      <c r="L4415" t="s">
        <v>54</v>
      </c>
    </row>
    <row r="4416" spans="1:12" x14ac:dyDescent="0.25">
      <c r="A4416" t="s">
        <v>487</v>
      </c>
      <c r="B4416" t="s">
        <v>465</v>
      </c>
      <c r="C4416" t="s">
        <v>478</v>
      </c>
      <c r="D4416" t="s">
        <v>128</v>
      </c>
      <c r="E4416" t="s">
        <v>132</v>
      </c>
      <c r="F4416">
        <v>2</v>
      </c>
      <c r="G4416" t="s">
        <v>498</v>
      </c>
      <c r="H4416" s="4">
        <v>9090061</v>
      </c>
      <c r="I4416" s="4">
        <v>7175278</v>
      </c>
      <c r="J4416" s="3">
        <v>0.21064578114492302</v>
      </c>
      <c r="K4416" s="3">
        <v>0.2668583712017848</v>
      </c>
      <c r="L4416" t="s">
        <v>54</v>
      </c>
    </row>
    <row r="4417" spans="1:12" x14ac:dyDescent="0.25">
      <c r="A4417" t="s">
        <v>487</v>
      </c>
      <c r="B4417" t="s">
        <v>465</v>
      </c>
      <c r="C4417" t="s">
        <v>478</v>
      </c>
      <c r="D4417" t="s">
        <v>128</v>
      </c>
      <c r="E4417" t="s">
        <v>132</v>
      </c>
      <c r="F4417">
        <v>2</v>
      </c>
      <c r="G4417" t="s">
        <v>499</v>
      </c>
      <c r="H4417" s="4">
        <v>9090061</v>
      </c>
      <c r="I4417" s="4">
        <v>8996185</v>
      </c>
      <c r="J4417" s="3">
        <v>0.010327323436003344</v>
      </c>
      <c r="K4417" s="3">
        <v>0.01043508998536602</v>
      </c>
      <c r="L4417" t="s">
        <v>54</v>
      </c>
    </row>
    <row r="4418" spans="1:12" x14ac:dyDescent="0.25">
      <c r="A4418" t="s">
        <v>487</v>
      </c>
      <c r="B4418" t="s">
        <v>465</v>
      </c>
      <c r="C4418" t="s">
        <v>478</v>
      </c>
      <c r="D4418" t="s">
        <v>128</v>
      </c>
      <c r="E4418" t="s">
        <v>134</v>
      </c>
      <c r="F4418">
        <v>3</v>
      </c>
      <c r="G4418" t="s">
        <v>488</v>
      </c>
      <c r="H4418" s="4">
        <v>9170404</v>
      </c>
      <c r="I4418" s="4">
        <v>8232566.512592493</v>
      </c>
      <c r="J4418" s="3">
        <v>0.10226784854925774</v>
      </c>
      <c r="K4418" s="3">
        <v>0.11391799701502513</v>
      </c>
      <c r="L4418" t="s">
        <v>54</v>
      </c>
    </row>
    <row r="4419" spans="1:12" x14ac:dyDescent="0.25">
      <c r="A4419" t="s">
        <v>487</v>
      </c>
      <c r="B4419" t="s">
        <v>465</v>
      </c>
      <c r="C4419" t="s">
        <v>478</v>
      </c>
      <c r="D4419" t="s">
        <v>128</v>
      </c>
      <c r="E4419" t="s">
        <v>134</v>
      </c>
      <c r="F4419">
        <v>3</v>
      </c>
      <c r="G4419" t="s">
        <v>498</v>
      </c>
      <c r="H4419" s="4">
        <v>9170404</v>
      </c>
      <c r="I4419" s="4">
        <v>9158011</v>
      </c>
      <c r="J4419" s="3">
        <v>0.001351412653139382</v>
      </c>
      <c r="K4419" s="3">
        <v>0.0013532414407451574</v>
      </c>
      <c r="L4419" t="s">
        <v>54</v>
      </c>
    </row>
    <row r="4420" spans="1:12" x14ac:dyDescent="0.25">
      <c r="A4420" t="s">
        <v>487</v>
      </c>
      <c r="B4420" t="s">
        <v>465</v>
      </c>
      <c r="C4420" t="s">
        <v>478</v>
      </c>
      <c r="D4420" t="s">
        <v>128</v>
      </c>
      <c r="E4420" t="s">
        <v>134</v>
      </c>
      <c r="F4420">
        <v>3</v>
      </c>
      <c r="G4420" t="s">
        <v>499</v>
      </c>
      <c r="H4420" s="4">
        <v>9170404</v>
      </c>
      <c r="I4420" s="4">
        <v>8996185</v>
      </c>
      <c r="J4420" s="3">
        <v>0.018997963448502377</v>
      </c>
      <c r="K4420" s="3">
        <v>0.019365875646176686</v>
      </c>
      <c r="L4420" t="s">
        <v>54</v>
      </c>
    </row>
    <row r="4421" spans="1:12" x14ac:dyDescent="0.25">
      <c r="A4421" t="s">
        <v>487</v>
      </c>
      <c r="B4421" t="s">
        <v>465</v>
      </c>
      <c r="C4421" t="s">
        <v>478</v>
      </c>
      <c r="D4421" t="s">
        <v>130</v>
      </c>
      <c r="E4421" t="s">
        <v>132</v>
      </c>
      <c r="F4421">
        <v>1</v>
      </c>
      <c r="G4421" t="s">
        <v>488</v>
      </c>
      <c r="H4421" s="4">
        <v>9090061</v>
      </c>
      <c r="I4421" s="4">
        <v>6461307.029987726</v>
      </c>
      <c r="J4421" s="3">
        <v>0.28918991522854176</v>
      </c>
      <c r="K4421" s="3">
        <v>0.4068455434499399</v>
      </c>
      <c r="L4421" t="s">
        <v>54</v>
      </c>
    </row>
    <row r="4422" spans="1:12" x14ac:dyDescent="0.25">
      <c r="A4422" t="s">
        <v>487</v>
      </c>
      <c r="B4422" t="s">
        <v>465</v>
      </c>
      <c r="C4422" t="s">
        <v>478</v>
      </c>
      <c r="D4422" t="s">
        <v>130</v>
      </c>
      <c r="E4422" t="s">
        <v>132</v>
      </c>
      <c r="F4422">
        <v>1</v>
      </c>
      <c r="G4422" t="s">
        <v>498</v>
      </c>
      <c r="H4422" s="4">
        <v>9090061</v>
      </c>
      <c r="I4422" s="4">
        <v>7175278</v>
      </c>
      <c r="J4422" s="3">
        <v>0.21064578114492302</v>
      </c>
      <c r="K4422" s="3">
        <v>0.2668583712017848</v>
      </c>
      <c r="L4422" t="s">
        <v>54</v>
      </c>
    </row>
    <row r="4423" spans="1:12" x14ac:dyDescent="0.25">
      <c r="A4423" t="s">
        <v>487</v>
      </c>
      <c r="B4423" t="s">
        <v>465</v>
      </c>
      <c r="C4423" t="s">
        <v>478</v>
      </c>
      <c r="D4423" t="s">
        <v>130</v>
      </c>
      <c r="E4423" t="s">
        <v>132</v>
      </c>
      <c r="F4423">
        <v>1</v>
      </c>
      <c r="G4423" t="s">
        <v>499</v>
      </c>
      <c r="H4423" s="4">
        <v>9090061</v>
      </c>
      <c r="I4423" s="4">
        <v>9035142</v>
      </c>
      <c r="J4423" s="3">
        <v>0.006041653625866757</v>
      </c>
      <c r="K4423" s="3">
        <v>0.006078377074759865</v>
      </c>
      <c r="L4423" t="s">
        <v>54</v>
      </c>
    </row>
    <row r="4424" spans="1:12" x14ac:dyDescent="0.25">
      <c r="A4424" t="s">
        <v>487</v>
      </c>
      <c r="B4424" t="s">
        <v>465</v>
      </c>
      <c r="C4424" t="s">
        <v>478</v>
      </c>
      <c r="D4424" t="s">
        <v>130</v>
      </c>
      <c r="E4424" t="s">
        <v>134</v>
      </c>
      <c r="F4424">
        <v>2</v>
      </c>
      <c r="G4424" t="s">
        <v>488</v>
      </c>
      <c r="H4424" s="4">
        <v>9170404</v>
      </c>
      <c r="I4424" s="4">
        <v>8246749.583083043</v>
      </c>
      <c r="J4424" s="3">
        <v>0.10072123506412119</v>
      </c>
      <c r="K4424" s="3">
        <v>0.11200223889563643</v>
      </c>
      <c r="L4424" t="s">
        <v>54</v>
      </c>
    </row>
    <row r="4425" spans="1:12" x14ac:dyDescent="0.25">
      <c r="A4425" t="s">
        <v>487</v>
      </c>
      <c r="B4425" t="s">
        <v>465</v>
      </c>
      <c r="C4425" t="s">
        <v>478</v>
      </c>
      <c r="D4425" t="s">
        <v>130</v>
      </c>
      <c r="E4425" t="s">
        <v>134</v>
      </c>
      <c r="F4425">
        <v>2</v>
      </c>
      <c r="G4425" t="s">
        <v>498</v>
      </c>
      <c r="H4425" s="4">
        <v>9170404</v>
      </c>
      <c r="I4425" s="4">
        <v>9158011</v>
      </c>
      <c r="J4425" s="3">
        <v>0.001351412653139382</v>
      </c>
      <c r="K4425" s="3">
        <v>0.0013532414407451574</v>
      </c>
      <c r="L4425" t="s">
        <v>54</v>
      </c>
    </row>
    <row r="4426" spans="1:12" x14ac:dyDescent="0.25">
      <c r="A4426" t="s">
        <v>487</v>
      </c>
      <c r="B4426" t="s">
        <v>465</v>
      </c>
      <c r="C4426" t="s">
        <v>478</v>
      </c>
      <c r="D4426" t="s">
        <v>130</v>
      </c>
      <c r="E4426" t="s">
        <v>134</v>
      </c>
      <c r="F4426">
        <v>2</v>
      </c>
      <c r="G4426" t="s">
        <v>499</v>
      </c>
      <c r="H4426" s="4">
        <v>9170404</v>
      </c>
      <c r="I4426" s="4">
        <v>9035142</v>
      </c>
      <c r="J4426" s="3">
        <v>0.014749840901229652</v>
      </c>
      <c r="K4426" s="3">
        <v>0.014970655690856878</v>
      </c>
      <c r="L4426" t="s">
        <v>54</v>
      </c>
    </row>
    <row r="4427" spans="1:12" x14ac:dyDescent="0.25">
      <c r="A4427" t="s">
        <v>487</v>
      </c>
      <c r="B4427" t="s">
        <v>465</v>
      </c>
      <c r="C4427" t="s">
        <v>478</v>
      </c>
      <c r="D4427" t="s">
        <v>130</v>
      </c>
      <c r="E4427" t="s">
        <v>136</v>
      </c>
      <c r="F4427">
        <v>3</v>
      </c>
      <c r="G4427" t="s">
        <v>488</v>
      </c>
      <c r="H4427" s="4">
        <v>8683635</v>
      </c>
      <c r="I4427" s="4">
        <v>6431740.153969457</v>
      </c>
      <c r="J4427" s="3">
        <v>0.25932628974277966</v>
      </c>
      <c r="K4427" s="3">
        <v>0.35012217411189217</v>
      </c>
      <c r="L4427" t="s">
        <v>54</v>
      </c>
    </row>
    <row r="4428" spans="1:12" x14ac:dyDescent="0.25">
      <c r="A4428" t="s">
        <v>487</v>
      </c>
      <c r="B4428" t="s">
        <v>465</v>
      </c>
      <c r="C4428" t="s">
        <v>478</v>
      </c>
      <c r="D4428" t="s">
        <v>130</v>
      </c>
      <c r="E4428" t="s">
        <v>136</v>
      </c>
      <c r="F4428">
        <v>3</v>
      </c>
      <c r="G4428" t="s">
        <v>498</v>
      </c>
      <c r="H4428" s="4">
        <v>8683635</v>
      </c>
      <c r="I4428" s="4">
        <v>7142444</v>
      </c>
      <c r="J4428" s="3">
        <v>0.17748224102003365</v>
      </c>
      <c r="K4428" s="3">
        <v>0.21577922067012356</v>
      </c>
      <c r="L4428" t="s">
        <v>54</v>
      </c>
    </row>
    <row r="4429" spans="1:12" x14ac:dyDescent="0.25">
      <c r="A4429" t="s">
        <v>487</v>
      </c>
      <c r="B4429" t="s">
        <v>465</v>
      </c>
      <c r="C4429" t="s">
        <v>478</v>
      </c>
      <c r="D4429" t="s">
        <v>130</v>
      </c>
      <c r="E4429" t="s">
        <v>136</v>
      </c>
      <c r="F4429">
        <v>3</v>
      </c>
      <c r="G4429" t="s">
        <v>499</v>
      </c>
      <c r="H4429" s="4">
        <v>8683635</v>
      </c>
      <c r="I4429" s="4">
        <v>9035142</v>
      </c>
      <c r="J4429" s="3">
        <v>0.04047924630641431</v>
      </c>
      <c r="K4429" s="3">
        <v>-0.038904424523709756</v>
      </c>
      <c r="L4429" t="s">
        <v>54</v>
      </c>
    </row>
    <row r="4430" spans="1:12" x14ac:dyDescent="0.25">
      <c r="A4430" t="s">
        <v>487</v>
      </c>
      <c r="B4430" t="s">
        <v>465</v>
      </c>
      <c r="C4430" t="s">
        <v>478</v>
      </c>
      <c r="D4430" t="s">
        <v>132</v>
      </c>
      <c r="E4430" t="s">
        <v>134</v>
      </c>
      <c r="F4430">
        <v>1</v>
      </c>
      <c r="G4430" t="s">
        <v>488</v>
      </c>
      <c r="H4430" s="4">
        <v>9170404</v>
      </c>
      <c r="I4430" s="4">
        <v>8679226.924524242</v>
      </c>
      <c r="J4430" s="3">
        <v>0.05356111633421581</v>
      </c>
      <c r="K4430" s="3">
        <v>0.05659226100977676</v>
      </c>
      <c r="L4430" t="s">
        <v>54</v>
      </c>
    </row>
    <row r="4431" spans="1:12" x14ac:dyDescent="0.25">
      <c r="A4431" t="s">
        <v>487</v>
      </c>
      <c r="B4431" t="s">
        <v>465</v>
      </c>
      <c r="C4431" t="s">
        <v>478</v>
      </c>
      <c r="D4431" t="s">
        <v>132</v>
      </c>
      <c r="E4431" t="s">
        <v>134</v>
      </c>
      <c r="F4431">
        <v>1</v>
      </c>
      <c r="G4431" t="s">
        <v>498</v>
      </c>
      <c r="H4431" s="4">
        <v>9170404</v>
      </c>
      <c r="I4431" s="4">
        <v>9158011</v>
      </c>
      <c r="J4431" s="3">
        <v>0.001351412653139382</v>
      </c>
      <c r="K4431" s="3">
        <v>0.0013532414407451574</v>
      </c>
      <c r="L4431" t="s">
        <v>54</v>
      </c>
    </row>
    <row r="4432" spans="1:12" x14ac:dyDescent="0.25">
      <c r="A4432" t="s">
        <v>487</v>
      </c>
      <c r="B4432" t="s">
        <v>465</v>
      </c>
      <c r="C4432" t="s">
        <v>478</v>
      </c>
      <c r="D4432" t="s">
        <v>132</v>
      </c>
      <c r="E4432" t="s">
        <v>134</v>
      </c>
      <c r="F4432">
        <v>1</v>
      </c>
      <c r="G4432" t="s">
        <v>499</v>
      </c>
      <c r="H4432" s="4">
        <v>9170404</v>
      </c>
      <c r="I4432" s="4">
        <v>9090061</v>
      </c>
      <c r="J4432" s="3">
        <v>0.008761118921260176</v>
      </c>
      <c r="K4432" s="3">
        <v>0.008838554548753853</v>
      </c>
      <c r="L4432" t="s">
        <v>54</v>
      </c>
    </row>
    <row r="4433" spans="1:12" x14ac:dyDescent="0.25">
      <c r="A4433" t="s">
        <v>487</v>
      </c>
      <c r="B4433" t="s">
        <v>465</v>
      </c>
      <c r="C4433" t="s">
        <v>478</v>
      </c>
      <c r="D4433" t="s">
        <v>132</v>
      </c>
      <c r="E4433" t="s">
        <v>136</v>
      </c>
      <c r="F4433">
        <v>2</v>
      </c>
      <c r="G4433" t="s">
        <v>488</v>
      </c>
      <c r="H4433" s="4">
        <v>8683635</v>
      </c>
      <c r="I4433" s="4">
        <v>6769034.484857752</v>
      </c>
      <c r="J4433" s="3">
        <v>0.22048376228874753</v>
      </c>
      <c r="K4433" s="3">
        <v>0.2828469140503252</v>
      </c>
      <c r="L4433" t="s">
        <v>54</v>
      </c>
    </row>
    <row r="4434" spans="1:12" x14ac:dyDescent="0.25">
      <c r="A4434" t="s">
        <v>487</v>
      </c>
      <c r="B4434" t="s">
        <v>465</v>
      </c>
      <c r="C4434" t="s">
        <v>478</v>
      </c>
      <c r="D4434" t="s">
        <v>132</v>
      </c>
      <c r="E4434" t="s">
        <v>136</v>
      </c>
      <c r="F4434">
        <v>2</v>
      </c>
      <c r="G4434" t="s">
        <v>498</v>
      </c>
      <c r="H4434" s="4">
        <v>8683635</v>
      </c>
      <c r="I4434" s="4">
        <v>7142444</v>
      </c>
      <c r="J4434" s="3">
        <v>0.17748224102003365</v>
      </c>
      <c r="K4434" s="3">
        <v>0.21577922067012356</v>
      </c>
      <c r="L4434" t="s">
        <v>54</v>
      </c>
    </row>
    <row r="4435" spans="1:12" x14ac:dyDescent="0.25">
      <c r="A4435" t="s">
        <v>487</v>
      </c>
      <c r="B4435" t="s">
        <v>465</v>
      </c>
      <c r="C4435" t="s">
        <v>478</v>
      </c>
      <c r="D4435" t="s">
        <v>132</v>
      </c>
      <c r="E4435" t="s">
        <v>136</v>
      </c>
      <c r="F4435">
        <v>2</v>
      </c>
      <c r="G4435" t="s">
        <v>499</v>
      </c>
      <c r="H4435" s="4">
        <v>8683635</v>
      </c>
      <c r="I4435" s="4">
        <v>9090061</v>
      </c>
      <c r="J4435" s="3">
        <v>0.04680367150392664</v>
      </c>
      <c r="K4435" s="3">
        <v>-0.04471103109209058</v>
      </c>
      <c r="L4435" t="s">
        <v>54</v>
      </c>
    </row>
    <row r="4436" spans="1:12" x14ac:dyDescent="0.25">
      <c r="A4436" t="s">
        <v>487</v>
      </c>
      <c r="B4436" t="s">
        <v>465</v>
      </c>
      <c r="C4436" t="s">
        <v>478</v>
      </c>
      <c r="D4436" t="s">
        <v>132</v>
      </c>
      <c r="E4436" t="s">
        <v>138</v>
      </c>
      <c r="F4436">
        <v>3</v>
      </c>
      <c r="G4436" t="s">
        <v>488</v>
      </c>
      <c r="H4436" s="4">
        <v>5851401</v>
      </c>
      <c r="I4436" s="4">
        <v>5330589.400096968</v>
      </c>
      <c r="J4436" s="3">
        <v>0.08900630804537789</v>
      </c>
      <c r="K4436" s="3">
        <v>0.09770244166499828</v>
      </c>
      <c r="L4436" t="s">
        <v>54</v>
      </c>
    </row>
    <row r="4437" spans="1:12" x14ac:dyDescent="0.25">
      <c r="A4437" t="s">
        <v>487</v>
      </c>
      <c r="B4437" t="s">
        <v>465</v>
      </c>
      <c r="C4437" t="s">
        <v>478</v>
      </c>
      <c r="D4437" t="s">
        <v>132</v>
      </c>
      <c r="E4437" t="s">
        <v>138</v>
      </c>
      <c r="F4437">
        <v>3</v>
      </c>
      <c r="G4437" t="s">
        <v>498</v>
      </c>
      <c r="H4437" s="4">
        <v>5851401</v>
      </c>
      <c r="I4437" s="4">
        <v>5624648</v>
      </c>
      <c r="J4437" s="3">
        <v>0.038751915994135425</v>
      </c>
      <c r="K4437" s="3">
        <v>0.040314167215441746</v>
      </c>
      <c r="L4437" t="s">
        <v>54</v>
      </c>
    </row>
    <row r="4438" spans="1:12" x14ac:dyDescent="0.25">
      <c r="A4438" t="s">
        <v>487</v>
      </c>
      <c r="B4438" t="s">
        <v>465</v>
      </c>
      <c r="C4438" t="s">
        <v>478</v>
      </c>
      <c r="D4438" t="s">
        <v>132</v>
      </c>
      <c r="E4438" t="s">
        <v>138</v>
      </c>
      <c r="F4438">
        <v>3</v>
      </c>
      <c r="G4438" t="s">
        <v>499</v>
      </c>
      <c r="H4438" s="4">
        <v>5851401</v>
      </c>
      <c r="I4438" s="4">
        <v>9090061</v>
      </c>
      <c r="J4438" s="3">
        <v>0.5534845415653448</v>
      </c>
      <c r="K4438" s="3">
        <v>-0.35628583790581825</v>
      </c>
      <c r="L4438" t="s">
        <v>54</v>
      </c>
    </row>
    <row r="4439" spans="1:12" x14ac:dyDescent="0.25">
      <c r="A4439" t="s">
        <v>487</v>
      </c>
      <c r="B4439" t="s">
        <v>465</v>
      </c>
      <c r="C4439" t="s">
        <v>478</v>
      </c>
      <c r="D4439" t="s">
        <v>134</v>
      </c>
      <c r="E4439" t="s">
        <v>136</v>
      </c>
      <c r="F4439">
        <v>1</v>
      </c>
      <c r="G4439" t="s">
        <v>488</v>
      </c>
      <c r="H4439" s="4">
        <v>8683635</v>
      </c>
      <c r="I4439" s="4">
        <v>6825714.710673875</v>
      </c>
      <c r="J4439" s="3">
        <v>0.2139565158284664</v>
      </c>
      <c r="K4439" s="3">
        <v>0.2721942489657174</v>
      </c>
      <c r="L4439" t="s">
        <v>54</v>
      </c>
    </row>
    <row r="4440" spans="1:12" x14ac:dyDescent="0.25">
      <c r="A4440" t="s">
        <v>487</v>
      </c>
      <c r="B4440" t="s">
        <v>465</v>
      </c>
      <c r="C4440" t="s">
        <v>478</v>
      </c>
      <c r="D4440" t="s">
        <v>134</v>
      </c>
      <c r="E4440" t="s">
        <v>136</v>
      </c>
      <c r="F4440">
        <v>1</v>
      </c>
      <c r="G4440" t="s">
        <v>498</v>
      </c>
      <c r="H4440" s="4">
        <v>8683635</v>
      </c>
      <c r="I4440" s="4">
        <v>7142444</v>
      </c>
      <c r="J4440" s="3">
        <v>0.17748224102003365</v>
      </c>
      <c r="K4440" s="3">
        <v>0.21577922067012356</v>
      </c>
      <c r="L4440" t="s">
        <v>54</v>
      </c>
    </row>
    <row r="4441" spans="1:12" x14ac:dyDescent="0.25">
      <c r="A4441" t="s">
        <v>487</v>
      </c>
      <c r="B4441" t="s">
        <v>465</v>
      </c>
      <c r="C4441" t="s">
        <v>478</v>
      </c>
      <c r="D4441" t="s">
        <v>134</v>
      </c>
      <c r="E4441" t="s">
        <v>136</v>
      </c>
      <c r="F4441">
        <v>1</v>
      </c>
      <c r="G4441" t="s">
        <v>499</v>
      </c>
      <c r="H4441" s="4">
        <v>8683635</v>
      </c>
      <c r="I4441" s="4">
        <v>9170404</v>
      </c>
      <c r="J4441" s="3">
        <v>0.056055902856349905</v>
      </c>
      <c r="K4441" s="3">
        <v>-0.05308043135286079</v>
      </c>
      <c r="L4441" t="s">
        <v>54</v>
      </c>
    </row>
    <row r="4442" spans="1:12" x14ac:dyDescent="0.25">
      <c r="A4442" t="s">
        <v>487</v>
      </c>
      <c r="B4442" t="s">
        <v>465</v>
      </c>
      <c r="C4442" t="s">
        <v>478</v>
      </c>
      <c r="D4442" t="s">
        <v>134</v>
      </c>
      <c r="E4442" t="s">
        <v>138</v>
      </c>
      <c r="F4442">
        <v>2</v>
      </c>
      <c r="G4442" t="s">
        <v>488</v>
      </c>
      <c r="H4442" s="4">
        <v>5851401</v>
      </c>
      <c r="I4442" s="4">
        <v>5375224.86644101</v>
      </c>
      <c r="J4442" s="3">
        <v>0.08137814064682808</v>
      </c>
      <c r="K4442" s="3">
        <v>0.08858720246884694</v>
      </c>
      <c r="L4442" t="s">
        <v>54</v>
      </c>
    </row>
    <row r="4443" spans="1:12" x14ac:dyDescent="0.25">
      <c r="A4443" t="s">
        <v>487</v>
      </c>
      <c r="B4443" t="s">
        <v>465</v>
      </c>
      <c r="C4443" t="s">
        <v>478</v>
      </c>
      <c r="D4443" t="s">
        <v>134</v>
      </c>
      <c r="E4443" t="s">
        <v>138</v>
      </c>
      <c r="F4443">
        <v>2</v>
      </c>
      <c r="G4443" t="s">
        <v>498</v>
      </c>
      <c r="H4443" s="4">
        <v>5851401</v>
      </c>
      <c r="I4443" s="4">
        <v>5624648</v>
      </c>
      <c r="J4443" s="3">
        <v>0.038751915994135425</v>
      </c>
      <c r="K4443" s="3">
        <v>0.040314167215441746</v>
      </c>
      <c r="L4443" t="s">
        <v>54</v>
      </c>
    </row>
    <row r="4444" spans="1:12" x14ac:dyDescent="0.25">
      <c r="A4444" t="s">
        <v>487</v>
      </c>
      <c r="B4444" t="s">
        <v>465</v>
      </c>
      <c r="C4444" t="s">
        <v>478</v>
      </c>
      <c r="D4444" t="s">
        <v>134</v>
      </c>
      <c r="E4444" t="s">
        <v>138</v>
      </c>
      <c r="F4444">
        <v>2</v>
      </c>
      <c r="G4444" t="s">
        <v>499</v>
      </c>
      <c r="H4444" s="4">
        <v>5851401</v>
      </c>
      <c r="I4444" s="4">
        <v>9170404</v>
      </c>
      <c r="J4444" s="3">
        <v>0.567215099426616</v>
      </c>
      <c r="K4444" s="3">
        <v>-0.3619254942312247</v>
      </c>
      <c r="L4444" t="s">
        <v>54</v>
      </c>
    </row>
    <row r="4445" spans="1:12" x14ac:dyDescent="0.25">
      <c r="A4445" t="s">
        <v>487</v>
      </c>
      <c r="B4445" t="s">
        <v>465</v>
      </c>
      <c r="C4445" t="s">
        <v>478</v>
      </c>
      <c r="D4445" t="s">
        <v>134</v>
      </c>
      <c r="E4445" t="s">
        <v>140</v>
      </c>
      <c r="F4445">
        <v>3</v>
      </c>
      <c r="G4445" t="s">
        <v>488</v>
      </c>
      <c r="H4445" s="4">
        <v>8676866</v>
      </c>
      <c r="I4445" s="4">
        <v>7170747.379643464</v>
      </c>
      <c r="J4445" s="3">
        <v>0.17357864237577664</v>
      </c>
      <c r="K4445" s="3">
        <v>0.21003649140285582</v>
      </c>
      <c r="L4445" t="s">
        <v>54</v>
      </c>
    </row>
    <row r="4446" spans="1:12" x14ac:dyDescent="0.25">
      <c r="A4446" t="s">
        <v>487</v>
      </c>
      <c r="B4446" t="s">
        <v>465</v>
      </c>
      <c r="C4446" t="s">
        <v>478</v>
      </c>
      <c r="D4446" t="s">
        <v>134</v>
      </c>
      <c r="E4446" t="s">
        <v>140</v>
      </c>
      <c r="F4446">
        <v>3</v>
      </c>
      <c r="G4446" t="s">
        <v>498</v>
      </c>
      <c r="H4446" s="4">
        <v>8676866</v>
      </c>
      <c r="I4446" s="4">
        <v>7503487</v>
      </c>
      <c r="J4446" s="3">
        <v>0.1352307388404984</v>
      </c>
      <c r="K4446" s="3">
        <v>0.15637782806847003</v>
      </c>
      <c r="L4446" t="s">
        <v>54</v>
      </c>
    </row>
    <row r="4447" spans="1:12" x14ac:dyDescent="0.25">
      <c r="A4447" t="s">
        <v>487</v>
      </c>
      <c r="B4447" t="s">
        <v>465</v>
      </c>
      <c r="C4447" t="s">
        <v>478</v>
      </c>
      <c r="D4447" t="s">
        <v>134</v>
      </c>
      <c r="E4447" t="s">
        <v>140</v>
      </c>
      <c r="F4447">
        <v>3</v>
      </c>
      <c r="G4447" t="s">
        <v>499</v>
      </c>
      <c r="H4447" s="4">
        <v>8676866</v>
      </c>
      <c r="I4447" s="4">
        <v>9170404</v>
      </c>
      <c r="J4447" s="3">
        <v>0.05687975358845002</v>
      </c>
      <c r="K4447" s="3">
        <v>-0.05381856677197646</v>
      </c>
      <c r="L4447" t="s">
        <v>54</v>
      </c>
    </row>
    <row r="4448" spans="1:12" x14ac:dyDescent="0.25">
      <c r="A4448" t="s">
        <v>487</v>
      </c>
      <c r="B4448" t="s">
        <v>465</v>
      </c>
      <c r="C4448" t="s">
        <v>478</v>
      </c>
      <c r="D4448" t="s">
        <v>136</v>
      </c>
      <c r="E4448" t="s">
        <v>138</v>
      </c>
      <c r="F4448">
        <v>1</v>
      </c>
      <c r="G4448" t="s">
        <v>488</v>
      </c>
      <c r="H4448" s="4">
        <v>5851401</v>
      </c>
      <c r="I4448" s="4">
        <v>5505688.467836315</v>
      </c>
      <c r="J4448" s="3">
        <v>0.05908200996029587</v>
      </c>
      <c r="K4448" s="3">
        <v>0.06279188046750256</v>
      </c>
      <c r="L4448" t="s">
        <v>54</v>
      </c>
    </row>
    <row r="4449" spans="1:12" x14ac:dyDescent="0.25">
      <c r="A4449" t="s">
        <v>487</v>
      </c>
      <c r="B4449" t="s">
        <v>465</v>
      </c>
      <c r="C4449" t="s">
        <v>478</v>
      </c>
      <c r="D4449" t="s">
        <v>136</v>
      </c>
      <c r="E4449" t="s">
        <v>138</v>
      </c>
      <c r="F4449">
        <v>1</v>
      </c>
      <c r="G4449" t="s">
        <v>498</v>
      </c>
      <c r="H4449" s="4">
        <v>5851401</v>
      </c>
      <c r="I4449" s="4">
        <v>5624648</v>
      </c>
      <c r="J4449" s="3">
        <v>0.038751915994135425</v>
      </c>
      <c r="K4449" s="3">
        <v>0.040314167215441746</v>
      </c>
      <c r="L4449" t="s">
        <v>54</v>
      </c>
    </row>
    <row r="4450" spans="1:12" x14ac:dyDescent="0.25">
      <c r="A4450" t="s">
        <v>487</v>
      </c>
      <c r="B4450" t="s">
        <v>465</v>
      </c>
      <c r="C4450" t="s">
        <v>478</v>
      </c>
      <c r="D4450" t="s">
        <v>136</v>
      </c>
      <c r="E4450" t="s">
        <v>138</v>
      </c>
      <c r="F4450">
        <v>1</v>
      </c>
      <c r="G4450" t="s">
        <v>499</v>
      </c>
      <c r="H4450" s="4">
        <v>5851401</v>
      </c>
      <c r="I4450" s="4">
        <v>8683635</v>
      </c>
      <c r="J4450" s="3">
        <v>0.48402664592633454</v>
      </c>
      <c r="K4450" s="3">
        <v>-0.32615765172073674</v>
      </c>
      <c r="L4450" t="s">
        <v>54</v>
      </c>
    </row>
    <row r="4451" spans="1:12" x14ac:dyDescent="0.25">
      <c r="A4451" t="s">
        <v>487</v>
      </c>
      <c r="B4451" t="s">
        <v>465</v>
      </c>
      <c r="C4451" t="s">
        <v>478</v>
      </c>
      <c r="D4451" t="s">
        <v>136</v>
      </c>
      <c r="E4451" t="s">
        <v>140</v>
      </c>
      <c r="F4451">
        <v>2</v>
      </c>
      <c r="G4451" t="s">
        <v>488</v>
      </c>
      <c r="H4451" s="4">
        <v>8676866</v>
      </c>
      <c r="I4451" s="4">
        <v>7344790.615245559</v>
      </c>
      <c r="J4451" s="3">
        <v>0.1535203361161093</v>
      </c>
      <c r="K4451" s="3">
        <v>0.18136328923924067</v>
      </c>
      <c r="L4451" t="s">
        <v>54</v>
      </c>
    </row>
    <row r="4452" spans="1:12" x14ac:dyDescent="0.25">
      <c r="A4452" t="s">
        <v>487</v>
      </c>
      <c r="B4452" t="s">
        <v>465</v>
      </c>
      <c r="C4452" t="s">
        <v>478</v>
      </c>
      <c r="D4452" t="s">
        <v>136</v>
      </c>
      <c r="E4452" t="s">
        <v>140</v>
      </c>
      <c r="F4452">
        <v>2</v>
      </c>
      <c r="G4452" t="s">
        <v>498</v>
      </c>
      <c r="H4452" s="4">
        <v>8676866</v>
      </c>
      <c r="I4452" s="4">
        <v>7503487</v>
      </c>
      <c r="J4452" s="3">
        <v>0.1352307388404984</v>
      </c>
      <c r="K4452" s="3">
        <v>0.15637782806847003</v>
      </c>
      <c r="L4452" t="s">
        <v>54</v>
      </c>
    </row>
    <row r="4453" spans="1:12" x14ac:dyDescent="0.25">
      <c r="A4453" t="s">
        <v>487</v>
      </c>
      <c r="B4453" t="s">
        <v>465</v>
      </c>
      <c r="C4453" t="s">
        <v>478</v>
      </c>
      <c r="D4453" t="s">
        <v>136</v>
      </c>
      <c r="E4453" t="s">
        <v>140</v>
      </c>
      <c r="F4453">
        <v>2</v>
      </c>
      <c r="G4453" t="s">
        <v>499</v>
      </c>
      <c r="H4453" s="4">
        <v>8676866</v>
      </c>
      <c r="I4453" s="4">
        <v>8683635</v>
      </c>
      <c r="J4453" s="3">
        <v>0.0007801203798698746</v>
      </c>
      <c r="K4453" s="3">
        <v>-0.0007795122664644472</v>
      </c>
      <c r="L4453" t="s">
        <v>54</v>
      </c>
    </row>
    <row r="4454" spans="1:12" x14ac:dyDescent="0.25">
      <c r="A4454" t="s">
        <v>487</v>
      </c>
      <c r="B4454" t="s">
        <v>465</v>
      </c>
      <c r="C4454" t="s">
        <v>478</v>
      </c>
      <c r="D4454" t="s">
        <v>136</v>
      </c>
      <c r="E4454" t="s">
        <v>142</v>
      </c>
      <c r="F4454">
        <v>3</v>
      </c>
      <c r="G4454" t="s">
        <v>488</v>
      </c>
      <c r="H4454" s="4">
        <v>6793429</v>
      </c>
      <c r="I4454" s="4">
        <v>7394246.048572047</v>
      </c>
      <c r="J4454" s="3">
        <v>0.08844091085253805</v>
      </c>
      <c r="K4454" s="3">
        <v>-0.08125467351577711</v>
      </c>
      <c r="L4454" t="s">
        <v>54</v>
      </c>
    </row>
    <row r="4455" spans="1:12" x14ac:dyDescent="0.25">
      <c r="A4455" t="s">
        <v>487</v>
      </c>
      <c r="B4455" t="s">
        <v>465</v>
      </c>
      <c r="C4455" t="s">
        <v>478</v>
      </c>
      <c r="D4455" t="s">
        <v>136</v>
      </c>
      <c r="E4455" t="s">
        <v>142</v>
      </c>
      <c r="F4455">
        <v>3</v>
      </c>
      <c r="G4455" t="s">
        <v>498</v>
      </c>
      <c r="H4455" s="4">
        <v>6793429</v>
      </c>
      <c r="I4455" s="4">
        <v>7554011</v>
      </c>
      <c r="J4455" s="3">
        <v>0.11195848223334637</v>
      </c>
      <c r="K4455" s="3">
        <v>-0.10068584755833689</v>
      </c>
      <c r="L4455" t="s">
        <v>54</v>
      </c>
    </row>
    <row r="4456" spans="1:12" x14ac:dyDescent="0.25">
      <c r="A4456" t="s">
        <v>487</v>
      </c>
      <c r="B4456" t="s">
        <v>465</v>
      </c>
      <c r="C4456" t="s">
        <v>478</v>
      </c>
      <c r="D4456" t="s">
        <v>136</v>
      </c>
      <c r="E4456" t="s">
        <v>142</v>
      </c>
      <c r="F4456">
        <v>3</v>
      </c>
      <c r="G4456" t="s">
        <v>499</v>
      </c>
      <c r="H4456" s="4">
        <v>6793429</v>
      </c>
      <c r="I4456" s="4">
        <v>8683635</v>
      </c>
      <c r="J4456" s="3">
        <v>0.27824034077635906</v>
      </c>
      <c r="K4456" s="3">
        <v>-0.2176745107319688</v>
      </c>
      <c r="L4456" t="s">
        <v>54</v>
      </c>
    </row>
    <row r="4457" spans="1:12" x14ac:dyDescent="0.25">
      <c r="A4457" t="s">
        <v>487</v>
      </c>
      <c r="B4457" t="s">
        <v>465</v>
      </c>
      <c r="C4457" t="s">
        <v>478</v>
      </c>
      <c r="D4457" t="s">
        <v>138</v>
      </c>
      <c r="E4457" t="s">
        <v>140</v>
      </c>
      <c r="F4457">
        <v>1</v>
      </c>
      <c r="G4457" t="s">
        <v>488</v>
      </c>
      <c r="H4457" s="4">
        <v>8676866</v>
      </c>
      <c r="I4457" s="4">
        <v>7507385.263038483</v>
      </c>
      <c r="J4457" s="3">
        <v>0.134781467981817</v>
      </c>
      <c r="K4457" s="3">
        <v>0.15577737068047973</v>
      </c>
      <c r="L4457" t="s">
        <v>54</v>
      </c>
    </row>
    <row r="4458" spans="1:12" x14ac:dyDescent="0.25">
      <c r="A4458" t="s">
        <v>487</v>
      </c>
      <c r="B4458" t="s">
        <v>465</v>
      </c>
      <c r="C4458" t="s">
        <v>478</v>
      </c>
      <c r="D4458" t="s">
        <v>138</v>
      </c>
      <c r="E4458" t="s">
        <v>140</v>
      </c>
      <c r="F4458">
        <v>1</v>
      </c>
      <c r="G4458" t="s">
        <v>498</v>
      </c>
      <c r="H4458" s="4">
        <v>8676866</v>
      </c>
      <c r="I4458" s="4">
        <v>7503487</v>
      </c>
      <c r="J4458" s="3">
        <v>0.1352307388404984</v>
      </c>
      <c r="K4458" s="3">
        <v>0.15637782806847003</v>
      </c>
      <c r="L4458" t="s">
        <v>54</v>
      </c>
    </row>
    <row r="4459" spans="1:12" x14ac:dyDescent="0.25">
      <c r="A4459" t="s">
        <v>487</v>
      </c>
      <c r="B4459" t="s">
        <v>465</v>
      </c>
      <c r="C4459" t="s">
        <v>478</v>
      </c>
      <c r="D4459" t="s">
        <v>138</v>
      </c>
      <c r="E4459" t="s">
        <v>140</v>
      </c>
      <c r="F4459">
        <v>1</v>
      </c>
      <c r="G4459" t="s">
        <v>499</v>
      </c>
      <c r="H4459" s="4">
        <v>8676866</v>
      </c>
      <c r="I4459" s="4">
        <v>5851401</v>
      </c>
      <c r="J4459" s="3">
        <v>0.3256319735720247</v>
      </c>
      <c r="K4459" s="3">
        <v>0.4828698289520749</v>
      </c>
      <c r="L4459" t="s">
        <v>54</v>
      </c>
    </row>
    <row r="4460" spans="1:12" x14ac:dyDescent="0.25">
      <c r="A4460" t="s">
        <v>487</v>
      </c>
      <c r="B4460" t="s">
        <v>465</v>
      </c>
      <c r="C4460" t="s">
        <v>478</v>
      </c>
      <c r="D4460" t="s">
        <v>138</v>
      </c>
      <c r="E4460" t="s">
        <v>142</v>
      </c>
      <c r="F4460">
        <v>2</v>
      </c>
      <c r="G4460" t="s">
        <v>488</v>
      </c>
      <c r="H4460" s="4">
        <v>6793429</v>
      </c>
      <c r="I4460" s="4">
        <v>7557935.511613547</v>
      </c>
      <c r="J4460" s="3">
        <v>0.11253617453182287</v>
      </c>
      <c r="K4460" s="3">
        <v>-0.10115282280972149</v>
      </c>
      <c r="L4460" t="s">
        <v>54</v>
      </c>
    </row>
    <row r="4461" spans="1:12" x14ac:dyDescent="0.25">
      <c r="A4461" t="s">
        <v>487</v>
      </c>
      <c r="B4461" t="s">
        <v>465</v>
      </c>
      <c r="C4461" t="s">
        <v>478</v>
      </c>
      <c r="D4461" t="s">
        <v>138</v>
      </c>
      <c r="E4461" t="s">
        <v>142</v>
      </c>
      <c r="F4461">
        <v>2</v>
      </c>
      <c r="G4461" t="s">
        <v>498</v>
      </c>
      <c r="H4461" s="4">
        <v>6793429</v>
      </c>
      <c r="I4461" s="4">
        <v>7554011</v>
      </c>
      <c r="J4461" s="3">
        <v>0.11195848223334637</v>
      </c>
      <c r="K4461" s="3">
        <v>-0.10068584755833689</v>
      </c>
      <c r="L4461" t="s">
        <v>54</v>
      </c>
    </row>
    <row r="4462" spans="1:12" x14ac:dyDescent="0.25">
      <c r="A4462" t="s">
        <v>487</v>
      </c>
      <c r="B4462" t="s">
        <v>465</v>
      </c>
      <c r="C4462" t="s">
        <v>478</v>
      </c>
      <c r="D4462" t="s">
        <v>138</v>
      </c>
      <c r="E4462" t="s">
        <v>142</v>
      </c>
      <c r="F4462">
        <v>2</v>
      </c>
      <c r="G4462" t="s">
        <v>499</v>
      </c>
      <c r="H4462" s="4">
        <v>6793429</v>
      </c>
      <c r="I4462" s="4">
        <v>5851401</v>
      </c>
      <c r="J4462" s="3">
        <v>0.13866752710597255</v>
      </c>
      <c r="K4462" s="3">
        <v>0.16099187186111497</v>
      </c>
      <c r="L4462" t="s">
        <v>54</v>
      </c>
    </row>
    <row r="4463" spans="1:12" x14ac:dyDescent="0.25">
      <c r="A4463" t="s">
        <v>487</v>
      </c>
      <c r="B4463" t="s">
        <v>465</v>
      </c>
      <c r="C4463" t="s">
        <v>478</v>
      </c>
      <c r="D4463" t="s">
        <v>138</v>
      </c>
      <c r="E4463" t="s">
        <v>144</v>
      </c>
      <c r="F4463">
        <v>3</v>
      </c>
      <c r="G4463" t="s">
        <v>488</v>
      </c>
      <c r="H4463" s="4">
        <v>9114735</v>
      </c>
      <c r="I4463" s="4">
        <v>7859403.050771193</v>
      </c>
      <c r="J4463" s="3">
        <v>0.13772555639070225</v>
      </c>
      <c r="K4463" s="3">
        <v>0.15972357456659889</v>
      </c>
      <c r="L4463" t="s">
        <v>54</v>
      </c>
    </row>
    <row r="4464" spans="1:12" x14ac:dyDescent="0.25">
      <c r="A4464" t="s">
        <v>487</v>
      </c>
      <c r="B4464" t="s">
        <v>465</v>
      </c>
      <c r="C4464" t="s">
        <v>478</v>
      </c>
      <c r="D4464" t="s">
        <v>138</v>
      </c>
      <c r="E4464" t="s">
        <v>144</v>
      </c>
      <c r="F4464">
        <v>3</v>
      </c>
      <c r="G4464" t="s">
        <v>498</v>
      </c>
      <c r="H4464" s="4">
        <v>9114735</v>
      </c>
      <c r="I4464" s="4">
        <v>7855322</v>
      </c>
      <c r="J4464" s="3">
        <v>0.1381732985105985</v>
      </c>
      <c r="K4464" s="3">
        <v>0.16032608211350216</v>
      </c>
      <c r="L4464" t="s">
        <v>54</v>
      </c>
    </row>
    <row r="4465" spans="1:12" x14ac:dyDescent="0.25">
      <c r="A4465" t="s">
        <v>487</v>
      </c>
      <c r="B4465" t="s">
        <v>465</v>
      </c>
      <c r="C4465" t="s">
        <v>478</v>
      </c>
      <c r="D4465" t="s">
        <v>138</v>
      </c>
      <c r="E4465" t="s">
        <v>144</v>
      </c>
      <c r="F4465">
        <v>3</v>
      </c>
      <c r="G4465" t="s">
        <v>499</v>
      </c>
      <c r="H4465" s="4">
        <v>9114735</v>
      </c>
      <c r="I4465" s="4">
        <v>5851401</v>
      </c>
      <c r="J4465" s="3">
        <v>0.3580284012645458</v>
      </c>
      <c r="K4465" s="3">
        <v>0.5577013094812678</v>
      </c>
      <c r="L4465" t="s">
        <v>54</v>
      </c>
    </row>
    <row r="4466" spans="1:12" x14ac:dyDescent="0.25">
      <c r="A4466" t="s">
        <v>487</v>
      </c>
      <c r="B4466" t="s">
        <v>465</v>
      </c>
      <c r="C4466" t="s">
        <v>478</v>
      </c>
      <c r="D4466" t="s">
        <v>140</v>
      </c>
      <c r="E4466" t="s">
        <v>142</v>
      </c>
      <c r="F4466">
        <v>1</v>
      </c>
      <c r="G4466" t="s">
        <v>488</v>
      </c>
      <c r="H4466" s="4">
        <v>6793429</v>
      </c>
      <c r="I4466" s="4">
        <v>7737640.068713146</v>
      </c>
      <c r="J4466" s="3">
        <v>0.1389888771507211</v>
      </c>
      <c r="K4466" s="3">
        <v>-0.12202830066120908</v>
      </c>
      <c r="L4466" t="s">
        <v>54</v>
      </c>
    </row>
    <row r="4467" spans="1:12" x14ac:dyDescent="0.25">
      <c r="A4467" t="s">
        <v>487</v>
      </c>
      <c r="B4467" t="s">
        <v>465</v>
      </c>
      <c r="C4467" t="s">
        <v>478</v>
      </c>
      <c r="D4467" t="s">
        <v>140</v>
      </c>
      <c r="E4467" t="s">
        <v>142</v>
      </c>
      <c r="F4467">
        <v>1</v>
      </c>
      <c r="G4467" t="s">
        <v>498</v>
      </c>
      <c r="H4467" s="4">
        <v>6793429</v>
      </c>
      <c r="I4467" s="4">
        <v>7554011</v>
      </c>
      <c r="J4467" s="3">
        <v>0.11195848223334637</v>
      </c>
      <c r="K4467" s="3">
        <v>-0.10068584755833689</v>
      </c>
      <c r="L4467" t="s">
        <v>54</v>
      </c>
    </row>
    <row r="4468" spans="1:12" x14ac:dyDescent="0.25">
      <c r="A4468" t="s">
        <v>487</v>
      </c>
      <c r="B4468" t="s">
        <v>465</v>
      </c>
      <c r="C4468" t="s">
        <v>478</v>
      </c>
      <c r="D4468" t="s">
        <v>140</v>
      </c>
      <c r="E4468" t="s">
        <v>142</v>
      </c>
      <c r="F4468">
        <v>1</v>
      </c>
      <c r="G4468" t="s">
        <v>499</v>
      </c>
      <c r="H4468" s="4">
        <v>6793429</v>
      </c>
      <c r="I4468" s="4">
        <v>8676866</v>
      </c>
      <c r="J4468" s="3">
        <v>0.27724393675123415</v>
      </c>
      <c r="K4468" s="3">
        <v>-0.21706420267409915</v>
      </c>
      <c r="L4468" t="s">
        <v>54</v>
      </c>
    </row>
    <row r="4469" spans="1:12" x14ac:dyDescent="0.25">
      <c r="A4469" t="s">
        <v>487</v>
      </c>
      <c r="B4469" t="s">
        <v>465</v>
      </c>
      <c r="C4469" t="s">
        <v>478</v>
      </c>
      <c r="D4469" t="s">
        <v>140</v>
      </c>
      <c r="E4469" t="s">
        <v>144</v>
      </c>
      <c r="F4469">
        <v>2</v>
      </c>
      <c r="G4469" t="s">
        <v>488</v>
      </c>
      <c r="H4469" s="4">
        <v>9114735</v>
      </c>
      <c r="I4469" s="4">
        <v>8046275.582580418</v>
      </c>
      <c r="J4469" s="3">
        <v>0.11722331120099286</v>
      </c>
      <c r="K4469" s="3">
        <v>0.1327893143173863</v>
      </c>
      <c r="L4469" t="s">
        <v>54</v>
      </c>
    </row>
    <row r="4470" spans="1:12" x14ac:dyDescent="0.25">
      <c r="A4470" t="s">
        <v>487</v>
      </c>
      <c r="B4470" t="s">
        <v>465</v>
      </c>
      <c r="C4470" t="s">
        <v>478</v>
      </c>
      <c r="D4470" t="s">
        <v>140</v>
      </c>
      <c r="E4470" t="s">
        <v>144</v>
      </c>
      <c r="F4470">
        <v>2</v>
      </c>
      <c r="G4470" t="s">
        <v>498</v>
      </c>
      <c r="H4470" s="4">
        <v>9114735</v>
      </c>
      <c r="I4470" s="4">
        <v>7855322</v>
      </c>
      <c r="J4470" s="3">
        <v>0.1381732985105985</v>
      </c>
      <c r="K4470" s="3">
        <v>0.16032608211350216</v>
      </c>
      <c r="L4470" t="s">
        <v>54</v>
      </c>
    </row>
    <row r="4471" spans="1:12" x14ac:dyDescent="0.25">
      <c r="A4471" t="s">
        <v>487</v>
      </c>
      <c r="B4471" t="s">
        <v>465</v>
      </c>
      <c r="C4471" t="s">
        <v>478</v>
      </c>
      <c r="D4471" t="s">
        <v>140</v>
      </c>
      <c r="E4471" t="s">
        <v>144</v>
      </c>
      <c r="F4471">
        <v>2</v>
      </c>
      <c r="G4471" t="s">
        <v>499</v>
      </c>
      <c r="H4471" s="4">
        <v>9114735</v>
      </c>
      <c r="I4471" s="4">
        <v>8676866</v>
      </c>
      <c r="J4471" s="3">
        <v>0.048039685191066994</v>
      </c>
      <c r="K4471" s="3">
        <v>0.05046395783915529</v>
      </c>
      <c r="L4471" t="s">
        <v>54</v>
      </c>
    </row>
    <row r="4472" spans="1:12" x14ac:dyDescent="0.25">
      <c r="A4472" t="s">
        <v>487</v>
      </c>
      <c r="B4472" t="s">
        <v>465</v>
      </c>
      <c r="C4472" t="s">
        <v>478</v>
      </c>
      <c r="D4472" t="s">
        <v>140</v>
      </c>
      <c r="E4472" t="s">
        <v>146</v>
      </c>
      <c r="F4472">
        <v>3</v>
      </c>
      <c r="G4472" t="s">
        <v>488</v>
      </c>
      <c r="H4472" s="4">
        <v>8776732</v>
      </c>
      <c r="I4472" s="4">
        <v>8403609.810519835</v>
      </c>
      <c r="J4472" s="3">
        <v>0.042512656132164574</v>
      </c>
      <c r="K4472" s="3">
        <v>0.044400227746543154</v>
      </c>
      <c r="L4472" t="s">
        <v>54</v>
      </c>
    </row>
    <row r="4473" spans="1:12" x14ac:dyDescent="0.25">
      <c r="A4473" t="s">
        <v>487</v>
      </c>
      <c r="B4473" t="s">
        <v>465</v>
      </c>
      <c r="C4473" t="s">
        <v>478</v>
      </c>
      <c r="D4473" t="s">
        <v>140</v>
      </c>
      <c r="E4473" t="s">
        <v>146</v>
      </c>
      <c r="F4473">
        <v>3</v>
      </c>
      <c r="G4473" t="s">
        <v>498</v>
      </c>
      <c r="H4473" s="4">
        <v>8776732</v>
      </c>
      <c r="I4473" s="4">
        <v>8204176</v>
      </c>
      <c r="J4473" s="3">
        <v>0.06523567086245768</v>
      </c>
      <c r="K4473" s="3">
        <v>0.06978836143934504</v>
      </c>
      <c r="L4473" t="s">
        <v>54</v>
      </c>
    </row>
    <row r="4474" spans="1:12" x14ac:dyDescent="0.25">
      <c r="A4474" t="s">
        <v>487</v>
      </c>
      <c r="B4474" t="s">
        <v>465</v>
      </c>
      <c r="C4474" t="s">
        <v>478</v>
      </c>
      <c r="D4474" t="s">
        <v>140</v>
      </c>
      <c r="E4474" t="s">
        <v>146</v>
      </c>
      <c r="F4474">
        <v>3</v>
      </c>
      <c r="G4474" t="s">
        <v>499</v>
      </c>
      <c r="H4474" s="4">
        <v>8776732</v>
      </c>
      <c r="I4474" s="4">
        <v>8676866</v>
      </c>
      <c r="J4474" s="3">
        <v>0.011378494865742739</v>
      </c>
      <c r="K4474" s="3">
        <v>0.011509455141983291</v>
      </c>
      <c r="L4474" t="s">
        <v>54</v>
      </c>
    </row>
    <row r="4475" spans="1:12" x14ac:dyDescent="0.25">
      <c r="A4475" t="s">
        <v>487</v>
      </c>
      <c r="B4475" t="s">
        <v>465</v>
      </c>
      <c r="C4475" t="s">
        <v>478</v>
      </c>
      <c r="D4475" t="s">
        <v>142</v>
      </c>
      <c r="E4475" t="s">
        <v>144</v>
      </c>
      <c r="F4475">
        <v>1</v>
      </c>
      <c r="G4475" t="s">
        <v>488</v>
      </c>
      <c r="H4475" s="4">
        <v>9114735</v>
      </c>
      <c r="I4475" s="4">
        <v>8030212.247219574</v>
      </c>
      <c r="J4475" s="3">
        <v>0.11898565924082558</v>
      </c>
      <c r="K4475" s="3">
        <v>0.13505530357008155</v>
      </c>
      <c r="L4475" t="s">
        <v>54</v>
      </c>
    </row>
    <row r="4476" spans="1:12" x14ac:dyDescent="0.25">
      <c r="A4476" t="s">
        <v>487</v>
      </c>
      <c r="B4476" t="s">
        <v>465</v>
      </c>
      <c r="C4476" t="s">
        <v>478</v>
      </c>
      <c r="D4476" t="s">
        <v>142</v>
      </c>
      <c r="E4476" t="s">
        <v>144</v>
      </c>
      <c r="F4476">
        <v>1</v>
      </c>
      <c r="G4476" t="s">
        <v>498</v>
      </c>
      <c r="H4476" s="4">
        <v>9114735</v>
      </c>
      <c r="I4476" s="4">
        <v>7855322</v>
      </c>
      <c r="J4476" s="3">
        <v>0.1381732985105985</v>
      </c>
      <c r="K4476" s="3">
        <v>0.16032608211350216</v>
      </c>
      <c r="L4476" t="s">
        <v>54</v>
      </c>
    </row>
    <row r="4477" spans="1:12" x14ac:dyDescent="0.25">
      <c r="A4477" t="s">
        <v>487</v>
      </c>
      <c r="B4477" t="s">
        <v>465</v>
      </c>
      <c r="C4477" t="s">
        <v>478</v>
      </c>
      <c r="D4477" t="s">
        <v>142</v>
      </c>
      <c r="E4477" t="s">
        <v>144</v>
      </c>
      <c r="F4477">
        <v>1</v>
      </c>
      <c r="G4477" t="s">
        <v>499</v>
      </c>
      <c r="H4477" s="4">
        <v>9114735</v>
      </c>
      <c r="I4477" s="4">
        <v>6793429</v>
      </c>
      <c r="J4477" s="3">
        <v>0.25467619190245244</v>
      </c>
      <c r="K4477" s="3">
        <v>0.3416987209257652</v>
      </c>
      <c r="L4477" t="s">
        <v>54</v>
      </c>
    </row>
    <row r="4478" spans="1:12" x14ac:dyDescent="0.25">
      <c r="A4478" t="s">
        <v>487</v>
      </c>
      <c r="B4478" t="s">
        <v>465</v>
      </c>
      <c r="C4478" t="s">
        <v>478</v>
      </c>
      <c r="D4478" t="s">
        <v>142</v>
      </c>
      <c r="E4478" t="s">
        <v>146</v>
      </c>
      <c r="F4478">
        <v>2</v>
      </c>
      <c r="G4478" t="s">
        <v>488</v>
      </c>
      <c r="H4478" s="4">
        <v>8776732</v>
      </c>
      <c r="I4478" s="4">
        <v>8386833.10417382</v>
      </c>
      <c r="J4478" s="3">
        <v>0.04442415420981072</v>
      </c>
      <c r="K4478" s="3">
        <v>0.04648940678599436</v>
      </c>
      <c r="L4478" t="s">
        <v>54</v>
      </c>
    </row>
    <row r="4479" spans="1:12" x14ac:dyDescent="0.25">
      <c r="A4479" t="s">
        <v>487</v>
      </c>
      <c r="B4479" t="s">
        <v>465</v>
      </c>
      <c r="C4479" t="s">
        <v>478</v>
      </c>
      <c r="D4479" t="s">
        <v>142</v>
      </c>
      <c r="E4479" t="s">
        <v>146</v>
      </c>
      <c r="F4479">
        <v>2</v>
      </c>
      <c r="G4479" t="s">
        <v>498</v>
      </c>
      <c r="H4479" s="4">
        <v>8776732</v>
      </c>
      <c r="I4479" s="4">
        <v>8204176</v>
      </c>
      <c r="J4479" s="3">
        <v>0.06523567086245768</v>
      </c>
      <c r="K4479" s="3">
        <v>0.06978836143934504</v>
      </c>
      <c r="L4479" t="s">
        <v>54</v>
      </c>
    </row>
    <row r="4480" spans="1:12" x14ac:dyDescent="0.25">
      <c r="A4480" t="s">
        <v>487</v>
      </c>
      <c r="B4480" t="s">
        <v>465</v>
      </c>
      <c r="C4480" t="s">
        <v>478</v>
      </c>
      <c r="D4480" t="s">
        <v>142</v>
      </c>
      <c r="E4480" t="s">
        <v>146</v>
      </c>
      <c r="F4480">
        <v>2</v>
      </c>
      <c r="G4480" t="s">
        <v>499</v>
      </c>
      <c r="H4480" s="4">
        <v>8776732</v>
      </c>
      <c r="I4480" s="4">
        <v>6793429</v>
      </c>
      <c r="J4480" s="3">
        <v>0.2259728336241781</v>
      </c>
      <c r="K4480" s="3">
        <v>0.29194431854664266</v>
      </c>
      <c r="L4480" t="s">
        <v>54</v>
      </c>
    </row>
    <row r="4481" spans="1:12" x14ac:dyDescent="0.25">
      <c r="A4481" t="s">
        <v>487</v>
      </c>
      <c r="B4481" t="s">
        <v>465</v>
      </c>
      <c r="C4481" t="s">
        <v>478</v>
      </c>
      <c r="D4481" t="s">
        <v>142</v>
      </c>
      <c r="E4481" t="s">
        <v>148</v>
      </c>
      <c r="F4481">
        <v>3</v>
      </c>
      <c r="G4481" t="s">
        <v>488</v>
      </c>
      <c r="H4481" s="4">
        <v>7949583</v>
      </c>
      <c r="I4481" s="4">
        <v>7199157.683518889</v>
      </c>
      <c r="J4481" s="3">
        <v>0.09439807301604507</v>
      </c>
      <c r="K4481" s="3">
        <v>0.10423793302917472</v>
      </c>
      <c r="L4481" t="s">
        <v>54</v>
      </c>
    </row>
    <row r="4482" spans="1:12" x14ac:dyDescent="0.25">
      <c r="A4482" t="s">
        <v>487</v>
      </c>
      <c r="B4482" t="s">
        <v>465</v>
      </c>
      <c r="C4482" t="s">
        <v>478</v>
      </c>
      <c r="D4482" t="s">
        <v>142</v>
      </c>
      <c r="E4482" t="s">
        <v>148</v>
      </c>
      <c r="F4482">
        <v>3</v>
      </c>
      <c r="G4482" t="s">
        <v>498</v>
      </c>
      <c r="H4482" s="4">
        <v>7949583</v>
      </c>
      <c r="I4482" s="4">
        <v>7042367</v>
      </c>
      <c r="J4482" s="3">
        <v>0.11412120610603096</v>
      </c>
      <c r="K4482" s="3">
        <v>0.1288225961526856</v>
      </c>
      <c r="L4482" t="s">
        <v>54</v>
      </c>
    </row>
    <row r="4483" spans="1:12" x14ac:dyDescent="0.25">
      <c r="A4483" t="s">
        <v>487</v>
      </c>
      <c r="B4483" t="s">
        <v>465</v>
      </c>
      <c r="C4483" t="s">
        <v>478</v>
      </c>
      <c r="D4483" t="s">
        <v>142</v>
      </c>
      <c r="E4483" t="s">
        <v>148</v>
      </c>
      <c r="F4483">
        <v>3</v>
      </c>
      <c r="G4483" t="s">
        <v>499</v>
      </c>
      <c r="H4483" s="4">
        <v>7949583</v>
      </c>
      <c r="I4483" s="4">
        <v>6793429</v>
      </c>
      <c r="J4483" s="3">
        <v>0.14543580462019204</v>
      </c>
      <c r="K4483" s="3">
        <v>0.17018710286072025</v>
      </c>
      <c r="L4483" t="s">
        <v>54</v>
      </c>
    </row>
    <row r="4484" spans="1:12" x14ac:dyDescent="0.25">
      <c r="A4484" t="s">
        <v>487</v>
      </c>
      <c r="B4484" t="s">
        <v>465</v>
      </c>
      <c r="C4484" t="s">
        <v>478</v>
      </c>
      <c r="D4484" t="s">
        <v>144</v>
      </c>
      <c r="E4484" t="s">
        <v>146</v>
      </c>
      <c r="F4484">
        <v>1</v>
      </c>
      <c r="G4484" t="s">
        <v>488</v>
      </c>
      <c r="H4484" s="4">
        <v>8776732</v>
      </c>
      <c r="I4484" s="4">
        <v>8566918.2431891</v>
      </c>
      <c r="J4484" s="3">
        <v>0.02390568115910339</v>
      </c>
      <c r="K4484" s="3">
        <v>0.02449115899730999</v>
      </c>
      <c r="L4484" t="s">
        <v>54</v>
      </c>
    </row>
    <row r="4485" spans="1:12" x14ac:dyDescent="0.25">
      <c r="A4485" t="s">
        <v>487</v>
      </c>
      <c r="B4485" t="s">
        <v>465</v>
      </c>
      <c r="C4485" t="s">
        <v>478</v>
      </c>
      <c r="D4485" t="s">
        <v>144</v>
      </c>
      <c r="E4485" t="s">
        <v>146</v>
      </c>
      <c r="F4485">
        <v>1</v>
      </c>
      <c r="G4485" t="s">
        <v>498</v>
      </c>
      <c r="H4485" s="4">
        <v>8776732</v>
      </c>
      <c r="I4485" s="4">
        <v>8204176</v>
      </c>
      <c r="J4485" s="3">
        <v>0.06523567086245768</v>
      </c>
      <c r="K4485" s="3">
        <v>0.06978836143934504</v>
      </c>
      <c r="L4485" t="s">
        <v>54</v>
      </c>
    </row>
    <row r="4486" spans="1:12" x14ac:dyDescent="0.25">
      <c r="A4486" t="s">
        <v>487</v>
      </c>
      <c r="B4486" t="s">
        <v>465</v>
      </c>
      <c r="C4486" t="s">
        <v>478</v>
      </c>
      <c r="D4486" t="s">
        <v>144</v>
      </c>
      <c r="E4486" t="s">
        <v>146</v>
      </c>
      <c r="F4486">
        <v>1</v>
      </c>
      <c r="G4486" t="s">
        <v>499</v>
      </c>
      <c r="H4486" s="4">
        <v>8776732</v>
      </c>
      <c r="I4486" s="4">
        <v>9114735</v>
      </c>
      <c r="J4486" s="3">
        <v>0.03851125908823466</v>
      </c>
      <c r="K4486" s="3">
        <v>-0.03708314065082528</v>
      </c>
      <c r="L4486" t="s">
        <v>54</v>
      </c>
    </row>
    <row r="4487" spans="1:12" x14ac:dyDescent="0.25">
      <c r="A4487" t="s">
        <v>487</v>
      </c>
      <c r="B4487" t="s">
        <v>465</v>
      </c>
      <c r="C4487" t="s">
        <v>478</v>
      </c>
      <c r="D4487" t="s">
        <v>144</v>
      </c>
      <c r="E4487" t="s">
        <v>148</v>
      </c>
      <c r="F4487">
        <v>2</v>
      </c>
      <c r="G4487" t="s">
        <v>488</v>
      </c>
      <c r="H4487" s="4">
        <v>7949583</v>
      </c>
      <c r="I4487" s="4">
        <v>7353740.622767343</v>
      </c>
      <c r="J4487" s="3">
        <v>0.07495265817498312</v>
      </c>
      <c r="K4487" s="3">
        <v>0.08102575380316185</v>
      </c>
      <c r="L4487" t="s">
        <v>54</v>
      </c>
    </row>
    <row r="4488" spans="1:12" x14ac:dyDescent="0.25">
      <c r="A4488" t="s">
        <v>487</v>
      </c>
      <c r="B4488" t="s">
        <v>465</v>
      </c>
      <c r="C4488" t="s">
        <v>478</v>
      </c>
      <c r="D4488" t="s">
        <v>144</v>
      </c>
      <c r="E4488" t="s">
        <v>148</v>
      </c>
      <c r="F4488">
        <v>2</v>
      </c>
      <c r="G4488" t="s">
        <v>498</v>
      </c>
      <c r="H4488" s="4">
        <v>7949583</v>
      </c>
      <c r="I4488" s="4">
        <v>7042367</v>
      </c>
      <c r="J4488" s="3">
        <v>0.11412120610603096</v>
      </c>
      <c r="K4488" s="3">
        <v>0.1288225961526856</v>
      </c>
      <c r="L4488" t="s">
        <v>54</v>
      </c>
    </row>
    <row r="4489" spans="1:12" x14ac:dyDescent="0.25">
      <c r="A4489" t="s">
        <v>487</v>
      </c>
      <c r="B4489" t="s">
        <v>465</v>
      </c>
      <c r="C4489" t="s">
        <v>478</v>
      </c>
      <c r="D4489" t="s">
        <v>144</v>
      </c>
      <c r="E4489" t="s">
        <v>148</v>
      </c>
      <c r="F4489">
        <v>2</v>
      </c>
      <c r="G4489" t="s">
        <v>499</v>
      </c>
      <c r="H4489" s="4">
        <v>7949583</v>
      </c>
      <c r="I4489" s="4">
        <v>9114735</v>
      </c>
      <c r="J4489" s="3">
        <v>0.14656768789004404</v>
      </c>
      <c r="K4489" s="3">
        <v>-0.1278316923092114</v>
      </c>
      <c r="L4489" t="s">
        <v>54</v>
      </c>
    </row>
    <row r="4490" spans="1:12" x14ac:dyDescent="0.25">
      <c r="A4490" t="s">
        <v>487</v>
      </c>
      <c r="B4490" t="s">
        <v>465</v>
      </c>
      <c r="C4490" t="s">
        <v>478</v>
      </c>
      <c r="D4490" t="s">
        <v>144</v>
      </c>
      <c r="E4490" t="s">
        <v>150</v>
      </c>
      <c r="F4490">
        <v>3</v>
      </c>
      <c r="G4490" t="s">
        <v>488</v>
      </c>
      <c r="H4490" s="4">
        <v>8381446</v>
      </c>
      <c r="I4490" s="4">
        <v>7611379.627359888</v>
      </c>
      <c r="J4490" s="3">
        <v>0.09187750808632691</v>
      </c>
      <c r="K4490" s="3">
        <v>0.10117303436975204</v>
      </c>
      <c r="L4490" t="s">
        <v>54</v>
      </c>
    </row>
    <row r="4491" spans="1:12" x14ac:dyDescent="0.25">
      <c r="A4491" t="s">
        <v>487</v>
      </c>
      <c r="B4491" t="s">
        <v>465</v>
      </c>
      <c r="C4491" t="s">
        <v>478</v>
      </c>
      <c r="D4491" t="s">
        <v>144</v>
      </c>
      <c r="E4491" t="s">
        <v>150</v>
      </c>
      <c r="F4491">
        <v>3</v>
      </c>
      <c r="G4491" t="s">
        <v>498</v>
      </c>
      <c r="H4491" s="4">
        <v>8381446</v>
      </c>
      <c r="I4491" s="4">
        <v>7289097</v>
      </c>
      <c r="J4491" s="3">
        <v>0.13032942048424578</v>
      </c>
      <c r="K4491" s="3">
        <v>0.14986067547187257</v>
      </c>
      <c r="L4491" t="s">
        <v>54</v>
      </c>
    </row>
    <row r="4492" spans="1:12" x14ac:dyDescent="0.25">
      <c r="A4492" t="s">
        <v>487</v>
      </c>
      <c r="B4492" t="s">
        <v>465</v>
      </c>
      <c r="C4492" t="s">
        <v>478</v>
      </c>
      <c r="D4492" t="s">
        <v>144</v>
      </c>
      <c r="E4492" t="s">
        <v>150</v>
      </c>
      <c r="F4492">
        <v>3</v>
      </c>
      <c r="G4492" t="s">
        <v>499</v>
      </c>
      <c r="H4492" s="4">
        <v>8381446</v>
      </c>
      <c r="I4492" s="4">
        <v>9114735</v>
      </c>
      <c r="J4492" s="3">
        <v>0.08748955729118818</v>
      </c>
      <c r="K4492" s="3">
        <v>-0.0804509401534987</v>
      </c>
      <c r="L4492" t="s">
        <v>54</v>
      </c>
    </row>
    <row r="4493" spans="1:12" x14ac:dyDescent="0.25">
      <c r="A4493" t="s">
        <v>487</v>
      </c>
      <c r="B4493" t="s">
        <v>465</v>
      </c>
      <c r="C4493" t="s">
        <v>478</v>
      </c>
      <c r="D4493" t="s">
        <v>146</v>
      </c>
      <c r="E4493" t="s">
        <v>148</v>
      </c>
      <c r="F4493">
        <v>1</v>
      </c>
      <c r="G4493" t="s">
        <v>488</v>
      </c>
      <c r="H4493" s="4">
        <v>7949583</v>
      </c>
      <c r="I4493" s="4">
        <v>7418266.716906125</v>
      </c>
      <c r="J4493" s="3">
        <v>0.06683574259101079</v>
      </c>
      <c r="K4493" s="3">
        <v>0.07162269885538262</v>
      </c>
      <c r="L4493" t="s">
        <v>54</v>
      </c>
    </row>
    <row r="4494" spans="1:12" x14ac:dyDescent="0.25">
      <c r="A4494" t="s">
        <v>487</v>
      </c>
      <c r="B4494" t="s">
        <v>465</v>
      </c>
      <c r="C4494" t="s">
        <v>478</v>
      </c>
      <c r="D4494" t="s">
        <v>146</v>
      </c>
      <c r="E4494" t="s">
        <v>148</v>
      </c>
      <c r="F4494">
        <v>1</v>
      </c>
      <c r="G4494" t="s">
        <v>498</v>
      </c>
      <c r="H4494" s="4">
        <v>7949583</v>
      </c>
      <c r="I4494" s="4">
        <v>7042367</v>
      </c>
      <c r="J4494" s="3">
        <v>0.11412120610603096</v>
      </c>
      <c r="K4494" s="3">
        <v>0.1288225961526856</v>
      </c>
      <c r="L4494" t="s">
        <v>54</v>
      </c>
    </row>
    <row r="4495" spans="1:12" x14ac:dyDescent="0.25">
      <c r="A4495" t="s">
        <v>487</v>
      </c>
      <c r="B4495" t="s">
        <v>465</v>
      </c>
      <c r="C4495" t="s">
        <v>478</v>
      </c>
      <c r="D4495" t="s">
        <v>146</v>
      </c>
      <c r="E4495" t="s">
        <v>148</v>
      </c>
      <c r="F4495">
        <v>1</v>
      </c>
      <c r="G4495" t="s">
        <v>499</v>
      </c>
      <c r="H4495" s="4">
        <v>7949583</v>
      </c>
      <c r="I4495" s="4">
        <v>8776732</v>
      </c>
      <c r="J4495" s="3">
        <v>0.104049357054326</v>
      </c>
      <c r="K4495" s="3">
        <v>-0.09424339264318428</v>
      </c>
      <c r="L4495" t="s">
        <v>54</v>
      </c>
    </row>
    <row r="4496" spans="1:12" x14ac:dyDescent="0.25">
      <c r="A4496" t="s">
        <v>487</v>
      </c>
      <c r="B4496" t="s">
        <v>465</v>
      </c>
      <c r="C4496" t="s">
        <v>478</v>
      </c>
      <c r="D4496" t="s">
        <v>146</v>
      </c>
      <c r="E4496" t="s">
        <v>150</v>
      </c>
      <c r="F4496">
        <v>2</v>
      </c>
      <c r="G4496" t="s">
        <v>488</v>
      </c>
      <c r="H4496" s="4">
        <v>8381446</v>
      </c>
      <c r="I4496" s="4">
        <v>7678166.39936548</v>
      </c>
      <c r="J4496" s="3">
        <v>0.08390910120216964</v>
      </c>
      <c r="K4496" s="3">
        <v>0.09159473291600435</v>
      </c>
      <c r="L4496" t="s">
        <v>54</v>
      </c>
    </row>
    <row r="4497" spans="1:12" x14ac:dyDescent="0.25">
      <c r="A4497" t="s">
        <v>487</v>
      </c>
      <c r="B4497" t="s">
        <v>465</v>
      </c>
      <c r="C4497" t="s">
        <v>478</v>
      </c>
      <c r="D4497" t="s">
        <v>146</v>
      </c>
      <c r="E4497" t="s">
        <v>150</v>
      </c>
      <c r="F4497">
        <v>2</v>
      </c>
      <c r="G4497" t="s">
        <v>498</v>
      </c>
      <c r="H4497" s="4">
        <v>8381446</v>
      </c>
      <c r="I4497" s="4">
        <v>7289097</v>
      </c>
      <c r="J4497" s="3">
        <v>0.13032942048424578</v>
      </c>
      <c r="K4497" s="3">
        <v>0.14986067547187257</v>
      </c>
      <c r="L4497" t="s">
        <v>54</v>
      </c>
    </row>
    <row r="4498" spans="1:12" x14ac:dyDescent="0.25">
      <c r="A4498" t="s">
        <v>487</v>
      </c>
      <c r="B4498" t="s">
        <v>465</v>
      </c>
      <c r="C4498" t="s">
        <v>478</v>
      </c>
      <c r="D4498" t="s">
        <v>146</v>
      </c>
      <c r="E4498" t="s">
        <v>150</v>
      </c>
      <c r="F4498">
        <v>2</v>
      </c>
      <c r="G4498" t="s">
        <v>499</v>
      </c>
      <c r="H4498" s="4">
        <v>8381446</v>
      </c>
      <c r="I4498" s="4">
        <v>8776732</v>
      </c>
      <c r="J4498" s="3">
        <v>0.04716202908185533</v>
      </c>
      <c r="K4498" s="3">
        <v>-0.045037948065407486</v>
      </c>
      <c r="L4498" t="s">
        <v>54</v>
      </c>
    </row>
    <row r="4499" spans="1:12" x14ac:dyDescent="0.25">
      <c r="A4499" t="s">
        <v>487</v>
      </c>
      <c r="B4499" t="s">
        <v>465</v>
      </c>
      <c r="C4499" t="s">
        <v>478</v>
      </c>
      <c r="D4499" t="s">
        <v>146</v>
      </c>
      <c r="E4499" t="s">
        <v>152</v>
      </c>
      <c r="F4499">
        <v>3</v>
      </c>
      <c r="G4499" t="s">
        <v>488</v>
      </c>
      <c r="H4499" s="4">
        <v>8393019</v>
      </c>
      <c r="I4499" s="4">
        <v>9476373.464295473</v>
      </c>
      <c r="J4499" s="3">
        <v>0.1290780426322725</v>
      </c>
      <c r="K4499" s="3">
        <v>-0.11432163035545957</v>
      </c>
      <c r="L4499" t="s">
        <v>54</v>
      </c>
    </row>
    <row r="4500" spans="1:12" x14ac:dyDescent="0.25">
      <c r="A4500" t="s">
        <v>487</v>
      </c>
      <c r="B4500" t="s">
        <v>465</v>
      </c>
      <c r="C4500" t="s">
        <v>478</v>
      </c>
      <c r="D4500" t="s">
        <v>146</v>
      </c>
      <c r="E4500" t="s">
        <v>152</v>
      </c>
      <c r="F4500">
        <v>3</v>
      </c>
      <c r="G4500" t="s">
        <v>498</v>
      </c>
      <c r="H4500" s="4">
        <v>8393019</v>
      </c>
      <c r="I4500" s="4">
        <v>8996185</v>
      </c>
      <c r="J4500" s="3">
        <v>0.07186520130599014</v>
      </c>
      <c r="K4500" s="3">
        <v>-0.06704686486549576</v>
      </c>
      <c r="L4500" t="s">
        <v>54</v>
      </c>
    </row>
    <row r="4501" spans="1:12" x14ac:dyDescent="0.25">
      <c r="A4501" t="s">
        <v>487</v>
      </c>
      <c r="B4501" t="s">
        <v>465</v>
      </c>
      <c r="C4501" t="s">
        <v>478</v>
      </c>
      <c r="D4501" t="s">
        <v>146</v>
      </c>
      <c r="E4501" t="s">
        <v>152</v>
      </c>
      <c r="F4501">
        <v>3</v>
      </c>
      <c r="G4501" t="s">
        <v>499</v>
      </c>
      <c r="H4501" s="4">
        <v>8393019</v>
      </c>
      <c r="I4501" s="4">
        <v>8776732</v>
      </c>
      <c r="J4501" s="3">
        <v>0.04571811406598746</v>
      </c>
      <c r="K4501" s="3">
        <v>-0.04371934793041419</v>
      </c>
      <c r="L4501" t="s">
        <v>54</v>
      </c>
    </row>
    <row r="4502" spans="1:12" x14ac:dyDescent="0.25">
      <c r="A4502" t="s">
        <v>487</v>
      </c>
      <c r="B4502" t="s">
        <v>465</v>
      </c>
      <c r="C4502" t="s">
        <v>478</v>
      </c>
      <c r="D4502" t="s">
        <v>148</v>
      </c>
      <c r="E4502" t="s">
        <v>150</v>
      </c>
      <c r="F4502">
        <v>1</v>
      </c>
      <c r="G4502" t="s">
        <v>488</v>
      </c>
      <c r="H4502" s="4">
        <v>8381446</v>
      </c>
      <c r="I4502" s="4">
        <v>7769799.6379334405</v>
      </c>
      <c r="J4502" s="3">
        <v>0.07297623370317717</v>
      </c>
      <c r="K4502" s="3">
        <v>0.07872099546562325</v>
      </c>
      <c r="L4502" t="s">
        <v>54</v>
      </c>
    </row>
    <row r="4503" spans="1:12" x14ac:dyDescent="0.25">
      <c r="A4503" t="s">
        <v>487</v>
      </c>
      <c r="B4503" t="s">
        <v>465</v>
      </c>
      <c r="C4503" t="s">
        <v>478</v>
      </c>
      <c r="D4503" t="s">
        <v>148</v>
      </c>
      <c r="E4503" t="s">
        <v>150</v>
      </c>
      <c r="F4503">
        <v>1</v>
      </c>
      <c r="G4503" t="s">
        <v>498</v>
      </c>
      <c r="H4503" s="4">
        <v>8381446</v>
      </c>
      <c r="I4503" s="4">
        <v>7289097</v>
      </c>
      <c r="J4503" s="3">
        <v>0.13032942048424578</v>
      </c>
      <c r="K4503" s="3">
        <v>0.14986067547187257</v>
      </c>
      <c r="L4503" t="s">
        <v>54</v>
      </c>
    </row>
    <row r="4504" spans="1:12" x14ac:dyDescent="0.25">
      <c r="A4504" t="s">
        <v>487</v>
      </c>
      <c r="B4504" t="s">
        <v>465</v>
      </c>
      <c r="C4504" t="s">
        <v>478</v>
      </c>
      <c r="D4504" t="s">
        <v>148</v>
      </c>
      <c r="E4504" t="s">
        <v>150</v>
      </c>
      <c r="F4504">
        <v>1</v>
      </c>
      <c r="G4504" t="s">
        <v>499</v>
      </c>
      <c r="H4504" s="4">
        <v>8381446</v>
      </c>
      <c r="I4504" s="4">
        <v>7949583</v>
      </c>
      <c r="J4504" s="3">
        <v>0.05152607318593951</v>
      </c>
      <c r="K4504" s="3">
        <v>0.05432523944966673</v>
      </c>
      <c r="L4504" t="s">
        <v>54</v>
      </c>
    </row>
    <row r="4505" spans="1:12" x14ac:dyDescent="0.25">
      <c r="A4505" t="s">
        <v>487</v>
      </c>
      <c r="B4505" t="s">
        <v>465</v>
      </c>
      <c r="C4505" t="s">
        <v>478</v>
      </c>
      <c r="D4505" t="s">
        <v>148</v>
      </c>
      <c r="E4505" t="s">
        <v>152</v>
      </c>
      <c r="F4505">
        <v>2</v>
      </c>
      <c r="G4505" t="s">
        <v>488</v>
      </c>
      <c r="H4505" s="4">
        <v>8393019</v>
      </c>
      <c r="I4505" s="4">
        <v>9589466.974548733</v>
      </c>
      <c r="J4505" s="3">
        <v>0.1425527542054573</v>
      </c>
      <c r="K4505" s="3">
        <v>-0.12476689035211325</v>
      </c>
      <c r="L4505" t="s">
        <v>54</v>
      </c>
    </row>
    <row r="4506" spans="1:12" x14ac:dyDescent="0.25">
      <c r="A4506" t="s">
        <v>487</v>
      </c>
      <c r="B4506" t="s">
        <v>465</v>
      </c>
      <c r="C4506" t="s">
        <v>478</v>
      </c>
      <c r="D4506" t="s">
        <v>148</v>
      </c>
      <c r="E4506" t="s">
        <v>152</v>
      </c>
      <c r="F4506">
        <v>2</v>
      </c>
      <c r="G4506" t="s">
        <v>498</v>
      </c>
      <c r="H4506" s="4">
        <v>8393019</v>
      </c>
      <c r="I4506" s="4">
        <v>8996185</v>
      </c>
      <c r="J4506" s="3">
        <v>0.07186520130599014</v>
      </c>
      <c r="K4506" s="3">
        <v>-0.06704686486549576</v>
      </c>
      <c r="L4506" t="s">
        <v>54</v>
      </c>
    </row>
    <row r="4507" spans="1:12" x14ac:dyDescent="0.25">
      <c r="A4507" t="s">
        <v>487</v>
      </c>
      <c r="B4507" t="s">
        <v>465</v>
      </c>
      <c r="C4507" t="s">
        <v>478</v>
      </c>
      <c r="D4507" t="s">
        <v>148</v>
      </c>
      <c r="E4507" t="s">
        <v>152</v>
      </c>
      <c r="F4507">
        <v>2</v>
      </c>
      <c r="G4507" t="s">
        <v>499</v>
      </c>
      <c r="H4507" s="4">
        <v>8393019</v>
      </c>
      <c r="I4507" s="4">
        <v>7949583</v>
      </c>
      <c r="J4507" s="3">
        <v>0.05283390875202355</v>
      </c>
      <c r="K4507" s="3">
        <v>0.05578103908091783</v>
      </c>
      <c r="L4507" t="s">
        <v>54</v>
      </c>
    </row>
    <row r="4508" spans="1:12" x14ac:dyDescent="0.25">
      <c r="A4508" t="s">
        <v>487</v>
      </c>
      <c r="B4508" t="s">
        <v>465</v>
      </c>
      <c r="C4508" t="s">
        <v>478</v>
      </c>
      <c r="D4508" t="s">
        <v>148</v>
      </c>
      <c r="E4508" t="s">
        <v>154</v>
      </c>
      <c r="F4508">
        <v>3</v>
      </c>
      <c r="G4508" t="s">
        <v>488</v>
      </c>
      <c r="H4508" s="4">
        <v>8918205</v>
      </c>
      <c r="I4508" s="4">
        <v>9630993.117566857</v>
      </c>
      <c r="J4508" s="3">
        <v>0.07992506536537985</v>
      </c>
      <c r="K4508" s="3">
        <v>-0.07400982524499342</v>
      </c>
      <c r="L4508" t="s">
        <v>54</v>
      </c>
    </row>
    <row r="4509" spans="1:12" x14ac:dyDescent="0.25">
      <c r="A4509" t="s">
        <v>487</v>
      </c>
      <c r="B4509" t="s">
        <v>465</v>
      </c>
      <c r="C4509" t="s">
        <v>478</v>
      </c>
      <c r="D4509" t="s">
        <v>148</v>
      </c>
      <c r="E4509" t="s">
        <v>154</v>
      </c>
      <c r="F4509">
        <v>3</v>
      </c>
      <c r="G4509" t="s">
        <v>498</v>
      </c>
      <c r="H4509" s="4">
        <v>8918205</v>
      </c>
      <c r="I4509" s="4">
        <v>9035142</v>
      </c>
      <c r="J4509" s="3">
        <v>0.013112167751245907</v>
      </c>
      <c r="K4509" s="3">
        <v>-0.01294246399226487</v>
      </c>
      <c r="L4509" t="s">
        <v>54</v>
      </c>
    </row>
    <row r="4510" spans="1:12" x14ac:dyDescent="0.25">
      <c r="A4510" t="s">
        <v>487</v>
      </c>
      <c r="B4510" t="s">
        <v>465</v>
      </c>
      <c r="C4510" t="s">
        <v>478</v>
      </c>
      <c r="D4510" t="s">
        <v>148</v>
      </c>
      <c r="E4510" t="s">
        <v>154</v>
      </c>
      <c r="F4510">
        <v>3</v>
      </c>
      <c r="G4510" t="s">
        <v>499</v>
      </c>
      <c r="H4510" s="4">
        <v>8918205</v>
      </c>
      <c r="I4510" s="4">
        <v>7949583</v>
      </c>
      <c r="J4510" s="3">
        <v>0.10861176660549965</v>
      </c>
      <c r="K4510" s="3">
        <v>0.12184563643149585</v>
      </c>
      <c r="L4510" t="s">
        <v>54</v>
      </c>
    </row>
    <row r="4511" spans="1:12" x14ac:dyDescent="0.25">
      <c r="A4511" t="s">
        <v>487</v>
      </c>
      <c r="B4511" t="s">
        <v>465</v>
      </c>
      <c r="C4511" t="s">
        <v>478</v>
      </c>
      <c r="D4511" t="s">
        <v>150</v>
      </c>
      <c r="E4511" t="s">
        <v>152</v>
      </c>
      <c r="F4511">
        <v>1</v>
      </c>
      <c r="G4511" t="s">
        <v>488</v>
      </c>
      <c r="H4511" s="4">
        <v>8393019</v>
      </c>
      <c r="I4511" s="4">
        <v>9759428.198958008</v>
      </c>
      <c r="J4511" s="3">
        <v>0.1628030627546545</v>
      </c>
      <c r="K4511" s="3">
        <v>-0.14000914511609358</v>
      </c>
      <c r="L4511" t="s">
        <v>54</v>
      </c>
    </row>
    <row r="4512" spans="1:12" x14ac:dyDescent="0.25">
      <c r="A4512" t="s">
        <v>487</v>
      </c>
      <c r="B4512" t="s">
        <v>465</v>
      </c>
      <c r="C4512" t="s">
        <v>478</v>
      </c>
      <c r="D4512" t="s">
        <v>150</v>
      </c>
      <c r="E4512" t="s">
        <v>152</v>
      </c>
      <c r="F4512">
        <v>1</v>
      </c>
      <c r="G4512" t="s">
        <v>498</v>
      </c>
      <c r="H4512" s="4">
        <v>8393019</v>
      </c>
      <c r="I4512" s="4">
        <v>8996185</v>
      </c>
      <c r="J4512" s="3">
        <v>0.07186520130599014</v>
      </c>
      <c r="K4512" s="3">
        <v>-0.06704686486549576</v>
      </c>
      <c r="L4512" t="s">
        <v>54</v>
      </c>
    </row>
    <row r="4513" spans="1:12" x14ac:dyDescent="0.25">
      <c r="A4513" t="s">
        <v>487</v>
      </c>
      <c r="B4513" t="s">
        <v>465</v>
      </c>
      <c r="C4513" t="s">
        <v>478</v>
      </c>
      <c r="D4513" t="s">
        <v>150</v>
      </c>
      <c r="E4513" t="s">
        <v>152</v>
      </c>
      <c r="F4513">
        <v>1</v>
      </c>
      <c r="G4513" t="s">
        <v>499</v>
      </c>
      <c r="H4513" s="4">
        <v>8393019</v>
      </c>
      <c r="I4513" s="4">
        <v>8381446</v>
      </c>
      <c r="J4513" s="3">
        <v>0.0013788840463723482</v>
      </c>
      <c r="K4513" s="3">
        <v>0.0013807879929071906</v>
      </c>
      <c r="L4513" t="s">
        <v>54</v>
      </c>
    </row>
    <row r="4514" spans="1:12" x14ac:dyDescent="0.25">
      <c r="A4514" t="s">
        <v>487</v>
      </c>
      <c r="B4514" t="s">
        <v>465</v>
      </c>
      <c r="C4514" t="s">
        <v>478</v>
      </c>
      <c r="D4514" t="s">
        <v>150</v>
      </c>
      <c r="E4514" t="s">
        <v>154</v>
      </c>
      <c r="F4514">
        <v>2</v>
      </c>
      <c r="G4514" t="s">
        <v>488</v>
      </c>
      <c r="H4514" s="4">
        <v>8918205</v>
      </c>
      <c r="I4514" s="4">
        <v>9801690.3405599</v>
      </c>
      <c r="J4514" s="3">
        <v>0.09906537700803018</v>
      </c>
      <c r="K4514" s="3">
        <v>-0.09013601836654561</v>
      </c>
      <c r="L4514" t="s">
        <v>54</v>
      </c>
    </row>
    <row r="4515" spans="1:12" x14ac:dyDescent="0.25">
      <c r="A4515" t="s">
        <v>487</v>
      </c>
      <c r="B4515" t="s">
        <v>465</v>
      </c>
      <c r="C4515" t="s">
        <v>478</v>
      </c>
      <c r="D4515" t="s">
        <v>150</v>
      </c>
      <c r="E4515" t="s">
        <v>154</v>
      </c>
      <c r="F4515">
        <v>2</v>
      </c>
      <c r="G4515" t="s">
        <v>498</v>
      </c>
      <c r="H4515" s="4">
        <v>8918205</v>
      </c>
      <c r="I4515" s="4">
        <v>9035142</v>
      </c>
      <c r="J4515" s="3">
        <v>0.013112167751245907</v>
      </c>
      <c r="K4515" s="3">
        <v>-0.01294246399226487</v>
      </c>
      <c r="L4515" t="s">
        <v>54</v>
      </c>
    </row>
    <row r="4516" spans="1:12" x14ac:dyDescent="0.25">
      <c r="A4516" t="s">
        <v>487</v>
      </c>
      <c r="B4516" t="s">
        <v>465</v>
      </c>
      <c r="C4516" t="s">
        <v>478</v>
      </c>
      <c r="D4516" t="s">
        <v>150</v>
      </c>
      <c r="E4516" t="s">
        <v>154</v>
      </c>
      <c r="F4516">
        <v>2</v>
      </c>
      <c r="G4516" t="s">
        <v>499</v>
      </c>
      <c r="H4516" s="4">
        <v>8918205</v>
      </c>
      <c r="I4516" s="4">
        <v>8381446</v>
      </c>
      <c r="J4516" s="3">
        <v>0.060186887383728</v>
      </c>
      <c r="K4516" s="3">
        <v>0.06404133606539969</v>
      </c>
      <c r="L4516" t="s">
        <v>54</v>
      </c>
    </row>
    <row r="4517" spans="1:12" x14ac:dyDescent="0.25">
      <c r="A4517" t="s">
        <v>487</v>
      </c>
      <c r="B4517" t="s">
        <v>465</v>
      </c>
      <c r="C4517" t="s">
        <v>478</v>
      </c>
      <c r="D4517" t="s">
        <v>150</v>
      </c>
      <c r="E4517" t="s">
        <v>156</v>
      </c>
      <c r="F4517">
        <v>3</v>
      </c>
      <c r="G4517" t="s">
        <v>488</v>
      </c>
      <c r="H4517" s="4">
        <v>9349523</v>
      </c>
      <c r="I4517" s="4">
        <v>9861268.710419854</v>
      </c>
      <c r="J4517" s="3">
        <v>0.054734953902980304</v>
      </c>
      <c r="K4517" s="3">
        <v>-0.05189451027524693</v>
      </c>
      <c r="L4517" t="s">
        <v>54</v>
      </c>
    </row>
    <row r="4518" spans="1:12" x14ac:dyDescent="0.25">
      <c r="A4518" t="s">
        <v>487</v>
      </c>
      <c r="B4518" t="s">
        <v>465</v>
      </c>
      <c r="C4518" t="s">
        <v>478</v>
      </c>
      <c r="D4518" t="s">
        <v>150</v>
      </c>
      <c r="E4518" t="s">
        <v>156</v>
      </c>
      <c r="F4518">
        <v>3</v>
      </c>
      <c r="G4518" t="s">
        <v>498</v>
      </c>
      <c r="H4518" s="4">
        <v>9349523</v>
      </c>
      <c r="I4518" s="4">
        <v>9090061</v>
      </c>
      <c r="J4518" s="3">
        <v>0.027751362288749918</v>
      </c>
      <c r="K4518" s="3">
        <v>0.02854348282151242</v>
      </c>
      <c r="L4518" t="s">
        <v>54</v>
      </c>
    </row>
    <row r="4519" spans="1:12" x14ac:dyDescent="0.25">
      <c r="A4519" t="s">
        <v>487</v>
      </c>
      <c r="B4519" t="s">
        <v>465</v>
      </c>
      <c r="C4519" t="s">
        <v>478</v>
      </c>
      <c r="D4519" t="s">
        <v>150</v>
      </c>
      <c r="E4519" t="s">
        <v>156</v>
      </c>
      <c r="F4519">
        <v>3</v>
      </c>
      <c r="G4519" t="s">
        <v>499</v>
      </c>
      <c r="H4519" s="4">
        <v>9349523</v>
      </c>
      <c r="I4519" s="4">
        <v>8381446</v>
      </c>
      <c r="J4519" s="3">
        <v>0.10354292940933991</v>
      </c>
      <c r="K4519" s="3">
        <v>0.11550238467204824</v>
      </c>
      <c r="L4519" t="s">
        <v>54</v>
      </c>
    </row>
    <row r="4520" spans="1:12" x14ac:dyDescent="0.25">
      <c r="A4520" t="s">
        <v>487</v>
      </c>
      <c r="B4520" t="s">
        <v>465</v>
      </c>
      <c r="C4520" t="s">
        <v>478</v>
      </c>
      <c r="D4520" t="s">
        <v>152</v>
      </c>
      <c r="E4520" t="s">
        <v>154</v>
      </c>
      <c r="F4520">
        <v>1</v>
      </c>
      <c r="G4520" t="s">
        <v>488</v>
      </c>
      <c r="H4520" s="4">
        <v>8918205</v>
      </c>
      <c r="I4520" s="4">
        <v>9783415.15528019</v>
      </c>
      <c r="J4520" s="3">
        <v>0.09701617705358753</v>
      </c>
      <c r="K4520" s="3">
        <v>-0.08843641423242972</v>
      </c>
      <c r="L4520" t="s">
        <v>54</v>
      </c>
    </row>
    <row r="4521" spans="1:12" x14ac:dyDescent="0.25">
      <c r="A4521" t="s">
        <v>487</v>
      </c>
      <c r="B4521" t="s">
        <v>465</v>
      </c>
      <c r="C4521" t="s">
        <v>478</v>
      </c>
      <c r="D4521" t="s">
        <v>152</v>
      </c>
      <c r="E4521" t="s">
        <v>154</v>
      </c>
      <c r="F4521">
        <v>1</v>
      </c>
      <c r="G4521" t="s">
        <v>498</v>
      </c>
      <c r="H4521" s="4">
        <v>8918205</v>
      </c>
      <c r="I4521" s="4">
        <v>9035142</v>
      </c>
      <c r="J4521" s="3">
        <v>0.013112167751245907</v>
      </c>
      <c r="K4521" s="3">
        <v>-0.01294246399226487</v>
      </c>
      <c r="L4521" t="s">
        <v>54</v>
      </c>
    </row>
    <row r="4522" spans="1:12" x14ac:dyDescent="0.25">
      <c r="A4522" t="s">
        <v>487</v>
      </c>
      <c r="B4522" t="s">
        <v>465</v>
      </c>
      <c r="C4522" t="s">
        <v>478</v>
      </c>
      <c r="D4522" t="s">
        <v>152</v>
      </c>
      <c r="E4522" t="s">
        <v>154</v>
      </c>
      <c r="F4522">
        <v>1</v>
      </c>
      <c r="G4522" t="s">
        <v>499</v>
      </c>
      <c r="H4522" s="4">
        <v>8918205</v>
      </c>
      <c r="I4522" s="4">
        <v>8393019</v>
      </c>
      <c r="J4522" s="3">
        <v>0.058889204722250725</v>
      </c>
      <c r="K4522" s="3">
        <v>0.06257414644241839</v>
      </c>
      <c r="L4522" t="s">
        <v>54</v>
      </c>
    </row>
    <row r="4523" spans="1:12" x14ac:dyDescent="0.25">
      <c r="A4523" t="s">
        <v>487</v>
      </c>
      <c r="B4523" t="s">
        <v>465</v>
      </c>
      <c r="C4523" t="s">
        <v>478</v>
      </c>
      <c r="D4523" t="s">
        <v>152</v>
      </c>
      <c r="E4523" t="s">
        <v>156</v>
      </c>
      <c r="F4523">
        <v>2</v>
      </c>
      <c r="G4523" t="s">
        <v>488</v>
      </c>
      <c r="H4523" s="4">
        <v>9349523</v>
      </c>
      <c r="I4523" s="4">
        <v>9842882.441672903</v>
      </c>
      <c r="J4523" s="3">
        <v>0.05276840772228728</v>
      </c>
      <c r="K4523" s="3">
        <v>-0.050123471919578354</v>
      </c>
      <c r="L4523" t="s">
        <v>54</v>
      </c>
    </row>
    <row r="4524" spans="1:12" x14ac:dyDescent="0.25">
      <c r="A4524" t="s">
        <v>487</v>
      </c>
      <c r="B4524" t="s">
        <v>465</v>
      </c>
      <c r="C4524" t="s">
        <v>478</v>
      </c>
      <c r="D4524" t="s">
        <v>152</v>
      </c>
      <c r="E4524" t="s">
        <v>156</v>
      </c>
      <c r="F4524">
        <v>2</v>
      </c>
      <c r="G4524" t="s">
        <v>498</v>
      </c>
      <c r="H4524" s="4">
        <v>9349523</v>
      </c>
      <c r="I4524" s="4">
        <v>9090061</v>
      </c>
      <c r="J4524" s="3">
        <v>0.027751362288749918</v>
      </c>
      <c r="K4524" s="3">
        <v>0.02854348282151242</v>
      </c>
      <c r="L4524" t="s">
        <v>54</v>
      </c>
    </row>
    <row r="4525" spans="1:12" x14ac:dyDescent="0.25">
      <c r="A4525" t="s">
        <v>487</v>
      </c>
      <c r="B4525" t="s">
        <v>465</v>
      </c>
      <c r="C4525" t="s">
        <v>478</v>
      </c>
      <c r="D4525" t="s">
        <v>152</v>
      </c>
      <c r="E4525" t="s">
        <v>156</v>
      </c>
      <c r="F4525">
        <v>2</v>
      </c>
      <c r="G4525" t="s">
        <v>499</v>
      </c>
      <c r="H4525" s="4">
        <v>9349523</v>
      </c>
      <c r="I4525" s="4">
        <v>8393019</v>
      </c>
      <c r="J4525" s="3">
        <v>0.10230511225011159</v>
      </c>
      <c r="K4525" s="3">
        <v>0.11396423623013364</v>
      </c>
      <c r="L4525" t="s">
        <v>54</v>
      </c>
    </row>
    <row r="4526" spans="1:12" x14ac:dyDescent="0.25">
      <c r="A4526" t="s">
        <v>487</v>
      </c>
      <c r="B4526" t="s">
        <v>465</v>
      </c>
      <c r="C4526" t="s">
        <v>478</v>
      </c>
      <c r="D4526" t="s">
        <v>152</v>
      </c>
      <c r="E4526" t="s">
        <v>158</v>
      </c>
      <c r="F4526">
        <v>3</v>
      </c>
      <c r="G4526" t="s">
        <v>488</v>
      </c>
      <c r="H4526" s="4">
        <v>10171917</v>
      </c>
      <c r="I4526" s="4">
        <v>9929879.2950506</v>
      </c>
      <c r="J4526" s="3">
        <v>0.02379469916529986</v>
      </c>
      <c r="K4526" s="3">
        <v>0.024374687522137305</v>
      </c>
      <c r="L4526" t="s">
        <v>54</v>
      </c>
    </row>
    <row r="4527" spans="1:12" x14ac:dyDescent="0.25">
      <c r="A4527" t="s">
        <v>487</v>
      </c>
      <c r="B4527" t="s">
        <v>465</v>
      </c>
      <c r="C4527" t="s">
        <v>478</v>
      </c>
      <c r="D4527" t="s">
        <v>152</v>
      </c>
      <c r="E4527" t="s">
        <v>158</v>
      </c>
      <c r="F4527">
        <v>3</v>
      </c>
      <c r="G4527" t="s">
        <v>498</v>
      </c>
      <c r="H4527" s="4">
        <v>10171917</v>
      </c>
      <c r="I4527" s="4">
        <v>9170404</v>
      </c>
      <c r="J4527" s="3">
        <v>0.09845862879140677</v>
      </c>
      <c r="K4527" s="3">
        <v>0.10921143714061016</v>
      </c>
      <c r="L4527" t="s">
        <v>54</v>
      </c>
    </row>
    <row r="4528" spans="1:12" x14ac:dyDescent="0.25">
      <c r="A4528" t="s">
        <v>487</v>
      </c>
      <c r="B4528" t="s">
        <v>465</v>
      </c>
      <c r="C4528" t="s">
        <v>478</v>
      </c>
      <c r="D4528" t="s">
        <v>152</v>
      </c>
      <c r="E4528" t="s">
        <v>158</v>
      </c>
      <c r="F4528">
        <v>3</v>
      </c>
      <c r="G4528" t="s">
        <v>499</v>
      </c>
      <c r="H4528" s="4">
        <v>10171917</v>
      </c>
      <c r="I4528" s="4">
        <v>8393019</v>
      </c>
      <c r="J4528" s="3">
        <v>0.17488325946820055</v>
      </c>
      <c r="K4528" s="3">
        <v>0.21194971678248314</v>
      </c>
      <c r="L4528" t="s">
        <v>54</v>
      </c>
    </row>
    <row r="4529" spans="1:12" x14ac:dyDescent="0.25">
      <c r="A4529" t="s">
        <v>487</v>
      </c>
      <c r="B4529" t="s">
        <v>465</v>
      </c>
      <c r="C4529" t="s">
        <v>478</v>
      </c>
      <c r="D4529" t="s">
        <v>154</v>
      </c>
      <c r="E4529" t="s">
        <v>156</v>
      </c>
      <c r="F4529">
        <v>1</v>
      </c>
      <c r="G4529" t="s">
        <v>488</v>
      </c>
      <c r="H4529" s="4">
        <v>9349523</v>
      </c>
      <c r="I4529" s="4">
        <v>9854236.19386754</v>
      </c>
      <c r="J4529" s="3">
        <v>0.0539827747220409</v>
      </c>
      <c r="K4529" s="3">
        <v>-0.051217890858109495</v>
      </c>
      <c r="L4529" t="s">
        <v>54</v>
      </c>
    </row>
    <row r="4530" spans="1:12" x14ac:dyDescent="0.25">
      <c r="A4530" t="s">
        <v>487</v>
      </c>
      <c r="B4530" t="s">
        <v>465</v>
      </c>
      <c r="C4530" t="s">
        <v>478</v>
      </c>
      <c r="D4530" t="s">
        <v>154</v>
      </c>
      <c r="E4530" t="s">
        <v>156</v>
      </c>
      <c r="F4530">
        <v>1</v>
      </c>
      <c r="G4530" t="s">
        <v>498</v>
      </c>
      <c r="H4530" s="4">
        <v>9349523</v>
      </c>
      <c r="I4530" s="4">
        <v>9090061</v>
      </c>
      <c r="J4530" s="3">
        <v>0.027751362288749918</v>
      </c>
      <c r="K4530" s="3">
        <v>0.02854348282151242</v>
      </c>
      <c r="L4530" t="s">
        <v>54</v>
      </c>
    </row>
    <row r="4531" spans="1:12" x14ac:dyDescent="0.25">
      <c r="A4531" t="s">
        <v>487</v>
      </c>
      <c r="B4531" t="s">
        <v>465</v>
      </c>
      <c r="C4531" t="s">
        <v>478</v>
      </c>
      <c r="D4531" t="s">
        <v>154</v>
      </c>
      <c r="E4531" t="s">
        <v>156</v>
      </c>
      <c r="F4531">
        <v>1</v>
      </c>
      <c r="G4531" t="s">
        <v>499</v>
      </c>
      <c r="H4531" s="4">
        <v>9349523</v>
      </c>
      <c r="I4531" s="4">
        <v>8918205</v>
      </c>
      <c r="J4531" s="3">
        <v>0.04613262088343972</v>
      </c>
      <c r="K4531" s="3">
        <v>0.04836376826951164</v>
      </c>
      <c r="L4531" t="s">
        <v>54</v>
      </c>
    </row>
    <row r="4532" spans="1:12" x14ac:dyDescent="0.25">
      <c r="A4532" t="s">
        <v>487</v>
      </c>
      <c r="B4532" t="s">
        <v>465</v>
      </c>
      <c r="C4532" t="s">
        <v>478</v>
      </c>
      <c r="D4532" t="s">
        <v>154</v>
      </c>
      <c r="E4532" t="s">
        <v>158</v>
      </c>
      <c r="F4532">
        <v>2</v>
      </c>
      <c r="G4532" t="s">
        <v>488</v>
      </c>
      <c r="H4532" s="4">
        <v>10171917</v>
      </c>
      <c r="I4532" s="4">
        <v>9941333.398003343</v>
      </c>
      <c r="J4532" s="3">
        <v>0.02266864761053954</v>
      </c>
      <c r="K4532" s="3">
        <v>0.023194434062835858</v>
      </c>
      <c r="L4532" t="s">
        <v>54</v>
      </c>
    </row>
    <row r="4533" spans="1:12" x14ac:dyDescent="0.25">
      <c r="A4533" t="s">
        <v>487</v>
      </c>
      <c r="B4533" t="s">
        <v>465</v>
      </c>
      <c r="C4533" t="s">
        <v>478</v>
      </c>
      <c r="D4533" t="s">
        <v>154</v>
      </c>
      <c r="E4533" t="s">
        <v>158</v>
      </c>
      <c r="F4533">
        <v>2</v>
      </c>
      <c r="G4533" t="s">
        <v>498</v>
      </c>
      <c r="H4533" s="4">
        <v>10171917</v>
      </c>
      <c r="I4533" s="4">
        <v>9170404</v>
      </c>
      <c r="J4533" s="3">
        <v>0.09845862879140677</v>
      </c>
      <c r="K4533" s="3">
        <v>0.10921143714061016</v>
      </c>
      <c r="L4533" t="s">
        <v>54</v>
      </c>
    </row>
    <row r="4534" spans="1:12" x14ac:dyDescent="0.25">
      <c r="A4534" t="s">
        <v>487</v>
      </c>
      <c r="B4534" t="s">
        <v>465</v>
      </c>
      <c r="C4534" t="s">
        <v>478</v>
      </c>
      <c r="D4534" t="s">
        <v>154</v>
      </c>
      <c r="E4534" t="s">
        <v>158</v>
      </c>
      <c r="F4534">
        <v>2</v>
      </c>
      <c r="G4534" t="s">
        <v>499</v>
      </c>
      <c r="H4534" s="4">
        <v>10171917</v>
      </c>
      <c r="I4534" s="4">
        <v>8918205</v>
      </c>
      <c r="J4534" s="3">
        <v>0.12325228371407278</v>
      </c>
      <c r="K4534" s="3">
        <v>0.1405789617978057</v>
      </c>
      <c r="L4534" t="s">
        <v>54</v>
      </c>
    </row>
    <row r="4535" spans="1:12" x14ac:dyDescent="0.25">
      <c r="A4535" t="s">
        <v>487</v>
      </c>
      <c r="B4535" t="s">
        <v>465</v>
      </c>
      <c r="C4535" t="s">
        <v>478</v>
      </c>
      <c r="D4535" t="s">
        <v>154</v>
      </c>
      <c r="E4535" t="s">
        <v>160</v>
      </c>
      <c r="F4535">
        <v>3</v>
      </c>
      <c r="G4535" t="s">
        <v>488</v>
      </c>
      <c r="H4535" s="4">
        <v>7472398</v>
      </c>
      <c r="I4535" s="4">
        <v>9413643.133014724</v>
      </c>
      <c r="J4535" s="3">
        <v>0.259788776376034</v>
      </c>
      <c r="K4535" s="3">
        <v>-0.20621613817147527</v>
      </c>
      <c r="L4535" t="s">
        <v>54</v>
      </c>
    </row>
    <row r="4536" spans="1:12" x14ac:dyDescent="0.25">
      <c r="A4536" t="s">
        <v>487</v>
      </c>
      <c r="B4536" t="s">
        <v>465</v>
      </c>
      <c r="C4536" t="s">
        <v>478</v>
      </c>
      <c r="D4536" t="s">
        <v>154</v>
      </c>
      <c r="E4536" t="s">
        <v>160</v>
      </c>
      <c r="F4536">
        <v>3</v>
      </c>
      <c r="G4536" t="s">
        <v>498</v>
      </c>
      <c r="H4536" s="4">
        <v>7472398</v>
      </c>
      <c r="I4536" s="4">
        <v>8683635</v>
      </c>
      <c r="J4536" s="3">
        <v>0.16209481882522853</v>
      </c>
      <c r="K4536" s="3">
        <v>-0.13948501981025227</v>
      </c>
      <c r="L4536" t="s">
        <v>54</v>
      </c>
    </row>
    <row r="4537" spans="1:12" x14ac:dyDescent="0.25">
      <c r="A4537" t="s">
        <v>487</v>
      </c>
      <c r="B4537" t="s">
        <v>465</v>
      </c>
      <c r="C4537" t="s">
        <v>478</v>
      </c>
      <c r="D4537" t="s">
        <v>154</v>
      </c>
      <c r="E4537" t="s">
        <v>160</v>
      </c>
      <c r="F4537">
        <v>3</v>
      </c>
      <c r="G4537" t="s">
        <v>499</v>
      </c>
      <c r="H4537" s="4">
        <v>7472398</v>
      </c>
      <c r="I4537" s="4">
        <v>8918205</v>
      </c>
      <c r="J4537" s="3">
        <v>0.19348634802375356</v>
      </c>
      <c r="K4537" s="3">
        <v>-0.16211861019117638</v>
      </c>
      <c r="L4537" t="s">
        <v>54</v>
      </c>
    </row>
    <row r="4538" spans="1:12" x14ac:dyDescent="0.25">
      <c r="A4538" t="s">
        <v>487</v>
      </c>
      <c r="B4538" t="s">
        <v>465</v>
      </c>
      <c r="C4538" t="s">
        <v>478</v>
      </c>
      <c r="D4538" t="s">
        <v>156</v>
      </c>
      <c r="E4538" t="s">
        <v>158</v>
      </c>
      <c r="F4538">
        <v>1</v>
      </c>
      <c r="G4538" t="s">
        <v>488</v>
      </c>
      <c r="H4538" s="4">
        <v>10171917</v>
      </c>
      <c r="I4538" s="4">
        <v>9759213.080864843</v>
      </c>
      <c r="J4538" s="3">
        <v>0.04057287521468736</v>
      </c>
      <c r="K4538" s="3">
        <v>0.04228864722139912</v>
      </c>
      <c r="L4538" t="s">
        <v>54</v>
      </c>
    </row>
    <row r="4539" spans="1:12" x14ac:dyDescent="0.25">
      <c r="A4539" t="s">
        <v>487</v>
      </c>
      <c r="B4539" t="s">
        <v>465</v>
      </c>
      <c r="C4539" t="s">
        <v>478</v>
      </c>
      <c r="D4539" t="s">
        <v>156</v>
      </c>
      <c r="E4539" t="s">
        <v>158</v>
      </c>
      <c r="F4539">
        <v>1</v>
      </c>
      <c r="G4539" t="s">
        <v>498</v>
      </c>
      <c r="H4539" s="4">
        <v>10171917</v>
      </c>
      <c r="I4539" s="4">
        <v>9170404</v>
      </c>
      <c r="J4539" s="3">
        <v>0.09845862879140677</v>
      </c>
      <c r="K4539" s="3">
        <v>0.10921143714061016</v>
      </c>
      <c r="L4539" t="s">
        <v>54</v>
      </c>
    </row>
    <row r="4540" spans="1:12" x14ac:dyDescent="0.25">
      <c r="A4540" t="s">
        <v>487</v>
      </c>
      <c r="B4540" t="s">
        <v>465</v>
      </c>
      <c r="C4540" t="s">
        <v>478</v>
      </c>
      <c r="D4540" t="s">
        <v>156</v>
      </c>
      <c r="E4540" t="s">
        <v>158</v>
      </c>
      <c r="F4540">
        <v>1</v>
      </c>
      <c r="G4540" t="s">
        <v>499</v>
      </c>
      <c r="H4540" s="4">
        <v>10171917</v>
      </c>
      <c r="I4540" s="4">
        <v>9349523</v>
      </c>
      <c r="J4540" s="3">
        <v>0.08084946033279666</v>
      </c>
      <c r="K4540" s="3">
        <v>0.08796106496556028</v>
      </c>
      <c r="L4540" t="s">
        <v>54</v>
      </c>
    </row>
    <row r="4541" spans="1:12" x14ac:dyDescent="0.25">
      <c r="A4541" t="s">
        <v>487</v>
      </c>
      <c r="B4541" t="s">
        <v>465</v>
      </c>
      <c r="C4541" t="s">
        <v>478</v>
      </c>
      <c r="D4541" t="s">
        <v>156</v>
      </c>
      <c r="E4541" t="s">
        <v>160</v>
      </c>
      <c r="F4541">
        <v>2</v>
      </c>
      <c r="G4541" t="s">
        <v>488</v>
      </c>
      <c r="H4541" s="4">
        <v>7472398</v>
      </c>
      <c r="I4541" s="4">
        <v>9241189.840868056</v>
      </c>
      <c r="J4541" s="3">
        <v>0.23671006828973187</v>
      </c>
      <c r="K4541" s="3">
        <v>-0.19140304131030678</v>
      </c>
      <c r="L4541" t="s">
        <v>54</v>
      </c>
    </row>
    <row r="4542" spans="1:12" x14ac:dyDescent="0.25">
      <c r="A4542" t="s">
        <v>487</v>
      </c>
      <c r="B4542" t="s">
        <v>465</v>
      </c>
      <c r="C4542" t="s">
        <v>478</v>
      </c>
      <c r="D4542" t="s">
        <v>156</v>
      </c>
      <c r="E4542" t="s">
        <v>160</v>
      </c>
      <c r="F4542">
        <v>2</v>
      </c>
      <c r="G4542" t="s">
        <v>498</v>
      </c>
      <c r="H4542" s="4">
        <v>7472398</v>
      </c>
      <c r="I4542" s="4">
        <v>8683635</v>
      </c>
      <c r="J4542" s="3">
        <v>0.16209481882522853</v>
      </c>
      <c r="K4542" s="3">
        <v>-0.13948501981025227</v>
      </c>
      <c r="L4542" t="s">
        <v>54</v>
      </c>
    </row>
    <row r="4543" spans="1:12" x14ac:dyDescent="0.25">
      <c r="A4543" t="s">
        <v>487</v>
      </c>
      <c r="B4543" t="s">
        <v>465</v>
      </c>
      <c r="C4543" t="s">
        <v>478</v>
      </c>
      <c r="D4543" t="s">
        <v>156</v>
      </c>
      <c r="E4543" t="s">
        <v>160</v>
      </c>
      <c r="F4543">
        <v>2</v>
      </c>
      <c r="G4543" t="s">
        <v>499</v>
      </c>
      <c r="H4543" s="4">
        <v>7472398</v>
      </c>
      <c r="I4543" s="4">
        <v>9349523</v>
      </c>
      <c r="J4543" s="3">
        <v>0.2512078451924001</v>
      </c>
      <c r="K4543" s="3">
        <v>-0.2007722746925164</v>
      </c>
      <c r="L4543" t="s">
        <v>54</v>
      </c>
    </row>
    <row r="4544" spans="1:12" x14ac:dyDescent="0.25">
      <c r="A4544" t="s">
        <v>487</v>
      </c>
      <c r="B4544" t="s">
        <v>465</v>
      </c>
      <c r="C4544" t="s">
        <v>478</v>
      </c>
      <c r="D4544" t="s">
        <v>156</v>
      </c>
      <c r="E4544" t="s">
        <v>162</v>
      </c>
      <c r="F4544">
        <v>3</v>
      </c>
      <c r="G4544" t="s">
        <v>488</v>
      </c>
      <c r="H4544" s="4">
        <v>6880903</v>
      </c>
      <c r="I4544" s="4">
        <v>6227105.063265001</v>
      </c>
      <c r="J4544" s="3">
        <v>0.09501629898503126</v>
      </c>
      <c r="K4544" s="3">
        <v>0.10499227652218199</v>
      </c>
      <c r="L4544" t="s">
        <v>54</v>
      </c>
    </row>
    <row r="4545" spans="1:12" x14ac:dyDescent="0.25">
      <c r="A4545" t="s">
        <v>487</v>
      </c>
      <c r="B4545" t="s">
        <v>465</v>
      </c>
      <c r="C4545" t="s">
        <v>478</v>
      </c>
      <c r="D4545" t="s">
        <v>156</v>
      </c>
      <c r="E4545" t="s">
        <v>162</v>
      </c>
      <c r="F4545">
        <v>3</v>
      </c>
      <c r="G4545" t="s">
        <v>498</v>
      </c>
      <c r="H4545" s="4">
        <v>6880903</v>
      </c>
      <c r="I4545" s="4">
        <v>5851401</v>
      </c>
      <c r="J4545" s="3">
        <v>0.14961728133647575</v>
      </c>
      <c r="K4545" s="3">
        <v>0.17594111222252584</v>
      </c>
      <c r="L4545" t="s">
        <v>54</v>
      </c>
    </row>
    <row r="4546" spans="1:12" x14ac:dyDescent="0.25">
      <c r="A4546" t="s">
        <v>487</v>
      </c>
      <c r="B4546" t="s">
        <v>465</v>
      </c>
      <c r="C4546" t="s">
        <v>478</v>
      </c>
      <c r="D4546" t="s">
        <v>156</v>
      </c>
      <c r="E4546" t="s">
        <v>162</v>
      </c>
      <c r="F4546">
        <v>3</v>
      </c>
      <c r="G4546" t="s">
        <v>499</v>
      </c>
      <c r="H4546" s="4">
        <v>6880903</v>
      </c>
      <c r="I4546" s="4">
        <v>9349523</v>
      </c>
      <c r="J4546" s="3">
        <v>0.35876395874204303</v>
      </c>
      <c r="K4546" s="3">
        <v>-0.26403699953462867</v>
      </c>
      <c r="L4546" t="s">
        <v>54</v>
      </c>
    </row>
    <row r="4547" spans="1:12" x14ac:dyDescent="0.25">
      <c r="A4547" t="s">
        <v>487</v>
      </c>
      <c r="B4547" t="s">
        <v>465</v>
      </c>
      <c r="C4547" t="s">
        <v>478</v>
      </c>
      <c r="D4547" t="s">
        <v>158</v>
      </c>
      <c r="E4547" t="s">
        <v>160</v>
      </c>
      <c r="F4547">
        <v>1</v>
      </c>
      <c r="G4547" t="s">
        <v>488</v>
      </c>
      <c r="H4547" s="4">
        <v>7472398</v>
      </c>
      <c r="I4547" s="4">
        <v>9319239.941136071</v>
      </c>
      <c r="J4547" s="3">
        <v>0.24715518915561932</v>
      </c>
      <c r="K4547" s="3">
        <v>-0.19817516801814744</v>
      </c>
      <c r="L4547" t="s">
        <v>54</v>
      </c>
    </row>
    <row r="4548" spans="1:12" x14ac:dyDescent="0.25">
      <c r="A4548" t="s">
        <v>487</v>
      </c>
      <c r="B4548" t="s">
        <v>465</v>
      </c>
      <c r="C4548" t="s">
        <v>478</v>
      </c>
      <c r="D4548" t="s">
        <v>158</v>
      </c>
      <c r="E4548" t="s">
        <v>160</v>
      </c>
      <c r="F4548">
        <v>1</v>
      </c>
      <c r="G4548" t="s">
        <v>498</v>
      </c>
      <c r="H4548" s="4">
        <v>7472398</v>
      </c>
      <c r="I4548" s="4">
        <v>8683635</v>
      </c>
      <c r="J4548" s="3">
        <v>0.16209481882522853</v>
      </c>
      <c r="K4548" s="3">
        <v>-0.13948501981025227</v>
      </c>
      <c r="L4548" t="s">
        <v>54</v>
      </c>
    </row>
    <row r="4549" spans="1:12" x14ac:dyDescent="0.25">
      <c r="A4549" t="s">
        <v>487</v>
      </c>
      <c r="B4549" t="s">
        <v>465</v>
      </c>
      <c r="C4549" t="s">
        <v>478</v>
      </c>
      <c r="D4549" t="s">
        <v>158</v>
      </c>
      <c r="E4549" t="s">
        <v>160</v>
      </c>
      <c r="F4549">
        <v>1</v>
      </c>
      <c r="G4549" t="s">
        <v>499</v>
      </c>
      <c r="H4549" s="4">
        <v>7472398</v>
      </c>
      <c r="I4549" s="4">
        <v>10171917</v>
      </c>
      <c r="J4549" s="3">
        <v>0.36126541974878745</v>
      </c>
      <c r="K4549" s="3">
        <v>-0.2653894049666351</v>
      </c>
      <c r="L4549" t="s">
        <v>54</v>
      </c>
    </row>
    <row r="4550" spans="1:12" x14ac:dyDescent="0.25">
      <c r="A4550" t="s">
        <v>487</v>
      </c>
      <c r="B4550" t="s">
        <v>465</v>
      </c>
      <c r="C4550" t="s">
        <v>478</v>
      </c>
      <c r="D4550" t="s">
        <v>158</v>
      </c>
      <c r="E4550" t="s">
        <v>162</v>
      </c>
      <c r="F4550">
        <v>2</v>
      </c>
      <c r="G4550" t="s">
        <v>488</v>
      </c>
      <c r="H4550" s="4">
        <v>6880903</v>
      </c>
      <c r="I4550" s="4">
        <v>6279698.526113033</v>
      </c>
      <c r="J4550" s="3">
        <v>0.08737290351091517</v>
      </c>
      <c r="K4550" s="3">
        <v>0.09573779240945446</v>
      </c>
      <c r="L4550" t="s">
        <v>54</v>
      </c>
    </row>
    <row r="4551" spans="1:12" x14ac:dyDescent="0.25">
      <c r="A4551" t="s">
        <v>487</v>
      </c>
      <c r="B4551" t="s">
        <v>465</v>
      </c>
      <c r="C4551" t="s">
        <v>478</v>
      </c>
      <c r="D4551" t="s">
        <v>158</v>
      </c>
      <c r="E4551" t="s">
        <v>162</v>
      </c>
      <c r="F4551">
        <v>2</v>
      </c>
      <c r="G4551" t="s">
        <v>498</v>
      </c>
      <c r="H4551" s="4">
        <v>6880903</v>
      </c>
      <c r="I4551" s="4">
        <v>5851401</v>
      </c>
      <c r="J4551" s="3">
        <v>0.14961728133647575</v>
      </c>
      <c r="K4551" s="3">
        <v>0.17594111222252584</v>
      </c>
      <c r="L4551" t="s">
        <v>54</v>
      </c>
    </row>
    <row r="4552" spans="1:12" x14ac:dyDescent="0.25">
      <c r="A4552" t="s">
        <v>487</v>
      </c>
      <c r="B4552" t="s">
        <v>465</v>
      </c>
      <c r="C4552" t="s">
        <v>478</v>
      </c>
      <c r="D4552" t="s">
        <v>158</v>
      </c>
      <c r="E4552" t="s">
        <v>162</v>
      </c>
      <c r="F4552">
        <v>2</v>
      </c>
      <c r="G4552" t="s">
        <v>499</v>
      </c>
      <c r="H4552" s="4">
        <v>6880903</v>
      </c>
      <c r="I4552" s="4">
        <v>10171917</v>
      </c>
      <c r="J4552" s="3">
        <v>0.47828228358981373</v>
      </c>
      <c r="K4552" s="3">
        <v>-0.3235392109471597</v>
      </c>
      <c r="L4552" t="s">
        <v>54</v>
      </c>
    </row>
    <row r="4553" spans="1:12" x14ac:dyDescent="0.25">
      <c r="A4553" t="s">
        <v>487</v>
      </c>
      <c r="B4553" t="s">
        <v>465</v>
      </c>
      <c r="C4553" t="s">
        <v>478</v>
      </c>
      <c r="D4553" t="s">
        <v>158</v>
      </c>
      <c r="E4553" t="s">
        <v>164</v>
      </c>
      <c r="F4553">
        <v>3</v>
      </c>
      <c r="G4553" t="s">
        <v>488</v>
      </c>
      <c r="H4553" s="4">
        <v>8600100</v>
      </c>
      <c r="I4553" s="4">
        <v>9311975.479287831</v>
      </c>
      <c r="J4553" s="3">
        <v>0.08277525601886386</v>
      </c>
      <c r="K4553" s="3">
        <v>-0.07644731033401245</v>
      </c>
      <c r="L4553" t="s">
        <v>54</v>
      </c>
    </row>
    <row r="4554" spans="1:12" x14ac:dyDescent="0.25">
      <c r="A4554" t="s">
        <v>487</v>
      </c>
      <c r="B4554" t="s">
        <v>465</v>
      </c>
      <c r="C4554" t="s">
        <v>478</v>
      </c>
      <c r="D4554" t="s">
        <v>158</v>
      </c>
      <c r="E4554" t="s">
        <v>164</v>
      </c>
      <c r="F4554">
        <v>3</v>
      </c>
      <c r="G4554" t="s">
        <v>498</v>
      </c>
      <c r="H4554" s="4">
        <v>8600100</v>
      </c>
      <c r="I4554" s="4">
        <v>8676866</v>
      </c>
      <c r="J4554" s="3">
        <v>0.008926175277031663</v>
      </c>
      <c r="K4554" s="3">
        <v>-0.00884720358710161</v>
      </c>
      <c r="L4554" t="s">
        <v>54</v>
      </c>
    </row>
    <row r="4555" spans="1:12" x14ac:dyDescent="0.25">
      <c r="A4555" t="s">
        <v>487</v>
      </c>
      <c r="B4555" t="s">
        <v>465</v>
      </c>
      <c r="C4555" t="s">
        <v>478</v>
      </c>
      <c r="D4555" t="s">
        <v>158</v>
      </c>
      <c r="E4555" t="s">
        <v>164</v>
      </c>
      <c r="F4555">
        <v>3</v>
      </c>
      <c r="G4555" t="s">
        <v>499</v>
      </c>
      <c r="H4555" s="4">
        <v>8600100</v>
      </c>
      <c r="I4555" s="4">
        <v>10171917</v>
      </c>
      <c r="J4555" s="3">
        <v>0.18276729340356507</v>
      </c>
      <c r="K4555" s="3">
        <v>-0.15452514997910424</v>
      </c>
      <c r="L4555" t="s">
        <v>54</v>
      </c>
    </row>
    <row r="4556" spans="1:12" x14ac:dyDescent="0.25">
      <c r="A4556" t="s">
        <v>487</v>
      </c>
      <c r="B4556" t="s">
        <v>465</v>
      </c>
      <c r="C4556" t="s">
        <v>478</v>
      </c>
      <c r="D4556" t="s">
        <v>160</v>
      </c>
      <c r="E4556" t="s">
        <v>162</v>
      </c>
      <c r="F4556">
        <v>1</v>
      </c>
      <c r="G4556" t="s">
        <v>488</v>
      </c>
      <c r="H4556" s="4">
        <v>6880903</v>
      </c>
      <c r="I4556" s="4">
        <v>6106465.7317787735</v>
      </c>
      <c r="J4556" s="3">
        <v>0.11254878439955142</v>
      </c>
      <c r="K4556" s="3">
        <v>0.12682250293995148</v>
      </c>
      <c r="L4556" t="s">
        <v>54</v>
      </c>
    </row>
    <row r="4557" spans="1:12" x14ac:dyDescent="0.25">
      <c r="A4557" t="s">
        <v>487</v>
      </c>
      <c r="B4557" t="s">
        <v>465</v>
      </c>
      <c r="C4557" t="s">
        <v>478</v>
      </c>
      <c r="D4557" t="s">
        <v>160</v>
      </c>
      <c r="E4557" t="s">
        <v>162</v>
      </c>
      <c r="F4557">
        <v>1</v>
      </c>
      <c r="G4557" t="s">
        <v>498</v>
      </c>
      <c r="H4557" s="4">
        <v>6880903</v>
      </c>
      <c r="I4557" s="4">
        <v>5851401</v>
      </c>
      <c r="J4557" s="3">
        <v>0.14961728133647575</v>
      </c>
      <c r="K4557" s="3">
        <v>0.17594111222252584</v>
      </c>
      <c r="L4557" t="s">
        <v>54</v>
      </c>
    </row>
    <row r="4558" spans="1:12" x14ac:dyDescent="0.25">
      <c r="A4558" t="s">
        <v>487</v>
      </c>
      <c r="B4558" t="s">
        <v>465</v>
      </c>
      <c r="C4558" t="s">
        <v>478</v>
      </c>
      <c r="D4558" t="s">
        <v>160</v>
      </c>
      <c r="E4558" t="s">
        <v>162</v>
      </c>
      <c r="F4558">
        <v>1</v>
      </c>
      <c r="G4558" t="s">
        <v>499</v>
      </c>
      <c r="H4558" s="4">
        <v>6880903</v>
      </c>
      <c r="I4558" s="4">
        <v>7472398</v>
      </c>
      <c r="J4558" s="3">
        <v>0.08596182797519454</v>
      </c>
      <c r="K4558" s="3">
        <v>-0.0791573200463894</v>
      </c>
      <c r="L4558" t="s">
        <v>54</v>
      </c>
    </row>
    <row r="4559" spans="1:12" x14ac:dyDescent="0.25">
      <c r="A4559" t="s">
        <v>487</v>
      </c>
      <c r="B4559" t="s">
        <v>465</v>
      </c>
      <c r="C4559" t="s">
        <v>478</v>
      </c>
      <c r="D4559" t="s">
        <v>160</v>
      </c>
      <c r="E4559" t="s">
        <v>164</v>
      </c>
      <c r="F4559">
        <v>2</v>
      </c>
      <c r="G4559" t="s">
        <v>488</v>
      </c>
      <c r="H4559" s="4">
        <v>8600100</v>
      </c>
      <c r="I4559" s="4">
        <v>9055093.795184497</v>
      </c>
      <c r="J4559" s="3">
        <v>0.05290564007214995</v>
      </c>
      <c r="K4559" s="3">
        <v>-0.05024727578486959</v>
      </c>
      <c r="L4559" t="s">
        <v>54</v>
      </c>
    </row>
    <row r="4560" spans="1:12" x14ac:dyDescent="0.25">
      <c r="A4560" t="s">
        <v>487</v>
      </c>
      <c r="B4560" t="s">
        <v>465</v>
      </c>
      <c r="C4560" t="s">
        <v>478</v>
      </c>
      <c r="D4560" t="s">
        <v>160</v>
      </c>
      <c r="E4560" t="s">
        <v>164</v>
      </c>
      <c r="F4560">
        <v>2</v>
      </c>
      <c r="G4560" t="s">
        <v>498</v>
      </c>
      <c r="H4560" s="4">
        <v>8600100</v>
      </c>
      <c r="I4560" s="4">
        <v>8676866</v>
      </c>
      <c r="J4560" s="3">
        <v>0.008926175277031663</v>
      </c>
      <c r="K4560" s="3">
        <v>-0.00884720358710161</v>
      </c>
      <c r="L4560" t="s">
        <v>54</v>
      </c>
    </row>
    <row r="4561" spans="1:12" x14ac:dyDescent="0.25">
      <c r="A4561" t="s">
        <v>487</v>
      </c>
      <c r="B4561" t="s">
        <v>465</v>
      </c>
      <c r="C4561" t="s">
        <v>478</v>
      </c>
      <c r="D4561" t="s">
        <v>160</v>
      </c>
      <c r="E4561" t="s">
        <v>164</v>
      </c>
      <c r="F4561">
        <v>2</v>
      </c>
      <c r="G4561" t="s">
        <v>499</v>
      </c>
      <c r="H4561" s="4">
        <v>8600100</v>
      </c>
      <c r="I4561" s="4">
        <v>7472398</v>
      </c>
      <c r="J4561" s="3">
        <v>0.13112661480680457</v>
      </c>
      <c r="K4561" s="3">
        <v>0.15091567660073782</v>
      </c>
      <c r="L4561" t="s">
        <v>54</v>
      </c>
    </row>
    <row r="4562" spans="1:12" x14ac:dyDescent="0.25">
      <c r="A4562" t="s">
        <v>487</v>
      </c>
      <c r="B4562" t="s">
        <v>465</v>
      </c>
      <c r="C4562" t="s">
        <v>478</v>
      </c>
      <c r="D4562" t="s">
        <v>160</v>
      </c>
      <c r="E4562" t="s">
        <v>166</v>
      </c>
      <c r="F4562">
        <v>3</v>
      </c>
      <c r="G4562" t="s">
        <v>488</v>
      </c>
      <c r="H4562" s="4">
        <v>8033855</v>
      </c>
      <c r="I4562" s="4">
        <v>7089557.080393592</v>
      </c>
      <c r="J4562" s="3">
        <v>0.11753982609922735</v>
      </c>
      <c r="K4562" s="3">
        <v>0.1331956155932358</v>
      </c>
      <c r="L4562" t="s">
        <v>54</v>
      </c>
    </row>
    <row r="4563" spans="1:12" x14ac:dyDescent="0.25">
      <c r="A4563" t="s">
        <v>487</v>
      </c>
      <c r="B4563" t="s">
        <v>465</v>
      </c>
      <c r="C4563" t="s">
        <v>478</v>
      </c>
      <c r="D4563" t="s">
        <v>160</v>
      </c>
      <c r="E4563" t="s">
        <v>166</v>
      </c>
      <c r="F4563">
        <v>3</v>
      </c>
      <c r="G4563" t="s">
        <v>498</v>
      </c>
      <c r="H4563" s="4">
        <v>8033855</v>
      </c>
      <c r="I4563" s="4">
        <v>6793429</v>
      </c>
      <c r="J4563" s="3">
        <v>0.15439984913842733</v>
      </c>
      <c r="K4563" s="3">
        <v>0.18259203121133671</v>
      </c>
      <c r="L4563" t="s">
        <v>54</v>
      </c>
    </row>
    <row r="4564" spans="1:12" x14ac:dyDescent="0.25">
      <c r="A4564" t="s">
        <v>487</v>
      </c>
      <c r="B4564" t="s">
        <v>465</v>
      </c>
      <c r="C4564" t="s">
        <v>478</v>
      </c>
      <c r="D4564" t="s">
        <v>160</v>
      </c>
      <c r="E4564" t="s">
        <v>166</v>
      </c>
      <c r="F4564">
        <v>3</v>
      </c>
      <c r="G4564" t="s">
        <v>499</v>
      </c>
      <c r="H4564" s="4">
        <v>8033855</v>
      </c>
      <c r="I4564" s="4">
        <v>7472398</v>
      </c>
      <c r="J4564" s="3">
        <v>0.06988637459849599</v>
      </c>
      <c r="K4564" s="3">
        <v>0.07513745921991842</v>
      </c>
      <c r="L4564" t="s">
        <v>54</v>
      </c>
    </row>
    <row r="4565" spans="1:12" x14ac:dyDescent="0.25">
      <c r="A4565" t="s">
        <v>487</v>
      </c>
      <c r="B4565" t="s">
        <v>465</v>
      </c>
      <c r="C4565" t="s">
        <v>478</v>
      </c>
      <c r="D4565" t="s">
        <v>162</v>
      </c>
      <c r="E4565" t="s">
        <v>164</v>
      </c>
      <c r="F4565">
        <v>1</v>
      </c>
      <c r="G4565" t="s">
        <v>488</v>
      </c>
      <c r="H4565" s="4">
        <v>8600100</v>
      </c>
      <c r="I4565" s="4">
        <v>9153161.86416915</v>
      </c>
      <c r="J4565" s="3">
        <v>0.0643087713130255</v>
      </c>
      <c r="K4565" s="3">
        <v>-0.06042303986059281</v>
      </c>
      <c r="L4565" t="s">
        <v>54</v>
      </c>
    </row>
    <row r="4566" spans="1:12" x14ac:dyDescent="0.25">
      <c r="A4566" t="s">
        <v>487</v>
      </c>
      <c r="B4566" t="s">
        <v>465</v>
      </c>
      <c r="C4566" t="s">
        <v>478</v>
      </c>
      <c r="D4566" t="s">
        <v>162</v>
      </c>
      <c r="E4566" t="s">
        <v>164</v>
      </c>
      <c r="F4566">
        <v>1</v>
      </c>
      <c r="G4566" t="s">
        <v>498</v>
      </c>
      <c r="H4566" s="4">
        <v>8600100</v>
      </c>
      <c r="I4566" s="4">
        <v>8676866</v>
      </c>
      <c r="J4566" s="3">
        <v>0.008926175277031663</v>
      </c>
      <c r="K4566" s="3">
        <v>-0.00884720358710161</v>
      </c>
      <c r="L4566" t="s">
        <v>54</v>
      </c>
    </row>
    <row r="4567" spans="1:12" x14ac:dyDescent="0.25">
      <c r="A4567" t="s">
        <v>487</v>
      </c>
      <c r="B4567" t="s">
        <v>465</v>
      </c>
      <c r="C4567" t="s">
        <v>478</v>
      </c>
      <c r="D4567" t="s">
        <v>162</v>
      </c>
      <c r="E4567" t="s">
        <v>164</v>
      </c>
      <c r="F4567">
        <v>1</v>
      </c>
      <c r="G4567" t="s">
        <v>499</v>
      </c>
      <c r="H4567" s="4">
        <v>8600100</v>
      </c>
      <c r="I4567" s="4">
        <v>6880903</v>
      </c>
      <c r="J4567" s="3">
        <v>0.19990430343833213</v>
      </c>
      <c r="K4567" s="3">
        <v>0.24985049200664505</v>
      </c>
      <c r="L4567" t="s">
        <v>54</v>
      </c>
    </row>
    <row r="4568" spans="1:12" x14ac:dyDescent="0.25">
      <c r="A4568" t="s">
        <v>487</v>
      </c>
      <c r="B4568" t="s">
        <v>465</v>
      </c>
      <c r="C4568" t="s">
        <v>478</v>
      </c>
      <c r="D4568" t="s">
        <v>162</v>
      </c>
      <c r="E4568" t="s">
        <v>166</v>
      </c>
      <c r="F4568">
        <v>2</v>
      </c>
      <c r="G4568" t="s">
        <v>488</v>
      </c>
      <c r="H4568" s="4">
        <v>8033855</v>
      </c>
      <c r="I4568" s="4">
        <v>7166338.0821763035</v>
      </c>
      <c r="J4568" s="3">
        <v>0.10798264566932021</v>
      </c>
      <c r="K4568" s="3">
        <v>0.12105442247852272</v>
      </c>
      <c r="L4568" t="s">
        <v>54</v>
      </c>
    </row>
    <row r="4569" spans="1:12" x14ac:dyDescent="0.25">
      <c r="A4569" t="s">
        <v>487</v>
      </c>
      <c r="B4569" t="s">
        <v>465</v>
      </c>
      <c r="C4569" t="s">
        <v>478</v>
      </c>
      <c r="D4569" t="s">
        <v>162</v>
      </c>
      <c r="E4569" t="s">
        <v>166</v>
      </c>
      <c r="F4569">
        <v>2</v>
      </c>
      <c r="G4569" t="s">
        <v>498</v>
      </c>
      <c r="H4569" s="4">
        <v>8033855</v>
      </c>
      <c r="I4569" s="4">
        <v>6793429</v>
      </c>
      <c r="J4569" s="3">
        <v>0.15439984913842733</v>
      </c>
      <c r="K4569" s="3">
        <v>0.18259203121133671</v>
      </c>
      <c r="L4569" t="s">
        <v>54</v>
      </c>
    </row>
    <row r="4570" spans="1:12" x14ac:dyDescent="0.25">
      <c r="A4570" t="s">
        <v>487</v>
      </c>
      <c r="B4570" t="s">
        <v>465</v>
      </c>
      <c r="C4570" t="s">
        <v>478</v>
      </c>
      <c r="D4570" t="s">
        <v>162</v>
      </c>
      <c r="E4570" t="s">
        <v>166</v>
      </c>
      <c r="F4570">
        <v>2</v>
      </c>
      <c r="G4570" t="s">
        <v>499</v>
      </c>
      <c r="H4570" s="4">
        <v>8033855</v>
      </c>
      <c r="I4570" s="4">
        <v>6880903</v>
      </c>
      <c r="J4570" s="3">
        <v>0.14351167652391036</v>
      </c>
      <c r="K4570" s="3">
        <v>0.1675582405390688</v>
      </c>
      <c r="L4570" t="s">
        <v>54</v>
      </c>
    </row>
    <row r="4571" spans="1:12" x14ac:dyDescent="0.25">
      <c r="A4571" t="s">
        <v>487</v>
      </c>
      <c r="B4571" t="s">
        <v>465</v>
      </c>
      <c r="C4571" t="s">
        <v>478</v>
      </c>
      <c r="D4571" t="s">
        <v>162</v>
      </c>
      <c r="E4571" t="s">
        <v>168</v>
      </c>
      <c r="F4571">
        <v>3</v>
      </c>
      <c r="G4571" t="s">
        <v>488</v>
      </c>
      <c r="H4571" s="4">
        <v>9782610</v>
      </c>
      <c r="I4571" s="4">
        <v>9615066.638577547</v>
      </c>
      <c r="J4571" s="3">
        <v>0.017126652439630432</v>
      </c>
      <c r="K4571" s="3">
        <v>0.017425085828343196</v>
      </c>
      <c r="L4571" t="s">
        <v>54</v>
      </c>
    </row>
    <row r="4572" spans="1:12" x14ac:dyDescent="0.25">
      <c r="A4572" t="s">
        <v>487</v>
      </c>
      <c r="B4572" t="s">
        <v>465</v>
      </c>
      <c r="C4572" t="s">
        <v>478</v>
      </c>
      <c r="D4572" t="s">
        <v>162</v>
      </c>
      <c r="E4572" t="s">
        <v>168</v>
      </c>
      <c r="F4572">
        <v>3</v>
      </c>
      <c r="G4572" t="s">
        <v>498</v>
      </c>
      <c r="H4572" s="4">
        <v>9782610</v>
      </c>
      <c r="I4572" s="4">
        <v>9114735</v>
      </c>
      <c r="J4572" s="3">
        <v>0.068271657563779</v>
      </c>
      <c r="K4572" s="3">
        <v>0.07327420928858601</v>
      </c>
      <c r="L4572" t="s">
        <v>54</v>
      </c>
    </row>
    <row r="4573" spans="1:12" x14ac:dyDescent="0.25">
      <c r="A4573" t="s">
        <v>487</v>
      </c>
      <c r="B4573" t="s">
        <v>465</v>
      </c>
      <c r="C4573" t="s">
        <v>478</v>
      </c>
      <c r="D4573" t="s">
        <v>162</v>
      </c>
      <c r="E4573" t="s">
        <v>168</v>
      </c>
      <c r="F4573">
        <v>3</v>
      </c>
      <c r="G4573" t="s">
        <v>499</v>
      </c>
      <c r="H4573" s="4">
        <v>9782610</v>
      </c>
      <c r="I4573" s="4">
        <v>6880903</v>
      </c>
      <c r="J4573" s="3">
        <v>0.29661889822859133</v>
      </c>
      <c r="K4573" s="3">
        <v>0.4217043896709487</v>
      </c>
      <c r="L4573" t="s">
        <v>54</v>
      </c>
    </row>
    <row r="4574" spans="1:12" x14ac:dyDescent="0.25">
      <c r="A4574" t="s">
        <v>487</v>
      </c>
      <c r="B4574" t="s">
        <v>465</v>
      </c>
      <c r="C4574" t="s">
        <v>478</v>
      </c>
      <c r="D4574" t="s">
        <v>164</v>
      </c>
      <c r="E4574" t="s">
        <v>166</v>
      </c>
      <c r="F4574">
        <v>1</v>
      </c>
      <c r="G4574" t="s">
        <v>488</v>
      </c>
      <c r="H4574" s="4">
        <v>8033855</v>
      </c>
      <c r="I4574" s="4">
        <v>7072801.038711729</v>
      </c>
      <c r="J4574" s="3">
        <v>0.1196255049771586</v>
      </c>
      <c r="K4574" s="3">
        <v>0.13588024829598785</v>
      </c>
      <c r="L4574" t="s">
        <v>54</v>
      </c>
    </row>
    <row r="4575" spans="1:12" x14ac:dyDescent="0.25">
      <c r="A4575" t="s">
        <v>487</v>
      </c>
      <c r="B4575" t="s">
        <v>465</v>
      </c>
      <c r="C4575" t="s">
        <v>478</v>
      </c>
      <c r="D4575" t="s">
        <v>164</v>
      </c>
      <c r="E4575" t="s">
        <v>166</v>
      </c>
      <c r="F4575">
        <v>1</v>
      </c>
      <c r="G4575" t="s">
        <v>498</v>
      </c>
      <c r="H4575" s="4">
        <v>8033855</v>
      </c>
      <c r="I4575" s="4">
        <v>6793429</v>
      </c>
      <c r="J4575" s="3">
        <v>0.15439984913842733</v>
      </c>
      <c r="K4575" s="3">
        <v>0.18259203121133671</v>
      </c>
      <c r="L4575" t="s">
        <v>54</v>
      </c>
    </row>
    <row r="4576" spans="1:12" x14ac:dyDescent="0.25">
      <c r="A4576" t="s">
        <v>487</v>
      </c>
      <c r="B4576" t="s">
        <v>465</v>
      </c>
      <c r="C4576" t="s">
        <v>478</v>
      </c>
      <c r="D4576" t="s">
        <v>164</v>
      </c>
      <c r="E4576" t="s">
        <v>166</v>
      </c>
      <c r="F4576">
        <v>1</v>
      </c>
      <c r="G4576" t="s">
        <v>499</v>
      </c>
      <c r="H4576" s="4">
        <v>8033855</v>
      </c>
      <c r="I4576" s="4">
        <v>8600100</v>
      </c>
      <c r="J4576" s="3">
        <v>0.07048235249453719</v>
      </c>
      <c r="K4576" s="3">
        <v>-0.06584167625957837</v>
      </c>
      <c r="L4576" t="s">
        <v>54</v>
      </c>
    </row>
    <row r="4577" spans="1:12" x14ac:dyDescent="0.25">
      <c r="A4577" t="s">
        <v>487</v>
      </c>
      <c r="B4577" t="s">
        <v>465</v>
      </c>
      <c r="C4577" t="s">
        <v>478</v>
      </c>
      <c r="D4577" t="s">
        <v>164</v>
      </c>
      <c r="E4577" t="s">
        <v>168</v>
      </c>
      <c r="F4577">
        <v>2</v>
      </c>
      <c r="G4577" t="s">
        <v>488</v>
      </c>
      <c r="H4577" s="4">
        <v>9782610</v>
      </c>
      <c r="I4577" s="4">
        <v>9489568.107001951</v>
      </c>
      <c r="J4577" s="3">
        <v>0.0299553895124153</v>
      </c>
      <c r="K4577" s="3">
        <v>0.030880424661458072</v>
      </c>
      <c r="L4577" t="s">
        <v>54</v>
      </c>
    </row>
    <row r="4578" spans="1:12" x14ac:dyDescent="0.25">
      <c r="A4578" t="s">
        <v>487</v>
      </c>
      <c r="B4578" t="s">
        <v>465</v>
      </c>
      <c r="C4578" t="s">
        <v>478</v>
      </c>
      <c r="D4578" t="s">
        <v>164</v>
      </c>
      <c r="E4578" t="s">
        <v>168</v>
      </c>
      <c r="F4578">
        <v>2</v>
      </c>
      <c r="G4578" t="s">
        <v>498</v>
      </c>
      <c r="H4578" s="4">
        <v>9782610</v>
      </c>
      <c r="I4578" s="4">
        <v>9114735</v>
      </c>
      <c r="J4578" s="3">
        <v>0.068271657563779</v>
      </c>
      <c r="K4578" s="3">
        <v>0.07327420928858601</v>
      </c>
      <c r="L4578" t="s">
        <v>54</v>
      </c>
    </row>
    <row r="4579" spans="1:12" x14ac:dyDescent="0.25">
      <c r="A4579" t="s">
        <v>487</v>
      </c>
      <c r="B4579" t="s">
        <v>465</v>
      </c>
      <c r="C4579" t="s">
        <v>478</v>
      </c>
      <c r="D4579" t="s">
        <v>164</v>
      </c>
      <c r="E4579" t="s">
        <v>168</v>
      </c>
      <c r="F4579">
        <v>2</v>
      </c>
      <c r="G4579" t="s">
        <v>499</v>
      </c>
      <c r="H4579" s="4">
        <v>9782610</v>
      </c>
      <c r="I4579" s="4">
        <v>8600100</v>
      </c>
      <c r="J4579" s="3">
        <v>0.12087878388282881</v>
      </c>
      <c r="K4579" s="3">
        <v>0.1374995639585586</v>
      </c>
      <c r="L4579" t="s">
        <v>54</v>
      </c>
    </row>
    <row r="4580" spans="1:12" x14ac:dyDescent="0.25">
      <c r="A4580" t="s">
        <v>487</v>
      </c>
      <c r="B4580" t="s">
        <v>465</v>
      </c>
      <c r="C4580" t="s">
        <v>478</v>
      </c>
      <c r="D4580" t="s">
        <v>164</v>
      </c>
      <c r="E4580" t="s">
        <v>170</v>
      </c>
      <c r="F4580">
        <v>3</v>
      </c>
      <c r="G4580" t="s">
        <v>488</v>
      </c>
      <c r="H4580" s="4">
        <v>9626204</v>
      </c>
      <c r="I4580" s="4">
        <v>9137665.118174411</v>
      </c>
      <c r="J4580" s="3">
        <v>0.05075093794247334</v>
      </c>
      <c r="K4580" s="3">
        <v>0.05346430138415846</v>
      </c>
      <c r="L4580" t="s">
        <v>54</v>
      </c>
    </row>
    <row r="4581" spans="1:12" x14ac:dyDescent="0.25">
      <c r="A4581" t="s">
        <v>487</v>
      </c>
      <c r="B4581" t="s">
        <v>465</v>
      </c>
      <c r="C4581" t="s">
        <v>478</v>
      </c>
      <c r="D4581" t="s">
        <v>164</v>
      </c>
      <c r="E4581" t="s">
        <v>170</v>
      </c>
      <c r="F4581">
        <v>3</v>
      </c>
      <c r="G4581" t="s">
        <v>498</v>
      </c>
      <c r="H4581" s="4">
        <v>9626204</v>
      </c>
      <c r="I4581" s="4">
        <v>8776732</v>
      </c>
      <c r="J4581" s="3">
        <v>0.0882457924224336</v>
      </c>
      <c r="K4581" s="3">
        <v>0.09678682224773412</v>
      </c>
      <c r="L4581" t="s">
        <v>54</v>
      </c>
    </row>
    <row r="4582" spans="1:12" x14ac:dyDescent="0.25">
      <c r="A4582" t="s">
        <v>487</v>
      </c>
      <c r="B4582" t="s">
        <v>465</v>
      </c>
      <c r="C4582" t="s">
        <v>478</v>
      </c>
      <c r="D4582" t="s">
        <v>164</v>
      </c>
      <c r="E4582" t="s">
        <v>170</v>
      </c>
      <c r="F4582">
        <v>3</v>
      </c>
      <c r="G4582" t="s">
        <v>499</v>
      </c>
      <c r="H4582" s="4">
        <v>9626204</v>
      </c>
      <c r="I4582" s="4">
        <v>8600100</v>
      </c>
      <c r="J4582" s="3">
        <v>0.1065948737425469</v>
      </c>
      <c r="K4582" s="3">
        <v>0.11931303124382274</v>
      </c>
      <c r="L4582" t="s">
        <v>54</v>
      </c>
    </row>
    <row r="4583" spans="1:12" x14ac:dyDescent="0.25">
      <c r="A4583" t="s">
        <v>487</v>
      </c>
      <c r="B4583" t="s">
        <v>465</v>
      </c>
      <c r="C4583" t="s">
        <v>478</v>
      </c>
      <c r="D4583" t="s">
        <v>166</v>
      </c>
      <c r="E4583" t="s">
        <v>168</v>
      </c>
      <c r="F4583">
        <v>1</v>
      </c>
      <c r="G4583" t="s">
        <v>488</v>
      </c>
      <c r="H4583" s="4">
        <v>9782610</v>
      </c>
      <c r="I4583" s="4">
        <v>9704735.006697593</v>
      </c>
      <c r="J4583" s="3">
        <v>0.007960553809505515</v>
      </c>
      <c r="K4583" s="3">
        <v>0.00802443273810798</v>
      </c>
      <c r="L4583" t="s">
        <v>54</v>
      </c>
    </row>
    <row r="4584" spans="1:12" x14ac:dyDescent="0.25">
      <c r="A4584" t="s">
        <v>487</v>
      </c>
      <c r="B4584" t="s">
        <v>465</v>
      </c>
      <c r="C4584" t="s">
        <v>478</v>
      </c>
      <c r="D4584" t="s">
        <v>166</v>
      </c>
      <c r="E4584" t="s">
        <v>168</v>
      </c>
      <c r="F4584">
        <v>1</v>
      </c>
      <c r="G4584" t="s">
        <v>498</v>
      </c>
      <c r="H4584" s="4">
        <v>9782610</v>
      </c>
      <c r="I4584" s="4">
        <v>9114735</v>
      </c>
      <c r="J4584" s="3">
        <v>0.068271657563779</v>
      </c>
      <c r="K4584" s="3">
        <v>0.07327420928858601</v>
      </c>
      <c r="L4584" t="s">
        <v>54</v>
      </c>
    </row>
    <row r="4585" spans="1:12" x14ac:dyDescent="0.25">
      <c r="A4585" t="s">
        <v>487</v>
      </c>
      <c r="B4585" t="s">
        <v>465</v>
      </c>
      <c r="C4585" t="s">
        <v>478</v>
      </c>
      <c r="D4585" t="s">
        <v>166</v>
      </c>
      <c r="E4585" t="s">
        <v>168</v>
      </c>
      <c r="F4585">
        <v>1</v>
      </c>
      <c r="G4585" t="s">
        <v>499</v>
      </c>
      <c r="H4585" s="4">
        <v>9782610</v>
      </c>
      <c r="I4585" s="4">
        <v>8033855</v>
      </c>
      <c r="J4585" s="3">
        <v>0.17876159838734243</v>
      </c>
      <c r="K4585" s="3">
        <v>0.2176732091878681</v>
      </c>
      <c r="L4585" t="s">
        <v>54</v>
      </c>
    </row>
    <row r="4586" spans="1:12" x14ac:dyDescent="0.25">
      <c r="A4586" t="s">
        <v>487</v>
      </c>
      <c r="B4586" t="s">
        <v>465</v>
      </c>
      <c r="C4586" t="s">
        <v>478</v>
      </c>
      <c r="D4586" t="s">
        <v>166</v>
      </c>
      <c r="E4586" t="s">
        <v>170</v>
      </c>
      <c r="F4586">
        <v>2</v>
      </c>
      <c r="G4586" t="s">
        <v>488</v>
      </c>
      <c r="H4586" s="4">
        <v>9626204</v>
      </c>
      <c r="I4586" s="4">
        <v>9344852.953465238</v>
      </c>
      <c r="J4586" s="3">
        <v>0.02922762145231514</v>
      </c>
      <c r="K4586" s="3">
        <v>0.030107594837052176</v>
      </c>
      <c r="L4586" t="s">
        <v>54</v>
      </c>
    </row>
    <row r="4587" spans="1:12" x14ac:dyDescent="0.25">
      <c r="A4587" t="s">
        <v>487</v>
      </c>
      <c r="B4587" t="s">
        <v>465</v>
      </c>
      <c r="C4587" t="s">
        <v>478</v>
      </c>
      <c r="D4587" t="s">
        <v>166</v>
      </c>
      <c r="E4587" t="s">
        <v>170</v>
      </c>
      <c r="F4587">
        <v>2</v>
      </c>
      <c r="G4587" t="s">
        <v>498</v>
      </c>
      <c r="H4587" s="4">
        <v>9626204</v>
      </c>
      <c r="I4587" s="4">
        <v>8776732</v>
      </c>
      <c r="J4587" s="3">
        <v>0.0882457924224336</v>
      </c>
      <c r="K4587" s="3">
        <v>0.09678682224773412</v>
      </c>
      <c r="L4587" t="s">
        <v>54</v>
      </c>
    </row>
    <row r="4588" spans="1:12" x14ac:dyDescent="0.25">
      <c r="A4588" t="s">
        <v>487</v>
      </c>
      <c r="B4588" t="s">
        <v>465</v>
      </c>
      <c r="C4588" t="s">
        <v>478</v>
      </c>
      <c r="D4588" t="s">
        <v>166</v>
      </c>
      <c r="E4588" t="s">
        <v>170</v>
      </c>
      <c r="F4588">
        <v>2</v>
      </c>
      <c r="G4588" t="s">
        <v>499</v>
      </c>
      <c r="H4588" s="4">
        <v>9626204</v>
      </c>
      <c r="I4588" s="4">
        <v>8033855</v>
      </c>
      <c r="J4588" s="3">
        <v>0.16541816483423788</v>
      </c>
      <c r="K4588" s="3">
        <v>0.19820484686367876</v>
      </c>
      <c r="L4588" t="s">
        <v>54</v>
      </c>
    </row>
    <row r="4589" spans="1:12" x14ac:dyDescent="0.25">
      <c r="A4589" t="s">
        <v>487</v>
      </c>
      <c r="B4589" t="s">
        <v>465</v>
      </c>
      <c r="C4589" t="s">
        <v>478</v>
      </c>
      <c r="D4589" t="s">
        <v>166</v>
      </c>
      <c r="E4589" t="s">
        <v>172</v>
      </c>
      <c r="F4589">
        <v>3</v>
      </c>
      <c r="G4589" t="s">
        <v>488</v>
      </c>
      <c r="H4589" s="4">
        <v>7736486</v>
      </c>
      <c r="I4589" s="4">
        <v>8464162.307378994</v>
      </c>
      <c r="J4589" s="3">
        <v>0.09405772948842592</v>
      </c>
      <c r="K4589" s="3">
        <v>-0.08597145009194962</v>
      </c>
      <c r="L4589" t="s">
        <v>54</v>
      </c>
    </row>
    <row r="4590" spans="1:12" x14ac:dyDescent="0.25">
      <c r="A4590" t="s">
        <v>487</v>
      </c>
      <c r="B4590" t="s">
        <v>465</v>
      </c>
      <c r="C4590" t="s">
        <v>478</v>
      </c>
      <c r="D4590" t="s">
        <v>166</v>
      </c>
      <c r="E4590" t="s">
        <v>172</v>
      </c>
      <c r="F4590">
        <v>3</v>
      </c>
      <c r="G4590" t="s">
        <v>498</v>
      </c>
      <c r="H4590" s="4">
        <v>7736486</v>
      </c>
      <c r="I4590" s="4">
        <v>7949583</v>
      </c>
      <c r="J4590" s="3">
        <v>0.027544417452574722</v>
      </c>
      <c r="K4590" s="3">
        <v>-0.02680606014177096</v>
      </c>
      <c r="L4590" t="s">
        <v>54</v>
      </c>
    </row>
    <row r="4591" spans="1:12" x14ac:dyDescent="0.25">
      <c r="A4591" t="s">
        <v>487</v>
      </c>
      <c r="B4591" t="s">
        <v>465</v>
      </c>
      <c r="C4591" t="s">
        <v>478</v>
      </c>
      <c r="D4591" t="s">
        <v>166</v>
      </c>
      <c r="E4591" t="s">
        <v>172</v>
      </c>
      <c r="F4591">
        <v>3</v>
      </c>
      <c r="G4591" t="s">
        <v>499</v>
      </c>
      <c r="H4591" s="4">
        <v>7736486</v>
      </c>
      <c r="I4591" s="4">
        <v>8033855</v>
      </c>
      <c r="J4591" s="3">
        <v>0.03843721813753686</v>
      </c>
      <c r="K4591" s="3">
        <v>-0.03701448432912966</v>
      </c>
      <c r="L4591" t="s">
        <v>54</v>
      </c>
    </row>
    <row r="4592" spans="1:12" x14ac:dyDescent="0.25">
      <c r="A4592" t="s">
        <v>487</v>
      </c>
      <c r="B4592" t="s">
        <v>465</v>
      </c>
      <c r="C4592" t="s">
        <v>478</v>
      </c>
      <c r="D4592" t="s">
        <v>168</v>
      </c>
      <c r="E4592" t="s">
        <v>170</v>
      </c>
      <c r="F4592">
        <v>1</v>
      </c>
      <c r="G4592" t="s">
        <v>488</v>
      </c>
      <c r="H4592" s="4">
        <v>9626204</v>
      </c>
      <c r="I4592" s="4">
        <v>9281183.706975041</v>
      </c>
      <c r="J4592" s="3">
        <v>0.03584178072945047</v>
      </c>
      <c r="K4592" s="3">
        <v>0.03717416914888429</v>
      </c>
      <c r="L4592" t="s">
        <v>54</v>
      </c>
    </row>
    <row r="4593" spans="1:12" x14ac:dyDescent="0.25">
      <c r="A4593" t="s">
        <v>487</v>
      </c>
      <c r="B4593" t="s">
        <v>465</v>
      </c>
      <c r="C4593" t="s">
        <v>478</v>
      </c>
      <c r="D4593" t="s">
        <v>168</v>
      </c>
      <c r="E4593" t="s">
        <v>170</v>
      </c>
      <c r="F4593">
        <v>1</v>
      </c>
      <c r="G4593" t="s">
        <v>498</v>
      </c>
      <c r="H4593" s="4">
        <v>9626204</v>
      </c>
      <c r="I4593" s="4">
        <v>8776732</v>
      </c>
      <c r="J4593" s="3">
        <v>0.0882457924224336</v>
      </c>
      <c r="K4593" s="3">
        <v>0.09678682224773412</v>
      </c>
      <c r="L4593" t="s">
        <v>54</v>
      </c>
    </row>
    <row r="4594" spans="1:12" x14ac:dyDescent="0.25">
      <c r="A4594" t="s">
        <v>487</v>
      </c>
      <c r="B4594" t="s">
        <v>465</v>
      </c>
      <c r="C4594" t="s">
        <v>478</v>
      </c>
      <c r="D4594" t="s">
        <v>168</v>
      </c>
      <c r="E4594" t="s">
        <v>170</v>
      </c>
      <c r="F4594">
        <v>1</v>
      </c>
      <c r="G4594" t="s">
        <v>499</v>
      </c>
      <c r="H4594" s="4">
        <v>9626204</v>
      </c>
      <c r="I4594" s="4">
        <v>9782610</v>
      </c>
      <c r="J4594" s="3">
        <v>0.016247941556193905</v>
      </c>
      <c r="K4594" s="3">
        <v>-0.015988166757133323</v>
      </c>
      <c r="L4594" t="s">
        <v>54</v>
      </c>
    </row>
    <row r="4595" spans="1:12" x14ac:dyDescent="0.25">
      <c r="A4595" t="s">
        <v>487</v>
      </c>
      <c r="B4595" t="s">
        <v>465</v>
      </c>
      <c r="C4595" t="s">
        <v>478</v>
      </c>
      <c r="D4595" t="s">
        <v>168</v>
      </c>
      <c r="E4595" t="s">
        <v>172</v>
      </c>
      <c r="F4595">
        <v>2</v>
      </c>
      <c r="G4595" t="s">
        <v>488</v>
      </c>
      <c r="H4595" s="4">
        <v>7736486</v>
      </c>
      <c r="I4595" s="4">
        <v>8406493.466685068</v>
      </c>
      <c r="J4595" s="3">
        <v>0.0866035906592564</v>
      </c>
      <c r="K4595" s="3">
        <v>-0.07970118210884328</v>
      </c>
      <c r="L4595" t="s">
        <v>54</v>
      </c>
    </row>
    <row r="4596" spans="1:12" x14ac:dyDescent="0.25">
      <c r="A4596" t="s">
        <v>487</v>
      </c>
      <c r="B4596" t="s">
        <v>465</v>
      </c>
      <c r="C4596" t="s">
        <v>478</v>
      </c>
      <c r="D4596" t="s">
        <v>168</v>
      </c>
      <c r="E4596" t="s">
        <v>172</v>
      </c>
      <c r="F4596">
        <v>2</v>
      </c>
      <c r="G4596" t="s">
        <v>498</v>
      </c>
      <c r="H4596" s="4">
        <v>7736486</v>
      </c>
      <c r="I4596" s="4">
        <v>7949583</v>
      </c>
      <c r="J4596" s="3">
        <v>0.027544417452574722</v>
      </c>
      <c r="K4596" s="3">
        <v>-0.02680606014177096</v>
      </c>
      <c r="L4596" t="s">
        <v>54</v>
      </c>
    </row>
    <row r="4597" spans="1:12" x14ac:dyDescent="0.25">
      <c r="A4597" t="s">
        <v>487</v>
      </c>
      <c r="B4597" t="s">
        <v>465</v>
      </c>
      <c r="C4597" t="s">
        <v>478</v>
      </c>
      <c r="D4597" t="s">
        <v>168</v>
      </c>
      <c r="E4597" t="s">
        <v>172</v>
      </c>
      <c r="F4597">
        <v>2</v>
      </c>
      <c r="G4597" t="s">
        <v>499</v>
      </c>
      <c r="H4597" s="4">
        <v>7736486</v>
      </c>
      <c r="I4597" s="4">
        <v>9782610</v>
      </c>
      <c r="J4597" s="3">
        <v>0.26447717994965675</v>
      </c>
      <c r="K4597" s="3">
        <v>-0.20915931433431365</v>
      </c>
      <c r="L4597" t="s">
        <v>54</v>
      </c>
    </row>
    <row r="4598" spans="1:12" x14ac:dyDescent="0.25">
      <c r="A4598" t="s">
        <v>487</v>
      </c>
      <c r="B4598" t="s">
        <v>465</v>
      </c>
      <c r="C4598" t="s">
        <v>478</v>
      </c>
      <c r="D4598" t="s">
        <v>168</v>
      </c>
      <c r="E4598" t="s">
        <v>174</v>
      </c>
      <c r="F4598">
        <v>3</v>
      </c>
      <c r="G4598" t="s">
        <v>488</v>
      </c>
      <c r="H4598" s="4">
        <v>8370557</v>
      </c>
      <c r="I4598" s="4">
        <v>8863178.237194793</v>
      </c>
      <c r="J4598" s="3">
        <v>0.058851667481004344</v>
      </c>
      <c r="K4598" s="3">
        <v>-0.05558065335158018</v>
      </c>
      <c r="L4598" t="s">
        <v>54</v>
      </c>
    </row>
    <row r="4599" spans="1:12" x14ac:dyDescent="0.25">
      <c r="A4599" t="s">
        <v>487</v>
      </c>
      <c r="B4599" t="s">
        <v>465</v>
      </c>
      <c r="C4599" t="s">
        <v>478</v>
      </c>
      <c r="D4599" t="s">
        <v>168</v>
      </c>
      <c r="E4599" t="s">
        <v>174</v>
      </c>
      <c r="F4599">
        <v>3</v>
      </c>
      <c r="G4599" t="s">
        <v>498</v>
      </c>
      <c r="H4599" s="4">
        <v>8370557</v>
      </c>
      <c r="I4599" s="4">
        <v>8381446</v>
      </c>
      <c r="J4599" s="3">
        <v>0.001300869225309618</v>
      </c>
      <c r="K4599" s="3">
        <v>-0.001299179163118154</v>
      </c>
      <c r="L4599" t="s">
        <v>54</v>
      </c>
    </row>
    <row r="4600" spans="1:12" x14ac:dyDescent="0.25">
      <c r="A4600" t="s">
        <v>487</v>
      </c>
      <c r="B4600" t="s">
        <v>465</v>
      </c>
      <c r="C4600" t="s">
        <v>478</v>
      </c>
      <c r="D4600" t="s">
        <v>168</v>
      </c>
      <c r="E4600" t="s">
        <v>174</v>
      </c>
      <c r="F4600">
        <v>3</v>
      </c>
      <c r="G4600" t="s">
        <v>499</v>
      </c>
      <c r="H4600" s="4">
        <v>8370557</v>
      </c>
      <c r="I4600" s="4">
        <v>9782610</v>
      </c>
      <c r="J4600" s="3">
        <v>0.16869283609203067</v>
      </c>
      <c r="K4600" s="3">
        <v>-0.1443431763097987</v>
      </c>
      <c r="L4600" t="s">
        <v>54</v>
      </c>
    </row>
    <row r="4601" spans="1:12" x14ac:dyDescent="0.25">
      <c r="A4601" t="s">
        <v>487</v>
      </c>
      <c r="B4601" t="s">
        <v>465</v>
      </c>
      <c r="C4601" t="s">
        <v>478</v>
      </c>
      <c r="D4601" t="s">
        <v>170</v>
      </c>
      <c r="E4601" t="s">
        <v>172</v>
      </c>
      <c r="F4601">
        <v>1</v>
      </c>
      <c r="G4601" t="s">
        <v>488</v>
      </c>
      <c r="H4601" s="4">
        <v>7736486</v>
      </c>
      <c r="I4601" s="4">
        <v>8424379.008774111</v>
      </c>
      <c r="J4601" s="3">
        <v>0.08891543379954556</v>
      </c>
      <c r="K4601" s="3">
        <v>-0.08165504045552327</v>
      </c>
      <c r="L4601" t="s">
        <v>54</v>
      </c>
    </row>
    <row r="4602" spans="1:12" x14ac:dyDescent="0.25">
      <c r="A4602" t="s">
        <v>487</v>
      </c>
      <c r="B4602" t="s">
        <v>465</v>
      </c>
      <c r="C4602" t="s">
        <v>478</v>
      </c>
      <c r="D4602" t="s">
        <v>170</v>
      </c>
      <c r="E4602" t="s">
        <v>172</v>
      </c>
      <c r="F4602">
        <v>1</v>
      </c>
      <c r="G4602" t="s">
        <v>498</v>
      </c>
      <c r="H4602" s="4">
        <v>7736486</v>
      </c>
      <c r="I4602" s="4">
        <v>7949583</v>
      </c>
      <c r="J4602" s="3">
        <v>0.027544417452574722</v>
      </c>
      <c r="K4602" s="3">
        <v>-0.02680606014177096</v>
      </c>
      <c r="L4602" t="s">
        <v>54</v>
      </c>
    </row>
    <row r="4603" spans="1:12" x14ac:dyDescent="0.25">
      <c r="A4603" t="s">
        <v>487</v>
      </c>
      <c r="B4603" t="s">
        <v>465</v>
      </c>
      <c r="C4603" t="s">
        <v>478</v>
      </c>
      <c r="D4603" t="s">
        <v>170</v>
      </c>
      <c r="E4603" t="s">
        <v>172</v>
      </c>
      <c r="F4603">
        <v>1</v>
      </c>
      <c r="G4603" t="s">
        <v>499</v>
      </c>
      <c r="H4603" s="4">
        <v>7736486</v>
      </c>
      <c r="I4603" s="4">
        <v>9626204</v>
      </c>
      <c r="J4603" s="3">
        <v>0.24426050793603193</v>
      </c>
      <c r="K4603" s="3">
        <v>-0.19630978109335726</v>
      </c>
      <c r="L4603" t="s">
        <v>54</v>
      </c>
    </row>
    <row r="4604" spans="1:12" x14ac:dyDescent="0.25">
      <c r="A4604" t="s">
        <v>487</v>
      </c>
      <c r="B4604" t="s">
        <v>465</v>
      </c>
      <c r="C4604" t="s">
        <v>478</v>
      </c>
      <c r="D4604" t="s">
        <v>170</v>
      </c>
      <c r="E4604" t="s">
        <v>174</v>
      </c>
      <c r="F4604">
        <v>2</v>
      </c>
      <c r="G4604" t="s">
        <v>488</v>
      </c>
      <c r="H4604" s="4">
        <v>8370557</v>
      </c>
      <c r="I4604" s="4">
        <v>8882035.41564051</v>
      </c>
      <c r="J4604" s="3">
        <v>0.06110446600393625</v>
      </c>
      <c r="K4604" s="3">
        <v>-0.057585721257071384</v>
      </c>
      <c r="L4604" t="s">
        <v>54</v>
      </c>
    </row>
    <row r="4605" spans="1:12" x14ac:dyDescent="0.25">
      <c r="A4605" t="s">
        <v>487</v>
      </c>
      <c r="B4605" t="s">
        <v>465</v>
      </c>
      <c r="C4605" t="s">
        <v>478</v>
      </c>
      <c r="D4605" t="s">
        <v>170</v>
      </c>
      <c r="E4605" t="s">
        <v>174</v>
      </c>
      <c r="F4605">
        <v>2</v>
      </c>
      <c r="G4605" t="s">
        <v>498</v>
      </c>
      <c r="H4605" s="4">
        <v>8370557</v>
      </c>
      <c r="I4605" s="4">
        <v>8381446</v>
      </c>
      <c r="J4605" s="3">
        <v>0.001300869225309618</v>
      </c>
      <c r="K4605" s="3">
        <v>-0.001299179163118154</v>
      </c>
      <c r="L4605" t="s">
        <v>54</v>
      </c>
    </row>
    <row r="4606" spans="1:12" x14ac:dyDescent="0.25">
      <c r="A4606" t="s">
        <v>487</v>
      </c>
      <c r="B4606" t="s">
        <v>465</v>
      </c>
      <c r="C4606" t="s">
        <v>478</v>
      </c>
      <c r="D4606" t="s">
        <v>170</v>
      </c>
      <c r="E4606" t="s">
        <v>174</v>
      </c>
      <c r="F4606">
        <v>2</v>
      </c>
      <c r="G4606" t="s">
        <v>499</v>
      </c>
      <c r="H4606" s="4">
        <v>8370557</v>
      </c>
      <c r="I4606" s="4">
        <v>9626204</v>
      </c>
      <c r="J4606" s="3">
        <v>0.1500075801407242</v>
      </c>
      <c r="K4606" s="3">
        <v>-0.1304405142463218</v>
      </c>
      <c r="L4606" t="s">
        <v>54</v>
      </c>
    </row>
    <row r="4607" spans="1:12" x14ac:dyDescent="0.25">
      <c r="A4607" t="s">
        <v>487</v>
      </c>
      <c r="B4607" t="s">
        <v>465</v>
      </c>
      <c r="C4607" t="s">
        <v>478</v>
      </c>
      <c r="D4607" t="s">
        <v>170</v>
      </c>
      <c r="E4607" t="s">
        <v>176</v>
      </c>
      <c r="F4607">
        <v>3</v>
      </c>
      <c r="G4607" t="s">
        <v>488</v>
      </c>
      <c r="H4607" s="4">
        <v>9627491</v>
      </c>
      <c r="I4607" s="4">
        <v>8894299.623495003</v>
      </c>
      <c r="J4607" s="3">
        <v>0.07615601785605375</v>
      </c>
      <c r="K4607" s="3">
        <v>0.08243385174119985</v>
      </c>
      <c r="L4607" t="s">
        <v>54</v>
      </c>
    </row>
    <row r="4608" spans="1:12" x14ac:dyDescent="0.25">
      <c r="A4608" t="s">
        <v>487</v>
      </c>
      <c r="B4608" t="s">
        <v>465</v>
      </c>
      <c r="C4608" t="s">
        <v>478</v>
      </c>
      <c r="D4608" t="s">
        <v>170</v>
      </c>
      <c r="E4608" t="s">
        <v>176</v>
      </c>
      <c r="F4608">
        <v>3</v>
      </c>
      <c r="G4608" t="s">
        <v>498</v>
      </c>
      <c r="H4608" s="4">
        <v>9627491</v>
      </c>
      <c r="I4608" s="4">
        <v>8393019</v>
      </c>
      <c r="J4608" s="3">
        <v>0.12822364622309176</v>
      </c>
      <c r="K4608" s="3">
        <v>0.14708318901696754</v>
      </c>
      <c r="L4608" t="s">
        <v>54</v>
      </c>
    </row>
    <row r="4609" spans="1:12" x14ac:dyDescent="0.25">
      <c r="A4609" t="s">
        <v>487</v>
      </c>
      <c r="B4609" t="s">
        <v>465</v>
      </c>
      <c r="C4609" t="s">
        <v>478</v>
      </c>
      <c r="D4609" t="s">
        <v>170</v>
      </c>
      <c r="E4609" t="s">
        <v>176</v>
      </c>
      <c r="F4609">
        <v>3</v>
      </c>
      <c r="G4609" t="s">
        <v>499</v>
      </c>
      <c r="H4609" s="4">
        <v>9627491</v>
      </c>
      <c r="I4609" s="4">
        <v>9626204</v>
      </c>
      <c r="J4609" s="3">
        <v>0.00013367968871640597</v>
      </c>
      <c r="K4609" s="3">
        <v>0.00013369756136479135</v>
      </c>
      <c r="L4609" t="s">
        <v>54</v>
      </c>
    </row>
    <row r="4610" spans="1:12" x14ac:dyDescent="0.25">
      <c r="A4610" t="s">
        <v>487</v>
      </c>
      <c r="B4610" t="s">
        <v>465</v>
      </c>
      <c r="C4610" t="s">
        <v>478</v>
      </c>
      <c r="D4610" t="s">
        <v>172</v>
      </c>
      <c r="E4610" t="s">
        <v>174</v>
      </c>
      <c r="F4610">
        <v>1</v>
      </c>
      <c r="G4610" t="s">
        <v>488</v>
      </c>
      <c r="H4610" s="4">
        <v>8370557</v>
      </c>
      <c r="I4610" s="4">
        <v>8773335.98407513</v>
      </c>
      <c r="J4610" s="3">
        <v>0.0481185402686023</v>
      </c>
      <c r="K4610" s="3">
        <v>-0.045909444800271274</v>
      </c>
      <c r="L4610" t="s">
        <v>54</v>
      </c>
    </row>
    <row r="4611" spans="1:12" x14ac:dyDescent="0.25">
      <c r="A4611" t="s">
        <v>487</v>
      </c>
      <c r="B4611" t="s">
        <v>465</v>
      </c>
      <c r="C4611" t="s">
        <v>478</v>
      </c>
      <c r="D4611" t="s">
        <v>172</v>
      </c>
      <c r="E4611" t="s">
        <v>174</v>
      </c>
      <c r="F4611">
        <v>1</v>
      </c>
      <c r="G4611" t="s">
        <v>498</v>
      </c>
      <c r="H4611" s="4">
        <v>8370557</v>
      </c>
      <c r="I4611" s="4">
        <v>8381446</v>
      </c>
      <c r="J4611" s="3">
        <v>0.001300869225309618</v>
      </c>
      <c r="K4611" s="3">
        <v>-0.001299179163118154</v>
      </c>
      <c r="L4611" t="s">
        <v>54</v>
      </c>
    </row>
    <row r="4612" spans="1:12" x14ac:dyDescent="0.25">
      <c r="A4612" t="s">
        <v>487</v>
      </c>
      <c r="B4612" t="s">
        <v>465</v>
      </c>
      <c r="C4612" t="s">
        <v>478</v>
      </c>
      <c r="D4612" t="s">
        <v>172</v>
      </c>
      <c r="E4612" t="s">
        <v>174</v>
      </c>
      <c r="F4612">
        <v>1</v>
      </c>
      <c r="G4612" t="s">
        <v>499</v>
      </c>
      <c r="H4612" s="4">
        <v>8370557</v>
      </c>
      <c r="I4612" s="4">
        <v>7736486</v>
      </c>
      <c r="J4612" s="3">
        <v>0.07575015617240287</v>
      </c>
      <c r="K4612" s="3">
        <v>0.08195852742446635</v>
      </c>
      <c r="L4612" t="s">
        <v>54</v>
      </c>
    </row>
    <row r="4613" spans="1:12" x14ac:dyDescent="0.25">
      <c r="A4613" t="s">
        <v>487</v>
      </c>
      <c r="B4613" t="s">
        <v>465</v>
      </c>
      <c r="C4613" t="s">
        <v>478</v>
      </c>
      <c r="D4613" t="s">
        <v>172</v>
      </c>
      <c r="E4613" t="s">
        <v>176</v>
      </c>
      <c r="F4613">
        <v>2</v>
      </c>
      <c r="G4613" t="s">
        <v>488</v>
      </c>
      <c r="H4613" s="4">
        <v>9627491</v>
      </c>
      <c r="I4613" s="4">
        <v>8785450.101059683</v>
      </c>
      <c r="J4613" s="3">
        <v>0.08746213306668553</v>
      </c>
      <c r="K4613" s="3">
        <v>0.09584493557578252</v>
      </c>
      <c r="L4613" t="s">
        <v>54</v>
      </c>
    </row>
    <row r="4614" spans="1:12" x14ac:dyDescent="0.25">
      <c r="A4614" t="s">
        <v>487</v>
      </c>
      <c r="B4614" t="s">
        <v>465</v>
      </c>
      <c r="C4614" t="s">
        <v>478</v>
      </c>
      <c r="D4614" t="s">
        <v>172</v>
      </c>
      <c r="E4614" t="s">
        <v>176</v>
      </c>
      <c r="F4614">
        <v>2</v>
      </c>
      <c r="G4614" t="s">
        <v>498</v>
      </c>
      <c r="H4614" s="4">
        <v>9627491</v>
      </c>
      <c r="I4614" s="4">
        <v>8393019</v>
      </c>
      <c r="J4614" s="3">
        <v>0.12822364622309176</v>
      </c>
      <c r="K4614" s="3">
        <v>0.14708318901696754</v>
      </c>
      <c r="L4614" t="s">
        <v>54</v>
      </c>
    </row>
    <row r="4615" spans="1:12" x14ac:dyDescent="0.25">
      <c r="A4615" t="s">
        <v>487</v>
      </c>
      <c r="B4615" t="s">
        <v>465</v>
      </c>
      <c r="C4615" t="s">
        <v>478</v>
      </c>
      <c r="D4615" t="s">
        <v>172</v>
      </c>
      <c r="E4615" t="s">
        <v>176</v>
      </c>
      <c r="F4615">
        <v>2</v>
      </c>
      <c r="G4615" t="s">
        <v>499</v>
      </c>
      <c r="H4615" s="4">
        <v>9627491</v>
      </c>
      <c r="I4615" s="4">
        <v>7736486</v>
      </c>
      <c r="J4615" s="3">
        <v>0.19641721815164512</v>
      </c>
      <c r="K4615" s="3">
        <v>0.2444268625316455</v>
      </c>
      <c r="L4615" t="s">
        <v>54</v>
      </c>
    </row>
    <row r="4616" spans="1:12" x14ac:dyDescent="0.25">
      <c r="A4616" t="s">
        <v>487</v>
      </c>
      <c r="B4616" t="s">
        <v>465</v>
      </c>
      <c r="C4616" t="s">
        <v>478</v>
      </c>
      <c r="D4616" t="s">
        <v>172</v>
      </c>
      <c r="E4616" t="s">
        <v>178</v>
      </c>
      <c r="F4616">
        <v>3</v>
      </c>
      <c r="G4616" t="s">
        <v>488</v>
      </c>
      <c r="H4616" s="4">
        <v>8952311</v>
      </c>
      <c r="I4616" s="4">
        <v>9335192.142245952</v>
      </c>
      <c r="J4616" s="3">
        <v>0.04276897241907168</v>
      </c>
      <c r="K4616" s="3">
        <v>-0.041014811094593574</v>
      </c>
      <c r="L4616" t="s">
        <v>54</v>
      </c>
    </row>
    <row r="4617" spans="1:12" x14ac:dyDescent="0.25">
      <c r="A4617" t="s">
        <v>487</v>
      </c>
      <c r="B4617" t="s">
        <v>465</v>
      </c>
      <c r="C4617" t="s">
        <v>478</v>
      </c>
      <c r="D4617" t="s">
        <v>172</v>
      </c>
      <c r="E4617" t="s">
        <v>178</v>
      </c>
      <c r="F4617">
        <v>3</v>
      </c>
      <c r="G4617" t="s">
        <v>498</v>
      </c>
      <c r="H4617" s="4">
        <v>8952311</v>
      </c>
      <c r="I4617" s="4">
        <v>8918205</v>
      </c>
      <c r="J4617" s="3">
        <v>0.003809742534637146</v>
      </c>
      <c r="K4617" s="3">
        <v>0.0038243121794127853</v>
      </c>
      <c r="L4617" t="s">
        <v>54</v>
      </c>
    </row>
    <row r="4618" spans="1:12" x14ac:dyDescent="0.25">
      <c r="A4618" t="s">
        <v>487</v>
      </c>
      <c r="B4618" t="s">
        <v>465</v>
      </c>
      <c r="C4618" t="s">
        <v>478</v>
      </c>
      <c r="D4618" t="s">
        <v>172</v>
      </c>
      <c r="E4618" t="s">
        <v>178</v>
      </c>
      <c r="F4618">
        <v>3</v>
      </c>
      <c r="G4618" t="s">
        <v>499</v>
      </c>
      <c r="H4618" s="4">
        <v>8952311</v>
      </c>
      <c r="I4618" s="4">
        <v>7736486</v>
      </c>
      <c r="J4618" s="3">
        <v>0.13581130056808796</v>
      </c>
      <c r="K4618" s="3">
        <v>0.15715468237129882</v>
      </c>
      <c r="L4618" t="s">
        <v>54</v>
      </c>
    </row>
    <row r="4619" spans="1:12" x14ac:dyDescent="0.25">
      <c r="A4619" t="s">
        <v>487</v>
      </c>
      <c r="B4619" t="s">
        <v>465</v>
      </c>
      <c r="C4619" t="s">
        <v>478</v>
      </c>
      <c r="D4619" t="s">
        <v>174</v>
      </c>
      <c r="E4619" t="s">
        <v>176</v>
      </c>
      <c r="F4619">
        <v>1</v>
      </c>
      <c r="G4619" t="s">
        <v>488</v>
      </c>
      <c r="H4619" s="4">
        <v>9627491</v>
      </c>
      <c r="I4619" s="4">
        <v>8679726.140060624</v>
      </c>
      <c r="J4619" s="3">
        <v>0.09844359864261373</v>
      </c>
      <c r="K4619" s="3">
        <v>0.10919294510515008</v>
      </c>
      <c r="L4619" t="s">
        <v>54</v>
      </c>
    </row>
    <row r="4620" spans="1:12" x14ac:dyDescent="0.25">
      <c r="A4620" t="s">
        <v>487</v>
      </c>
      <c r="B4620" t="s">
        <v>465</v>
      </c>
      <c r="C4620" t="s">
        <v>478</v>
      </c>
      <c r="D4620" t="s">
        <v>174</v>
      </c>
      <c r="E4620" t="s">
        <v>176</v>
      </c>
      <c r="F4620">
        <v>1</v>
      </c>
      <c r="G4620" t="s">
        <v>498</v>
      </c>
      <c r="H4620" s="4">
        <v>9627491</v>
      </c>
      <c r="I4620" s="4">
        <v>8393019</v>
      </c>
      <c r="J4620" s="3">
        <v>0.12822364622309176</v>
      </c>
      <c r="K4620" s="3">
        <v>0.14708318901696754</v>
      </c>
      <c r="L4620" t="s">
        <v>54</v>
      </c>
    </row>
    <row r="4621" spans="1:12" x14ac:dyDescent="0.25">
      <c r="A4621" t="s">
        <v>487</v>
      </c>
      <c r="B4621" t="s">
        <v>465</v>
      </c>
      <c r="C4621" t="s">
        <v>478</v>
      </c>
      <c r="D4621" t="s">
        <v>174</v>
      </c>
      <c r="E4621" t="s">
        <v>176</v>
      </c>
      <c r="F4621">
        <v>1</v>
      </c>
      <c r="G4621" t="s">
        <v>499</v>
      </c>
      <c r="H4621" s="4">
        <v>9627491</v>
      </c>
      <c r="I4621" s="4">
        <v>8370557</v>
      </c>
      <c r="J4621" s="3">
        <v>0.13055675668769776</v>
      </c>
      <c r="K4621" s="3">
        <v>0.15016133334974005</v>
      </c>
      <c r="L4621" t="s">
        <v>54</v>
      </c>
    </row>
    <row r="4622" spans="1:12" x14ac:dyDescent="0.25">
      <c r="A4622" t="s">
        <v>487</v>
      </c>
      <c r="B4622" t="s">
        <v>465</v>
      </c>
      <c r="C4622" t="s">
        <v>478</v>
      </c>
      <c r="D4622" t="s">
        <v>174</v>
      </c>
      <c r="E4622" t="s">
        <v>178</v>
      </c>
      <c r="F4622">
        <v>2</v>
      </c>
      <c r="G4622" t="s">
        <v>488</v>
      </c>
      <c r="H4622" s="4">
        <v>8952311</v>
      </c>
      <c r="I4622" s="4">
        <v>9222852.594628863</v>
      </c>
      <c r="J4622" s="3">
        <v>0.03022030787679997</v>
      </c>
      <c r="K4622" s="3">
        <v>-0.029333830488239513</v>
      </c>
      <c r="L4622" t="s">
        <v>54</v>
      </c>
    </row>
    <row r="4623" spans="1:12" x14ac:dyDescent="0.25">
      <c r="A4623" t="s">
        <v>487</v>
      </c>
      <c r="B4623" t="s">
        <v>465</v>
      </c>
      <c r="C4623" t="s">
        <v>478</v>
      </c>
      <c r="D4623" t="s">
        <v>174</v>
      </c>
      <c r="E4623" t="s">
        <v>178</v>
      </c>
      <c r="F4623">
        <v>2</v>
      </c>
      <c r="G4623" t="s">
        <v>498</v>
      </c>
      <c r="H4623" s="4">
        <v>8952311</v>
      </c>
      <c r="I4623" s="4">
        <v>8918205</v>
      </c>
      <c r="J4623" s="3">
        <v>0.003809742534637146</v>
      </c>
      <c r="K4623" s="3">
        <v>0.0038243121794127853</v>
      </c>
      <c r="L4623" t="s">
        <v>54</v>
      </c>
    </row>
    <row r="4624" spans="1:12" x14ac:dyDescent="0.25">
      <c r="A4624" t="s">
        <v>487</v>
      </c>
      <c r="B4624" t="s">
        <v>465</v>
      </c>
      <c r="C4624" t="s">
        <v>478</v>
      </c>
      <c r="D4624" t="s">
        <v>174</v>
      </c>
      <c r="E4624" t="s">
        <v>178</v>
      </c>
      <c r="F4624">
        <v>2</v>
      </c>
      <c r="G4624" t="s">
        <v>499</v>
      </c>
      <c r="H4624" s="4">
        <v>8952311</v>
      </c>
      <c r="I4624" s="4">
        <v>8370557</v>
      </c>
      <c r="J4624" s="3">
        <v>0.06498366734578367</v>
      </c>
      <c r="K4624" s="3">
        <v>0.06950003446604569</v>
      </c>
      <c r="L4624" t="s">
        <v>54</v>
      </c>
    </row>
    <row r="4625" spans="1:12" x14ac:dyDescent="0.25">
      <c r="A4625" t="s">
        <v>487</v>
      </c>
      <c r="B4625" t="s">
        <v>465</v>
      </c>
      <c r="C4625" t="s">
        <v>478</v>
      </c>
      <c r="D4625" t="s">
        <v>174</v>
      </c>
      <c r="E4625" t="s">
        <v>180</v>
      </c>
      <c r="F4625">
        <v>3</v>
      </c>
      <c r="G4625" t="s">
        <v>488</v>
      </c>
      <c r="H4625" s="4">
        <v>9014468</v>
      </c>
      <c r="I4625" s="4">
        <v>9668904.500299359</v>
      </c>
      <c r="J4625" s="3">
        <v>0.07259846064120021</v>
      </c>
      <c r="K4625" s="3">
        <v>-0.06768465861660923</v>
      </c>
      <c r="L4625" t="s">
        <v>54</v>
      </c>
    </row>
    <row r="4626" spans="1:12" x14ac:dyDescent="0.25">
      <c r="A4626" t="s">
        <v>487</v>
      </c>
      <c r="B4626" t="s">
        <v>465</v>
      </c>
      <c r="C4626" t="s">
        <v>478</v>
      </c>
      <c r="D4626" t="s">
        <v>174</v>
      </c>
      <c r="E4626" t="s">
        <v>180</v>
      </c>
      <c r="F4626">
        <v>3</v>
      </c>
      <c r="G4626" t="s">
        <v>498</v>
      </c>
      <c r="H4626" s="4">
        <v>9014468</v>
      </c>
      <c r="I4626" s="4">
        <v>9349523</v>
      </c>
      <c r="J4626" s="3">
        <v>0.03716858277160671</v>
      </c>
      <c r="K4626" s="3">
        <v>-0.035836587599174845</v>
      </c>
      <c r="L4626" t="s">
        <v>54</v>
      </c>
    </row>
    <row r="4627" spans="1:12" x14ac:dyDescent="0.25">
      <c r="A4627" t="s">
        <v>487</v>
      </c>
      <c r="B4627" t="s">
        <v>465</v>
      </c>
      <c r="C4627" t="s">
        <v>478</v>
      </c>
      <c r="D4627" t="s">
        <v>174</v>
      </c>
      <c r="E4627" t="s">
        <v>180</v>
      </c>
      <c r="F4627">
        <v>3</v>
      </c>
      <c r="G4627" t="s">
        <v>499</v>
      </c>
      <c r="H4627" s="4">
        <v>9014468</v>
      </c>
      <c r="I4627" s="4">
        <v>8370557</v>
      </c>
      <c r="J4627" s="3">
        <v>0.07143083762680172</v>
      </c>
      <c r="K4627" s="3">
        <v>0.0769257051830601</v>
      </c>
      <c r="L4627" t="s">
        <v>54</v>
      </c>
    </row>
    <row r="4628" spans="1:12" x14ac:dyDescent="0.25">
      <c r="A4628" t="s">
        <v>487</v>
      </c>
      <c r="B4628" t="s">
        <v>465</v>
      </c>
      <c r="C4628" t="s">
        <v>478</v>
      </c>
      <c r="D4628" t="s">
        <v>176</v>
      </c>
      <c r="E4628" t="s">
        <v>178</v>
      </c>
      <c r="F4628">
        <v>1</v>
      </c>
      <c r="G4628" t="s">
        <v>488</v>
      </c>
      <c r="H4628" s="4">
        <v>8952311</v>
      </c>
      <c r="I4628" s="4">
        <v>9381990.571060935</v>
      </c>
      <c r="J4628" s="3">
        <v>0.04799649733582033</v>
      </c>
      <c r="K4628" s="3">
        <v>-0.045798337549634305</v>
      </c>
      <c r="L4628" t="s">
        <v>54</v>
      </c>
    </row>
    <row r="4629" spans="1:12" x14ac:dyDescent="0.25">
      <c r="A4629" t="s">
        <v>487</v>
      </c>
      <c r="B4629" t="s">
        <v>465</v>
      </c>
      <c r="C4629" t="s">
        <v>478</v>
      </c>
      <c r="D4629" t="s">
        <v>176</v>
      </c>
      <c r="E4629" t="s">
        <v>178</v>
      </c>
      <c r="F4629">
        <v>1</v>
      </c>
      <c r="G4629" t="s">
        <v>498</v>
      </c>
      <c r="H4629" s="4">
        <v>8952311</v>
      </c>
      <c r="I4629" s="4">
        <v>8918205</v>
      </c>
      <c r="J4629" s="3">
        <v>0.003809742534637146</v>
      </c>
      <c r="K4629" s="3">
        <v>0.0038243121794127853</v>
      </c>
      <c r="L4629" t="s">
        <v>54</v>
      </c>
    </row>
    <row r="4630" spans="1:12" x14ac:dyDescent="0.25">
      <c r="A4630" t="s">
        <v>487</v>
      </c>
      <c r="B4630" t="s">
        <v>465</v>
      </c>
      <c r="C4630" t="s">
        <v>478</v>
      </c>
      <c r="D4630" t="s">
        <v>176</v>
      </c>
      <c r="E4630" t="s">
        <v>178</v>
      </c>
      <c r="F4630">
        <v>1</v>
      </c>
      <c r="G4630" t="s">
        <v>499</v>
      </c>
      <c r="H4630" s="4">
        <v>8952311</v>
      </c>
      <c r="I4630" s="4">
        <v>9627491</v>
      </c>
      <c r="J4630" s="3">
        <v>0.07541963186935753</v>
      </c>
      <c r="K4630" s="3">
        <v>-0.07013042131122221</v>
      </c>
      <c r="L4630" t="s">
        <v>54</v>
      </c>
    </row>
    <row r="4631" spans="1:12" x14ac:dyDescent="0.25">
      <c r="A4631" t="s">
        <v>487</v>
      </c>
      <c r="B4631" t="s">
        <v>465</v>
      </c>
      <c r="C4631" t="s">
        <v>478</v>
      </c>
      <c r="D4631" t="s">
        <v>176</v>
      </c>
      <c r="E4631" t="s">
        <v>180</v>
      </c>
      <c r="F4631">
        <v>2</v>
      </c>
      <c r="G4631" t="s">
        <v>488</v>
      </c>
      <c r="H4631" s="4">
        <v>9014468</v>
      </c>
      <c r="I4631" s="4">
        <v>9835738.98894647</v>
      </c>
      <c r="J4631" s="3">
        <v>0.09110587435070705</v>
      </c>
      <c r="K4631" s="3">
        <v>-0.08349865626461056</v>
      </c>
      <c r="L4631" t="s">
        <v>54</v>
      </c>
    </row>
    <row r="4632" spans="1:12" x14ac:dyDescent="0.25">
      <c r="A4632" t="s">
        <v>487</v>
      </c>
      <c r="B4632" t="s">
        <v>465</v>
      </c>
      <c r="C4632" t="s">
        <v>478</v>
      </c>
      <c r="D4632" t="s">
        <v>176</v>
      </c>
      <c r="E4632" t="s">
        <v>180</v>
      </c>
      <c r="F4632">
        <v>2</v>
      </c>
      <c r="G4632" t="s">
        <v>498</v>
      </c>
      <c r="H4632" s="4">
        <v>9014468</v>
      </c>
      <c r="I4632" s="4">
        <v>9349523</v>
      </c>
      <c r="J4632" s="3">
        <v>0.03716858277160671</v>
      </c>
      <c r="K4632" s="3">
        <v>-0.035836587599174845</v>
      </c>
      <c r="L4632" t="s">
        <v>54</v>
      </c>
    </row>
    <row r="4633" spans="1:12" x14ac:dyDescent="0.25">
      <c r="A4633" t="s">
        <v>487</v>
      </c>
      <c r="B4633" t="s">
        <v>465</v>
      </c>
      <c r="C4633" t="s">
        <v>478</v>
      </c>
      <c r="D4633" t="s">
        <v>176</v>
      </c>
      <c r="E4633" t="s">
        <v>180</v>
      </c>
      <c r="F4633">
        <v>2</v>
      </c>
      <c r="G4633" t="s">
        <v>499</v>
      </c>
      <c r="H4633" s="4">
        <v>9014468</v>
      </c>
      <c r="I4633" s="4">
        <v>9627491</v>
      </c>
      <c r="J4633" s="3">
        <v>0.06800434590260901</v>
      </c>
      <c r="K4633" s="3">
        <v>-0.06367422207925201</v>
      </c>
      <c r="L4633" t="s">
        <v>54</v>
      </c>
    </row>
    <row r="4634" spans="1:12" x14ac:dyDescent="0.25">
      <c r="A4634" t="s">
        <v>487</v>
      </c>
      <c r="B4634" t="s">
        <v>465</v>
      </c>
      <c r="C4634" t="s">
        <v>478</v>
      </c>
      <c r="D4634" t="s">
        <v>176</v>
      </c>
      <c r="E4634" t="s">
        <v>182</v>
      </c>
      <c r="F4634">
        <v>3</v>
      </c>
      <c r="G4634" t="s">
        <v>488</v>
      </c>
      <c r="H4634" s="4">
        <v>12213664</v>
      </c>
      <c r="I4634" s="4">
        <v>10700901.065137485</v>
      </c>
      <c r="J4634" s="3">
        <v>0.12385824064445485</v>
      </c>
      <c r="K4634" s="3">
        <v>0.1413678087157494</v>
      </c>
      <c r="L4634" t="s">
        <v>54</v>
      </c>
    </row>
    <row r="4635" spans="1:12" x14ac:dyDescent="0.25">
      <c r="A4635" t="s">
        <v>487</v>
      </c>
      <c r="B4635" t="s">
        <v>465</v>
      </c>
      <c r="C4635" t="s">
        <v>478</v>
      </c>
      <c r="D4635" t="s">
        <v>176</v>
      </c>
      <c r="E4635" t="s">
        <v>182</v>
      </c>
      <c r="F4635">
        <v>3</v>
      </c>
      <c r="G4635" t="s">
        <v>498</v>
      </c>
      <c r="H4635" s="4">
        <v>12213664</v>
      </c>
      <c r="I4635" s="4">
        <v>10171917</v>
      </c>
      <c r="J4635" s="3">
        <v>0.16716908210345396</v>
      </c>
      <c r="K4635" s="3">
        <v>0.20072391467606351</v>
      </c>
      <c r="L4635" t="s">
        <v>54</v>
      </c>
    </row>
    <row r="4636" spans="1:12" x14ac:dyDescent="0.25">
      <c r="A4636" t="s">
        <v>487</v>
      </c>
      <c r="B4636" t="s">
        <v>465</v>
      </c>
      <c r="C4636" t="s">
        <v>478</v>
      </c>
      <c r="D4636" t="s">
        <v>176</v>
      </c>
      <c r="E4636" t="s">
        <v>182</v>
      </c>
      <c r="F4636">
        <v>3</v>
      </c>
      <c r="G4636" t="s">
        <v>499</v>
      </c>
      <c r="H4636" s="4">
        <v>12213664</v>
      </c>
      <c r="I4636" s="4">
        <v>9627491</v>
      </c>
      <c r="J4636" s="3">
        <v>0.21174423989394173</v>
      </c>
      <c r="K4636" s="3">
        <v>0.2686237774722407</v>
      </c>
      <c r="L4636" t="s">
        <v>54</v>
      </c>
    </row>
    <row r="4637" spans="1:12" x14ac:dyDescent="0.25">
      <c r="A4637" t="s">
        <v>487</v>
      </c>
      <c r="B4637" t="s">
        <v>465</v>
      </c>
      <c r="C4637" t="s">
        <v>478</v>
      </c>
      <c r="D4637" t="s">
        <v>178</v>
      </c>
      <c r="E4637" t="s">
        <v>180</v>
      </c>
      <c r="F4637">
        <v>1</v>
      </c>
      <c r="G4637" t="s">
        <v>488</v>
      </c>
      <c r="H4637" s="4">
        <v>9014468</v>
      </c>
      <c r="I4637" s="4">
        <v>9848802.435567548</v>
      </c>
      <c r="J4637" s="3">
        <v>0.09255503880734266</v>
      </c>
      <c r="K4637" s="3">
        <v>-0.08471430318821996</v>
      </c>
      <c r="L4637" t="s">
        <v>54</v>
      </c>
    </row>
    <row r="4638" spans="1:12" x14ac:dyDescent="0.25">
      <c r="A4638" t="s">
        <v>487</v>
      </c>
      <c r="B4638" t="s">
        <v>465</v>
      </c>
      <c r="C4638" t="s">
        <v>478</v>
      </c>
      <c r="D4638" t="s">
        <v>178</v>
      </c>
      <c r="E4638" t="s">
        <v>180</v>
      </c>
      <c r="F4638">
        <v>1</v>
      </c>
      <c r="G4638" t="s">
        <v>498</v>
      </c>
      <c r="H4638" s="4">
        <v>9014468</v>
      </c>
      <c r="I4638" s="4">
        <v>9349523</v>
      </c>
      <c r="J4638" s="3">
        <v>0.03716858277160671</v>
      </c>
      <c r="K4638" s="3">
        <v>-0.035836587599174845</v>
      </c>
      <c r="L4638" t="s">
        <v>54</v>
      </c>
    </row>
    <row r="4639" spans="1:12" x14ac:dyDescent="0.25">
      <c r="A4639" t="s">
        <v>487</v>
      </c>
      <c r="B4639" t="s">
        <v>465</v>
      </c>
      <c r="C4639" t="s">
        <v>478</v>
      </c>
      <c r="D4639" t="s">
        <v>178</v>
      </c>
      <c r="E4639" t="s">
        <v>180</v>
      </c>
      <c r="F4639">
        <v>1</v>
      </c>
      <c r="G4639" t="s">
        <v>499</v>
      </c>
      <c r="H4639" s="4">
        <v>9014468</v>
      </c>
      <c r="I4639" s="4">
        <v>8952311</v>
      </c>
      <c r="J4639" s="3">
        <v>0.006895248837757259</v>
      </c>
      <c r="K4639" s="3">
        <v>0.00694312340132062</v>
      </c>
      <c r="L4639" t="s">
        <v>54</v>
      </c>
    </row>
    <row r="4640" spans="1:12" x14ac:dyDescent="0.25">
      <c r="A4640" t="s">
        <v>487</v>
      </c>
      <c r="B4640" t="s">
        <v>465</v>
      </c>
      <c r="C4640" t="s">
        <v>478</v>
      </c>
      <c r="D4640" t="s">
        <v>178</v>
      </c>
      <c r="E4640" t="s">
        <v>182</v>
      </c>
      <c r="F4640">
        <v>2</v>
      </c>
      <c r="G4640" t="s">
        <v>488</v>
      </c>
      <c r="H4640" s="4">
        <v>12213664</v>
      </c>
      <c r="I4640" s="4">
        <v>10715113.586435474</v>
      </c>
      <c r="J4640" s="3">
        <v>0.12269458317868623</v>
      </c>
      <c r="K4640" s="3">
        <v>0.13985389902553877</v>
      </c>
      <c r="L4640" t="s">
        <v>54</v>
      </c>
    </row>
    <row r="4641" spans="1:12" x14ac:dyDescent="0.25">
      <c r="A4641" t="s">
        <v>487</v>
      </c>
      <c r="B4641" t="s">
        <v>465</v>
      </c>
      <c r="C4641" t="s">
        <v>478</v>
      </c>
      <c r="D4641" t="s">
        <v>178</v>
      </c>
      <c r="E4641" t="s">
        <v>182</v>
      </c>
      <c r="F4641">
        <v>2</v>
      </c>
      <c r="G4641" t="s">
        <v>498</v>
      </c>
      <c r="H4641" s="4">
        <v>12213664</v>
      </c>
      <c r="I4641" s="4">
        <v>10171917</v>
      </c>
      <c r="J4641" s="3">
        <v>0.16716908210345396</v>
      </c>
      <c r="K4641" s="3">
        <v>0.20072391467606351</v>
      </c>
      <c r="L4641" t="s">
        <v>54</v>
      </c>
    </row>
    <row r="4642" spans="1:12" x14ac:dyDescent="0.25">
      <c r="A4642" t="s">
        <v>487</v>
      </c>
      <c r="B4642" t="s">
        <v>465</v>
      </c>
      <c r="C4642" t="s">
        <v>478</v>
      </c>
      <c r="D4642" t="s">
        <v>178</v>
      </c>
      <c r="E4642" t="s">
        <v>182</v>
      </c>
      <c r="F4642">
        <v>2</v>
      </c>
      <c r="G4642" t="s">
        <v>499</v>
      </c>
      <c r="H4642" s="4">
        <v>12213664</v>
      </c>
      <c r="I4642" s="4">
        <v>8952311</v>
      </c>
      <c r="J4642" s="3">
        <v>0.2670249484511773</v>
      </c>
      <c r="K4642" s="3">
        <v>0.36430291574991086</v>
      </c>
      <c r="L4642" t="s">
        <v>54</v>
      </c>
    </row>
    <row r="4643" spans="1:12" x14ac:dyDescent="0.25">
      <c r="A4643" t="s">
        <v>487</v>
      </c>
      <c r="B4643" t="s">
        <v>465</v>
      </c>
      <c r="C4643" t="s">
        <v>478</v>
      </c>
      <c r="D4643" t="s">
        <v>178</v>
      </c>
      <c r="E4643" t="s">
        <v>184</v>
      </c>
      <c r="F4643">
        <v>3</v>
      </c>
      <c r="G4643" t="s">
        <v>488</v>
      </c>
      <c r="H4643" s="4">
        <v>8036548</v>
      </c>
      <c r="I4643" s="4">
        <v>7871435.9675814565</v>
      </c>
      <c r="J4643" s="3">
        <v>0.020545143563946048</v>
      </c>
      <c r="K4643" s="3">
        <v>0.020976100561391608</v>
      </c>
      <c r="L4643" t="s">
        <v>54</v>
      </c>
    </row>
    <row r="4644" spans="1:12" x14ac:dyDescent="0.25">
      <c r="A4644" t="s">
        <v>487</v>
      </c>
      <c r="B4644" t="s">
        <v>465</v>
      </c>
      <c r="C4644" t="s">
        <v>478</v>
      </c>
      <c r="D4644" t="s">
        <v>178</v>
      </c>
      <c r="E4644" t="s">
        <v>184</v>
      </c>
      <c r="F4644">
        <v>3</v>
      </c>
      <c r="G4644" t="s">
        <v>498</v>
      </c>
      <c r="H4644" s="4">
        <v>8036548</v>
      </c>
      <c r="I4644" s="4">
        <v>7472398</v>
      </c>
      <c r="J4644" s="3">
        <v>0.07019805020762646</v>
      </c>
      <c r="K4644" s="3">
        <v>0.07549785222896317</v>
      </c>
      <c r="L4644" t="s">
        <v>54</v>
      </c>
    </row>
    <row r="4645" spans="1:12" x14ac:dyDescent="0.25">
      <c r="A4645" t="s">
        <v>487</v>
      </c>
      <c r="B4645" t="s">
        <v>465</v>
      </c>
      <c r="C4645" t="s">
        <v>478</v>
      </c>
      <c r="D4645" t="s">
        <v>178</v>
      </c>
      <c r="E4645" t="s">
        <v>184</v>
      </c>
      <c r="F4645">
        <v>3</v>
      </c>
      <c r="G4645" t="s">
        <v>499</v>
      </c>
      <c r="H4645" s="4">
        <v>8036548</v>
      </c>
      <c r="I4645" s="4">
        <v>8952311</v>
      </c>
      <c r="J4645" s="3">
        <v>0.1139497953598983</v>
      </c>
      <c r="K4645" s="3">
        <v>-0.1022934748357156</v>
      </c>
      <c r="L4645" t="s">
        <v>54</v>
      </c>
    </row>
    <row r="4646" spans="1:12" x14ac:dyDescent="0.25">
      <c r="A4646" t="s">
        <v>487</v>
      </c>
      <c r="B4646" t="s">
        <v>465</v>
      </c>
      <c r="C4646" t="s">
        <v>478</v>
      </c>
      <c r="D4646" t="s">
        <v>180</v>
      </c>
      <c r="E4646" t="s">
        <v>182</v>
      </c>
      <c r="F4646">
        <v>1</v>
      </c>
      <c r="G4646" t="s">
        <v>488</v>
      </c>
      <c r="H4646" s="4">
        <v>12213664</v>
      </c>
      <c r="I4646" s="4">
        <v>10660541.192037694</v>
      </c>
      <c r="J4646" s="3">
        <v>0.12716272594057818</v>
      </c>
      <c r="K4646" s="3">
        <v>0.14568892704268388</v>
      </c>
      <c r="L4646" t="s">
        <v>54</v>
      </c>
    </row>
    <row r="4647" spans="1:12" x14ac:dyDescent="0.25">
      <c r="A4647" t="s">
        <v>487</v>
      </c>
      <c r="B4647" t="s">
        <v>465</v>
      </c>
      <c r="C4647" t="s">
        <v>478</v>
      </c>
      <c r="D4647" t="s">
        <v>180</v>
      </c>
      <c r="E4647" t="s">
        <v>182</v>
      </c>
      <c r="F4647">
        <v>1</v>
      </c>
      <c r="G4647" t="s">
        <v>498</v>
      </c>
      <c r="H4647" s="4">
        <v>12213664</v>
      </c>
      <c r="I4647" s="4">
        <v>10171917</v>
      </c>
      <c r="J4647" s="3">
        <v>0.16716908210345396</v>
      </c>
      <c r="K4647" s="3">
        <v>0.20072391467606351</v>
      </c>
      <c r="L4647" t="s">
        <v>54</v>
      </c>
    </row>
    <row r="4648" spans="1:12" x14ac:dyDescent="0.25">
      <c r="A4648" t="s">
        <v>487</v>
      </c>
      <c r="B4648" t="s">
        <v>465</v>
      </c>
      <c r="C4648" t="s">
        <v>478</v>
      </c>
      <c r="D4648" t="s">
        <v>180</v>
      </c>
      <c r="E4648" t="s">
        <v>182</v>
      </c>
      <c r="F4648">
        <v>1</v>
      </c>
      <c r="G4648" t="s">
        <v>499</v>
      </c>
      <c r="H4648" s="4">
        <v>12213664</v>
      </c>
      <c r="I4648" s="4">
        <v>9014468</v>
      </c>
      <c r="J4648" s="3">
        <v>0.26193581221818446</v>
      </c>
      <c r="K4648" s="3">
        <v>0.3548957076557374</v>
      </c>
      <c r="L4648" t="s">
        <v>54</v>
      </c>
    </row>
    <row r="4649" spans="1:12" x14ac:dyDescent="0.25">
      <c r="A4649" t="s">
        <v>487</v>
      </c>
      <c r="B4649" t="s">
        <v>465</v>
      </c>
      <c r="C4649" t="s">
        <v>478</v>
      </c>
      <c r="D4649" t="s">
        <v>180</v>
      </c>
      <c r="E4649" t="s">
        <v>184</v>
      </c>
      <c r="F4649">
        <v>2</v>
      </c>
      <c r="G4649" t="s">
        <v>488</v>
      </c>
      <c r="H4649" s="4">
        <v>8036548</v>
      </c>
      <c r="I4649" s="4">
        <v>7831346.508460507</v>
      </c>
      <c r="J4649" s="3">
        <v>0.025533536481023095</v>
      </c>
      <c r="K4649" s="3">
        <v>0.02620258103990241</v>
      </c>
      <c r="L4649" t="s">
        <v>54</v>
      </c>
    </row>
    <row r="4650" spans="1:12" x14ac:dyDescent="0.25">
      <c r="A4650" t="s">
        <v>487</v>
      </c>
      <c r="B4650" t="s">
        <v>465</v>
      </c>
      <c r="C4650" t="s">
        <v>478</v>
      </c>
      <c r="D4650" t="s">
        <v>180</v>
      </c>
      <c r="E4650" t="s">
        <v>184</v>
      </c>
      <c r="F4650">
        <v>2</v>
      </c>
      <c r="G4650" t="s">
        <v>498</v>
      </c>
      <c r="H4650" s="4">
        <v>8036548</v>
      </c>
      <c r="I4650" s="4">
        <v>7472398</v>
      </c>
      <c r="J4650" s="3">
        <v>0.07019805020762646</v>
      </c>
      <c r="K4650" s="3">
        <v>0.07549785222896317</v>
      </c>
      <c r="L4650" t="s">
        <v>54</v>
      </c>
    </row>
    <row r="4651" spans="1:12" x14ac:dyDescent="0.25">
      <c r="A4651" t="s">
        <v>487</v>
      </c>
      <c r="B4651" t="s">
        <v>465</v>
      </c>
      <c r="C4651" t="s">
        <v>478</v>
      </c>
      <c r="D4651" t="s">
        <v>180</v>
      </c>
      <c r="E4651" t="s">
        <v>184</v>
      </c>
      <c r="F4651">
        <v>2</v>
      </c>
      <c r="G4651" t="s">
        <v>499</v>
      </c>
      <c r="H4651" s="4">
        <v>8036548</v>
      </c>
      <c r="I4651" s="4">
        <v>9014468</v>
      </c>
      <c r="J4651" s="3">
        <v>0.12168408625195792</v>
      </c>
      <c r="K4651" s="3">
        <v>-0.10848338471000174</v>
      </c>
      <c r="L4651" t="s">
        <v>54</v>
      </c>
    </row>
    <row r="4652" spans="1:12" x14ac:dyDescent="0.25">
      <c r="A4652" t="s">
        <v>487</v>
      </c>
      <c r="B4652" t="s">
        <v>465</v>
      </c>
      <c r="C4652" t="s">
        <v>478</v>
      </c>
      <c r="D4652" t="s">
        <v>180</v>
      </c>
      <c r="E4652" t="s">
        <v>186</v>
      </c>
      <c r="F4652">
        <v>3</v>
      </c>
      <c r="G4652" t="s">
        <v>488</v>
      </c>
      <c r="H4652" s="4">
        <v>7642455</v>
      </c>
      <c r="I4652" s="4">
        <v>7211438.1064961245</v>
      </c>
      <c r="J4652" s="3">
        <v>0.056397701197308386</v>
      </c>
      <c r="K4652" s="3">
        <v>0.059768507631731846</v>
      </c>
      <c r="L4652" t="s">
        <v>54</v>
      </c>
    </row>
    <row r="4653" spans="1:12" x14ac:dyDescent="0.25">
      <c r="A4653" t="s">
        <v>487</v>
      </c>
      <c r="B4653" t="s">
        <v>465</v>
      </c>
      <c r="C4653" t="s">
        <v>478</v>
      </c>
      <c r="D4653" t="s">
        <v>180</v>
      </c>
      <c r="E4653" t="s">
        <v>186</v>
      </c>
      <c r="F4653">
        <v>3</v>
      </c>
      <c r="G4653" t="s">
        <v>498</v>
      </c>
      <c r="H4653" s="4">
        <v>7642455</v>
      </c>
      <c r="I4653" s="4">
        <v>6880903</v>
      </c>
      <c r="J4653" s="3">
        <v>0.09964756089502654</v>
      </c>
      <c r="K4653" s="3">
        <v>0.11067617142691882</v>
      </c>
      <c r="L4653" t="s">
        <v>54</v>
      </c>
    </row>
    <row r="4654" spans="1:12" x14ac:dyDescent="0.25">
      <c r="A4654" t="s">
        <v>487</v>
      </c>
      <c r="B4654" t="s">
        <v>465</v>
      </c>
      <c r="C4654" t="s">
        <v>478</v>
      </c>
      <c r="D4654" t="s">
        <v>180</v>
      </c>
      <c r="E4654" t="s">
        <v>186</v>
      </c>
      <c r="F4654">
        <v>3</v>
      </c>
      <c r="G4654" t="s">
        <v>499</v>
      </c>
      <c r="H4654" s="4">
        <v>7642455</v>
      </c>
      <c r="I4654" s="4">
        <v>9014468</v>
      </c>
      <c r="J4654" s="3">
        <v>0.17952516566993199</v>
      </c>
      <c r="K4654" s="3">
        <v>-0.15220121697697522</v>
      </c>
      <c r="L4654" t="s">
        <v>54</v>
      </c>
    </row>
    <row r="4655" spans="1:12" x14ac:dyDescent="0.25">
      <c r="A4655" t="s">
        <v>487</v>
      </c>
      <c r="B4655" t="s">
        <v>465</v>
      </c>
      <c r="C4655" t="s">
        <v>478</v>
      </c>
      <c r="D4655" t="s">
        <v>182</v>
      </c>
      <c r="E4655" t="s">
        <v>184</v>
      </c>
      <c r="F4655">
        <v>1</v>
      </c>
      <c r="G4655" t="s">
        <v>488</v>
      </c>
      <c r="H4655" s="4">
        <v>8036548</v>
      </c>
      <c r="I4655" s="4">
        <v>7888331.3129697535</v>
      </c>
      <c r="J4655" s="3">
        <v>0.018442829810790214</v>
      </c>
      <c r="K4655" s="3">
        <v>0.01878935875659192</v>
      </c>
      <c r="L4655" t="s">
        <v>54</v>
      </c>
    </row>
    <row r="4656" spans="1:12" x14ac:dyDescent="0.25">
      <c r="A4656" t="s">
        <v>487</v>
      </c>
      <c r="B4656" t="s">
        <v>465</v>
      </c>
      <c r="C4656" t="s">
        <v>478</v>
      </c>
      <c r="D4656" t="s">
        <v>182</v>
      </c>
      <c r="E4656" t="s">
        <v>184</v>
      </c>
      <c r="F4656">
        <v>1</v>
      </c>
      <c r="G4656" t="s">
        <v>498</v>
      </c>
      <c r="H4656" s="4">
        <v>8036548</v>
      </c>
      <c r="I4656" s="4">
        <v>7472398</v>
      </c>
      <c r="J4656" s="3">
        <v>0.07019805020762646</v>
      </c>
      <c r="K4656" s="3">
        <v>0.07549785222896317</v>
      </c>
      <c r="L4656" t="s">
        <v>54</v>
      </c>
    </row>
    <row r="4657" spans="1:12" x14ac:dyDescent="0.25">
      <c r="A4657" t="s">
        <v>487</v>
      </c>
      <c r="B4657" t="s">
        <v>465</v>
      </c>
      <c r="C4657" t="s">
        <v>478</v>
      </c>
      <c r="D4657" t="s">
        <v>182</v>
      </c>
      <c r="E4657" t="s">
        <v>184</v>
      </c>
      <c r="F4657">
        <v>1</v>
      </c>
      <c r="G4657" t="s">
        <v>499</v>
      </c>
      <c r="H4657" s="4">
        <v>8036548</v>
      </c>
      <c r="I4657" s="4">
        <v>12213664</v>
      </c>
      <c r="J4657" s="3">
        <v>0.5197649538085257</v>
      </c>
      <c r="K4657" s="3">
        <v>-0.34200351344199414</v>
      </c>
      <c r="L4657" t="s">
        <v>54</v>
      </c>
    </row>
    <row r="4658" spans="1:12" x14ac:dyDescent="0.25">
      <c r="A4658" t="s">
        <v>487</v>
      </c>
      <c r="B4658" t="s">
        <v>465</v>
      </c>
      <c r="C4658" t="s">
        <v>478</v>
      </c>
      <c r="D4658" t="s">
        <v>182</v>
      </c>
      <c r="E4658" t="s">
        <v>186</v>
      </c>
      <c r="F4658">
        <v>2</v>
      </c>
      <c r="G4658" t="s">
        <v>488</v>
      </c>
      <c r="H4658" s="4">
        <v>7642455</v>
      </c>
      <c r="I4658" s="4">
        <v>7263912.146597052</v>
      </c>
      <c r="J4658" s="3">
        <v>0.04953157766750972</v>
      </c>
      <c r="K4658" s="3">
        <v>0.05211280722610132</v>
      </c>
      <c r="L4658" t="s">
        <v>54</v>
      </c>
    </row>
    <row r="4659" spans="1:12" x14ac:dyDescent="0.25">
      <c r="A4659" t="s">
        <v>487</v>
      </c>
      <c r="B4659" t="s">
        <v>465</v>
      </c>
      <c r="C4659" t="s">
        <v>478</v>
      </c>
      <c r="D4659" t="s">
        <v>182</v>
      </c>
      <c r="E4659" t="s">
        <v>186</v>
      </c>
      <c r="F4659">
        <v>2</v>
      </c>
      <c r="G4659" t="s">
        <v>498</v>
      </c>
      <c r="H4659" s="4">
        <v>7642455</v>
      </c>
      <c r="I4659" s="4">
        <v>6880903</v>
      </c>
      <c r="J4659" s="3">
        <v>0.09964756089502654</v>
      </c>
      <c r="K4659" s="3">
        <v>0.11067617142691882</v>
      </c>
      <c r="L4659" t="s">
        <v>54</v>
      </c>
    </row>
    <row r="4660" spans="1:12" x14ac:dyDescent="0.25">
      <c r="A4660" t="s">
        <v>487</v>
      </c>
      <c r="B4660" t="s">
        <v>465</v>
      </c>
      <c r="C4660" t="s">
        <v>478</v>
      </c>
      <c r="D4660" t="s">
        <v>182</v>
      </c>
      <c r="E4660" t="s">
        <v>186</v>
      </c>
      <c r="F4660">
        <v>2</v>
      </c>
      <c r="G4660" t="s">
        <v>499</v>
      </c>
      <c r="H4660" s="4">
        <v>7642455</v>
      </c>
      <c r="I4660" s="4">
        <v>12213664</v>
      </c>
      <c r="J4660" s="3">
        <v>0.5981335840381135</v>
      </c>
      <c r="K4660" s="3">
        <v>-0.3742700798056996</v>
      </c>
      <c r="L4660" t="s">
        <v>54</v>
      </c>
    </row>
    <row r="4661" spans="1:12" x14ac:dyDescent="0.25">
      <c r="A4661" t="s">
        <v>487</v>
      </c>
      <c r="B4661" t="s">
        <v>465</v>
      </c>
      <c r="C4661" t="s">
        <v>478</v>
      </c>
      <c r="D4661" t="s">
        <v>182</v>
      </c>
      <c r="E4661" t="s">
        <v>188</v>
      </c>
      <c r="F4661">
        <v>3</v>
      </c>
      <c r="G4661" t="s">
        <v>488</v>
      </c>
      <c r="H4661" s="4">
        <v>7675511</v>
      </c>
      <c r="I4661" s="4">
        <v>9078804.17031737</v>
      </c>
      <c r="J4661" s="3">
        <v>0.18282732841075602</v>
      </c>
      <c r="K4661" s="3">
        <v>-0.15456806248837893</v>
      </c>
      <c r="L4661" t="s">
        <v>54</v>
      </c>
    </row>
    <row r="4662" spans="1:12" x14ac:dyDescent="0.25">
      <c r="A4662" t="s">
        <v>487</v>
      </c>
      <c r="B4662" t="s">
        <v>465</v>
      </c>
      <c r="C4662" t="s">
        <v>478</v>
      </c>
      <c r="D4662" t="s">
        <v>182</v>
      </c>
      <c r="E4662" t="s">
        <v>188</v>
      </c>
      <c r="F4662">
        <v>3</v>
      </c>
      <c r="G4662" t="s">
        <v>498</v>
      </c>
      <c r="H4662" s="4">
        <v>7675511</v>
      </c>
      <c r="I4662" s="4">
        <v>8600100</v>
      </c>
      <c r="J4662" s="3">
        <v>0.12045960197308037</v>
      </c>
      <c r="K4662" s="3">
        <v>-0.1075090987314101</v>
      </c>
      <c r="L4662" t="s">
        <v>54</v>
      </c>
    </row>
    <row r="4663" spans="1:12" x14ac:dyDescent="0.25">
      <c r="A4663" t="s">
        <v>487</v>
      </c>
      <c r="B4663" t="s">
        <v>465</v>
      </c>
      <c r="C4663" t="s">
        <v>478</v>
      </c>
      <c r="D4663" t="s">
        <v>182</v>
      </c>
      <c r="E4663" t="s">
        <v>188</v>
      </c>
      <c r="F4663">
        <v>3</v>
      </c>
      <c r="G4663" t="s">
        <v>499</v>
      </c>
      <c r="H4663" s="4">
        <v>7675511</v>
      </c>
      <c r="I4663" s="4">
        <v>12213664</v>
      </c>
      <c r="J4663" s="3">
        <v>0.591250927788391</v>
      </c>
      <c r="K4663" s="3">
        <v>-0.37156360286315393</v>
      </c>
      <c r="L4663" t="s">
        <v>54</v>
      </c>
    </row>
    <row r="4664" spans="1:12" x14ac:dyDescent="0.25">
      <c r="A4664" t="s">
        <v>487</v>
      </c>
      <c r="B4664" t="s">
        <v>465</v>
      </c>
      <c r="C4664" t="s">
        <v>478</v>
      </c>
      <c r="D4664" t="s">
        <v>184</v>
      </c>
      <c r="E4664" t="s">
        <v>186</v>
      </c>
      <c r="F4664">
        <v>1</v>
      </c>
      <c r="G4664" t="s">
        <v>488</v>
      </c>
      <c r="H4664" s="4">
        <v>7642455</v>
      </c>
      <c r="I4664" s="4">
        <v>7387185.17069399</v>
      </c>
      <c r="J4664" s="3">
        <v>0.03340154823365138</v>
      </c>
      <c r="K4664" s="3">
        <v>0.034555764260343944</v>
      </c>
      <c r="L4664" t="s">
        <v>54</v>
      </c>
    </row>
    <row r="4665" spans="1:12" x14ac:dyDescent="0.25">
      <c r="A4665" t="s">
        <v>487</v>
      </c>
      <c r="B4665" t="s">
        <v>465</v>
      </c>
      <c r="C4665" t="s">
        <v>478</v>
      </c>
      <c r="D4665" t="s">
        <v>184</v>
      </c>
      <c r="E4665" t="s">
        <v>186</v>
      </c>
      <c r="F4665">
        <v>1</v>
      </c>
      <c r="G4665" t="s">
        <v>498</v>
      </c>
      <c r="H4665" s="4">
        <v>7642455</v>
      </c>
      <c r="I4665" s="4">
        <v>6880903</v>
      </c>
      <c r="J4665" s="3">
        <v>0.09964756089502654</v>
      </c>
      <c r="K4665" s="3">
        <v>0.11067617142691882</v>
      </c>
      <c r="L4665" t="s">
        <v>54</v>
      </c>
    </row>
    <row r="4666" spans="1:12" x14ac:dyDescent="0.25">
      <c r="A4666" t="s">
        <v>487</v>
      </c>
      <c r="B4666" t="s">
        <v>465</v>
      </c>
      <c r="C4666" t="s">
        <v>478</v>
      </c>
      <c r="D4666" t="s">
        <v>184</v>
      </c>
      <c r="E4666" t="s">
        <v>186</v>
      </c>
      <c r="F4666">
        <v>1</v>
      </c>
      <c r="G4666" t="s">
        <v>499</v>
      </c>
      <c r="H4666" s="4">
        <v>7642455</v>
      </c>
      <c r="I4666" s="4">
        <v>8036548</v>
      </c>
      <c r="J4666" s="3">
        <v>0.051566283347432205</v>
      </c>
      <c r="K4666" s="3">
        <v>-0.04903759673929652</v>
      </c>
      <c r="L4666" t="s">
        <v>54</v>
      </c>
    </row>
    <row r="4667" spans="1:12" x14ac:dyDescent="0.25">
      <c r="A4667" t="s">
        <v>487</v>
      </c>
      <c r="B4667" t="s">
        <v>465</v>
      </c>
      <c r="C4667" t="s">
        <v>478</v>
      </c>
      <c r="D4667" t="s">
        <v>184</v>
      </c>
      <c r="E4667" t="s">
        <v>188</v>
      </c>
      <c r="F4667">
        <v>2</v>
      </c>
      <c r="G4667" t="s">
        <v>488</v>
      </c>
      <c r="H4667" s="4">
        <v>7675511</v>
      </c>
      <c r="I4667" s="4">
        <v>9232877.020136075</v>
      </c>
      <c r="J4667" s="3">
        <v>0.20290063034709677</v>
      </c>
      <c r="K4667" s="3">
        <v>-0.16867613602343015</v>
      </c>
      <c r="L4667" t="s">
        <v>54</v>
      </c>
    </row>
    <row r="4668" spans="1:12" x14ac:dyDescent="0.25">
      <c r="A4668" t="s">
        <v>487</v>
      </c>
      <c r="B4668" t="s">
        <v>465</v>
      </c>
      <c r="C4668" t="s">
        <v>478</v>
      </c>
      <c r="D4668" t="s">
        <v>184</v>
      </c>
      <c r="E4668" t="s">
        <v>188</v>
      </c>
      <c r="F4668">
        <v>2</v>
      </c>
      <c r="G4668" t="s">
        <v>498</v>
      </c>
      <c r="H4668" s="4">
        <v>7675511</v>
      </c>
      <c r="I4668" s="4">
        <v>8600100</v>
      </c>
      <c r="J4668" s="3">
        <v>0.12045960197308037</v>
      </c>
      <c r="K4668" s="3">
        <v>-0.1075090987314101</v>
      </c>
      <c r="L4668" t="s">
        <v>54</v>
      </c>
    </row>
    <row r="4669" spans="1:12" x14ac:dyDescent="0.25">
      <c r="A4669" t="s">
        <v>487</v>
      </c>
      <c r="B4669" t="s">
        <v>465</v>
      </c>
      <c r="C4669" t="s">
        <v>478</v>
      </c>
      <c r="D4669" t="s">
        <v>184</v>
      </c>
      <c r="E4669" t="s">
        <v>188</v>
      </c>
      <c r="F4669">
        <v>2</v>
      </c>
      <c r="G4669" t="s">
        <v>499</v>
      </c>
      <c r="H4669" s="4">
        <v>7675511</v>
      </c>
      <c r="I4669" s="4">
        <v>8036548</v>
      </c>
      <c r="J4669" s="3">
        <v>0.047037519716928294</v>
      </c>
      <c r="K4669" s="3">
        <v>-0.04492438793372478</v>
      </c>
      <c r="L4669" t="s">
        <v>54</v>
      </c>
    </row>
    <row r="4670" spans="1:12" x14ac:dyDescent="0.25">
      <c r="A4670" t="s">
        <v>487</v>
      </c>
      <c r="B4670" t="s">
        <v>465</v>
      </c>
      <c r="C4670" t="s">
        <v>478</v>
      </c>
      <c r="D4670" t="s">
        <v>184</v>
      </c>
      <c r="E4670" t="s">
        <v>190</v>
      </c>
      <c r="F4670">
        <v>3</v>
      </c>
      <c r="G4670" t="s">
        <v>488</v>
      </c>
      <c r="H4670" s="4">
        <v>8742031</v>
      </c>
      <c r="I4670" s="4">
        <v>8624968.920431776</v>
      </c>
      <c r="J4670" s="3">
        <v>0.013390718880798298</v>
      </c>
      <c r="K4670" s="3">
        <v>0.013572463929802053</v>
      </c>
      <c r="L4670" t="s">
        <v>54</v>
      </c>
    </row>
    <row r="4671" spans="1:12" x14ac:dyDescent="0.25">
      <c r="A4671" t="s">
        <v>487</v>
      </c>
      <c r="B4671" t="s">
        <v>465</v>
      </c>
      <c r="C4671" t="s">
        <v>478</v>
      </c>
      <c r="D4671" t="s">
        <v>184</v>
      </c>
      <c r="E4671" t="s">
        <v>190</v>
      </c>
      <c r="F4671">
        <v>3</v>
      </c>
      <c r="G4671" t="s">
        <v>498</v>
      </c>
      <c r="H4671" s="4">
        <v>8742031</v>
      </c>
      <c r="I4671" s="4">
        <v>8033855</v>
      </c>
      <c r="J4671" s="3">
        <v>0.08100817761913678</v>
      </c>
      <c r="K4671" s="3">
        <v>0.08814896460043155</v>
      </c>
      <c r="L4671" t="s">
        <v>54</v>
      </c>
    </row>
    <row r="4672" spans="1:12" x14ac:dyDescent="0.25">
      <c r="A4672" t="s">
        <v>487</v>
      </c>
      <c r="B4672" t="s">
        <v>465</v>
      </c>
      <c r="C4672" t="s">
        <v>478</v>
      </c>
      <c r="D4672" t="s">
        <v>184</v>
      </c>
      <c r="E4672" t="s">
        <v>190</v>
      </c>
      <c r="F4672">
        <v>3</v>
      </c>
      <c r="G4672" t="s">
        <v>499</v>
      </c>
      <c r="H4672" s="4">
        <v>8742031</v>
      </c>
      <c r="I4672" s="4">
        <v>8036548</v>
      </c>
      <c r="J4672" s="3">
        <v>0.08070012563442065</v>
      </c>
      <c r="K4672" s="3">
        <v>0.08778433227798801</v>
      </c>
      <c r="L4672" t="s">
        <v>54</v>
      </c>
    </row>
    <row r="4673" spans="1:12" x14ac:dyDescent="0.25">
      <c r="A4673" t="s">
        <v>487</v>
      </c>
      <c r="B4673" t="s">
        <v>465</v>
      </c>
      <c r="C4673" t="s">
        <v>478</v>
      </c>
      <c r="D4673" t="s">
        <v>186</v>
      </c>
      <c r="E4673" t="s">
        <v>188</v>
      </c>
      <c r="F4673">
        <v>1</v>
      </c>
      <c r="G4673" t="s">
        <v>488</v>
      </c>
      <c r="H4673" s="4">
        <v>7675511</v>
      </c>
      <c r="I4673" s="4">
        <v>9186103.268691383</v>
      </c>
      <c r="J4673" s="3">
        <v>0.19680673621487654</v>
      </c>
      <c r="K4673" s="3">
        <v>-0.16444320562341952</v>
      </c>
      <c r="L4673" t="s">
        <v>54</v>
      </c>
    </row>
    <row r="4674" spans="1:12" x14ac:dyDescent="0.25">
      <c r="A4674" t="s">
        <v>487</v>
      </c>
      <c r="B4674" t="s">
        <v>465</v>
      </c>
      <c r="C4674" t="s">
        <v>478</v>
      </c>
      <c r="D4674" t="s">
        <v>186</v>
      </c>
      <c r="E4674" t="s">
        <v>188</v>
      </c>
      <c r="F4674">
        <v>1</v>
      </c>
      <c r="G4674" t="s">
        <v>498</v>
      </c>
      <c r="H4674" s="4">
        <v>7675511</v>
      </c>
      <c r="I4674" s="4">
        <v>8600100</v>
      </c>
      <c r="J4674" s="3">
        <v>0.12045960197308037</v>
      </c>
      <c r="K4674" s="3">
        <v>-0.1075090987314101</v>
      </c>
      <c r="L4674" t="s">
        <v>54</v>
      </c>
    </row>
    <row r="4675" spans="1:12" x14ac:dyDescent="0.25">
      <c r="A4675" t="s">
        <v>487</v>
      </c>
      <c r="B4675" t="s">
        <v>465</v>
      </c>
      <c r="C4675" t="s">
        <v>478</v>
      </c>
      <c r="D4675" t="s">
        <v>186</v>
      </c>
      <c r="E4675" t="s">
        <v>188</v>
      </c>
      <c r="F4675">
        <v>1</v>
      </c>
      <c r="G4675" t="s">
        <v>499</v>
      </c>
      <c r="H4675" s="4">
        <v>7675511</v>
      </c>
      <c r="I4675" s="4">
        <v>7642455</v>
      </c>
      <c r="J4675" s="3">
        <v>0.00430668394586367</v>
      </c>
      <c r="K4675" s="3">
        <v>0.004325311696307011</v>
      </c>
      <c r="L4675" t="s">
        <v>54</v>
      </c>
    </row>
    <row r="4676" spans="1:12" x14ac:dyDescent="0.25">
      <c r="A4676" t="s">
        <v>487</v>
      </c>
      <c r="B4676" t="s">
        <v>465</v>
      </c>
      <c r="C4676" t="s">
        <v>478</v>
      </c>
      <c r="D4676" t="s">
        <v>186</v>
      </c>
      <c r="E4676" t="s">
        <v>190</v>
      </c>
      <c r="F4676">
        <v>2</v>
      </c>
      <c r="G4676" t="s">
        <v>488</v>
      </c>
      <c r="H4676" s="4">
        <v>8742031</v>
      </c>
      <c r="I4676" s="4">
        <v>8581274.83118715</v>
      </c>
      <c r="J4676" s="3">
        <v>0.01838888112074305</v>
      </c>
      <c r="K4676" s="3">
        <v>0.018733366775366543</v>
      </c>
      <c r="L4676" t="s">
        <v>54</v>
      </c>
    </row>
    <row r="4677" spans="1:12" x14ac:dyDescent="0.25">
      <c r="A4677" t="s">
        <v>487</v>
      </c>
      <c r="B4677" t="s">
        <v>465</v>
      </c>
      <c r="C4677" t="s">
        <v>478</v>
      </c>
      <c r="D4677" t="s">
        <v>186</v>
      </c>
      <c r="E4677" t="s">
        <v>190</v>
      </c>
      <c r="F4677">
        <v>2</v>
      </c>
      <c r="G4677" t="s">
        <v>498</v>
      </c>
      <c r="H4677" s="4">
        <v>8742031</v>
      </c>
      <c r="I4677" s="4">
        <v>8033855</v>
      </c>
      <c r="J4677" s="3">
        <v>0.08100817761913678</v>
      </c>
      <c r="K4677" s="3">
        <v>0.08814896460043155</v>
      </c>
      <c r="L4677" t="s">
        <v>54</v>
      </c>
    </row>
    <row r="4678" spans="1:12" x14ac:dyDescent="0.25">
      <c r="A4678" t="s">
        <v>487</v>
      </c>
      <c r="B4678" t="s">
        <v>465</v>
      </c>
      <c r="C4678" t="s">
        <v>478</v>
      </c>
      <c r="D4678" t="s">
        <v>186</v>
      </c>
      <c r="E4678" t="s">
        <v>190</v>
      </c>
      <c r="F4678">
        <v>2</v>
      </c>
      <c r="G4678" t="s">
        <v>499</v>
      </c>
      <c r="H4678" s="4">
        <v>8742031</v>
      </c>
      <c r="I4678" s="4">
        <v>7642455</v>
      </c>
      <c r="J4678" s="3">
        <v>0.1257803821560459</v>
      </c>
      <c r="K4678" s="3">
        <v>0.14387732737713207</v>
      </c>
      <c r="L4678" t="s">
        <v>54</v>
      </c>
    </row>
    <row r="4679" spans="1:12" x14ac:dyDescent="0.25">
      <c r="A4679" t="s">
        <v>487</v>
      </c>
      <c r="B4679" t="s">
        <v>465</v>
      </c>
      <c r="C4679" t="s">
        <v>478</v>
      </c>
      <c r="D4679" t="s">
        <v>186</v>
      </c>
      <c r="E4679" t="s">
        <v>192</v>
      </c>
      <c r="F4679">
        <v>3</v>
      </c>
      <c r="G4679" t="s">
        <v>488</v>
      </c>
      <c r="H4679" s="4">
        <v>10485187</v>
      </c>
      <c r="I4679" s="4">
        <v>10449188.462614737</v>
      </c>
      <c r="J4679" s="3">
        <v>0.0034332756664485382</v>
      </c>
      <c r="K4679" s="3">
        <v>0.0034451036570025176</v>
      </c>
      <c r="L4679" t="s">
        <v>54</v>
      </c>
    </row>
    <row r="4680" spans="1:12" x14ac:dyDescent="0.25">
      <c r="A4680" t="s">
        <v>487</v>
      </c>
      <c r="B4680" t="s">
        <v>465</v>
      </c>
      <c r="C4680" t="s">
        <v>478</v>
      </c>
      <c r="D4680" t="s">
        <v>186</v>
      </c>
      <c r="E4680" t="s">
        <v>192</v>
      </c>
      <c r="F4680">
        <v>3</v>
      </c>
      <c r="G4680" t="s">
        <v>498</v>
      </c>
      <c r="H4680" s="4">
        <v>10485187</v>
      </c>
      <c r="I4680" s="4">
        <v>9782610</v>
      </c>
      <c r="J4680" s="3">
        <v>0.06700662563290478</v>
      </c>
      <c r="K4680" s="3">
        <v>0.0718189726463592</v>
      </c>
      <c r="L4680" t="s">
        <v>54</v>
      </c>
    </row>
    <row r="4681" spans="1:12" x14ac:dyDescent="0.25">
      <c r="A4681" t="s">
        <v>487</v>
      </c>
      <c r="B4681" t="s">
        <v>465</v>
      </c>
      <c r="C4681" t="s">
        <v>478</v>
      </c>
      <c r="D4681" t="s">
        <v>186</v>
      </c>
      <c r="E4681" t="s">
        <v>192</v>
      </c>
      <c r="F4681">
        <v>3</v>
      </c>
      <c r="G4681" t="s">
        <v>499</v>
      </c>
      <c r="H4681" s="4">
        <v>10485187</v>
      </c>
      <c r="I4681" s="4">
        <v>7642455</v>
      </c>
      <c r="J4681" s="3">
        <v>0.27111886511895306</v>
      </c>
      <c r="K4681" s="3">
        <v>0.37196581464987366</v>
      </c>
      <c r="L4681" t="s">
        <v>54</v>
      </c>
    </row>
    <row r="4682" spans="1:12" x14ac:dyDescent="0.25">
      <c r="A4682" t="s">
        <v>487</v>
      </c>
      <c r="B4682" t="s">
        <v>465</v>
      </c>
      <c r="C4682" t="s">
        <v>478</v>
      </c>
      <c r="D4682" t="s">
        <v>188</v>
      </c>
      <c r="E4682" t="s">
        <v>190</v>
      </c>
      <c r="F4682">
        <v>1</v>
      </c>
      <c r="G4682" t="s">
        <v>488</v>
      </c>
      <c r="H4682" s="4">
        <v>8742031</v>
      </c>
      <c r="I4682" s="4">
        <v>8515221.884552604</v>
      </c>
      <c r="J4682" s="3">
        <v>0.0259446706889276</v>
      </c>
      <c r="K4682" s="3">
        <v>0.026635725823991624</v>
      </c>
      <c r="L4682" t="s">
        <v>54</v>
      </c>
    </row>
    <row r="4683" spans="1:12" x14ac:dyDescent="0.25">
      <c r="A4683" t="s">
        <v>487</v>
      </c>
      <c r="B4683" t="s">
        <v>465</v>
      </c>
      <c r="C4683" t="s">
        <v>478</v>
      </c>
      <c r="D4683" t="s">
        <v>188</v>
      </c>
      <c r="E4683" t="s">
        <v>190</v>
      </c>
      <c r="F4683">
        <v>1</v>
      </c>
      <c r="G4683" t="s">
        <v>498</v>
      </c>
      <c r="H4683" s="4">
        <v>8742031</v>
      </c>
      <c r="I4683" s="4">
        <v>8033855</v>
      </c>
      <c r="J4683" s="3">
        <v>0.08100817761913678</v>
      </c>
      <c r="K4683" s="3">
        <v>0.08814896460043155</v>
      </c>
      <c r="L4683" t="s">
        <v>54</v>
      </c>
    </row>
    <row r="4684" spans="1:12" x14ac:dyDescent="0.25">
      <c r="A4684" t="s">
        <v>487</v>
      </c>
      <c r="B4684" t="s">
        <v>465</v>
      </c>
      <c r="C4684" t="s">
        <v>478</v>
      </c>
      <c r="D4684" t="s">
        <v>188</v>
      </c>
      <c r="E4684" t="s">
        <v>190</v>
      </c>
      <c r="F4684">
        <v>1</v>
      </c>
      <c r="G4684" t="s">
        <v>499</v>
      </c>
      <c r="H4684" s="4">
        <v>8742031</v>
      </c>
      <c r="I4684" s="4">
        <v>7675511</v>
      </c>
      <c r="J4684" s="3">
        <v>0.12199910981784438</v>
      </c>
      <c r="K4684" s="3">
        <v>0.13895100925527956</v>
      </c>
      <c r="L4684" t="s">
        <v>54</v>
      </c>
    </row>
    <row r="4685" spans="1:12" x14ac:dyDescent="0.25">
      <c r="A4685" t="s">
        <v>487</v>
      </c>
      <c r="B4685" t="s">
        <v>465</v>
      </c>
      <c r="C4685" t="s">
        <v>478</v>
      </c>
      <c r="D4685" t="s">
        <v>188</v>
      </c>
      <c r="E4685" t="s">
        <v>192</v>
      </c>
      <c r="F4685">
        <v>2</v>
      </c>
      <c r="G4685" t="s">
        <v>488</v>
      </c>
      <c r="H4685" s="4">
        <v>10485187</v>
      </c>
      <c r="I4685" s="4">
        <v>10368757.559109934</v>
      </c>
      <c r="J4685" s="3">
        <v>0.0111041835391268</v>
      </c>
      <c r="K4685" s="3">
        <v>0.011228870983464364</v>
      </c>
      <c r="L4685" t="s">
        <v>54</v>
      </c>
    </row>
    <row r="4686" spans="1:12" x14ac:dyDescent="0.25">
      <c r="A4686" t="s">
        <v>487</v>
      </c>
      <c r="B4686" t="s">
        <v>465</v>
      </c>
      <c r="C4686" t="s">
        <v>478</v>
      </c>
      <c r="D4686" t="s">
        <v>188</v>
      </c>
      <c r="E4686" t="s">
        <v>192</v>
      </c>
      <c r="F4686">
        <v>2</v>
      </c>
      <c r="G4686" t="s">
        <v>498</v>
      </c>
      <c r="H4686" s="4">
        <v>10485187</v>
      </c>
      <c r="I4686" s="4">
        <v>9782610</v>
      </c>
      <c r="J4686" s="3">
        <v>0.06700662563290478</v>
      </c>
      <c r="K4686" s="3">
        <v>0.0718189726463592</v>
      </c>
      <c r="L4686" t="s">
        <v>54</v>
      </c>
    </row>
    <row r="4687" spans="1:12" x14ac:dyDescent="0.25">
      <c r="A4687" t="s">
        <v>487</v>
      </c>
      <c r="B4687" t="s">
        <v>465</v>
      </c>
      <c r="C4687" t="s">
        <v>478</v>
      </c>
      <c r="D4687" t="s">
        <v>188</v>
      </c>
      <c r="E4687" t="s">
        <v>192</v>
      </c>
      <c r="F4687">
        <v>2</v>
      </c>
      <c r="G4687" t="s">
        <v>499</v>
      </c>
      <c r="H4687" s="4">
        <v>10485187</v>
      </c>
      <c r="I4687" s="4">
        <v>7675511</v>
      </c>
      <c r="J4687" s="3">
        <v>0.2679662270210345</v>
      </c>
      <c r="K4687" s="3">
        <v>0.3660571915016472</v>
      </c>
      <c r="L4687" t="s">
        <v>54</v>
      </c>
    </row>
    <row r="4688" spans="1:12" x14ac:dyDescent="0.25">
      <c r="A4688" t="s">
        <v>487</v>
      </c>
      <c r="B4688" t="s">
        <v>465</v>
      </c>
      <c r="C4688" t="s">
        <v>478</v>
      </c>
      <c r="D4688" t="s">
        <v>188</v>
      </c>
      <c r="E4688" t="s">
        <v>194</v>
      </c>
      <c r="F4688">
        <v>3</v>
      </c>
      <c r="G4688" t="s">
        <v>488</v>
      </c>
      <c r="H4688" s="4">
        <v>8932229</v>
      </c>
      <c r="I4688" s="4">
        <v>10202980.134190599</v>
      </c>
      <c r="J4688" s="3">
        <v>0.1422658481092008</v>
      </c>
      <c r="K4688" s="3">
        <v>-0.12454705561292431</v>
      </c>
      <c r="L4688" t="s">
        <v>54</v>
      </c>
    </row>
    <row r="4689" spans="1:12" x14ac:dyDescent="0.25">
      <c r="A4689" t="s">
        <v>487</v>
      </c>
      <c r="B4689" t="s">
        <v>465</v>
      </c>
      <c r="C4689" t="s">
        <v>478</v>
      </c>
      <c r="D4689" t="s">
        <v>188</v>
      </c>
      <c r="E4689" t="s">
        <v>194</v>
      </c>
      <c r="F4689">
        <v>3</v>
      </c>
      <c r="G4689" t="s">
        <v>498</v>
      </c>
      <c r="H4689" s="4">
        <v>8932229</v>
      </c>
      <c r="I4689" s="4">
        <v>9626204</v>
      </c>
      <c r="J4689" s="3">
        <v>0.07769337306511062</v>
      </c>
      <c r="K4689" s="3">
        <v>-0.07209228061237846</v>
      </c>
      <c r="L4689" t="s">
        <v>54</v>
      </c>
    </row>
    <row r="4690" spans="1:12" x14ac:dyDescent="0.25">
      <c r="A4690" t="s">
        <v>487</v>
      </c>
      <c r="B4690" t="s">
        <v>465</v>
      </c>
      <c r="C4690" t="s">
        <v>478</v>
      </c>
      <c r="D4690" t="s">
        <v>188</v>
      </c>
      <c r="E4690" t="s">
        <v>194</v>
      </c>
      <c r="F4690">
        <v>3</v>
      </c>
      <c r="G4690" t="s">
        <v>499</v>
      </c>
      <c r="H4690" s="4">
        <v>8932229</v>
      </c>
      <c r="I4690" s="4">
        <v>7675511</v>
      </c>
      <c r="J4690" s="3">
        <v>0.14069478066449034</v>
      </c>
      <c r="K4690" s="3">
        <v>0.16373085778914265</v>
      </c>
      <c r="L4690" t="s">
        <v>54</v>
      </c>
    </row>
    <row r="4691" spans="1:12" x14ac:dyDescent="0.25">
      <c r="A4691" t="s">
        <v>487</v>
      </c>
      <c r="B4691" t="s">
        <v>465</v>
      </c>
      <c r="C4691" t="s">
        <v>478</v>
      </c>
      <c r="D4691" t="s">
        <v>190</v>
      </c>
      <c r="E4691" t="s">
        <v>192</v>
      </c>
      <c r="F4691">
        <v>1</v>
      </c>
      <c r="G4691" t="s">
        <v>488</v>
      </c>
      <c r="H4691" s="4">
        <v>10485187</v>
      </c>
      <c r="I4691" s="4">
        <v>10291765.918455059</v>
      </c>
      <c r="J4691" s="3">
        <v>0.018447079822700472</v>
      </c>
      <c r="K4691" s="3">
        <v>0.018793769998023485</v>
      </c>
      <c r="L4691" t="s">
        <v>54</v>
      </c>
    </row>
    <row r="4692" spans="1:12" x14ac:dyDescent="0.25">
      <c r="A4692" t="s">
        <v>487</v>
      </c>
      <c r="B4692" t="s">
        <v>465</v>
      </c>
      <c r="C4692" t="s">
        <v>478</v>
      </c>
      <c r="D4692" t="s">
        <v>190</v>
      </c>
      <c r="E4692" t="s">
        <v>192</v>
      </c>
      <c r="F4692">
        <v>1</v>
      </c>
      <c r="G4692" t="s">
        <v>498</v>
      </c>
      <c r="H4692" s="4">
        <v>10485187</v>
      </c>
      <c r="I4692" s="4">
        <v>9782610</v>
      </c>
      <c r="J4692" s="3">
        <v>0.06700662563290478</v>
      </c>
      <c r="K4692" s="3">
        <v>0.0718189726463592</v>
      </c>
      <c r="L4692" t="s">
        <v>54</v>
      </c>
    </row>
    <row r="4693" spans="1:12" x14ac:dyDescent="0.25">
      <c r="A4693" t="s">
        <v>487</v>
      </c>
      <c r="B4693" t="s">
        <v>465</v>
      </c>
      <c r="C4693" t="s">
        <v>478</v>
      </c>
      <c r="D4693" t="s">
        <v>190</v>
      </c>
      <c r="E4693" t="s">
        <v>192</v>
      </c>
      <c r="F4693">
        <v>1</v>
      </c>
      <c r="G4693" t="s">
        <v>499</v>
      </c>
      <c r="H4693" s="4">
        <v>10485187</v>
      </c>
      <c r="I4693" s="4">
        <v>8742031</v>
      </c>
      <c r="J4693" s="3">
        <v>0.1662493954566571</v>
      </c>
      <c r="K4693" s="3">
        <v>0.1993994301781817</v>
      </c>
      <c r="L4693" t="s">
        <v>54</v>
      </c>
    </row>
    <row r="4694" spans="1:12" x14ac:dyDescent="0.25">
      <c r="A4694" t="s">
        <v>487</v>
      </c>
      <c r="B4694" t="s">
        <v>465</v>
      </c>
      <c r="C4694" t="s">
        <v>478</v>
      </c>
      <c r="D4694" t="s">
        <v>190</v>
      </c>
      <c r="E4694" t="s">
        <v>194</v>
      </c>
      <c r="F4694">
        <v>2</v>
      </c>
      <c r="G4694" t="s">
        <v>488</v>
      </c>
      <c r="H4694" s="4">
        <v>8932229</v>
      </c>
      <c r="I4694" s="4">
        <v>10127219.44872542</v>
      </c>
      <c r="J4694" s="3">
        <v>0.13378412585765762</v>
      </c>
      <c r="K4694" s="3">
        <v>-0.11799788231860789</v>
      </c>
      <c r="L4694" t="s">
        <v>54</v>
      </c>
    </row>
    <row r="4695" spans="1:12" x14ac:dyDescent="0.25">
      <c r="A4695" t="s">
        <v>487</v>
      </c>
      <c r="B4695" t="s">
        <v>465</v>
      </c>
      <c r="C4695" t="s">
        <v>478</v>
      </c>
      <c r="D4695" t="s">
        <v>190</v>
      </c>
      <c r="E4695" t="s">
        <v>194</v>
      </c>
      <c r="F4695">
        <v>2</v>
      </c>
      <c r="G4695" t="s">
        <v>498</v>
      </c>
      <c r="H4695" s="4">
        <v>8932229</v>
      </c>
      <c r="I4695" s="4">
        <v>9626204</v>
      </c>
      <c r="J4695" s="3">
        <v>0.07769337306511062</v>
      </c>
      <c r="K4695" s="3">
        <v>-0.07209228061237846</v>
      </c>
      <c r="L4695" t="s">
        <v>54</v>
      </c>
    </row>
    <row r="4696" spans="1:12" x14ac:dyDescent="0.25">
      <c r="A4696" t="s">
        <v>487</v>
      </c>
      <c r="B4696" t="s">
        <v>465</v>
      </c>
      <c r="C4696" t="s">
        <v>478</v>
      </c>
      <c r="D4696" t="s">
        <v>190</v>
      </c>
      <c r="E4696" t="s">
        <v>194</v>
      </c>
      <c r="F4696">
        <v>2</v>
      </c>
      <c r="G4696" t="s">
        <v>499</v>
      </c>
      <c r="H4696" s="4">
        <v>8932229</v>
      </c>
      <c r="I4696" s="4">
        <v>8742031</v>
      </c>
      <c r="J4696" s="3">
        <v>0.02129345317949193</v>
      </c>
      <c r="K4696" s="3">
        <v>0.021756729071310776</v>
      </c>
      <c r="L4696" t="s">
        <v>54</v>
      </c>
    </row>
    <row r="4697" spans="1:12" x14ac:dyDescent="0.25">
      <c r="A4697" t="s">
        <v>487</v>
      </c>
      <c r="B4697" t="s">
        <v>465</v>
      </c>
      <c r="C4697" t="s">
        <v>478</v>
      </c>
      <c r="D4697" t="s">
        <v>190</v>
      </c>
      <c r="E4697" t="s">
        <v>196</v>
      </c>
      <c r="F4697">
        <v>3</v>
      </c>
      <c r="G4697" t="s">
        <v>488</v>
      </c>
      <c r="H4697" s="4">
        <v>8663545</v>
      </c>
      <c r="I4697" s="4">
        <v>8139147.215661742</v>
      </c>
      <c r="J4697" s="3">
        <v>0.06052923882062807</v>
      </c>
      <c r="K4697" s="3">
        <v>0.06442908211921596</v>
      </c>
      <c r="L4697" t="s">
        <v>54</v>
      </c>
    </row>
    <row r="4698" spans="1:12" x14ac:dyDescent="0.25">
      <c r="A4698" t="s">
        <v>487</v>
      </c>
      <c r="B4698" t="s">
        <v>465</v>
      </c>
      <c r="C4698" t="s">
        <v>478</v>
      </c>
      <c r="D4698" t="s">
        <v>190</v>
      </c>
      <c r="E4698" t="s">
        <v>196</v>
      </c>
      <c r="F4698">
        <v>3</v>
      </c>
      <c r="G4698" t="s">
        <v>498</v>
      </c>
      <c r="H4698" s="4">
        <v>8663545</v>
      </c>
      <c r="I4698" s="4">
        <v>7736486</v>
      </c>
      <c r="J4698" s="3">
        <v>0.10700688921221048</v>
      </c>
      <c r="K4698" s="3">
        <v>0.11982946779713684</v>
      </c>
      <c r="L4698" t="s">
        <v>54</v>
      </c>
    </row>
    <row r="4699" spans="1:12" x14ac:dyDescent="0.25">
      <c r="A4699" t="s">
        <v>487</v>
      </c>
      <c r="B4699" t="s">
        <v>465</v>
      </c>
      <c r="C4699" t="s">
        <v>478</v>
      </c>
      <c r="D4699" t="s">
        <v>190</v>
      </c>
      <c r="E4699" t="s">
        <v>196</v>
      </c>
      <c r="F4699">
        <v>3</v>
      </c>
      <c r="G4699" t="s">
        <v>499</v>
      </c>
      <c r="H4699" s="4">
        <v>8663545</v>
      </c>
      <c r="I4699" s="4">
        <v>8742031</v>
      </c>
      <c r="J4699" s="3">
        <v>0.009059340027667657</v>
      </c>
      <c r="K4699" s="3">
        <v>-0.008978005225559142</v>
      </c>
      <c r="L4699" t="s">
        <v>54</v>
      </c>
    </row>
    <row r="4700" spans="1:12" x14ac:dyDescent="0.25">
      <c r="A4700" t="s">
        <v>487</v>
      </c>
      <c r="B4700" t="s">
        <v>465</v>
      </c>
      <c r="C4700" t="s">
        <v>478</v>
      </c>
      <c r="D4700" t="s">
        <v>192</v>
      </c>
      <c r="E4700" t="s">
        <v>194</v>
      </c>
      <c r="F4700">
        <v>1</v>
      </c>
      <c r="G4700" t="s">
        <v>488</v>
      </c>
      <c r="H4700" s="4">
        <v>8932229</v>
      </c>
      <c r="I4700" s="4">
        <v>10126052.081659889</v>
      </c>
      <c r="J4700" s="3">
        <v>0.13365343428386003</v>
      </c>
      <c r="K4700" s="3">
        <v>-0.1178962019978268</v>
      </c>
      <c r="L4700" t="s">
        <v>54</v>
      </c>
    </row>
    <row r="4701" spans="1:12" x14ac:dyDescent="0.25">
      <c r="A4701" t="s">
        <v>487</v>
      </c>
      <c r="B4701" t="s">
        <v>465</v>
      </c>
      <c r="C4701" t="s">
        <v>478</v>
      </c>
      <c r="D4701" t="s">
        <v>192</v>
      </c>
      <c r="E4701" t="s">
        <v>194</v>
      </c>
      <c r="F4701">
        <v>1</v>
      </c>
      <c r="G4701" t="s">
        <v>498</v>
      </c>
      <c r="H4701" s="4">
        <v>8932229</v>
      </c>
      <c r="I4701" s="4">
        <v>9626204</v>
      </c>
      <c r="J4701" s="3">
        <v>0.07769337306511062</v>
      </c>
      <c r="K4701" s="3">
        <v>-0.07209228061237846</v>
      </c>
      <c r="L4701" t="s">
        <v>54</v>
      </c>
    </row>
    <row r="4702" spans="1:12" x14ac:dyDescent="0.25">
      <c r="A4702" t="s">
        <v>487</v>
      </c>
      <c r="B4702" t="s">
        <v>465</v>
      </c>
      <c r="C4702" t="s">
        <v>478</v>
      </c>
      <c r="D4702" t="s">
        <v>192</v>
      </c>
      <c r="E4702" t="s">
        <v>194</v>
      </c>
      <c r="F4702">
        <v>1</v>
      </c>
      <c r="G4702" t="s">
        <v>499</v>
      </c>
      <c r="H4702" s="4">
        <v>8932229</v>
      </c>
      <c r="I4702" s="4">
        <v>10485187</v>
      </c>
      <c r="J4702" s="3">
        <v>0.1738600745681733</v>
      </c>
      <c r="K4702" s="3">
        <v>-0.148109709440566</v>
      </c>
      <c r="L4702" t="s">
        <v>54</v>
      </c>
    </row>
    <row r="4703" spans="1:12" x14ac:dyDescent="0.25">
      <c r="A4703" t="s">
        <v>487</v>
      </c>
      <c r="B4703" t="s">
        <v>465</v>
      </c>
      <c r="C4703" t="s">
        <v>478</v>
      </c>
      <c r="D4703" t="s">
        <v>192</v>
      </c>
      <c r="E4703" t="s">
        <v>196</v>
      </c>
      <c r="F4703">
        <v>2</v>
      </c>
      <c r="G4703" t="s">
        <v>488</v>
      </c>
      <c r="H4703" s="4">
        <v>8663545</v>
      </c>
      <c r="I4703" s="4">
        <v>8138209.014169302</v>
      </c>
      <c r="J4703" s="3">
        <v>0.06063753184530099</v>
      </c>
      <c r="K4703" s="3">
        <v>0.0645517932650838</v>
      </c>
      <c r="L4703" t="s">
        <v>54</v>
      </c>
    </row>
    <row r="4704" spans="1:12" x14ac:dyDescent="0.25">
      <c r="A4704" t="s">
        <v>487</v>
      </c>
      <c r="B4704" t="s">
        <v>465</v>
      </c>
      <c r="C4704" t="s">
        <v>478</v>
      </c>
      <c r="D4704" t="s">
        <v>192</v>
      </c>
      <c r="E4704" t="s">
        <v>196</v>
      </c>
      <c r="F4704">
        <v>2</v>
      </c>
      <c r="G4704" t="s">
        <v>498</v>
      </c>
      <c r="H4704" s="4">
        <v>8663545</v>
      </c>
      <c r="I4704" s="4">
        <v>7736486</v>
      </c>
      <c r="J4704" s="3">
        <v>0.10700688921221048</v>
      </c>
      <c r="K4704" s="3">
        <v>0.11982946779713684</v>
      </c>
      <c r="L4704" t="s">
        <v>54</v>
      </c>
    </row>
    <row r="4705" spans="1:12" x14ac:dyDescent="0.25">
      <c r="A4705" t="s">
        <v>487</v>
      </c>
      <c r="B4705" t="s">
        <v>465</v>
      </c>
      <c r="C4705" t="s">
        <v>478</v>
      </c>
      <c r="D4705" t="s">
        <v>192</v>
      </c>
      <c r="E4705" t="s">
        <v>196</v>
      </c>
      <c r="F4705">
        <v>2</v>
      </c>
      <c r="G4705" t="s">
        <v>499</v>
      </c>
      <c r="H4705" s="4">
        <v>8663545</v>
      </c>
      <c r="I4705" s="4">
        <v>10485187</v>
      </c>
      <c r="J4705" s="3">
        <v>0.21026519744515668</v>
      </c>
      <c r="K4705" s="3">
        <v>-0.1737348127410603</v>
      </c>
      <c r="L4705" t="s">
        <v>54</v>
      </c>
    </row>
    <row r="4706" spans="1:12" x14ac:dyDescent="0.25">
      <c r="A4706" t="s">
        <v>487</v>
      </c>
      <c r="B4706" t="s">
        <v>465</v>
      </c>
      <c r="C4706" t="s">
        <v>478</v>
      </c>
      <c r="D4706" t="s">
        <v>192</v>
      </c>
      <c r="E4706" t="s">
        <v>198</v>
      </c>
      <c r="F4706">
        <v>3</v>
      </c>
      <c r="G4706" t="s">
        <v>488</v>
      </c>
      <c r="H4706" s="4">
        <v>9717362</v>
      </c>
      <c r="I4706" s="4">
        <v>8805204.640843136</v>
      </c>
      <c r="J4706" s="3">
        <v>0.09386882562951383</v>
      </c>
      <c r="K4706" s="3">
        <v>0.1035929766953742</v>
      </c>
      <c r="L4706" t="s">
        <v>54</v>
      </c>
    </row>
    <row r="4707" spans="1:12" x14ac:dyDescent="0.25">
      <c r="A4707" t="s">
        <v>487</v>
      </c>
      <c r="B4707" t="s">
        <v>465</v>
      </c>
      <c r="C4707" t="s">
        <v>478</v>
      </c>
      <c r="D4707" t="s">
        <v>192</v>
      </c>
      <c r="E4707" t="s">
        <v>198</v>
      </c>
      <c r="F4707">
        <v>3</v>
      </c>
      <c r="G4707" t="s">
        <v>498</v>
      </c>
      <c r="H4707" s="4">
        <v>9717362</v>
      </c>
      <c r="I4707" s="4">
        <v>8370557</v>
      </c>
      <c r="J4707" s="3">
        <v>0.13859780051417248</v>
      </c>
      <c r="K4707" s="3">
        <v>0.16089789484737993</v>
      </c>
      <c r="L4707" t="s">
        <v>54</v>
      </c>
    </row>
    <row r="4708" spans="1:12" x14ac:dyDescent="0.25">
      <c r="A4708" t="s">
        <v>487</v>
      </c>
      <c r="B4708" t="s">
        <v>465</v>
      </c>
      <c r="C4708" t="s">
        <v>478</v>
      </c>
      <c r="D4708" t="s">
        <v>192</v>
      </c>
      <c r="E4708" t="s">
        <v>198</v>
      </c>
      <c r="F4708">
        <v>3</v>
      </c>
      <c r="G4708" t="s">
        <v>499</v>
      </c>
      <c r="H4708" s="4">
        <v>9717362</v>
      </c>
      <c r="I4708" s="4">
        <v>10485187</v>
      </c>
      <c r="J4708" s="3">
        <v>0.07901578638317683</v>
      </c>
      <c r="K4708" s="3">
        <v>-0.07322949986490465</v>
      </c>
      <c r="L4708" t="s">
        <v>54</v>
      </c>
    </row>
    <row r="4709" spans="1:12" x14ac:dyDescent="0.25">
      <c r="A4709" t="s">
        <v>487</v>
      </c>
      <c r="B4709" t="s">
        <v>465</v>
      </c>
      <c r="C4709" t="s">
        <v>478</v>
      </c>
      <c r="D4709" t="s">
        <v>194</v>
      </c>
      <c r="E4709" t="s">
        <v>196</v>
      </c>
      <c r="F4709">
        <v>1</v>
      </c>
      <c r="G4709" t="s">
        <v>488</v>
      </c>
      <c r="H4709" s="4">
        <v>8663545</v>
      </c>
      <c r="I4709" s="4">
        <v>8029331.44625515</v>
      </c>
      <c r="J4709" s="3">
        <v>0.07320485479614289</v>
      </c>
      <c r="K4709" s="3">
        <v>0.07898709350709947</v>
      </c>
      <c r="L4709" t="s">
        <v>54</v>
      </c>
    </row>
    <row r="4710" spans="1:12" x14ac:dyDescent="0.25">
      <c r="A4710" t="s">
        <v>487</v>
      </c>
      <c r="B4710" t="s">
        <v>465</v>
      </c>
      <c r="C4710" t="s">
        <v>478</v>
      </c>
      <c r="D4710" t="s">
        <v>194</v>
      </c>
      <c r="E4710" t="s">
        <v>196</v>
      </c>
      <c r="F4710">
        <v>1</v>
      </c>
      <c r="G4710" t="s">
        <v>498</v>
      </c>
      <c r="H4710" s="4">
        <v>8663545</v>
      </c>
      <c r="I4710" s="4">
        <v>7736486</v>
      </c>
      <c r="J4710" s="3">
        <v>0.10700688921221048</v>
      </c>
      <c r="K4710" s="3">
        <v>0.11982946779713684</v>
      </c>
      <c r="L4710" t="s">
        <v>54</v>
      </c>
    </row>
    <row r="4711" spans="1:12" x14ac:dyDescent="0.25">
      <c r="A4711" t="s">
        <v>487</v>
      </c>
      <c r="B4711" t="s">
        <v>465</v>
      </c>
      <c r="C4711" t="s">
        <v>478</v>
      </c>
      <c r="D4711" t="s">
        <v>194</v>
      </c>
      <c r="E4711" t="s">
        <v>196</v>
      </c>
      <c r="F4711">
        <v>1</v>
      </c>
      <c r="G4711" t="s">
        <v>499</v>
      </c>
      <c r="H4711" s="4">
        <v>8663545</v>
      </c>
      <c r="I4711" s="4">
        <v>8932229</v>
      </c>
      <c r="J4711" s="3">
        <v>0.03101317070552528</v>
      </c>
      <c r="K4711" s="3">
        <v>-0.030080285671135392</v>
      </c>
      <c r="L4711" t="s">
        <v>54</v>
      </c>
    </row>
    <row r="4712" spans="1:12" x14ac:dyDescent="0.25">
      <c r="A4712" t="s">
        <v>487</v>
      </c>
      <c r="B4712" t="s">
        <v>465</v>
      </c>
      <c r="C4712" t="s">
        <v>478</v>
      </c>
      <c r="D4712" t="s">
        <v>194</v>
      </c>
      <c r="E4712" t="s">
        <v>198</v>
      </c>
      <c r="F4712">
        <v>2</v>
      </c>
      <c r="G4712" t="s">
        <v>488</v>
      </c>
      <c r="H4712" s="4">
        <v>9717362</v>
      </c>
      <c r="I4712" s="4">
        <v>8687403.627793184</v>
      </c>
      <c r="J4712" s="3">
        <v>0.10599156151708833</v>
      </c>
      <c r="K4712" s="3">
        <v>0.11855767457514248</v>
      </c>
      <c r="L4712" t="s">
        <v>54</v>
      </c>
    </row>
    <row r="4713" spans="1:12" x14ac:dyDescent="0.25">
      <c r="A4713" t="s">
        <v>487</v>
      </c>
      <c r="B4713" t="s">
        <v>465</v>
      </c>
      <c r="C4713" t="s">
        <v>478</v>
      </c>
      <c r="D4713" t="s">
        <v>194</v>
      </c>
      <c r="E4713" t="s">
        <v>198</v>
      </c>
      <c r="F4713">
        <v>2</v>
      </c>
      <c r="G4713" t="s">
        <v>498</v>
      </c>
      <c r="H4713" s="4">
        <v>9717362</v>
      </c>
      <c r="I4713" s="4">
        <v>8370557</v>
      </c>
      <c r="J4713" s="3">
        <v>0.13859780051417248</v>
      </c>
      <c r="K4713" s="3">
        <v>0.16089789484737993</v>
      </c>
      <c r="L4713" t="s">
        <v>54</v>
      </c>
    </row>
    <row r="4714" spans="1:12" x14ac:dyDescent="0.25">
      <c r="A4714" t="s">
        <v>487</v>
      </c>
      <c r="B4714" t="s">
        <v>465</v>
      </c>
      <c r="C4714" t="s">
        <v>478</v>
      </c>
      <c r="D4714" t="s">
        <v>194</v>
      </c>
      <c r="E4714" t="s">
        <v>198</v>
      </c>
      <c r="F4714">
        <v>2</v>
      </c>
      <c r="G4714" t="s">
        <v>499</v>
      </c>
      <c r="H4714" s="4">
        <v>9717362</v>
      </c>
      <c r="I4714" s="4">
        <v>8932229</v>
      </c>
      <c r="J4714" s="3">
        <v>0.08079692821981933</v>
      </c>
      <c r="K4714" s="3">
        <v>0.08789888839616629</v>
      </c>
      <c r="L4714" t="s">
        <v>54</v>
      </c>
    </row>
    <row r="4715" spans="1:12" x14ac:dyDescent="0.25">
      <c r="A4715" t="s">
        <v>487</v>
      </c>
      <c r="B4715" t="s">
        <v>465</v>
      </c>
      <c r="C4715" t="s">
        <v>478</v>
      </c>
      <c r="D4715" t="s">
        <v>194</v>
      </c>
      <c r="E4715" t="s">
        <v>200</v>
      </c>
      <c r="F4715">
        <v>3</v>
      </c>
      <c r="G4715" t="s">
        <v>488</v>
      </c>
      <c r="H4715" s="4">
        <v>8646604</v>
      </c>
      <c r="I4715" s="4">
        <v>9991915.739889976</v>
      </c>
      <c r="J4715" s="3">
        <v>0.15558845297991855</v>
      </c>
      <c r="K4715" s="3">
        <v>-0.13464002048367846</v>
      </c>
      <c r="L4715" t="s">
        <v>54</v>
      </c>
    </row>
    <row r="4716" spans="1:12" x14ac:dyDescent="0.25">
      <c r="A4716" t="s">
        <v>487</v>
      </c>
      <c r="B4716" t="s">
        <v>465</v>
      </c>
      <c r="C4716" t="s">
        <v>478</v>
      </c>
      <c r="D4716" t="s">
        <v>194</v>
      </c>
      <c r="E4716" t="s">
        <v>200</v>
      </c>
      <c r="F4716">
        <v>3</v>
      </c>
      <c r="G4716" t="s">
        <v>498</v>
      </c>
      <c r="H4716" s="4">
        <v>8646604</v>
      </c>
      <c r="I4716" s="4">
        <v>9627491</v>
      </c>
      <c r="J4716" s="3">
        <v>0.1134418784530898</v>
      </c>
      <c r="K4716" s="3">
        <v>-0.10188396956174771</v>
      </c>
      <c r="L4716" t="s">
        <v>54</v>
      </c>
    </row>
    <row r="4717" spans="1:12" x14ac:dyDescent="0.25">
      <c r="A4717" t="s">
        <v>487</v>
      </c>
      <c r="B4717" t="s">
        <v>465</v>
      </c>
      <c r="C4717" t="s">
        <v>478</v>
      </c>
      <c r="D4717" t="s">
        <v>194</v>
      </c>
      <c r="E4717" t="s">
        <v>200</v>
      </c>
      <c r="F4717">
        <v>3</v>
      </c>
      <c r="G4717" t="s">
        <v>499</v>
      </c>
      <c r="H4717" s="4">
        <v>8646604</v>
      </c>
      <c r="I4717" s="4">
        <v>8932229</v>
      </c>
      <c r="J4717" s="3">
        <v>0.03303320008641543</v>
      </c>
      <c r="K4717" s="3">
        <v>-0.03197690072657116</v>
      </c>
      <c r="L4717" t="s">
        <v>54</v>
      </c>
    </row>
    <row r="4718" spans="1:12" x14ac:dyDescent="0.25">
      <c r="A4718" t="s">
        <v>487</v>
      </c>
      <c r="B4718" t="s">
        <v>465</v>
      </c>
      <c r="C4718" t="s">
        <v>478</v>
      </c>
      <c r="D4718" t="s">
        <v>196</v>
      </c>
      <c r="E4718" t="s">
        <v>198</v>
      </c>
      <c r="F4718">
        <v>1</v>
      </c>
      <c r="G4718" t="s">
        <v>488</v>
      </c>
      <c r="H4718" s="4">
        <v>9717362</v>
      </c>
      <c r="I4718" s="4">
        <v>8789688.714862991</v>
      </c>
      <c r="J4718" s="3">
        <v>0.09546554765964352</v>
      </c>
      <c r="K4718" s="3">
        <v>0.10554108515451209</v>
      </c>
      <c r="L4718" t="s">
        <v>54</v>
      </c>
    </row>
    <row r="4719" spans="1:12" x14ac:dyDescent="0.25">
      <c r="A4719" t="s">
        <v>487</v>
      </c>
      <c r="B4719" t="s">
        <v>465</v>
      </c>
      <c r="C4719" t="s">
        <v>478</v>
      </c>
      <c r="D4719" t="s">
        <v>196</v>
      </c>
      <c r="E4719" t="s">
        <v>198</v>
      </c>
      <c r="F4719">
        <v>1</v>
      </c>
      <c r="G4719" t="s">
        <v>498</v>
      </c>
      <c r="H4719" s="4">
        <v>9717362</v>
      </c>
      <c r="I4719" s="4">
        <v>8370557</v>
      </c>
      <c r="J4719" s="3">
        <v>0.13859780051417248</v>
      </c>
      <c r="K4719" s="3">
        <v>0.16089789484737993</v>
      </c>
      <c r="L4719" t="s">
        <v>54</v>
      </c>
    </row>
    <row r="4720" spans="1:12" x14ac:dyDescent="0.25">
      <c r="A4720" t="s">
        <v>487</v>
      </c>
      <c r="B4720" t="s">
        <v>465</v>
      </c>
      <c r="C4720" t="s">
        <v>478</v>
      </c>
      <c r="D4720" t="s">
        <v>196</v>
      </c>
      <c r="E4720" t="s">
        <v>198</v>
      </c>
      <c r="F4720">
        <v>1</v>
      </c>
      <c r="G4720" t="s">
        <v>499</v>
      </c>
      <c r="H4720" s="4">
        <v>9717362</v>
      </c>
      <c r="I4720" s="4">
        <v>8663545</v>
      </c>
      <c r="J4720" s="3">
        <v>0.10844681920875233</v>
      </c>
      <c r="K4720" s="3">
        <v>0.12163808233234778</v>
      </c>
      <c r="L4720" t="s">
        <v>54</v>
      </c>
    </row>
    <row r="4721" spans="1:12" x14ac:dyDescent="0.25">
      <c r="A4721" t="s">
        <v>487</v>
      </c>
      <c r="B4721" t="s">
        <v>465</v>
      </c>
      <c r="C4721" t="s">
        <v>478</v>
      </c>
      <c r="D4721" t="s">
        <v>196</v>
      </c>
      <c r="E4721" t="s">
        <v>200</v>
      </c>
      <c r="F4721">
        <v>2</v>
      </c>
      <c r="G4721" t="s">
        <v>488</v>
      </c>
      <c r="H4721" s="4">
        <v>8646604</v>
      </c>
      <c r="I4721" s="4">
        <v>10109560.092015982</v>
      </c>
      <c r="J4721" s="3">
        <v>0.1691942977862733</v>
      </c>
      <c r="K4721" s="3">
        <v>-0.1447101633206919</v>
      </c>
      <c r="L4721" t="s">
        <v>54</v>
      </c>
    </row>
    <row r="4722" spans="1:12" x14ac:dyDescent="0.25">
      <c r="A4722" t="s">
        <v>487</v>
      </c>
      <c r="B4722" t="s">
        <v>465</v>
      </c>
      <c r="C4722" t="s">
        <v>478</v>
      </c>
      <c r="D4722" t="s">
        <v>196</v>
      </c>
      <c r="E4722" t="s">
        <v>200</v>
      </c>
      <c r="F4722">
        <v>2</v>
      </c>
      <c r="G4722" t="s">
        <v>498</v>
      </c>
      <c r="H4722" s="4">
        <v>8646604</v>
      </c>
      <c r="I4722" s="4">
        <v>9627491</v>
      </c>
      <c r="J4722" s="3">
        <v>0.1134418784530898</v>
      </c>
      <c r="K4722" s="3">
        <v>-0.10188396956174771</v>
      </c>
      <c r="L4722" t="s">
        <v>54</v>
      </c>
    </row>
    <row r="4723" spans="1:12" x14ac:dyDescent="0.25">
      <c r="A4723" t="s">
        <v>487</v>
      </c>
      <c r="B4723" t="s">
        <v>465</v>
      </c>
      <c r="C4723" t="s">
        <v>478</v>
      </c>
      <c r="D4723" t="s">
        <v>196</v>
      </c>
      <c r="E4723" t="s">
        <v>200</v>
      </c>
      <c r="F4723">
        <v>2</v>
      </c>
      <c r="G4723" t="s">
        <v>499</v>
      </c>
      <c r="H4723" s="4">
        <v>8646604</v>
      </c>
      <c r="I4723" s="4">
        <v>8663545</v>
      </c>
      <c r="J4723" s="3">
        <v>0.0019592663200488887</v>
      </c>
      <c r="K4723" s="3">
        <v>-0.00195543510191267</v>
      </c>
      <c r="L4723" t="s">
        <v>54</v>
      </c>
    </row>
    <row r="4724" spans="1:12" x14ac:dyDescent="0.25">
      <c r="A4724" t="s">
        <v>487</v>
      </c>
      <c r="B4724" t="s">
        <v>465</v>
      </c>
      <c r="C4724" t="s">
        <v>478</v>
      </c>
      <c r="D4724" t="s">
        <v>196</v>
      </c>
      <c r="E4724" t="s">
        <v>202</v>
      </c>
      <c r="F4724">
        <v>3</v>
      </c>
      <c r="G4724" t="s">
        <v>488</v>
      </c>
      <c r="H4724" s="4">
        <v>9850297</v>
      </c>
      <c r="I4724" s="4">
        <v>9400572.383491782</v>
      </c>
      <c r="J4724" s="3">
        <v>0.04565594484188827</v>
      </c>
      <c r="K4724" s="3">
        <v>0.0478401312347717</v>
      </c>
      <c r="L4724" t="s">
        <v>54</v>
      </c>
    </row>
    <row r="4725" spans="1:12" x14ac:dyDescent="0.25">
      <c r="A4725" t="s">
        <v>487</v>
      </c>
      <c r="B4725" t="s">
        <v>465</v>
      </c>
      <c r="C4725" t="s">
        <v>478</v>
      </c>
      <c r="D4725" t="s">
        <v>196</v>
      </c>
      <c r="E4725" t="s">
        <v>202</v>
      </c>
      <c r="F4725">
        <v>3</v>
      </c>
      <c r="G4725" t="s">
        <v>498</v>
      </c>
      <c r="H4725" s="4">
        <v>9850297</v>
      </c>
      <c r="I4725" s="4">
        <v>8952311</v>
      </c>
      <c r="J4725" s="3">
        <v>0.09116334258753822</v>
      </c>
      <c r="K4725" s="3">
        <v>0.10030773059604386</v>
      </c>
      <c r="L4725" t="s">
        <v>54</v>
      </c>
    </row>
    <row r="4726" spans="1:12" x14ac:dyDescent="0.25">
      <c r="A4726" t="s">
        <v>487</v>
      </c>
      <c r="B4726" t="s">
        <v>465</v>
      </c>
      <c r="C4726" t="s">
        <v>478</v>
      </c>
      <c r="D4726" t="s">
        <v>196</v>
      </c>
      <c r="E4726" t="s">
        <v>202</v>
      </c>
      <c r="F4726">
        <v>3</v>
      </c>
      <c r="G4726" t="s">
        <v>499</v>
      </c>
      <c r="H4726" s="4">
        <v>9850297</v>
      </c>
      <c r="I4726" s="4">
        <v>8663545</v>
      </c>
      <c r="J4726" s="3">
        <v>0.12047880383708227</v>
      </c>
      <c r="K4726" s="3">
        <v>0.13698226303435834</v>
      </c>
      <c r="L4726" t="s">
        <v>54</v>
      </c>
    </row>
    <row r="4727" spans="1:12" x14ac:dyDescent="0.25">
      <c r="A4727" t="s">
        <v>487</v>
      </c>
      <c r="B4727" t="s">
        <v>465</v>
      </c>
      <c r="C4727" t="s">
        <v>478</v>
      </c>
      <c r="D4727" t="s">
        <v>198</v>
      </c>
      <c r="E4727" t="s">
        <v>200</v>
      </c>
      <c r="F4727">
        <v>1</v>
      </c>
      <c r="G4727" t="s">
        <v>488</v>
      </c>
      <c r="H4727" s="4">
        <v>8646604</v>
      </c>
      <c r="I4727" s="4">
        <v>10239689.331204515</v>
      </c>
      <c r="J4727" s="3">
        <v>0.18424404901676023</v>
      </c>
      <c r="K4727" s="3">
        <v>-0.15557945946169807</v>
      </c>
      <c r="L4727" t="s">
        <v>54</v>
      </c>
    </row>
    <row r="4728" spans="1:12" x14ac:dyDescent="0.25">
      <c r="A4728" t="s">
        <v>487</v>
      </c>
      <c r="B4728" t="s">
        <v>465</v>
      </c>
      <c r="C4728" t="s">
        <v>478</v>
      </c>
      <c r="D4728" t="s">
        <v>198</v>
      </c>
      <c r="E4728" t="s">
        <v>200</v>
      </c>
      <c r="F4728">
        <v>1</v>
      </c>
      <c r="G4728" t="s">
        <v>498</v>
      </c>
      <c r="H4728" s="4">
        <v>8646604</v>
      </c>
      <c r="I4728" s="4">
        <v>9627491</v>
      </c>
      <c r="J4728" s="3">
        <v>0.1134418784530898</v>
      </c>
      <c r="K4728" s="3">
        <v>-0.10188396956174771</v>
      </c>
      <c r="L4728" t="s">
        <v>54</v>
      </c>
    </row>
    <row r="4729" spans="1:12" x14ac:dyDescent="0.25">
      <c r="A4729" t="s">
        <v>487</v>
      </c>
      <c r="B4729" t="s">
        <v>465</v>
      </c>
      <c r="C4729" t="s">
        <v>478</v>
      </c>
      <c r="D4729" t="s">
        <v>198</v>
      </c>
      <c r="E4729" t="s">
        <v>200</v>
      </c>
      <c r="F4729">
        <v>1</v>
      </c>
      <c r="G4729" t="s">
        <v>499</v>
      </c>
      <c r="H4729" s="4">
        <v>8646604</v>
      </c>
      <c r="I4729" s="4">
        <v>9717362</v>
      </c>
      <c r="J4729" s="3">
        <v>0.12383567005034578</v>
      </c>
      <c r="K4729" s="3">
        <v>-0.11019019359369343</v>
      </c>
      <c r="L4729" t="s">
        <v>54</v>
      </c>
    </row>
    <row r="4730" spans="1:12" x14ac:dyDescent="0.25">
      <c r="A4730" t="s">
        <v>487</v>
      </c>
      <c r="B4730" t="s">
        <v>465</v>
      </c>
      <c r="C4730" t="s">
        <v>478</v>
      </c>
      <c r="D4730" t="s">
        <v>198</v>
      </c>
      <c r="E4730" t="s">
        <v>202</v>
      </c>
      <c r="F4730">
        <v>2</v>
      </c>
      <c r="G4730" t="s">
        <v>488</v>
      </c>
      <c r="H4730" s="4">
        <v>9850297</v>
      </c>
      <c r="I4730" s="4">
        <v>9521575.604311116</v>
      </c>
      <c r="J4730" s="3">
        <v>0.03337172429307299</v>
      </c>
      <c r="K4730" s="3">
        <v>0.034523844513721834</v>
      </c>
      <c r="L4730" t="s">
        <v>54</v>
      </c>
    </row>
    <row r="4731" spans="1:12" x14ac:dyDescent="0.25">
      <c r="A4731" t="s">
        <v>487</v>
      </c>
      <c r="B4731" t="s">
        <v>465</v>
      </c>
      <c r="C4731" t="s">
        <v>478</v>
      </c>
      <c r="D4731" t="s">
        <v>198</v>
      </c>
      <c r="E4731" t="s">
        <v>202</v>
      </c>
      <c r="F4731">
        <v>2</v>
      </c>
      <c r="G4731" t="s">
        <v>498</v>
      </c>
      <c r="H4731" s="4">
        <v>9850297</v>
      </c>
      <c r="I4731" s="4">
        <v>8952311</v>
      </c>
      <c r="J4731" s="3">
        <v>0.09116334258753822</v>
      </c>
      <c r="K4731" s="3">
        <v>0.10030773059604386</v>
      </c>
      <c r="L4731" t="s">
        <v>54</v>
      </c>
    </row>
    <row r="4732" spans="1:12" x14ac:dyDescent="0.25">
      <c r="A4732" t="s">
        <v>487</v>
      </c>
      <c r="B4732" t="s">
        <v>465</v>
      </c>
      <c r="C4732" t="s">
        <v>478</v>
      </c>
      <c r="D4732" t="s">
        <v>198</v>
      </c>
      <c r="E4732" t="s">
        <v>202</v>
      </c>
      <c r="F4732">
        <v>2</v>
      </c>
      <c r="G4732" t="s">
        <v>499</v>
      </c>
      <c r="H4732" s="4">
        <v>9850297</v>
      </c>
      <c r="I4732" s="4">
        <v>9717362</v>
      </c>
      <c r="J4732" s="3">
        <v>0.013495532165172278</v>
      </c>
      <c r="K4732" s="3">
        <v>0.013680153111513186</v>
      </c>
      <c r="L4732" t="s">
        <v>54</v>
      </c>
    </row>
    <row r="4733" spans="1:12" x14ac:dyDescent="0.25">
      <c r="A4733" t="s">
        <v>487</v>
      </c>
      <c r="B4733" t="s">
        <v>465</v>
      </c>
      <c r="C4733" t="s">
        <v>478</v>
      </c>
      <c r="D4733" t="s">
        <v>198</v>
      </c>
      <c r="E4733" t="s">
        <v>204</v>
      </c>
      <c r="F4733">
        <v>3</v>
      </c>
      <c r="G4733" t="s">
        <v>488</v>
      </c>
      <c r="H4733" s="4">
        <v>9702074</v>
      </c>
      <c r="I4733" s="4">
        <v>9587685.078706851</v>
      </c>
      <c r="J4733" s="3">
        <v>0.011790151393727648</v>
      </c>
      <c r="K4733" s="3">
        <v>0.011930817538760576</v>
      </c>
      <c r="L4733" t="s">
        <v>54</v>
      </c>
    </row>
    <row r="4734" spans="1:12" x14ac:dyDescent="0.25">
      <c r="A4734" t="s">
        <v>487</v>
      </c>
      <c r="B4734" t="s">
        <v>465</v>
      </c>
      <c r="C4734" t="s">
        <v>478</v>
      </c>
      <c r="D4734" t="s">
        <v>198</v>
      </c>
      <c r="E4734" t="s">
        <v>204</v>
      </c>
      <c r="F4734">
        <v>3</v>
      </c>
      <c r="G4734" t="s">
        <v>498</v>
      </c>
      <c r="H4734" s="4">
        <v>9702074</v>
      </c>
      <c r="I4734" s="4">
        <v>9014468</v>
      </c>
      <c r="J4734" s="3">
        <v>0.07087206302487489</v>
      </c>
      <c r="K4734" s="3">
        <v>0.076278045470903</v>
      </c>
      <c r="L4734" t="s">
        <v>54</v>
      </c>
    </row>
    <row r="4735" spans="1:12" x14ac:dyDescent="0.25">
      <c r="A4735" t="s">
        <v>487</v>
      </c>
      <c r="B4735" t="s">
        <v>465</v>
      </c>
      <c r="C4735" t="s">
        <v>478</v>
      </c>
      <c r="D4735" t="s">
        <v>198</v>
      </c>
      <c r="E4735" t="s">
        <v>204</v>
      </c>
      <c r="F4735">
        <v>3</v>
      </c>
      <c r="G4735" t="s">
        <v>499</v>
      </c>
      <c r="H4735" s="4">
        <v>9702074</v>
      </c>
      <c r="I4735" s="4">
        <v>9717362</v>
      </c>
      <c r="J4735" s="3">
        <v>0.0015757455570839802</v>
      </c>
      <c r="K4735" s="3">
        <v>-0.001573266489403194</v>
      </c>
      <c r="L4735" t="s">
        <v>54</v>
      </c>
    </row>
    <row r="4736" spans="1:12" x14ac:dyDescent="0.25">
      <c r="A4736" t="s">
        <v>487</v>
      </c>
      <c r="B4736" t="s">
        <v>465</v>
      </c>
      <c r="C4736" t="s">
        <v>478</v>
      </c>
      <c r="D4736" t="s">
        <v>200</v>
      </c>
      <c r="E4736" t="s">
        <v>202</v>
      </c>
      <c r="F4736">
        <v>1</v>
      </c>
      <c r="G4736" t="s">
        <v>488</v>
      </c>
      <c r="H4736" s="4">
        <v>9850297</v>
      </c>
      <c r="I4736" s="4">
        <v>9335839.651612535</v>
      </c>
      <c r="J4736" s="3">
        <v>0.05222759764375276</v>
      </c>
      <c r="K4736" s="3">
        <v>0.055105632442884245</v>
      </c>
      <c r="L4736" t="s">
        <v>54</v>
      </c>
    </row>
    <row r="4737" spans="1:12" x14ac:dyDescent="0.25">
      <c r="A4737" t="s">
        <v>487</v>
      </c>
      <c r="B4737" t="s">
        <v>465</v>
      </c>
      <c r="C4737" t="s">
        <v>478</v>
      </c>
      <c r="D4737" t="s">
        <v>200</v>
      </c>
      <c r="E4737" t="s">
        <v>202</v>
      </c>
      <c r="F4737">
        <v>1</v>
      </c>
      <c r="G4737" t="s">
        <v>498</v>
      </c>
      <c r="H4737" s="4">
        <v>9850297</v>
      </c>
      <c r="I4737" s="4">
        <v>8952311</v>
      </c>
      <c r="J4737" s="3">
        <v>0.09116334258753822</v>
      </c>
      <c r="K4737" s="3">
        <v>0.10030773059604386</v>
      </c>
      <c r="L4737" t="s">
        <v>54</v>
      </c>
    </row>
    <row r="4738" spans="1:12" x14ac:dyDescent="0.25">
      <c r="A4738" t="s">
        <v>487</v>
      </c>
      <c r="B4738" t="s">
        <v>465</v>
      </c>
      <c r="C4738" t="s">
        <v>478</v>
      </c>
      <c r="D4738" t="s">
        <v>200</v>
      </c>
      <c r="E4738" t="s">
        <v>202</v>
      </c>
      <c r="F4738">
        <v>1</v>
      </c>
      <c r="G4738" t="s">
        <v>499</v>
      </c>
      <c r="H4738" s="4">
        <v>9850297</v>
      </c>
      <c r="I4738" s="4">
        <v>8646604</v>
      </c>
      <c r="J4738" s="3">
        <v>0.12219865045693547</v>
      </c>
      <c r="K4738" s="3">
        <v>0.13920991408881453</v>
      </c>
      <c r="L4738" t="s">
        <v>54</v>
      </c>
    </row>
    <row r="4739" spans="1:12" x14ac:dyDescent="0.25">
      <c r="A4739" t="s">
        <v>487</v>
      </c>
      <c r="B4739" t="s">
        <v>465</v>
      </c>
      <c r="C4739" t="s">
        <v>478</v>
      </c>
      <c r="D4739" t="s">
        <v>200</v>
      </c>
      <c r="E4739" t="s">
        <v>204</v>
      </c>
      <c r="F4739">
        <v>2</v>
      </c>
      <c r="G4739" t="s">
        <v>488</v>
      </c>
      <c r="H4739" s="4">
        <v>9702074</v>
      </c>
      <c r="I4739" s="4">
        <v>9400659.538368624</v>
      </c>
      <c r="J4739" s="3">
        <v>0.03106701326246082</v>
      </c>
      <c r="K4739" s="3">
        <v>0.03206311859302622</v>
      </c>
      <c r="L4739" t="s">
        <v>54</v>
      </c>
    </row>
    <row r="4740" spans="1:12" x14ac:dyDescent="0.25">
      <c r="A4740" t="s">
        <v>487</v>
      </c>
      <c r="B4740" t="s">
        <v>465</v>
      </c>
      <c r="C4740" t="s">
        <v>478</v>
      </c>
      <c r="D4740" t="s">
        <v>200</v>
      </c>
      <c r="E4740" t="s">
        <v>204</v>
      </c>
      <c r="F4740">
        <v>2</v>
      </c>
      <c r="G4740" t="s">
        <v>498</v>
      </c>
      <c r="H4740" s="4">
        <v>9702074</v>
      </c>
      <c r="I4740" s="4">
        <v>9014468</v>
      </c>
      <c r="J4740" s="3">
        <v>0.07087206302487489</v>
      </c>
      <c r="K4740" s="3">
        <v>0.076278045470903</v>
      </c>
      <c r="L4740" t="s">
        <v>54</v>
      </c>
    </row>
    <row r="4741" spans="1:12" x14ac:dyDescent="0.25">
      <c r="A4741" t="s">
        <v>487</v>
      </c>
      <c r="B4741" t="s">
        <v>465</v>
      </c>
      <c r="C4741" t="s">
        <v>478</v>
      </c>
      <c r="D4741" t="s">
        <v>200</v>
      </c>
      <c r="E4741" t="s">
        <v>204</v>
      </c>
      <c r="F4741">
        <v>2</v>
      </c>
      <c r="G4741" t="s">
        <v>499</v>
      </c>
      <c r="H4741" s="4">
        <v>9702074</v>
      </c>
      <c r="I4741" s="4">
        <v>8646604</v>
      </c>
      <c r="J4741" s="3">
        <v>0.10878807974459893</v>
      </c>
      <c r="K4741" s="3">
        <v>0.12206757705105958</v>
      </c>
      <c r="L4741" t="s">
        <v>54</v>
      </c>
    </row>
    <row r="4742" spans="1:12" x14ac:dyDescent="0.25">
      <c r="A4742" t="s">
        <v>487</v>
      </c>
      <c r="B4742" t="s">
        <v>465</v>
      </c>
      <c r="C4742" t="s">
        <v>478</v>
      </c>
      <c r="D4742" t="s">
        <v>200</v>
      </c>
      <c r="E4742" t="s">
        <v>206</v>
      </c>
      <c r="F4742">
        <v>3</v>
      </c>
      <c r="G4742" t="s">
        <v>488</v>
      </c>
      <c r="H4742" s="4">
        <v>8707923</v>
      </c>
      <c r="I4742" s="4">
        <v>12736913.257668614</v>
      </c>
      <c r="J4742" s="3">
        <v>0.4626809696949105</v>
      </c>
      <c r="K4742" s="3">
        <v>-0.31632391429240897</v>
      </c>
      <c r="L4742" t="s">
        <v>54</v>
      </c>
    </row>
    <row r="4743" spans="1:12" x14ac:dyDescent="0.25">
      <c r="A4743" t="s">
        <v>487</v>
      </c>
      <c r="B4743" t="s">
        <v>465</v>
      </c>
      <c r="C4743" t="s">
        <v>478</v>
      </c>
      <c r="D4743" t="s">
        <v>200</v>
      </c>
      <c r="E4743" t="s">
        <v>206</v>
      </c>
      <c r="F4743">
        <v>3</v>
      </c>
      <c r="G4743" t="s">
        <v>498</v>
      </c>
      <c r="H4743" s="4">
        <v>8707923</v>
      </c>
      <c r="I4743" s="4">
        <v>12213664</v>
      </c>
      <c r="J4743" s="3">
        <v>0.4025920991722136</v>
      </c>
      <c r="K4743" s="3">
        <v>-0.28703434120997595</v>
      </c>
      <c r="L4743" t="s">
        <v>54</v>
      </c>
    </row>
    <row r="4744" spans="1:12" x14ac:dyDescent="0.25">
      <c r="A4744" t="s">
        <v>487</v>
      </c>
      <c r="B4744" t="s">
        <v>465</v>
      </c>
      <c r="C4744" t="s">
        <v>478</v>
      </c>
      <c r="D4744" t="s">
        <v>200</v>
      </c>
      <c r="E4744" t="s">
        <v>206</v>
      </c>
      <c r="F4744">
        <v>3</v>
      </c>
      <c r="G4744" t="s">
        <v>499</v>
      </c>
      <c r="H4744" s="4">
        <v>8707923</v>
      </c>
      <c r="I4744" s="4">
        <v>8646604</v>
      </c>
      <c r="J4744" s="3">
        <v>0.00704174807241635</v>
      </c>
      <c r="K4744" s="3">
        <v>0.0070916859382018655</v>
      </c>
      <c r="L4744" t="s">
        <v>54</v>
      </c>
    </row>
    <row r="4745" spans="1:12" x14ac:dyDescent="0.25">
      <c r="A4745" t="s">
        <v>487</v>
      </c>
      <c r="B4745" t="s">
        <v>465</v>
      </c>
      <c r="C4745" t="s">
        <v>478</v>
      </c>
      <c r="D4745" t="s">
        <v>202</v>
      </c>
      <c r="E4745" t="s">
        <v>204</v>
      </c>
      <c r="F4745">
        <v>1</v>
      </c>
      <c r="G4745" t="s">
        <v>488</v>
      </c>
      <c r="H4745" s="4">
        <v>9702074</v>
      </c>
      <c r="I4745" s="4">
        <v>9473138.429022567</v>
      </c>
      <c r="J4745" s="3">
        <v>0.02359655997031487</v>
      </c>
      <c r="K4745" s="3">
        <v>0.024166813637606064</v>
      </c>
      <c r="L4745" t="s">
        <v>54</v>
      </c>
    </row>
    <row r="4746" spans="1:12" x14ac:dyDescent="0.25">
      <c r="A4746" t="s">
        <v>487</v>
      </c>
      <c r="B4746" t="s">
        <v>465</v>
      </c>
      <c r="C4746" t="s">
        <v>478</v>
      </c>
      <c r="D4746" t="s">
        <v>202</v>
      </c>
      <c r="E4746" t="s">
        <v>204</v>
      </c>
      <c r="F4746">
        <v>1</v>
      </c>
      <c r="G4746" t="s">
        <v>498</v>
      </c>
      <c r="H4746" s="4">
        <v>9702074</v>
      </c>
      <c r="I4746" s="4">
        <v>9014468</v>
      </c>
      <c r="J4746" s="3">
        <v>0.07087206302487489</v>
      </c>
      <c r="K4746" s="3">
        <v>0.076278045470903</v>
      </c>
      <c r="L4746" t="s">
        <v>54</v>
      </c>
    </row>
    <row r="4747" spans="1:12" x14ac:dyDescent="0.25">
      <c r="A4747" t="s">
        <v>487</v>
      </c>
      <c r="B4747" t="s">
        <v>465</v>
      </c>
      <c r="C4747" t="s">
        <v>478</v>
      </c>
      <c r="D4747" t="s">
        <v>202</v>
      </c>
      <c r="E4747" t="s">
        <v>204</v>
      </c>
      <c r="F4747">
        <v>1</v>
      </c>
      <c r="G4747" t="s">
        <v>499</v>
      </c>
      <c r="H4747" s="4">
        <v>9702074</v>
      </c>
      <c r="I4747" s="4">
        <v>9850297</v>
      </c>
      <c r="J4747" s="3">
        <v>0.015277455109082861</v>
      </c>
      <c r="K4747" s="3">
        <v>-0.015047566586063344</v>
      </c>
      <c r="L4747" t="s">
        <v>54</v>
      </c>
    </row>
    <row r="4748" spans="1:12" x14ac:dyDescent="0.25">
      <c r="A4748" t="s">
        <v>487</v>
      </c>
      <c r="B4748" t="s">
        <v>465</v>
      </c>
      <c r="C4748" t="s">
        <v>478</v>
      </c>
      <c r="D4748" t="s">
        <v>202</v>
      </c>
      <c r="E4748" t="s">
        <v>206</v>
      </c>
      <c r="F4748">
        <v>2</v>
      </c>
      <c r="G4748" t="s">
        <v>488</v>
      </c>
      <c r="H4748" s="4">
        <v>8707923</v>
      </c>
      <c r="I4748" s="4">
        <v>12835114.595511291</v>
      </c>
      <c r="J4748" s="3">
        <v>0.4739582097259348</v>
      </c>
      <c r="K4748" s="3">
        <v>-0.32155471342302283</v>
      </c>
      <c r="L4748" t="s">
        <v>54</v>
      </c>
    </row>
    <row r="4749" spans="1:12" x14ac:dyDescent="0.25">
      <c r="A4749" t="s">
        <v>487</v>
      </c>
      <c r="B4749" t="s">
        <v>465</v>
      </c>
      <c r="C4749" t="s">
        <v>478</v>
      </c>
      <c r="D4749" t="s">
        <v>202</v>
      </c>
      <c r="E4749" t="s">
        <v>206</v>
      </c>
      <c r="F4749">
        <v>2</v>
      </c>
      <c r="G4749" t="s">
        <v>498</v>
      </c>
      <c r="H4749" s="4">
        <v>8707923</v>
      </c>
      <c r="I4749" s="4">
        <v>12213664</v>
      </c>
      <c r="J4749" s="3">
        <v>0.4025920991722136</v>
      </c>
      <c r="K4749" s="3">
        <v>-0.28703434120997595</v>
      </c>
      <c r="L4749" t="s">
        <v>54</v>
      </c>
    </row>
    <row r="4750" spans="1:12" x14ac:dyDescent="0.25">
      <c r="A4750" t="s">
        <v>487</v>
      </c>
      <c r="B4750" t="s">
        <v>465</v>
      </c>
      <c r="C4750" t="s">
        <v>478</v>
      </c>
      <c r="D4750" t="s">
        <v>202</v>
      </c>
      <c r="E4750" t="s">
        <v>206</v>
      </c>
      <c r="F4750">
        <v>2</v>
      </c>
      <c r="G4750" t="s">
        <v>499</v>
      </c>
      <c r="H4750" s="4">
        <v>8707923</v>
      </c>
      <c r="I4750" s="4">
        <v>9850297</v>
      </c>
      <c r="J4750" s="3">
        <v>0.131187884872202</v>
      </c>
      <c r="K4750" s="3">
        <v>-0.11597355896984629</v>
      </c>
      <c r="L4750" t="s">
        <v>54</v>
      </c>
    </row>
    <row r="4751" spans="1:12" x14ac:dyDescent="0.25">
      <c r="A4751" t="s">
        <v>487</v>
      </c>
      <c r="B4751" t="s">
        <v>465</v>
      </c>
      <c r="C4751" t="s">
        <v>478</v>
      </c>
      <c r="D4751" t="s">
        <v>202</v>
      </c>
      <c r="E4751" t="s">
        <v>208</v>
      </c>
      <c r="F4751">
        <v>3</v>
      </c>
      <c r="G4751" t="s">
        <v>488</v>
      </c>
      <c r="H4751" s="4">
        <v>8206023</v>
      </c>
      <c r="I4751" s="4">
        <v>8445460.30841581</v>
      </c>
      <c r="J4751" s="3">
        <v>0.029178239984924446</v>
      </c>
      <c r="K4751" s="3">
        <v>-0.02835100748472087</v>
      </c>
      <c r="L4751" t="s">
        <v>54</v>
      </c>
    </row>
    <row r="4752" spans="1:12" x14ac:dyDescent="0.25">
      <c r="A4752" t="s">
        <v>487</v>
      </c>
      <c r="B4752" t="s">
        <v>465</v>
      </c>
      <c r="C4752" t="s">
        <v>478</v>
      </c>
      <c r="D4752" t="s">
        <v>202</v>
      </c>
      <c r="E4752" t="s">
        <v>208</v>
      </c>
      <c r="F4752">
        <v>3</v>
      </c>
      <c r="G4752" t="s">
        <v>498</v>
      </c>
      <c r="H4752" s="4">
        <v>8206023</v>
      </c>
      <c r="I4752" s="4">
        <v>8036548</v>
      </c>
      <c r="J4752" s="3">
        <v>0.020652513403874202</v>
      </c>
      <c r="K4752" s="3">
        <v>0.021088034315230868</v>
      </c>
      <c r="L4752" t="s">
        <v>54</v>
      </c>
    </row>
    <row r="4753" spans="1:12" x14ac:dyDescent="0.25">
      <c r="A4753" t="s">
        <v>487</v>
      </c>
      <c r="B4753" t="s">
        <v>465</v>
      </c>
      <c r="C4753" t="s">
        <v>478</v>
      </c>
      <c r="D4753" t="s">
        <v>202</v>
      </c>
      <c r="E4753" t="s">
        <v>208</v>
      </c>
      <c r="F4753">
        <v>3</v>
      </c>
      <c r="G4753" t="s">
        <v>499</v>
      </c>
      <c r="H4753" s="4">
        <v>8206023</v>
      </c>
      <c r="I4753" s="4">
        <v>9850297</v>
      </c>
      <c r="J4753" s="3">
        <v>0.20037404233451453</v>
      </c>
      <c r="K4753" s="3">
        <v>-0.16692633734800078</v>
      </c>
      <c r="L4753" t="s">
        <v>54</v>
      </c>
    </row>
    <row r="4754" spans="1:12" x14ac:dyDescent="0.25">
      <c r="A4754" t="s">
        <v>487</v>
      </c>
      <c r="B4754" t="s">
        <v>465</v>
      </c>
      <c r="C4754" t="s">
        <v>478</v>
      </c>
      <c r="D4754" t="s">
        <v>204</v>
      </c>
      <c r="E4754" t="s">
        <v>206</v>
      </c>
      <c r="F4754">
        <v>1</v>
      </c>
      <c r="G4754" t="s">
        <v>488</v>
      </c>
      <c r="H4754" s="4">
        <v>8707923</v>
      </c>
      <c r="I4754" s="4">
        <v>12949225.466994725</v>
      </c>
      <c r="J4754" s="3">
        <v>0.4870624679380749</v>
      </c>
      <c r="K4754" s="3">
        <v>-0.3275332936170624</v>
      </c>
      <c r="L4754" t="s">
        <v>54</v>
      </c>
    </row>
    <row r="4755" spans="1:12" x14ac:dyDescent="0.25">
      <c r="A4755" t="s">
        <v>487</v>
      </c>
      <c r="B4755" t="s">
        <v>465</v>
      </c>
      <c r="C4755" t="s">
        <v>478</v>
      </c>
      <c r="D4755" t="s">
        <v>204</v>
      </c>
      <c r="E4755" t="s">
        <v>206</v>
      </c>
      <c r="F4755">
        <v>1</v>
      </c>
      <c r="G4755" t="s">
        <v>498</v>
      </c>
      <c r="H4755" s="4">
        <v>8707923</v>
      </c>
      <c r="I4755" s="4">
        <v>12213664</v>
      </c>
      <c r="J4755" s="3">
        <v>0.4025920991722136</v>
      </c>
      <c r="K4755" s="3">
        <v>-0.28703434120997595</v>
      </c>
      <c r="L4755" t="s">
        <v>54</v>
      </c>
    </row>
    <row r="4756" spans="1:12" x14ac:dyDescent="0.25">
      <c r="A4756" t="s">
        <v>487</v>
      </c>
      <c r="B4756" t="s">
        <v>465</v>
      </c>
      <c r="C4756" t="s">
        <v>478</v>
      </c>
      <c r="D4756" t="s">
        <v>204</v>
      </c>
      <c r="E4756" t="s">
        <v>206</v>
      </c>
      <c r="F4756">
        <v>1</v>
      </c>
      <c r="G4756" t="s">
        <v>499</v>
      </c>
      <c r="H4756" s="4">
        <v>8707923</v>
      </c>
      <c r="I4756" s="4">
        <v>9702074</v>
      </c>
      <c r="J4756" s="3">
        <v>0.1141662598532394</v>
      </c>
      <c r="K4756" s="3">
        <v>-0.10246788470176584</v>
      </c>
      <c r="L4756" t="s">
        <v>54</v>
      </c>
    </row>
    <row r="4757" spans="1:12" x14ac:dyDescent="0.25">
      <c r="A4757" t="s">
        <v>487</v>
      </c>
      <c r="B4757" t="s">
        <v>465</v>
      </c>
      <c r="C4757" t="s">
        <v>478</v>
      </c>
      <c r="D4757" t="s">
        <v>204</v>
      </c>
      <c r="E4757" t="s">
        <v>208</v>
      </c>
      <c r="F4757">
        <v>2</v>
      </c>
      <c r="G4757" t="s">
        <v>488</v>
      </c>
      <c r="H4757" s="4">
        <v>8206023</v>
      </c>
      <c r="I4757" s="4">
        <v>8520544.860929983</v>
      </c>
      <c r="J4757" s="3">
        <v>0.03832817199391017</v>
      </c>
      <c r="K4757" s="3">
        <v>-0.03691335073795433</v>
      </c>
      <c r="L4757" t="s">
        <v>54</v>
      </c>
    </row>
    <row r="4758" spans="1:12" x14ac:dyDescent="0.25">
      <c r="A4758" t="s">
        <v>487</v>
      </c>
      <c r="B4758" t="s">
        <v>465</v>
      </c>
      <c r="C4758" t="s">
        <v>478</v>
      </c>
      <c r="D4758" t="s">
        <v>204</v>
      </c>
      <c r="E4758" t="s">
        <v>208</v>
      </c>
      <c r="F4758">
        <v>2</v>
      </c>
      <c r="G4758" t="s">
        <v>498</v>
      </c>
      <c r="H4758" s="4">
        <v>8206023</v>
      </c>
      <c r="I4758" s="4">
        <v>8036548</v>
      </c>
      <c r="J4758" s="3">
        <v>0.020652513403874202</v>
      </c>
      <c r="K4758" s="3">
        <v>0.021088034315230868</v>
      </c>
      <c r="L4758" t="s">
        <v>54</v>
      </c>
    </row>
    <row r="4759" spans="1:12" x14ac:dyDescent="0.25">
      <c r="A4759" t="s">
        <v>487</v>
      </c>
      <c r="B4759" t="s">
        <v>465</v>
      </c>
      <c r="C4759" t="s">
        <v>478</v>
      </c>
      <c r="D4759" t="s">
        <v>204</v>
      </c>
      <c r="E4759" t="s">
        <v>208</v>
      </c>
      <c r="F4759">
        <v>2</v>
      </c>
      <c r="G4759" t="s">
        <v>499</v>
      </c>
      <c r="H4759" s="4">
        <v>8206023</v>
      </c>
      <c r="I4759" s="4">
        <v>9702074</v>
      </c>
      <c r="J4759" s="3">
        <v>0.1823113340043039</v>
      </c>
      <c r="K4759" s="3">
        <v>-0.1541990918642756</v>
      </c>
      <c r="L4759" t="s">
        <v>54</v>
      </c>
    </row>
    <row r="4760" spans="1:12" x14ac:dyDescent="0.25">
      <c r="A4760" t="s">
        <v>487</v>
      </c>
      <c r="B4760" t="s">
        <v>465</v>
      </c>
      <c r="C4760" t="s">
        <v>478</v>
      </c>
      <c r="D4760" t="s">
        <v>204</v>
      </c>
      <c r="E4760" t="s">
        <v>210</v>
      </c>
      <c r="F4760">
        <v>3</v>
      </c>
      <c r="G4760" t="s">
        <v>488</v>
      </c>
      <c r="H4760" s="4">
        <v>8212267</v>
      </c>
      <c r="I4760" s="4">
        <v>8102717.818040612</v>
      </c>
      <c r="J4760" s="3">
        <v>0.013339700469966192</v>
      </c>
      <c r="K4760" s="3">
        <v>0.013520053939861734</v>
      </c>
      <c r="L4760" t="s">
        <v>54</v>
      </c>
    </row>
    <row r="4761" spans="1:12" x14ac:dyDescent="0.25">
      <c r="A4761" t="s">
        <v>487</v>
      </c>
      <c r="B4761" t="s">
        <v>465</v>
      </c>
      <c r="C4761" t="s">
        <v>478</v>
      </c>
      <c r="D4761" t="s">
        <v>204</v>
      </c>
      <c r="E4761" t="s">
        <v>210</v>
      </c>
      <c r="F4761">
        <v>3</v>
      </c>
      <c r="G4761" t="s">
        <v>498</v>
      </c>
      <c r="H4761" s="4">
        <v>8212267</v>
      </c>
      <c r="I4761" s="4">
        <v>7642455</v>
      </c>
      <c r="J4761" s="3">
        <v>0.06938546932290438</v>
      </c>
      <c r="K4761" s="3">
        <v>0.07455876416675009</v>
      </c>
      <c r="L4761" t="s">
        <v>54</v>
      </c>
    </row>
    <row r="4762" spans="1:12" x14ac:dyDescent="0.25">
      <c r="A4762" t="s">
        <v>487</v>
      </c>
      <c r="B4762" t="s">
        <v>465</v>
      </c>
      <c r="C4762" t="s">
        <v>478</v>
      </c>
      <c r="D4762" t="s">
        <v>204</v>
      </c>
      <c r="E4762" t="s">
        <v>210</v>
      </c>
      <c r="F4762">
        <v>3</v>
      </c>
      <c r="G4762" t="s">
        <v>499</v>
      </c>
      <c r="H4762" s="4">
        <v>8212267</v>
      </c>
      <c r="I4762" s="4">
        <v>9702074</v>
      </c>
      <c r="J4762" s="3">
        <v>0.1814123919741041</v>
      </c>
      <c r="K4762" s="3">
        <v>-0.15355551812942264</v>
      </c>
      <c r="L4762" t="s">
        <v>54</v>
      </c>
    </row>
    <row r="4763" spans="1:12" x14ac:dyDescent="0.25">
      <c r="A4763" t="s">
        <v>487</v>
      </c>
      <c r="B4763" t="s">
        <v>465</v>
      </c>
      <c r="C4763" t="s">
        <v>478</v>
      </c>
      <c r="D4763" t="s">
        <v>206</v>
      </c>
      <c r="E4763" t="s">
        <v>208</v>
      </c>
      <c r="F4763">
        <v>1</v>
      </c>
      <c r="G4763" t="s">
        <v>488</v>
      </c>
      <c r="H4763" s="4">
        <v>8206023</v>
      </c>
      <c r="I4763" s="4">
        <v>8193887.141277945</v>
      </c>
      <c r="J4763" s="3">
        <v>0.001478896503465239</v>
      </c>
      <c r="K4763" s="3">
        <v>0.0014810868776699534</v>
      </c>
      <c r="L4763" t="s">
        <v>54</v>
      </c>
    </row>
    <row r="4764" spans="1:12" x14ac:dyDescent="0.25">
      <c r="A4764" t="s">
        <v>487</v>
      </c>
      <c r="B4764" t="s">
        <v>465</v>
      </c>
      <c r="C4764" t="s">
        <v>478</v>
      </c>
      <c r="D4764" t="s">
        <v>206</v>
      </c>
      <c r="E4764" t="s">
        <v>208</v>
      </c>
      <c r="F4764">
        <v>1</v>
      </c>
      <c r="G4764" t="s">
        <v>498</v>
      </c>
      <c r="H4764" s="4">
        <v>8206023</v>
      </c>
      <c r="I4764" s="4">
        <v>8036548</v>
      </c>
      <c r="J4764" s="3">
        <v>0.020652513403874202</v>
      </c>
      <c r="K4764" s="3">
        <v>0.021088034315230868</v>
      </c>
      <c r="L4764" t="s">
        <v>54</v>
      </c>
    </row>
    <row r="4765" spans="1:12" x14ac:dyDescent="0.25">
      <c r="A4765" t="s">
        <v>487</v>
      </c>
      <c r="B4765" t="s">
        <v>465</v>
      </c>
      <c r="C4765" t="s">
        <v>478</v>
      </c>
      <c r="D4765" t="s">
        <v>206</v>
      </c>
      <c r="E4765" t="s">
        <v>208</v>
      </c>
      <c r="F4765">
        <v>1</v>
      </c>
      <c r="G4765" t="s">
        <v>499</v>
      </c>
      <c r="H4765" s="4">
        <v>8206023</v>
      </c>
      <c r="I4765" s="4">
        <v>8707923</v>
      </c>
      <c r="J4765" s="3">
        <v>0.06116239254995995</v>
      </c>
      <c r="K4765" s="3">
        <v>-0.05763716560194664</v>
      </c>
      <c r="L4765" t="s">
        <v>54</v>
      </c>
    </row>
    <row r="4766" spans="1:12" x14ac:dyDescent="0.25">
      <c r="A4766" t="s">
        <v>487</v>
      </c>
      <c r="B4766" t="s">
        <v>465</v>
      </c>
      <c r="C4766" t="s">
        <v>478</v>
      </c>
      <c r="D4766" t="s">
        <v>206</v>
      </c>
      <c r="E4766" t="s">
        <v>210</v>
      </c>
      <c r="F4766">
        <v>2</v>
      </c>
      <c r="G4766" t="s">
        <v>488</v>
      </c>
      <c r="H4766" s="4">
        <v>8212267</v>
      </c>
      <c r="I4766" s="4">
        <v>7792078.607916649</v>
      </c>
      <c r="J4766" s="3">
        <v>0.05116594383540508</v>
      </c>
      <c r="K4766" s="3">
        <v>0.05392507098894571</v>
      </c>
      <c r="L4766" t="s">
        <v>54</v>
      </c>
    </row>
    <row r="4767" spans="1:12" x14ac:dyDescent="0.25">
      <c r="A4767" t="s">
        <v>487</v>
      </c>
      <c r="B4767" t="s">
        <v>465</v>
      </c>
      <c r="C4767" t="s">
        <v>478</v>
      </c>
      <c r="D4767" t="s">
        <v>206</v>
      </c>
      <c r="E4767" t="s">
        <v>210</v>
      </c>
      <c r="F4767">
        <v>2</v>
      </c>
      <c r="G4767" t="s">
        <v>498</v>
      </c>
      <c r="H4767" s="4">
        <v>8212267</v>
      </c>
      <c r="I4767" s="4">
        <v>7642455</v>
      </c>
      <c r="J4767" s="3">
        <v>0.06938546932290438</v>
      </c>
      <c r="K4767" s="3">
        <v>0.07455876416675009</v>
      </c>
      <c r="L4767" t="s">
        <v>54</v>
      </c>
    </row>
    <row r="4768" spans="1:12" x14ac:dyDescent="0.25">
      <c r="A4768" t="s">
        <v>487</v>
      </c>
      <c r="B4768" t="s">
        <v>465</v>
      </c>
      <c r="C4768" t="s">
        <v>478</v>
      </c>
      <c r="D4768" t="s">
        <v>206</v>
      </c>
      <c r="E4768" t="s">
        <v>210</v>
      </c>
      <c r="F4768">
        <v>2</v>
      </c>
      <c r="G4768" t="s">
        <v>499</v>
      </c>
      <c r="H4768" s="4">
        <v>8212267</v>
      </c>
      <c r="I4768" s="4">
        <v>8707923</v>
      </c>
      <c r="J4768" s="3">
        <v>0.06035556320806423</v>
      </c>
      <c r="K4768" s="3">
        <v>-0.056920117460845715</v>
      </c>
      <c r="L4768" t="s">
        <v>54</v>
      </c>
    </row>
    <row r="4769" spans="1:12" x14ac:dyDescent="0.25">
      <c r="A4769" t="s">
        <v>487</v>
      </c>
      <c r="B4769" t="s">
        <v>465</v>
      </c>
      <c r="C4769" t="s">
        <v>478</v>
      </c>
      <c r="D4769" t="s">
        <v>206</v>
      </c>
      <c r="E4769" t="s">
        <v>212</v>
      </c>
      <c r="F4769">
        <v>3</v>
      </c>
      <c r="G4769" t="s">
        <v>488</v>
      </c>
      <c r="H4769" s="4">
        <v>9481996</v>
      </c>
      <c r="I4769" s="4">
        <v>7825781.776658015</v>
      </c>
      <c r="J4769" s="3">
        <v>0.1746693653258222</v>
      </c>
      <c r="K4769" s="3">
        <v>0.21163562575715825</v>
      </c>
      <c r="L4769" t="s">
        <v>54</v>
      </c>
    </row>
    <row r="4770" spans="1:12" x14ac:dyDescent="0.25">
      <c r="A4770" t="s">
        <v>487</v>
      </c>
      <c r="B4770" t="s">
        <v>465</v>
      </c>
      <c r="C4770" t="s">
        <v>478</v>
      </c>
      <c r="D4770" t="s">
        <v>206</v>
      </c>
      <c r="E4770" t="s">
        <v>212</v>
      </c>
      <c r="F4770">
        <v>3</v>
      </c>
      <c r="G4770" t="s">
        <v>498</v>
      </c>
      <c r="H4770" s="4">
        <v>9481996</v>
      </c>
      <c r="I4770" s="4">
        <v>7675511</v>
      </c>
      <c r="J4770" s="3">
        <v>0.19051737629925175</v>
      </c>
      <c r="K4770" s="3">
        <v>0.2353569684155231</v>
      </c>
      <c r="L4770" t="s">
        <v>54</v>
      </c>
    </row>
    <row r="4771" spans="1:12" x14ac:dyDescent="0.25">
      <c r="A4771" t="s">
        <v>487</v>
      </c>
      <c r="B4771" t="s">
        <v>465</v>
      </c>
      <c r="C4771" t="s">
        <v>478</v>
      </c>
      <c r="D4771" t="s">
        <v>206</v>
      </c>
      <c r="E4771" t="s">
        <v>212</v>
      </c>
      <c r="F4771">
        <v>3</v>
      </c>
      <c r="G4771" t="s">
        <v>499</v>
      </c>
      <c r="H4771" s="4">
        <v>9481996</v>
      </c>
      <c r="I4771" s="4">
        <v>8707923</v>
      </c>
      <c r="J4771" s="3">
        <v>0.08163608168575477</v>
      </c>
      <c r="K4771" s="3">
        <v>0.08889295415221288</v>
      </c>
      <c r="L4771" t="s">
        <v>54</v>
      </c>
    </row>
    <row r="4772" spans="1:12" x14ac:dyDescent="0.25">
      <c r="A4772" t="s">
        <v>487</v>
      </c>
      <c r="B4772" t="s">
        <v>465</v>
      </c>
      <c r="C4772" t="s">
        <v>478</v>
      </c>
      <c r="D4772" t="s">
        <v>208</v>
      </c>
      <c r="E4772" t="s">
        <v>210</v>
      </c>
      <c r="F4772">
        <v>1</v>
      </c>
      <c r="G4772" t="s">
        <v>488</v>
      </c>
      <c r="H4772" s="4">
        <v>8212267</v>
      </c>
      <c r="I4772" s="4">
        <v>7757426.559169658</v>
      </c>
      <c r="J4772" s="3">
        <v>0.05538549109890625</v>
      </c>
      <c r="K4772" s="3">
        <v>0.05863290323937361</v>
      </c>
      <c r="L4772" t="s">
        <v>54</v>
      </c>
    </row>
    <row r="4773" spans="1:12" x14ac:dyDescent="0.25">
      <c r="A4773" t="s">
        <v>487</v>
      </c>
      <c r="B4773" t="s">
        <v>465</v>
      </c>
      <c r="C4773" t="s">
        <v>478</v>
      </c>
      <c r="D4773" t="s">
        <v>208</v>
      </c>
      <c r="E4773" t="s">
        <v>210</v>
      </c>
      <c r="F4773">
        <v>1</v>
      </c>
      <c r="G4773" t="s">
        <v>498</v>
      </c>
      <c r="H4773" s="4">
        <v>8212267</v>
      </c>
      <c r="I4773" s="4">
        <v>7642455</v>
      </c>
      <c r="J4773" s="3">
        <v>0.06938546932290438</v>
      </c>
      <c r="K4773" s="3">
        <v>0.07455876416675009</v>
      </c>
      <c r="L4773" t="s">
        <v>54</v>
      </c>
    </row>
    <row r="4774" spans="1:12" x14ac:dyDescent="0.25">
      <c r="A4774" t="s">
        <v>487</v>
      </c>
      <c r="B4774" t="s">
        <v>465</v>
      </c>
      <c r="C4774" t="s">
        <v>478</v>
      </c>
      <c r="D4774" t="s">
        <v>208</v>
      </c>
      <c r="E4774" t="s">
        <v>210</v>
      </c>
      <c r="F4774">
        <v>1</v>
      </c>
      <c r="G4774" t="s">
        <v>499</v>
      </c>
      <c r="H4774" s="4">
        <v>8212267</v>
      </c>
      <c r="I4774" s="4">
        <v>8206023</v>
      </c>
      <c r="J4774" s="3">
        <v>0.0007603259855043681</v>
      </c>
      <c r="K4774" s="3">
        <v>0.0007609045209841601</v>
      </c>
      <c r="L4774" t="s">
        <v>54</v>
      </c>
    </row>
    <row r="4775" spans="1:12" x14ac:dyDescent="0.25">
      <c r="A4775" t="s">
        <v>487</v>
      </c>
      <c r="B4775" t="s">
        <v>465</v>
      </c>
      <c r="C4775" t="s">
        <v>478</v>
      </c>
      <c r="D4775" t="s">
        <v>208</v>
      </c>
      <c r="E4775" t="s">
        <v>212</v>
      </c>
      <c r="F4775">
        <v>2</v>
      </c>
      <c r="G4775" t="s">
        <v>488</v>
      </c>
      <c r="H4775" s="4">
        <v>9481996</v>
      </c>
      <c r="I4775" s="4">
        <v>7790979.846999278</v>
      </c>
      <c r="J4775" s="3">
        <v>0.17833968217247947</v>
      </c>
      <c r="K4775" s="3">
        <v>0.2170479434178003</v>
      </c>
      <c r="L4775" t="s">
        <v>54</v>
      </c>
    </row>
    <row r="4776" spans="1:12" x14ac:dyDescent="0.25">
      <c r="A4776" t="s">
        <v>487</v>
      </c>
      <c r="B4776" t="s">
        <v>465</v>
      </c>
      <c r="C4776" t="s">
        <v>478</v>
      </c>
      <c r="D4776" t="s">
        <v>208</v>
      </c>
      <c r="E4776" t="s">
        <v>212</v>
      </c>
      <c r="F4776">
        <v>2</v>
      </c>
      <c r="G4776" t="s">
        <v>498</v>
      </c>
      <c r="H4776" s="4">
        <v>9481996</v>
      </c>
      <c r="I4776" s="4">
        <v>7675511</v>
      </c>
      <c r="J4776" s="3">
        <v>0.19051737629925175</v>
      </c>
      <c r="K4776" s="3">
        <v>0.2353569684155231</v>
      </c>
      <c r="L4776" t="s">
        <v>54</v>
      </c>
    </row>
    <row r="4777" spans="1:12" x14ac:dyDescent="0.25">
      <c r="A4777" t="s">
        <v>487</v>
      </c>
      <c r="B4777" t="s">
        <v>465</v>
      </c>
      <c r="C4777" t="s">
        <v>478</v>
      </c>
      <c r="D4777" t="s">
        <v>208</v>
      </c>
      <c r="E4777" t="s">
        <v>212</v>
      </c>
      <c r="F4777">
        <v>2</v>
      </c>
      <c r="G4777" t="s">
        <v>499</v>
      </c>
      <c r="H4777" s="4">
        <v>9481996</v>
      </c>
      <c r="I4777" s="4">
        <v>8206023</v>
      </c>
      <c r="J4777" s="3">
        <v>0.13456797492848552</v>
      </c>
      <c r="K4777" s="3">
        <v>0.15549225245895607</v>
      </c>
      <c r="L4777" t="s">
        <v>54</v>
      </c>
    </row>
    <row r="4778" spans="1:12" x14ac:dyDescent="0.25">
      <c r="A4778" t="s">
        <v>487</v>
      </c>
      <c r="B4778" t="s">
        <v>465</v>
      </c>
      <c r="C4778" t="s">
        <v>478</v>
      </c>
      <c r="D4778" t="s">
        <v>208</v>
      </c>
      <c r="E4778" t="s">
        <v>214</v>
      </c>
      <c r="F4778">
        <v>3</v>
      </c>
      <c r="G4778" t="s">
        <v>488</v>
      </c>
      <c r="H4778" s="4">
        <v>8393683</v>
      </c>
      <c r="I4778" s="4">
        <v>8873544.359827371</v>
      </c>
      <c r="J4778" s="3">
        <v>0.05716934506906817</v>
      </c>
      <c r="K4778" s="3">
        <v>-0.05407775522031725</v>
      </c>
      <c r="L4778" t="s">
        <v>54</v>
      </c>
    </row>
    <row r="4779" spans="1:12" x14ac:dyDescent="0.25">
      <c r="A4779" t="s">
        <v>487</v>
      </c>
      <c r="B4779" t="s">
        <v>465</v>
      </c>
      <c r="C4779" t="s">
        <v>478</v>
      </c>
      <c r="D4779" t="s">
        <v>208</v>
      </c>
      <c r="E4779" t="s">
        <v>214</v>
      </c>
      <c r="F4779">
        <v>3</v>
      </c>
      <c r="G4779" t="s">
        <v>498</v>
      </c>
      <c r="H4779" s="4">
        <v>8393683</v>
      </c>
      <c r="I4779" s="4">
        <v>8742031</v>
      </c>
      <c r="J4779" s="3">
        <v>0.041501209897967316</v>
      </c>
      <c r="K4779" s="3">
        <v>-0.03984749081763723</v>
      </c>
      <c r="L4779" t="s">
        <v>54</v>
      </c>
    </row>
    <row r="4780" spans="1:12" x14ac:dyDescent="0.25">
      <c r="A4780" t="s">
        <v>487</v>
      </c>
      <c r="B4780" t="s">
        <v>465</v>
      </c>
      <c r="C4780" t="s">
        <v>478</v>
      </c>
      <c r="D4780" t="s">
        <v>208</v>
      </c>
      <c r="E4780" t="s">
        <v>214</v>
      </c>
      <c r="F4780">
        <v>3</v>
      </c>
      <c r="G4780" t="s">
        <v>499</v>
      </c>
      <c r="H4780" s="4">
        <v>8393683</v>
      </c>
      <c r="I4780" s="4">
        <v>8206023</v>
      </c>
      <c r="J4780" s="3">
        <v>0.022357289404424732</v>
      </c>
      <c r="K4780" s="3">
        <v>0.02286856861112868</v>
      </c>
      <c r="L4780" t="s">
        <v>54</v>
      </c>
    </row>
    <row r="4781" spans="1:12" x14ac:dyDescent="0.25">
      <c r="A4781" t="s">
        <v>487</v>
      </c>
      <c r="B4781" t="s">
        <v>465</v>
      </c>
      <c r="C4781" t="s">
        <v>478</v>
      </c>
      <c r="D4781" t="s">
        <v>210</v>
      </c>
      <c r="E4781" t="s">
        <v>212</v>
      </c>
      <c r="F4781">
        <v>1</v>
      </c>
      <c r="G4781" t="s">
        <v>488</v>
      </c>
      <c r="H4781" s="4">
        <v>9481996</v>
      </c>
      <c r="I4781" s="4">
        <v>7767878.217272869</v>
      </c>
      <c r="J4781" s="3">
        <v>0.18077604997166533</v>
      </c>
      <c r="K4781" s="3">
        <v>0.2206674377200676</v>
      </c>
      <c r="L4781" t="s">
        <v>54</v>
      </c>
    </row>
    <row r="4782" spans="1:12" x14ac:dyDescent="0.25">
      <c r="A4782" t="s">
        <v>487</v>
      </c>
      <c r="B4782" t="s">
        <v>465</v>
      </c>
      <c r="C4782" t="s">
        <v>478</v>
      </c>
      <c r="D4782" t="s">
        <v>210</v>
      </c>
      <c r="E4782" t="s">
        <v>212</v>
      </c>
      <c r="F4782">
        <v>1</v>
      </c>
      <c r="G4782" t="s">
        <v>498</v>
      </c>
      <c r="H4782" s="4">
        <v>9481996</v>
      </c>
      <c r="I4782" s="4">
        <v>7675511</v>
      </c>
      <c r="J4782" s="3">
        <v>0.19051737629925175</v>
      </c>
      <c r="K4782" s="3">
        <v>0.2353569684155231</v>
      </c>
      <c r="L4782" t="s">
        <v>54</v>
      </c>
    </row>
    <row r="4783" spans="1:12" x14ac:dyDescent="0.25">
      <c r="A4783" t="s">
        <v>487</v>
      </c>
      <c r="B4783" t="s">
        <v>465</v>
      </c>
      <c r="C4783" t="s">
        <v>478</v>
      </c>
      <c r="D4783" t="s">
        <v>210</v>
      </c>
      <c r="E4783" t="s">
        <v>212</v>
      </c>
      <c r="F4783">
        <v>1</v>
      </c>
      <c r="G4783" t="s">
        <v>499</v>
      </c>
      <c r="H4783" s="4">
        <v>9481996</v>
      </c>
      <c r="I4783" s="4">
        <v>8212267</v>
      </c>
      <c r="J4783" s="3">
        <v>0.13390946378800414</v>
      </c>
      <c r="K4783" s="3">
        <v>0.15461370167336255</v>
      </c>
      <c r="L4783" t="s">
        <v>54</v>
      </c>
    </row>
    <row r="4784" spans="1:12" x14ac:dyDescent="0.25">
      <c r="A4784" t="s">
        <v>487</v>
      </c>
      <c r="B4784" t="s">
        <v>465</v>
      </c>
      <c r="C4784" t="s">
        <v>478</v>
      </c>
      <c r="D4784" t="s">
        <v>210</v>
      </c>
      <c r="E4784" t="s">
        <v>214</v>
      </c>
      <c r="F4784">
        <v>2</v>
      </c>
      <c r="G4784" t="s">
        <v>488</v>
      </c>
      <c r="H4784" s="4">
        <v>8393683</v>
      </c>
      <c r="I4784" s="4">
        <v>8847232.735335035</v>
      </c>
      <c r="J4784" s="3">
        <v>0.05403465145574776</v>
      </c>
      <c r="K4784" s="3">
        <v>-0.051264587346459105</v>
      </c>
      <c r="L4784" t="s">
        <v>54</v>
      </c>
    </row>
    <row r="4785" spans="1:12" x14ac:dyDescent="0.25">
      <c r="A4785" t="s">
        <v>487</v>
      </c>
      <c r="B4785" t="s">
        <v>465</v>
      </c>
      <c r="C4785" t="s">
        <v>478</v>
      </c>
      <c r="D4785" t="s">
        <v>210</v>
      </c>
      <c r="E4785" t="s">
        <v>214</v>
      </c>
      <c r="F4785">
        <v>2</v>
      </c>
      <c r="G4785" t="s">
        <v>498</v>
      </c>
      <c r="H4785" s="4">
        <v>8393683</v>
      </c>
      <c r="I4785" s="4">
        <v>8742031</v>
      </c>
      <c r="J4785" s="3">
        <v>0.041501209897967316</v>
      </c>
      <c r="K4785" s="3">
        <v>-0.03984749081763723</v>
      </c>
      <c r="L4785" t="s">
        <v>54</v>
      </c>
    </row>
    <row r="4786" spans="1:12" x14ac:dyDescent="0.25">
      <c r="A4786" t="s">
        <v>487</v>
      </c>
      <c r="B4786" t="s">
        <v>465</v>
      </c>
      <c r="C4786" t="s">
        <v>478</v>
      </c>
      <c r="D4786" t="s">
        <v>210</v>
      </c>
      <c r="E4786" t="s">
        <v>214</v>
      </c>
      <c r="F4786">
        <v>2</v>
      </c>
      <c r="G4786" t="s">
        <v>499</v>
      </c>
      <c r="H4786" s="4">
        <v>8393683</v>
      </c>
      <c r="I4786" s="4">
        <v>8212267</v>
      </c>
      <c r="J4786" s="3">
        <v>0.02161339664602535</v>
      </c>
      <c r="K4786" s="3">
        <v>0.02209085505865798</v>
      </c>
      <c r="L4786" t="s">
        <v>54</v>
      </c>
    </row>
    <row r="4787" spans="1:12" x14ac:dyDescent="0.25">
      <c r="A4787" t="s">
        <v>487</v>
      </c>
      <c r="B4787" t="s">
        <v>465</v>
      </c>
      <c r="C4787" t="s">
        <v>478</v>
      </c>
      <c r="D4787" t="s">
        <v>210</v>
      </c>
      <c r="E4787" t="s">
        <v>216</v>
      </c>
      <c r="F4787">
        <v>3</v>
      </c>
      <c r="G4787" t="s">
        <v>488</v>
      </c>
      <c r="H4787" s="4">
        <v>11467584</v>
      </c>
      <c r="I4787" s="4">
        <v>10611365.901414597</v>
      </c>
      <c r="J4787" s="3">
        <v>0.07466420987937848</v>
      </c>
      <c r="K4787" s="3">
        <v>0.08068877339073384</v>
      </c>
      <c r="L4787" t="s">
        <v>54</v>
      </c>
    </row>
    <row r="4788" spans="1:12" x14ac:dyDescent="0.25">
      <c r="A4788" t="s">
        <v>487</v>
      </c>
      <c r="B4788" t="s">
        <v>465</v>
      </c>
      <c r="C4788" t="s">
        <v>478</v>
      </c>
      <c r="D4788" t="s">
        <v>210</v>
      </c>
      <c r="E4788" t="s">
        <v>216</v>
      </c>
      <c r="F4788">
        <v>3</v>
      </c>
      <c r="G4788" t="s">
        <v>498</v>
      </c>
      <c r="H4788" s="4">
        <v>11467584</v>
      </c>
      <c r="I4788" s="4">
        <v>10485187</v>
      </c>
      <c r="J4788" s="3">
        <v>0.08566730359245679</v>
      </c>
      <c r="K4788" s="3">
        <v>0.09369379868952266</v>
      </c>
      <c r="L4788" t="s">
        <v>54</v>
      </c>
    </row>
    <row r="4789" spans="1:12" x14ac:dyDescent="0.25">
      <c r="A4789" t="s">
        <v>487</v>
      </c>
      <c r="B4789" t="s">
        <v>465</v>
      </c>
      <c r="C4789" t="s">
        <v>478</v>
      </c>
      <c r="D4789" t="s">
        <v>210</v>
      </c>
      <c r="E4789" t="s">
        <v>216</v>
      </c>
      <c r="F4789">
        <v>3</v>
      </c>
      <c r="G4789" t="s">
        <v>499</v>
      </c>
      <c r="H4789" s="4">
        <v>11467584</v>
      </c>
      <c r="I4789" s="4">
        <v>8212267</v>
      </c>
      <c r="J4789" s="3">
        <v>0.28387121472142696</v>
      </c>
      <c r="K4789" s="3">
        <v>0.3963968779875277</v>
      </c>
      <c r="L4789" t="s">
        <v>54</v>
      </c>
    </row>
    <row r="4790" spans="1:12" x14ac:dyDescent="0.25">
      <c r="A4790" t="s">
        <v>487</v>
      </c>
      <c r="B4790" t="s">
        <v>465</v>
      </c>
      <c r="C4790" t="s">
        <v>478</v>
      </c>
      <c r="D4790" t="s">
        <v>212</v>
      </c>
      <c r="E4790" t="s">
        <v>214</v>
      </c>
      <c r="F4790">
        <v>1</v>
      </c>
      <c r="G4790" t="s">
        <v>488</v>
      </c>
      <c r="H4790" s="4">
        <v>8393683</v>
      </c>
      <c r="I4790" s="4">
        <v>9097011.550988918</v>
      </c>
      <c r="J4790" s="3">
        <v>0.08379260343628872</v>
      </c>
      <c r="K4790" s="3">
        <v>-0.07731424183059993</v>
      </c>
      <c r="L4790" t="s">
        <v>54</v>
      </c>
    </row>
    <row r="4791" spans="1:12" x14ac:dyDescent="0.25">
      <c r="A4791" t="s">
        <v>487</v>
      </c>
      <c r="B4791" t="s">
        <v>465</v>
      </c>
      <c r="C4791" t="s">
        <v>478</v>
      </c>
      <c r="D4791" t="s">
        <v>212</v>
      </c>
      <c r="E4791" t="s">
        <v>214</v>
      </c>
      <c r="F4791">
        <v>1</v>
      </c>
      <c r="G4791" t="s">
        <v>498</v>
      </c>
      <c r="H4791" s="4">
        <v>8393683</v>
      </c>
      <c r="I4791" s="4">
        <v>8742031</v>
      </c>
      <c r="J4791" s="3">
        <v>0.041501209897967316</v>
      </c>
      <c r="K4791" s="3">
        <v>-0.03984749081763723</v>
      </c>
      <c r="L4791" t="s">
        <v>54</v>
      </c>
    </row>
    <row r="4792" spans="1:12" x14ac:dyDescent="0.25">
      <c r="A4792" t="s">
        <v>487</v>
      </c>
      <c r="B4792" t="s">
        <v>465</v>
      </c>
      <c r="C4792" t="s">
        <v>478</v>
      </c>
      <c r="D4792" t="s">
        <v>212</v>
      </c>
      <c r="E4792" t="s">
        <v>214</v>
      </c>
      <c r="F4792">
        <v>1</v>
      </c>
      <c r="G4792" t="s">
        <v>499</v>
      </c>
      <c r="H4792" s="4">
        <v>8393683</v>
      </c>
      <c r="I4792" s="4">
        <v>9481996</v>
      </c>
      <c r="J4792" s="3">
        <v>0.12965857776616058</v>
      </c>
      <c r="K4792" s="3">
        <v>-0.11477678328486955</v>
      </c>
      <c r="L4792" t="s">
        <v>54</v>
      </c>
    </row>
    <row r="4793" spans="1:12" x14ac:dyDescent="0.25">
      <c r="A4793" t="s">
        <v>487</v>
      </c>
      <c r="B4793" t="s">
        <v>465</v>
      </c>
      <c r="C4793" t="s">
        <v>478</v>
      </c>
      <c r="D4793" t="s">
        <v>212</v>
      </c>
      <c r="E4793" t="s">
        <v>216</v>
      </c>
      <c r="F4793">
        <v>2</v>
      </c>
      <c r="G4793" t="s">
        <v>488</v>
      </c>
      <c r="H4793" s="4">
        <v>11467584</v>
      </c>
      <c r="I4793" s="4">
        <v>10910950.470580446</v>
      </c>
      <c r="J4793" s="3">
        <v>0.04853973857261951</v>
      </c>
      <c r="K4793" s="3">
        <v>0.05101604401196978</v>
      </c>
      <c r="L4793" t="s">
        <v>54</v>
      </c>
    </row>
    <row r="4794" spans="1:12" x14ac:dyDescent="0.25">
      <c r="A4794" t="s">
        <v>487</v>
      </c>
      <c r="B4794" t="s">
        <v>465</v>
      </c>
      <c r="C4794" t="s">
        <v>478</v>
      </c>
      <c r="D4794" t="s">
        <v>212</v>
      </c>
      <c r="E4794" t="s">
        <v>216</v>
      </c>
      <c r="F4794">
        <v>2</v>
      </c>
      <c r="G4794" t="s">
        <v>498</v>
      </c>
      <c r="H4794" s="4">
        <v>11467584</v>
      </c>
      <c r="I4794" s="4">
        <v>10485187</v>
      </c>
      <c r="J4794" s="3">
        <v>0.08566730359245679</v>
      </c>
      <c r="K4794" s="3">
        <v>0.09369379868952266</v>
      </c>
      <c r="L4794" t="s">
        <v>54</v>
      </c>
    </row>
    <row r="4795" spans="1:12" x14ac:dyDescent="0.25">
      <c r="A4795" t="s">
        <v>487</v>
      </c>
      <c r="B4795" t="s">
        <v>465</v>
      </c>
      <c r="C4795" t="s">
        <v>478</v>
      </c>
      <c r="D4795" t="s">
        <v>212</v>
      </c>
      <c r="E4795" t="s">
        <v>216</v>
      </c>
      <c r="F4795">
        <v>2</v>
      </c>
      <c r="G4795" t="s">
        <v>499</v>
      </c>
      <c r="H4795" s="4">
        <v>11467584</v>
      </c>
      <c r="I4795" s="4">
        <v>9481996</v>
      </c>
      <c r="J4795" s="3">
        <v>0.17314789235465813</v>
      </c>
      <c r="K4795" s="3">
        <v>0.20940612082097482</v>
      </c>
      <c r="L4795" t="s">
        <v>54</v>
      </c>
    </row>
    <row r="4796" spans="1:12" x14ac:dyDescent="0.25">
      <c r="A4796" t="s">
        <v>487</v>
      </c>
      <c r="B4796" t="s">
        <v>465</v>
      </c>
      <c r="C4796" t="s">
        <v>478</v>
      </c>
      <c r="D4796" t="s">
        <v>212</v>
      </c>
      <c r="E4796" t="s">
        <v>218</v>
      </c>
      <c r="F4796">
        <v>3</v>
      </c>
      <c r="G4796" t="s">
        <v>488</v>
      </c>
      <c r="H4796" s="4">
        <v>8980068</v>
      </c>
      <c r="I4796" s="4">
        <v>9294932.766662369</v>
      </c>
      <c r="J4796" s="3">
        <v>0.035062626102872335</v>
      </c>
      <c r="K4796" s="3">
        <v>-0.03387488372069532</v>
      </c>
      <c r="L4796" t="s">
        <v>54</v>
      </c>
    </row>
    <row r="4797" spans="1:12" x14ac:dyDescent="0.25">
      <c r="A4797" t="s">
        <v>487</v>
      </c>
      <c r="B4797" t="s">
        <v>465</v>
      </c>
      <c r="C4797" t="s">
        <v>478</v>
      </c>
      <c r="D4797" t="s">
        <v>212</v>
      </c>
      <c r="E4797" t="s">
        <v>218</v>
      </c>
      <c r="F4797">
        <v>3</v>
      </c>
      <c r="G4797" t="s">
        <v>498</v>
      </c>
      <c r="H4797" s="4">
        <v>8980068</v>
      </c>
      <c r="I4797" s="4">
        <v>8932229</v>
      </c>
      <c r="J4797" s="3">
        <v>0.005327242510858492</v>
      </c>
      <c r="K4797" s="3">
        <v>0.005355774017885121</v>
      </c>
      <c r="L4797" t="s">
        <v>54</v>
      </c>
    </row>
    <row r="4798" spans="1:12" x14ac:dyDescent="0.25">
      <c r="A4798" t="s">
        <v>487</v>
      </c>
      <c r="B4798" t="s">
        <v>465</v>
      </c>
      <c r="C4798" t="s">
        <v>478</v>
      </c>
      <c r="D4798" t="s">
        <v>212</v>
      </c>
      <c r="E4798" t="s">
        <v>218</v>
      </c>
      <c r="F4798">
        <v>3</v>
      </c>
      <c r="G4798" t="s">
        <v>499</v>
      </c>
      <c r="H4798" s="4">
        <v>8980068</v>
      </c>
      <c r="I4798" s="4">
        <v>9481996</v>
      </c>
      <c r="J4798" s="3">
        <v>0.05589356338949772</v>
      </c>
      <c r="K4798" s="3">
        <v>-0.05293484620748627</v>
      </c>
      <c r="L4798" t="s">
        <v>54</v>
      </c>
    </row>
    <row r="4799" spans="1:12" x14ac:dyDescent="0.25">
      <c r="A4799" t="s">
        <v>487</v>
      </c>
      <c r="B4799" t="s">
        <v>465</v>
      </c>
      <c r="C4799" t="s">
        <v>478</v>
      </c>
      <c r="D4799" t="s">
        <v>214</v>
      </c>
      <c r="E4799" t="s">
        <v>216</v>
      </c>
      <c r="F4799">
        <v>1</v>
      </c>
      <c r="G4799" t="s">
        <v>488</v>
      </c>
      <c r="H4799" s="4">
        <v>11467584</v>
      </c>
      <c r="I4799" s="4">
        <v>10799111.573047476</v>
      </c>
      <c r="J4799" s="3">
        <v>0.05829235059037057</v>
      </c>
      <c r="K4799" s="3">
        <v>0.061900687147348664</v>
      </c>
      <c r="L4799" t="s">
        <v>54</v>
      </c>
    </row>
    <row r="4800" spans="1:12" x14ac:dyDescent="0.25">
      <c r="A4800" t="s">
        <v>487</v>
      </c>
      <c r="B4800" t="s">
        <v>465</v>
      </c>
      <c r="C4800" t="s">
        <v>478</v>
      </c>
      <c r="D4800" t="s">
        <v>214</v>
      </c>
      <c r="E4800" t="s">
        <v>216</v>
      </c>
      <c r="F4800">
        <v>1</v>
      </c>
      <c r="G4800" t="s">
        <v>498</v>
      </c>
      <c r="H4800" s="4">
        <v>11467584</v>
      </c>
      <c r="I4800" s="4">
        <v>10485187</v>
      </c>
      <c r="J4800" s="3">
        <v>0.08566730359245679</v>
      </c>
      <c r="K4800" s="3">
        <v>0.09369379868952266</v>
      </c>
      <c r="L4800" t="s">
        <v>54</v>
      </c>
    </row>
    <row r="4801" spans="1:12" x14ac:dyDescent="0.25">
      <c r="A4801" t="s">
        <v>487</v>
      </c>
      <c r="B4801" t="s">
        <v>465</v>
      </c>
      <c r="C4801" t="s">
        <v>478</v>
      </c>
      <c r="D4801" t="s">
        <v>214</v>
      </c>
      <c r="E4801" t="s">
        <v>216</v>
      </c>
      <c r="F4801">
        <v>1</v>
      </c>
      <c r="G4801" t="s">
        <v>499</v>
      </c>
      <c r="H4801" s="4">
        <v>11467584</v>
      </c>
      <c r="I4801" s="4">
        <v>8393683</v>
      </c>
      <c r="J4801" s="3">
        <v>0.26805131752250516</v>
      </c>
      <c r="K4801" s="3">
        <v>0.36621599838831176</v>
      </c>
      <c r="L4801" t="s">
        <v>54</v>
      </c>
    </row>
    <row r="4802" spans="1:12" x14ac:dyDescent="0.25">
      <c r="A4802" t="s">
        <v>487</v>
      </c>
      <c r="B4802" t="s">
        <v>465</v>
      </c>
      <c r="C4802" t="s">
        <v>478</v>
      </c>
      <c r="D4802" t="s">
        <v>214</v>
      </c>
      <c r="E4802" t="s">
        <v>218</v>
      </c>
      <c r="F4802">
        <v>2</v>
      </c>
      <c r="G4802" t="s">
        <v>488</v>
      </c>
      <c r="H4802" s="4">
        <v>8980068</v>
      </c>
      <c r="I4802" s="4">
        <v>9199658.29574716</v>
      </c>
      <c r="J4802" s="3">
        <v>0.024453077164578365</v>
      </c>
      <c r="K4802" s="3">
        <v>-0.023869396958871136</v>
      </c>
      <c r="L4802" t="s">
        <v>54</v>
      </c>
    </row>
    <row r="4803" spans="1:12" x14ac:dyDescent="0.25">
      <c r="A4803" t="s">
        <v>487</v>
      </c>
      <c r="B4803" t="s">
        <v>465</v>
      </c>
      <c r="C4803" t="s">
        <v>478</v>
      </c>
      <c r="D4803" t="s">
        <v>214</v>
      </c>
      <c r="E4803" t="s">
        <v>218</v>
      </c>
      <c r="F4803">
        <v>2</v>
      </c>
      <c r="G4803" t="s">
        <v>498</v>
      </c>
      <c r="H4803" s="4">
        <v>8980068</v>
      </c>
      <c r="I4803" s="4">
        <v>8932229</v>
      </c>
      <c r="J4803" s="3">
        <v>0.005327242510858492</v>
      </c>
      <c r="K4803" s="3">
        <v>0.005355774017885121</v>
      </c>
      <c r="L4803" t="s">
        <v>54</v>
      </c>
    </row>
    <row r="4804" spans="1:12" x14ac:dyDescent="0.25">
      <c r="A4804" t="s">
        <v>487</v>
      </c>
      <c r="B4804" t="s">
        <v>465</v>
      </c>
      <c r="C4804" t="s">
        <v>478</v>
      </c>
      <c r="D4804" t="s">
        <v>214</v>
      </c>
      <c r="E4804" t="s">
        <v>218</v>
      </c>
      <c r="F4804">
        <v>2</v>
      </c>
      <c r="G4804" t="s">
        <v>499</v>
      </c>
      <c r="H4804" s="4">
        <v>8980068</v>
      </c>
      <c r="I4804" s="4">
        <v>8393683</v>
      </c>
      <c r="J4804" s="3">
        <v>0.06529850330754734</v>
      </c>
      <c r="K4804" s="3">
        <v>0.0698602746851412</v>
      </c>
      <c r="L4804" t="s">
        <v>54</v>
      </c>
    </row>
    <row r="4805" spans="1:12" x14ac:dyDescent="0.25">
      <c r="A4805" t="s">
        <v>487</v>
      </c>
      <c r="B4805" t="s">
        <v>465</v>
      </c>
      <c r="C4805" t="s">
        <v>478</v>
      </c>
      <c r="D4805" t="s">
        <v>214</v>
      </c>
      <c r="E4805" t="s">
        <v>220</v>
      </c>
      <c r="F4805">
        <v>3</v>
      </c>
      <c r="G4805" t="s">
        <v>488</v>
      </c>
      <c r="H4805" s="4">
        <v>10340767</v>
      </c>
      <c r="I4805" s="4">
        <v>8922929.946134256</v>
      </c>
      <c r="J4805" s="3">
        <v>0.13711140129796404</v>
      </c>
      <c r="K4805" s="3">
        <v>0.15889814919817938</v>
      </c>
      <c r="L4805" t="s">
        <v>54</v>
      </c>
    </row>
    <row r="4806" spans="1:12" x14ac:dyDescent="0.25">
      <c r="A4806" t="s">
        <v>487</v>
      </c>
      <c r="B4806" t="s">
        <v>465</v>
      </c>
      <c r="C4806" t="s">
        <v>478</v>
      </c>
      <c r="D4806" t="s">
        <v>214</v>
      </c>
      <c r="E4806" t="s">
        <v>220</v>
      </c>
      <c r="F4806">
        <v>3</v>
      </c>
      <c r="G4806" t="s">
        <v>498</v>
      </c>
      <c r="H4806" s="4">
        <v>10340767</v>
      </c>
      <c r="I4806" s="4">
        <v>8663545</v>
      </c>
      <c r="J4806" s="3">
        <v>0.16219512537126116</v>
      </c>
      <c r="K4806" s="3">
        <v>0.19359534693938799</v>
      </c>
      <c r="L4806" t="s">
        <v>54</v>
      </c>
    </row>
    <row r="4807" spans="1:12" x14ac:dyDescent="0.25">
      <c r="A4807" t="s">
        <v>487</v>
      </c>
      <c r="B4807" t="s">
        <v>465</v>
      </c>
      <c r="C4807" t="s">
        <v>478</v>
      </c>
      <c r="D4807" t="s">
        <v>214</v>
      </c>
      <c r="E4807" t="s">
        <v>220</v>
      </c>
      <c r="F4807">
        <v>3</v>
      </c>
      <c r="G4807" t="s">
        <v>499</v>
      </c>
      <c r="H4807" s="4">
        <v>10340767</v>
      </c>
      <c r="I4807" s="4">
        <v>8393683</v>
      </c>
      <c r="J4807" s="3">
        <v>0.18829202901486902</v>
      </c>
      <c r="K4807" s="3">
        <v>0.23197016137016374</v>
      </c>
      <c r="L4807" t="s">
        <v>54</v>
      </c>
    </row>
    <row r="4808" spans="1:12" x14ac:dyDescent="0.25">
      <c r="A4808" t="s">
        <v>487</v>
      </c>
      <c r="B4808" t="s">
        <v>465</v>
      </c>
      <c r="C4808" t="s">
        <v>478</v>
      </c>
      <c r="D4808" t="s">
        <v>216</v>
      </c>
      <c r="E4808" t="s">
        <v>218</v>
      </c>
      <c r="F4808">
        <v>1</v>
      </c>
      <c r="G4808" t="s">
        <v>488</v>
      </c>
      <c r="H4808" s="4">
        <v>8980068</v>
      </c>
      <c r="I4808" s="4">
        <v>9215940.875376552</v>
      </c>
      <c r="J4808" s="3">
        <v>0.0262662682929074</v>
      </c>
      <c r="K4808" s="3">
        <v>-0.02559400918106637</v>
      </c>
      <c r="L4808" t="s">
        <v>54</v>
      </c>
    </row>
    <row r="4809" spans="1:12" x14ac:dyDescent="0.25">
      <c r="A4809" t="s">
        <v>487</v>
      </c>
      <c r="B4809" t="s">
        <v>465</v>
      </c>
      <c r="C4809" t="s">
        <v>478</v>
      </c>
      <c r="D4809" t="s">
        <v>216</v>
      </c>
      <c r="E4809" t="s">
        <v>218</v>
      </c>
      <c r="F4809">
        <v>1</v>
      </c>
      <c r="G4809" t="s">
        <v>498</v>
      </c>
      <c r="H4809" s="4">
        <v>8980068</v>
      </c>
      <c r="I4809" s="4">
        <v>8932229</v>
      </c>
      <c r="J4809" s="3">
        <v>0.005327242510858492</v>
      </c>
      <c r="K4809" s="3">
        <v>0.005355774017885121</v>
      </c>
      <c r="L4809" t="s">
        <v>54</v>
      </c>
    </row>
    <row r="4810" spans="1:12" x14ac:dyDescent="0.25">
      <c r="A4810" t="s">
        <v>487</v>
      </c>
      <c r="B4810" t="s">
        <v>465</v>
      </c>
      <c r="C4810" t="s">
        <v>478</v>
      </c>
      <c r="D4810" t="s">
        <v>216</v>
      </c>
      <c r="E4810" t="s">
        <v>218</v>
      </c>
      <c r="F4810">
        <v>1</v>
      </c>
      <c r="G4810" t="s">
        <v>499</v>
      </c>
      <c r="H4810" s="4">
        <v>8980068</v>
      </c>
      <c r="I4810" s="4">
        <v>11467584</v>
      </c>
      <c r="J4810" s="3">
        <v>0.2770041384987285</v>
      </c>
      <c r="K4810" s="3">
        <v>-0.2169171815092002</v>
      </c>
      <c r="L4810" t="s">
        <v>54</v>
      </c>
    </row>
    <row r="4811" spans="1:12" x14ac:dyDescent="0.25">
      <c r="A4811" t="s">
        <v>487</v>
      </c>
      <c r="B4811" t="s">
        <v>465</v>
      </c>
      <c r="C4811" t="s">
        <v>478</v>
      </c>
      <c r="D4811" t="s">
        <v>216</v>
      </c>
      <c r="E4811" t="s">
        <v>220</v>
      </c>
      <c r="F4811">
        <v>2</v>
      </c>
      <c r="G4811" t="s">
        <v>488</v>
      </c>
      <c r="H4811" s="4">
        <v>10340767</v>
      </c>
      <c r="I4811" s="4">
        <v>8938722.741116932</v>
      </c>
      <c r="J4811" s="3">
        <v>0.13558416497374598</v>
      </c>
      <c r="K4811" s="3">
        <v>0.15685062614526032</v>
      </c>
      <c r="L4811" t="s">
        <v>54</v>
      </c>
    </row>
    <row r="4812" spans="1:12" x14ac:dyDescent="0.25">
      <c r="A4812" t="s">
        <v>487</v>
      </c>
      <c r="B4812" t="s">
        <v>465</v>
      </c>
      <c r="C4812" t="s">
        <v>478</v>
      </c>
      <c r="D4812" t="s">
        <v>216</v>
      </c>
      <c r="E4812" t="s">
        <v>220</v>
      </c>
      <c r="F4812">
        <v>2</v>
      </c>
      <c r="G4812" t="s">
        <v>498</v>
      </c>
      <c r="H4812" s="4">
        <v>10340767</v>
      </c>
      <c r="I4812" s="4">
        <v>8663545</v>
      </c>
      <c r="J4812" s="3">
        <v>0.16219512537126116</v>
      </c>
      <c r="K4812" s="3">
        <v>0.19359534693938799</v>
      </c>
      <c r="L4812" t="s">
        <v>54</v>
      </c>
    </row>
    <row r="4813" spans="1:12" x14ac:dyDescent="0.25">
      <c r="A4813" t="s">
        <v>487</v>
      </c>
      <c r="B4813" t="s">
        <v>465</v>
      </c>
      <c r="C4813" t="s">
        <v>478</v>
      </c>
      <c r="D4813" t="s">
        <v>216</v>
      </c>
      <c r="E4813" t="s">
        <v>220</v>
      </c>
      <c r="F4813">
        <v>2</v>
      </c>
      <c r="G4813" t="s">
        <v>499</v>
      </c>
      <c r="H4813" s="4">
        <v>10340767</v>
      </c>
      <c r="I4813" s="4">
        <v>11467584</v>
      </c>
      <c r="J4813" s="3">
        <v>0.10896841597920154</v>
      </c>
      <c r="K4813" s="3">
        <v>-0.09826106353352197</v>
      </c>
      <c r="L4813" t="s">
        <v>54</v>
      </c>
    </row>
    <row r="4814" spans="1:12" x14ac:dyDescent="0.25">
      <c r="A4814" t="s">
        <v>487</v>
      </c>
      <c r="B4814" t="s">
        <v>465</v>
      </c>
      <c r="C4814" t="s">
        <v>478</v>
      </c>
      <c r="D4814" t="s">
        <v>216</v>
      </c>
      <c r="E4814" t="s">
        <v>222</v>
      </c>
      <c r="F4814">
        <v>3</v>
      </c>
      <c r="G4814" t="s">
        <v>488</v>
      </c>
      <c r="H4814" s="4">
        <v>10000886</v>
      </c>
      <c r="I4814" s="4">
        <v>10026011.833846943</v>
      </c>
      <c r="J4814" s="3">
        <v>0.002512360789528393</v>
      </c>
      <c r="K4814" s="3">
        <v>-0.00250606465096329</v>
      </c>
      <c r="L4814" t="s">
        <v>54</v>
      </c>
    </row>
    <row r="4815" spans="1:12" x14ac:dyDescent="0.25">
      <c r="A4815" t="s">
        <v>487</v>
      </c>
      <c r="B4815" t="s">
        <v>465</v>
      </c>
      <c r="C4815" t="s">
        <v>478</v>
      </c>
      <c r="D4815" t="s">
        <v>216</v>
      </c>
      <c r="E4815" t="s">
        <v>222</v>
      </c>
      <c r="F4815">
        <v>3</v>
      </c>
      <c r="G4815" t="s">
        <v>498</v>
      </c>
      <c r="H4815" s="4">
        <v>10000886</v>
      </c>
      <c r="I4815" s="4">
        <v>9717362</v>
      </c>
      <c r="J4815" s="3">
        <v>0.028349888199905488</v>
      </c>
      <c r="K4815" s="3">
        <v>0.02917705443102768</v>
      </c>
      <c r="L4815" t="s">
        <v>54</v>
      </c>
    </row>
    <row r="4816" spans="1:12" x14ac:dyDescent="0.25">
      <c r="A4816" t="s">
        <v>487</v>
      </c>
      <c r="B4816" t="s">
        <v>465</v>
      </c>
      <c r="C4816" t="s">
        <v>478</v>
      </c>
      <c r="D4816" t="s">
        <v>216</v>
      </c>
      <c r="E4816" t="s">
        <v>222</v>
      </c>
      <c r="F4816">
        <v>3</v>
      </c>
      <c r="G4816" t="s">
        <v>499</v>
      </c>
      <c r="H4816" s="4">
        <v>10000886</v>
      </c>
      <c r="I4816" s="4">
        <v>11467584</v>
      </c>
      <c r="J4816" s="3">
        <v>0.14665680620697005</v>
      </c>
      <c r="K4816" s="3">
        <v>-0.12789947734413806</v>
      </c>
      <c r="L4816" t="s">
        <v>54</v>
      </c>
    </row>
    <row r="4817" spans="1:12" x14ac:dyDescent="0.25">
      <c r="A4817" t="s">
        <v>487</v>
      </c>
      <c r="B4817" t="s">
        <v>465</v>
      </c>
      <c r="C4817" t="s">
        <v>478</v>
      </c>
      <c r="D4817" t="s">
        <v>218</v>
      </c>
      <c r="E4817" t="s">
        <v>220</v>
      </c>
      <c r="F4817">
        <v>1</v>
      </c>
      <c r="G4817" t="s">
        <v>488</v>
      </c>
      <c r="H4817" s="4">
        <v>10340767</v>
      </c>
      <c r="I4817" s="4">
        <v>8994637.299987912</v>
      </c>
      <c r="J4817" s="3">
        <v>0.13017696849876687</v>
      </c>
      <c r="K4817" s="3">
        <v>0.14965914189935117</v>
      </c>
      <c r="L4817" t="s">
        <v>54</v>
      </c>
    </row>
    <row r="4818" spans="1:12" x14ac:dyDescent="0.25">
      <c r="A4818" t="s">
        <v>487</v>
      </c>
      <c r="B4818" t="s">
        <v>465</v>
      </c>
      <c r="C4818" t="s">
        <v>478</v>
      </c>
      <c r="D4818" t="s">
        <v>218</v>
      </c>
      <c r="E4818" t="s">
        <v>220</v>
      </c>
      <c r="F4818">
        <v>1</v>
      </c>
      <c r="G4818" t="s">
        <v>498</v>
      </c>
      <c r="H4818" s="4">
        <v>10340767</v>
      </c>
      <c r="I4818" s="4">
        <v>8663545</v>
      </c>
      <c r="J4818" s="3">
        <v>0.16219512537126116</v>
      </c>
      <c r="K4818" s="3">
        <v>0.19359534693938799</v>
      </c>
      <c r="L4818" t="s">
        <v>54</v>
      </c>
    </row>
    <row r="4819" spans="1:12" x14ac:dyDescent="0.25">
      <c r="A4819" t="s">
        <v>487</v>
      </c>
      <c r="B4819" t="s">
        <v>465</v>
      </c>
      <c r="C4819" t="s">
        <v>478</v>
      </c>
      <c r="D4819" t="s">
        <v>218</v>
      </c>
      <c r="E4819" t="s">
        <v>220</v>
      </c>
      <c r="F4819">
        <v>1</v>
      </c>
      <c r="G4819" t="s">
        <v>499</v>
      </c>
      <c r="H4819" s="4">
        <v>10340767</v>
      </c>
      <c r="I4819" s="4">
        <v>8980068</v>
      </c>
      <c r="J4819" s="3">
        <v>0.13158588719772915</v>
      </c>
      <c r="K4819" s="3">
        <v>0.15152435371313447</v>
      </c>
      <c r="L4819" t="s">
        <v>54</v>
      </c>
    </row>
    <row r="4820" spans="1:12" x14ac:dyDescent="0.25">
      <c r="A4820" t="s">
        <v>487</v>
      </c>
      <c r="B4820" t="s">
        <v>465</v>
      </c>
      <c r="C4820" t="s">
        <v>478</v>
      </c>
      <c r="D4820" t="s">
        <v>218</v>
      </c>
      <c r="E4820" t="s">
        <v>222</v>
      </c>
      <c r="F4820">
        <v>2</v>
      </c>
      <c r="G4820" t="s">
        <v>488</v>
      </c>
      <c r="H4820" s="4">
        <v>10000886</v>
      </c>
      <c r="I4820" s="4">
        <v>10088727.732433448</v>
      </c>
      <c r="J4820" s="3">
        <v>0.008783395034544702</v>
      </c>
      <c r="K4820" s="3">
        <v>-0.008706918727824543</v>
      </c>
      <c r="L4820" t="s">
        <v>54</v>
      </c>
    </row>
    <row r="4821" spans="1:12" x14ac:dyDescent="0.25">
      <c r="A4821" t="s">
        <v>487</v>
      </c>
      <c r="B4821" t="s">
        <v>465</v>
      </c>
      <c r="C4821" t="s">
        <v>478</v>
      </c>
      <c r="D4821" t="s">
        <v>218</v>
      </c>
      <c r="E4821" t="s">
        <v>222</v>
      </c>
      <c r="F4821">
        <v>2</v>
      </c>
      <c r="G4821" t="s">
        <v>498</v>
      </c>
      <c r="H4821" s="4">
        <v>10000886</v>
      </c>
      <c r="I4821" s="4">
        <v>9717362</v>
      </c>
      <c r="J4821" s="3">
        <v>0.028349888199905488</v>
      </c>
      <c r="K4821" s="3">
        <v>0.02917705443102768</v>
      </c>
      <c r="L4821" t="s">
        <v>54</v>
      </c>
    </row>
    <row r="4822" spans="1:12" x14ac:dyDescent="0.25">
      <c r="A4822" t="s">
        <v>487</v>
      </c>
      <c r="B4822" t="s">
        <v>465</v>
      </c>
      <c r="C4822" t="s">
        <v>478</v>
      </c>
      <c r="D4822" t="s">
        <v>218</v>
      </c>
      <c r="E4822" t="s">
        <v>222</v>
      </c>
      <c r="F4822">
        <v>2</v>
      </c>
      <c r="G4822" t="s">
        <v>499</v>
      </c>
      <c r="H4822" s="4">
        <v>10000886</v>
      </c>
      <c r="I4822" s="4">
        <v>8980068</v>
      </c>
      <c r="J4822" s="3">
        <v>0.10207275635378706</v>
      </c>
      <c r="K4822" s="3">
        <v>0.11367597661843987</v>
      </c>
      <c r="L4822" t="s">
        <v>54</v>
      </c>
    </row>
    <row r="4823" spans="1:12" x14ac:dyDescent="0.25">
      <c r="A4823" t="s">
        <v>487</v>
      </c>
      <c r="B4823" t="s">
        <v>465</v>
      </c>
      <c r="C4823" t="s">
        <v>478</v>
      </c>
      <c r="D4823" t="s">
        <v>218</v>
      </c>
      <c r="E4823" t="s">
        <v>224</v>
      </c>
      <c r="F4823">
        <v>3</v>
      </c>
      <c r="G4823" t="s">
        <v>488</v>
      </c>
      <c r="H4823" s="4">
        <v>8230311</v>
      </c>
      <c r="I4823" s="4">
        <v>8977048.870482543</v>
      </c>
      <c r="J4823" s="3">
        <v>0.09073021304815133</v>
      </c>
      <c r="K4823" s="3">
        <v>-0.08318300159174738</v>
      </c>
      <c r="L4823" t="s">
        <v>54</v>
      </c>
    </row>
    <row r="4824" spans="1:12" x14ac:dyDescent="0.25">
      <c r="A4824" t="s">
        <v>487</v>
      </c>
      <c r="B4824" t="s">
        <v>465</v>
      </c>
      <c r="C4824" t="s">
        <v>478</v>
      </c>
      <c r="D4824" t="s">
        <v>218</v>
      </c>
      <c r="E4824" t="s">
        <v>224</v>
      </c>
      <c r="F4824">
        <v>3</v>
      </c>
      <c r="G4824" t="s">
        <v>498</v>
      </c>
      <c r="H4824" s="4">
        <v>8230311</v>
      </c>
      <c r="I4824" s="4">
        <v>8646604</v>
      </c>
      <c r="J4824" s="3">
        <v>0.05058047016692322</v>
      </c>
      <c r="K4824" s="3">
        <v>-0.048145260266342714</v>
      </c>
      <c r="L4824" t="s">
        <v>54</v>
      </c>
    </row>
    <row r="4825" spans="1:12" x14ac:dyDescent="0.25">
      <c r="A4825" t="s">
        <v>487</v>
      </c>
      <c r="B4825" t="s">
        <v>465</v>
      </c>
      <c r="C4825" t="s">
        <v>478</v>
      </c>
      <c r="D4825" t="s">
        <v>218</v>
      </c>
      <c r="E4825" t="s">
        <v>224</v>
      </c>
      <c r="F4825">
        <v>3</v>
      </c>
      <c r="G4825" t="s">
        <v>499</v>
      </c>
      <c r="H4825" s="4">
        <v>8230311</v>
      </c>
      <c r="I4825" s="4">
        <v>8980068</v>
      </c>
      <c r="J4825" s="3">
        <v>0.09109704359896</v>
      </c>
      <c r="K4825" s="3">
        <v>-0.08349123859641151</v>
      </c>
      <c r="L4825" t="s">
        <v>54</v>
      </c>
    </row>
    <row r="4826" spans="1:12" x14ac:dyDescent="0.25">
      <c r="A4826" t="s">
        <v>487</v>
      </c>
      <c r="B4826" t="s">
        <v>465</v>
      </c>
      <c r="C4826" t="s">
        <v>478</v>
      </c>
      <c r="D4826" t="s">
        <v>220</v>
      </c>
      <c r="E4826" t="s">
        <v>222</v>
      </c>
      <c r="F4826">
        <v>1</v>
      </c>
      <c r="G4826" t="s">
        <v>488</v>
      </c>
      <c r="H4826" s="4">
        <v>10000886</v>
      </c>
      <c r="I4826" s="4">
        <v>10148461.878339574</v>
      </c>
      <c r="J4826" s="3">
        <v>0.014756280427511497</v>
      </c>
      <c r="K4826" s="3">
        <v>-0.014541699038605362</v>
      </c>
      <c r="L4826" t="s">
        <v>54</v>
      </c>
    </row>
    <row r="4827" spans="1:12" x14ac:dyDescent="0.25">
      <c r="A4827" t="s">
        <v>487</v>
      </c>
      <c r="B4827" t="s">
        <v>465</v>
      </c>
      <c r="C4827" t="s">
        <v>478</v>
      </c>
      <c r="D4827" t="s">
        <v>220</v>
      </c>
      <c r="E4827" t="s">
        <v>222</v>
      </c>
      <c r="F4827">
        <v>1</v>
      </c>
      <c r="G4827" t="s">
        <v>498</v>
      </c>
      <c r="H4827" s="4">
        <v>10000886</v>
      </c>
      <c r="I4827" s="4">
        <v>9717362</v>
      </c>
      <c r="J4827" s="3">
        <v>0.028349888199905488</v>
      </c>
      <c r="K4827" s="3">
        <v>0.02917705443102768</v>
      </c>
      <c r="L4827" t="s">
        <v>54</v>
      </c>
    </row>
    <row r="4828" spans="1:12" x14ac:dyDescent="0.25">
      <c r="A4828" t="s">
        <v>487</v>
      </c>
      <c r="B4828" t="s">
        <v>465</v>
      </c>
      <c r="C4828" t="s">
        <v>478</v>
      </c>
      <c r="D4828" t="s">
        <v>220</v>
      </c>
      <c r="E4828" t="s">
        <v>222</v>
      </c>
      <c r="F4828">
        <v>1</v>
      </c>
      <c r="G4828" t="s">
        <v>499</v>
      </c>
      <c r="H4828" s="4">
        <v>10000886</v>
      </c>
      <c r="I4828" s="4">
        <v>10340767</v>
      </c>
      <c r="J4828" s="3">
        <v>0.033985088921121585</v>
      </c>
      <c r="K4828" s="3">
        <v>-0.03286806481569501</v>
      </c>
      <c r="L4828" t="s">
        <v>54</v>
      </c>
    </row>
    <row r="4829" spans="1:12" x14ac:dyDescent="0.25">
      <c r="A4829" t="s">
        <v>487</v>
      </c>
      <c r="B4829" t="s">
        <v>465</v>
      </c>
      <c r="C4829" t="s">
        <v>478</v>
      </c>
      <c r="D4829" t="s">
        <v>220</v>
      </c>
      <c r="E4829" t="s">
        <v>224</v>
      </c>
      <c r="F4829">
        <v>2</v>
      </c>
      <c r="G4829" t="s">
        <v>488</v>
      </c>
      <c r="H4829" s="4">
        <v>8230311</v>
      </c>
      <c r="I4829" s="4">
        <v>9030200.899287118</v>
      </c>
      <c r="J4829" s="3">
        <v>0.09718829571411307</v>
      </c>
      <c r="K4829" s="3">
        <v>-0.08857941348240263</v>
      </c>
      <c r="L4829" t="s">
        <v>54</v>
      </c>
    </row>
    <row r="4830" spans="1:12" x14ac:dyDescent="0.25">
      <c r="A4830" t="s">
        <v>487</v>
      </c>
      <c r="B4830" t="s">
        <v>465</v>
      </c>
      <c r="C4830" t="s">
        <v>478</v>
      </c>
      <c r="D4830" t="s">
        <v>220</v>
      </c>
      <c r="E4830" t="s">
        <v>224</v>
      </c>
      <c r="F4830">
        <v>2</v>
      </c>
      <c r="G4830" t="s">
        <v>498</v>
      </c>
      <c r="H4830" s="4">
        <v>8230311</v>
      </c>
      <c r="I4830" s="4">
        <v>8646604</v>
      </c>
      <c r="J4830" s="3">
        <v>0.05058047016692322</v>
      </c>
      <c r="K4830" s="3">
        <v>-0.048145260266342714</v>
      </c>
      <c r="L4830" t="s">
        <v>54</v>
      </c>
    </row>
    <row r="4831" spans="1:12" x14ac:dyDescent="0.25">
      <c r="A4831" t="s">
        <v>487</v>
      </c>
      <c r="B4831" t="s">
        <v>465</v>
      </c>
      <c r="C4831" t="s">
        <v>478</v>
      </c>
      <c r="D4831" t="s">
        <v>220</v>
      </c>
      <c r="E4831" t="s">
        <v>224</v>
      </c>
      <c r="F4831">
        <v>2</v>
      </c>
      <c r="G4831" t="s">
        <v>499</v>
      </c>
      <c r="H4831" s="4">
        <v>8230311</v>
      </c>
      <c r="I4831" s="4">
        <v>10340767</v>
      </c>
      <c r="J4831" s="3">
        <v>0.2564248179686041</v>
      </c>
      <c r="K4831" s="3">
        <v>-0.20409085709019456</v>
      </c>
      <c r="L4831" t="s">
        <v>54</v>
      </c>
    </row>
    <row r="4832" spans="1:12" x14ac:dyDescent="0.25">
      <c r="A4832" t="s">
        <v>487</v>
      </c>
      <c r="B4832" t="s">
        <v>465</v>
      </c>
      <c r="C4832" t="s">
        <v>478</v>
      </c>
      <c r="D4832" t="s">
        <v>220</v>
      </c>
      <c r="E4832" t="s">
        <v>226</v>
      </c>
      <c r="F4832">
        <v>3</v>
      </c>
      <c r="G4832" t="s">
        <v>488</v>
      </c>
      <c r="H4832" s="4">
        <v>10109798</v>
      </c>
      <c r="I4832" s="4">
        <v>10287294.390681613</v>
      </c>
      <c r="J4832" s="3">
        <v>0.017556868167060632</v>
      </c>
      <c r="K4832" s="3">
        <v>-0.01725394296506107</v>
      </c>
      <c r="L4832" t="s">
        <v>54</v>
      </c>
    </row>
    <row r="4833" spans="1:12" x14ac:dyDescent="0.25">
      <c r="A4833" t="s">
        <v>487</v>
      </c>
      <c r="B4833" t="s">
        <v>465</v>
      </c>
      <c r="C4833" t="s">
        <v>478</v>
      </c>
      <c r="D4833" t="s">
        <v>220</v>
      </c>
      <c r="E4833" t="s">
        <v>226</v>
      </c>
      <c r="F4833">
        <v>3</v>
      </c>
      <c r="G4833" t="s">
        <v>498</v>
      </c>
      <c r="H4833" s="4">
        <v>10109798</v>
      </c>
      <c r="I4833" s="4">
        <v>9850297</v>
      </c>
      <c r="J4833" s="3">
        <v>0.02566826755588984</v>
      </c>
      <c r="K4833" s="3">
        <v>0.026344484841421534</v>
      </c>
      <c r="L4833" t="s">
        <v>54</v>
      </c>
    </row>
    <row r="4834" spans="1:12" x14ac:dyDescent="0.25">
      <c r="A4834" t="s">
        <v>487</v>
      </c>
      <c r="B4834" t="s">
        <v>465</v>
      </c>
      <c r="C4834" t="s">
        <v>478</v>
      </c>
      <c r="D4834" t="s">
        <v>220</v>
      </c>
      <c r="E4834" t="s">
        <v>226</v>
      </c>
      <c r="F4834">
        <v>3</v>
      </c>
      <c r="G4834" t="s">
        <v>499</v>
      </c>
      <c r="H4834" s="4">
        <v>10109798</v>
      </c>
      <c r="I4834" s="4">
        <v>10340767</v>
      </c>
      <c r="J4834" s="3">
        <v>0.022846054886556586</v>
      </c>
      <c r="K4834" s="3">
        <v>-0.022335770644479273</v>
      </c>
      <c r="L4834" t="s">
        <v>54</v>
      </c>
    </row>
    <row r="4835" spans="1:12" x14ac:dyDescent="0.25">
      <c r="A4835" t="s">
        <v>487</v>
      </c>
      <c r="B4835" t="s">
        <v>465</v>
      </c>
      <c r="C4835" t="s">
        <v>478</v>
      </c>
      <c r="D4835" t="s">
        <v>222</v>
      </c>
      <c r="E4835" t="s">
        <v>224</v>
      </c>
      <c r="F4835">
        <v>1</v>
      </c>
      <c r="G4835" t="s">
        <v>488</v>
      </c>
      <c r="H4835" s="4">
        <v>8230311</v>
      </c>
      <c r="I4835" s="4">
        <v>8935289.40381817</v>
      </c>
      <c r="J4835" s="3">
        <v>0.0856563505094971</v>
      </c>
      <c r="K4835" s="3">
        <v>-0.07889821716540293</v>
      </c>
      <c r="L4835" t="s">
        <v>54</v>
      </c>
    </row>
    <row r="4836" spans="1:12" x14ac:dyDescent="0.25">
      <c r="A4836" t="s">
        <v>487</v>
      </c>
      <c r="B4836" t="s">
        <v>465</v>
      </c>
      <c r="C4836" t="s">
        <v>478</v>
      </c>
      <c r="D4836" t="s">
        <v>222</v>
      </c>
      <c r="E4836" t="s">
        <v>224</v>
      </c>
      <c r="F4836">
        <v>1</v>
      </c>
      <c r="G4836" t="s">
        <v>498</v>
      </c>
      <c r="H4836" s="4">
        <v>8230311</v>
      </c>
      <c r="I4836" s="4">
        <v>8646604</v>
      </c>
      <c r="J4836" s="3">
        <v>0.05058047016692322</v>
      </c>
      <c r="K4836" s="3">
        <v>-0.048145260266342714</v>
      </c>
      <c r="L4836" t="s">
        <v>54</v>
      </c>
    </row>
    <row r="4837" spans="1:12" x14ac:dyDescent="0.25">
      <c r="A4837" t="s">
        <v>487</v>
      </c>
      <c r="B4837" t="s">
        <v>465</v>
      </c>
      <c r="C4837" t="s">
        <v>478</v>
      </c>
      <c r="D4837" t="s">
        <v>222</v>
      </c>
      <c r="E4837" t="s">
        <v>224</v>
      </c>
      <c r="F4837">
        <v>1</v>
      </c>
      <c r="G4837" t="s">
        <v>499</v>
      </c>
      <c r="H4837" s="4">
        <v>8230311</v>
      </c>
      <c r="I4837" s="4">
        <v>10000886</v>
      </c>
      <c r="J4837" s="3">
        <v>0.21512856561556423</v>
      </c>
      <c r="K4837" s="3">
        <v>-0.17704181409527117</v>
      </c>
      <c r="L4837" t="s">
        <v>54</v>
      </c>
    </row>
    <row r="4838" spans="1:12" x14ac:dyDescent="0.25">
      <c r="A4838" t="s">
        <v>487</v>
      </c>
      <c r="B4838" t="s">
        <v>465</v>
      </c>
      <c r="C4838" t="s">
        <v>478</v>
      </c>
      <c r="D4838" t="s">
        <v>222</v>
      </c>
      <c r="E4838" t="s">
        <v>226</v>
      </c>
      <c r="F4838">
        <v>2</v>
      </c>
      <c r="G4838" t="s">
        <v>488</v>
      </c>
      <c r="H4838" s="4">
        <v>10109798</v>
      </c>
      <c r="I4838" s="4">
        <v>10179170.27408239</v>
      </c>
      <c r="J4838" s="3">
        <v>0.00686188528023909</v>
      </c>
      <c r="K4838" s="3">
        <v>-0.006815120703798642</v>
      </c>
      <c r="L4838" t="s">
        <v>54</v>
      </c>
    </row>
    <row r="4839" spans="1:12" x14ac:dyDescent="0.25">
      <c r="A4839" t="s">
        <v>487</v>
      </c>
      <c r="B4839" t="s">
        <v>465</v>
      </c>
      <c r="C4839" t="s">
        <v>478</v>
      </c>
      <c r="D4839" t="s">
        <v>222</v>
      </c>
      <c r="E4839" t="s">
        <v>226</v>
      </c>
      <c r="F4839">
        <v>2</v>
      </c>
      <c r="G4839" t="s">
        <v>498</v>
      </c>
      <c r="H4839" s="4">
        <v>10109798</v>
      </c>
      <c r="I4839" s="4">
        <v>9850297</v>
      </c>
      <c r="J4839" s="3">
        <v>0.02566826755588984</v>
      </c>
      <c r="K4839" s="3">
        <v>0.026344484841421534</v>
      </c>
      <c r="L4839" t="s">
        <v>54</v>
      </c>
    </row>
    <row r="4840" spans="1:12" x14ac:dyDescent="0.25">
      <c r="A4840" t="s">
        <v>487</v>
      </c>
      <c r="B4840" t="s">
        <v>465</v>
      </c>
      <c r="C4840" t="s">
        <v>478</v>
      </c>
      <c r="D4840" t="s">
        <v>222</v>
      </c>
      <c r="E4840" t="s">
        <v>226</v>
      </c>
      <c r="F4840">
        <v>2</v>
      </c>
      <c r="G4840" t="s">
        <v>499</v>
      </c>
      <c r="H4840" s="4">
        <v>10109798</v>
      </c>
      <c r="I4840" s="4">
        <v>10000886</v>
      </c>
      <c r="J4840" s="3">
        <v>0.010772915541932687</v>
      </c>
      <c r="K4840" s="3">
        <v>0.01089023512516791</v>
      </c>
      <c r="L4840" t="s">
        <v>54</v>
      </c>
    </row>
    <row r="4841" spans="1:12" x14ac:dyDescent="0.25">
      <c r="A4841" t="s">
        <v>487</v>
      </c>
      <c r="B4841" t="s">
        <v>465</v>
      </c>
      <c r="C4841" t="s">
        <v>478</v>
      </c>
      <c r="D4841" t="s">
        <v>222</v>
      </c>
      <c r="E4841" t="s">
        <v>228</v>
      </c>
      <c r="F4841">
        <v>3</v>
      </c>
      <c r="G4841" t="s">
        <v>488</v>
      </c>
      <c r="H4841" s="4">
        <v>12128443</v>
      </c>
      <c r="I4841" s="4">
        <v>10025998.53159226</v>
      </c>
      <c r="J4841" s="3">
        <v>0.1733482581735958</v>
      </c>
      <c r="K4841" s="3">
        <v>0.20969925955832402</v>
      </c>
      <c r="L4841" t="s">
        <v>54</v>
      </c>
    </row>
    <row r="4842" spans="1:12" x14ac:dyDescent="0.25">
      <c r="A4842" t="s">
        <v>487</v>
      </c>
      <c r="B4842" t="s">
        <v>465</v>
      </c>
      <c r="C4842" t="s">
        <v>478</v>
      </c>
      <c r="D4842" t="s">
        <v>222</v>
      </c>
      <c r="E4842" t="s">
        <v>228</v>
      </c>
      <c r="F4842">
        <v>3</v>
      </c>
      <c r="G4842" t="s">
        <v>498</v>
      </c>
      <c r="H4842" s="4">
        <v>12128443</v>
      </c>
      <c r="I4842" s="4">
        <v>9702074</v>
      </c>
      <c r="J4842" s="3">
        <v>0.20005609953396325</v>
      </c>
      <c r="K4842" s="3">
        <v>0.25008766166904106</v>
      </c>
      <c r="L4842" t="s">
        <v>54</v>
      </c>
    </row>
    <row r="4843" spans="1:12" x14ac:dyDescent="0.25">
      <c r="A4843" t="s">
        <v>487</v>
      </c>
      <c r="B4843" t="s">
        <v>465</v>
      </c>
      <c r="C4843" t="s">
        <v>478</v>
      </c>
      <c r="D4843" t="s">
        <v>222</v>
      </c>
      <c r="E4843" t="s">
        <v>228</v>
      </c>
      <c r="F4843">
        <v>3</v>
      </c>
      <c r="G4843" t="s">
        <v>499</v>
      </c>
      <c r="H4843" s="4">
        <v>12128443</v>
      </c>
      <c r="I4843" s="4">
        <v>10000886</v>
      </c>
      <c r="J4843" s="3">
        <v>0.17541880684932107</v>
      </c>
      <c r="K4843" s="3">
        <v>0.21273685151495578</v>
      </c>
      <c r="L4843" t="s">
        <v>54</v>
      </c>
    </row>
    <row r="4844" spans="1:12" x14ac:dyDescent="0.25">
      <c r="A4844" t="s">
        <v>487</v>
      </c>
      <c r="B4844" t="s">
        <v>465</v>
      </c>
      <c r="C4844" t="s">
        <v>478</v>
      </c>
      <c r="D4844" t="s">
        <v>224</v>
      </c>
      <c r="E4844" t="s">
        <v>226</v>
      </c>
      <c r="F4844">
        <v>1</v>
      </c>
      <c r="G4844" t="s">
        <v>488</v>
      </c>
      <c r="H4844" s="4">
        <v>10109798</v>
      </c>
      <c r="I4844" s="4">
        <v>10223282.127995424</v>
      </c>
      <c r="J4844" s="3">
        <v>0.011225162757497624</v>
      </c>
      <c r="K4844" s="3">
        <v>-0.011100557196270577</v>
      </c>
      <c r="L4844" t="s">
        <v>54</v>
      </c>
    </row>
    <row r="4845" spans="1:12" x14ac:dyDescent="0.25">
      <c r="A4845" t="s">
        <v>487</v>
      </c>
      <c r="B4845" t="s">
        <v>465</v>
      </c>
      <c r="C4845" t="s">
        <v>478</v>
      </c>
      <c r="D4845" t="s">
        <v>224</v>
      </c>
      <c r="E4845" t="s">
        <v>226</v>
      </c>
      <c r="F4845">
        <v>1</v>
      </c>
      <c r="G4845" t="s">
        <v>498</v>
      </c>
      <c r="H4845" s="4">
        <v>10109798</v>
      </c>
      <c r="I4845" s="4">
        <v>9850297</v>
      </c>
      <c r="J4845" s="3">
        <v>0.02566826755588984</v>
      </c>
      <c r="K4845" s="3">
        <v>0.026344484841421534</v>
      </c>
      <c r="L4845" t="s">
        <v>54</v>
      </c>
    </row>
    <row r="4846" spans="1:12" x14ac:dyDescent="0.25">
      <c r="A4846" t="s">
        <v>487</v>
      </c>
      <c r="B4846" t="s">
        <v>465</v>
      </c>
      <c r="C4846" t="s">
        <v>478</v>
      </c>
      <c r="D4846" t="s">
        <v>224</v>
      </c>
      <c r="E4846" t="s">
        <v>226</v>
      </c>
      <c r="F4846">
        <v>1</v>
      </c>
      <c r="G4846" t="s">
        <v>499</v>
      </c>
      <c r="H4846" s="4">
        <v>10109798</v>
      </c>
      <c r="I4846" s="4">
        <v>8230311</v>
      </c>
      <c r="J4846" s="3">
        <v>0.18590747312656494</v>
      </c>
      <c r="K4846" s="3">
        <v>0.22836160140242573</v>
      </c>
      <c r="L4846" t="s">
        <v>54</v>
      </c>
    </row>
    <row r="4847" spans="1:12" x14ac:dyDescent="0.25">
      <c r="A4847" t="s">
        <v>487</v>
      </c>
      <c r="B4847" t="s">
        <v>465</v>
      </c>
      <c r="C4847" t="s">
        <v>478</v>
      </c>
      <c r="D4847" t="s">
        <v>224</v>
      </c>
      <c r="E4847" t="s">
        <v>228</v>
      </c>
      <c r="F4847">
        <v>2</v>
      </c>
      <c r="G4847" t="s">
        <v>488</v>
      </c>
      <c r="H4847" s="4">
        <v>12128443</v>
      </c>
      <c r="I4847" s="4">
        <v>10069446.6094463</v>
      </c>
      <c r="J4847" s="3">
        <v>0.16976592878028118</v>
      </c>
      <c r="K4847" s="3">
        <v>0.2044795975800819</v>
      </c>
      <c r="L4847" t="s">
        <v>54</v>
      </c>
    </row>
    <row r="4848" spans="1:12" x14ac:dyDescent="0.25">
      <c r="A4848" t="s">
        <v>487</v>
      </c>
      <c r="B4848" t="s">
        <v>465</v>
      </c>
      <c r="C4848" t="s">
        <v>478</v>
      </c>
      <c r="D4848" t="s">
        <v>224</v>
      </c>
      <c r="E4848" t="s">
        <v>228</v>
      </c>
      <c r="F4848">
        <v>2</v>
      </c>
      <c r="G4848" t="s">
        <v>498</v>
      </c>
      <c r="H4848" s="4">
        <v>12128443</v>
      </c>
      <c r="I4848" s="4">
        <v>9702074</v>
      </c>
      <c r="J4848" s="3">
        <v>0.20005609953396325</v>
      </c>
      <c r="K4848" s="3">
        <v>0.25008766166904106</v>
      </c>
      <c r="L4848" t="s">
        <v>54</v>
      </c>
    </row>
    <row r="4849" spans="1:12" x14ac:dyDescent="0.25">
      <c r="A4849" t="s">
        <v>487</v>
      </c>
      <c r="B4849" t="s">
        <v>465</v>
      </c>
      <c r="C4849" t="s">
        <v>478</v>
      </c>
      <c r="D4849" t="s">
        <v>224</v>
      </c>
      <c r="E4849" t="s">
        <v>228</v>
      </c>
      <c r="F4849">
        <v>2</v>
      </c>
      <c r="G4849" t="s">
        <v>499</v>
      </c>
      <c r="H4849" s="4">
        <v>12128443</v>
      </c>
      <c r="I4849" s="4">
        <v>8230311</v>
      </c>
      <c r="J4849" s="3">
        <v>0.3214041571535604</v>
      </c>
      <c r="K4849" s="3">
        <v>0.4736311908505037</v>
      </c>
      <c r="L4849" t="s">
        <v>54</v>
      </c>
    </row>
    <row r="4850" spans="1:12" x14ac:dyDescent="0.25">
      <c r="A4850" t="s">
        <v>487</v>
      </c>
      <c r="B4850" t="s">
        <v>465</v>
      </c>
      <c r="C4850" t="s">
        <v>478</v>
      </c>
      <c r="D4850" t="s">
        <v>224</v>
      </c>
      <c r="E4850" t="s">
        <v>230</v>
      </c>
      <c r="F4850">
        <v>3</v>
      </c>
      <c r="G4850" t="s">
        <v>488</v>
      </c>
      <c r="H4850" s="4">
        <v>11711244</v>
      </c>
      <c r="I4850" s="4">
        <v>9037651.71525897</v>
      </c>
      <c r="J4850" s="3">
        <v>0.2282927658872985</v>
      </c>
      <c r="K4850" s="3">
        <v>0.2958282050443474</v>
      </c>
      <c r="L4850" t="s">
        <v>54</v>
      </c>
    </row>
    <row r="4851" spans="1:12" x14ac:dyDescent="0.25">
      <c r="A4851" t="s">
        <v>487</v>
      </c>
      <c r="B4851" t="s">
        <v>465</v>
      </c>
      <c r="C4851" t="s">
        <v>478</v>
      </c>
      <c r="D4851" t="s">
        <v>224</v>
      </c>
      <c r="E4851" t="s">
        <v>230</v>
      </c>
      <c r="F4851">
        <v>3</v>
      </c>
      <c r="G4851" t="s">
        <v>498</v>
      </c>
      <c r="H4851" s="4">
        <v>11711244</v>
      </c>
      <c r="I4851" s="4">
        <v>8707923</v>
      </c>
      <c r="J4851" s="3">
        <v>0.2564476497970668</v>
      </c>
      <c r="K4851" s="3">
        <v>0.34489521783782423</v>
      </c>
      <c r="L4851" t="s">
        <v>54</v>
      </c>
    </row>
    <row r="4852" spans="1:12" x14ac:dyDescent="0.25">
      <c r="A4852" t="s">
        <v>487</v>
      </c>
      <c r="B4852" t="s">
        <v>465</v>
      </c>
      <c r="C4852" t="s">
        <v>478</v>
      </c>
      <c r="D4852" t="s">
        <v>224</v>
      </c>
      <c r="E4852" t="s">
        <v>230</v>
      </c>
      <c r="F4852">
        <v>3</v>
      </c>
      <c r="G4852" t="s">
        <v>499</v>
      </c>
      <c r="H4852" s="4">
        <v>11711244</v>
      </c>
      <c r="I4852" s="4">
        <v>8230311</v>
      </c>
      <c r="J4852" s="3">
        <v>0.29722999537880007</v>
      </c>
      <c r="K4852" s="3">
        <v>0.422940639788703</v>
      </c>
      <c r="L4852" t="s">
        <v>54</v>
      </c>
    </row>
    <row r="4853" spans="1:12" x14ac:dyDescent="0.25">
      <c r="A4853" t="s">
        <v>487</v>
      </c>
      <c r="B4853" t="s">
        <v>465</v>
      </c>
      <c r="C4853" t="s">
        <v>478</v>
      </c>
      <c r="D4853" t="s">
        <v>226</v>
      </c>
      <c r="E4853" t="s">
        <v>228</v>
      </c>
      <c r="F4853">
        <v>1</v>
      </c>
      <c r="G4853" t="s">
        <v>488</v>
      </c>
      <c r="H4853" s="4">
        <v>12128443</v>
      </c>
      <c r="I4853" s="4">
        <v>10009646.869147006</v>
      </c>
      <c r="J4853" s="3">
        <v>0.17469646605528785</v>
      </c>
      <c r="K4853" s="3">
        <v>0.2116754125846151</v>
      </c>
      <c r="L4853" t="s">
        <v>54</v>
      </c>
    </row>
    <row r="4854" spans="1:12" x14ac:dyDescent="0.25">
      <c r="A4854" t="s">
        <v>487</v>
      </c>
      <c r="B4854" t="s">
        <v>465</v>
      </c>
      <c r="C4854" t="s">
        <v>478</v>
      </c>
      <c r="D4854" t="s">
        <v>226</v>
      </c>
      <c r="E4854" t="s">
        <v>228</v>
      </c>
      <c r="F4854">
        <v>1</v>
      </c>
      <c r="G4854" t="s">
        <v>498</v>
      </c>
      <c r="H4854" s="4">
        <v>12128443</v>
      </c>
      <c r="I4854" s="4">
        <v>9702074</v>
      </c>
      <c r="J4854" s="3">
        <v>0.20005609953396325</v>
      </c>
      <c r="K4854" s="3">
        <v>0.25008766166904106</v>
      </c>
      <c r="L4854" t="s">
        <v>54</v>
      </c>
    </row>
    <row r="4855" spans="1:12" x14ac:dyDescent="0.25">
      <c r="A4855" t="s">
        <v>487</v>
      </c>
      <c r="B4855" t="s">
        <v>465</v>
      </c>
      <c r="C4855" t="s">
        <v>478</v>
      </c>
      <c r="D4855" t="s">
        <v>226</v>
      </c>
      <c r="E4855" t="s">
        <v>228</v>
      </c>
      <c r="F4855">
        <v>1</v>
      </c>
      <c r="G4855" t="s">
        <v>499</v>
      </c>
      <c r="H4855" s="4">
        <v>12128443</v>
      </c>
      <c r="I4855" s="4">
        <v>10109798</v>
      </c>
      <c r="J4855" s="3">
        <v>0.16643892377611866</v>
      </c>
      <c r="K4855" s="3">
        <v>0.1996721398389958</v>
      </c>
      <c r="L4855" t="s">
        <v>54</v>
      </c>
    </row>
    <row r="4856" spans="1:12" x14ac:dyDescent="0.25">
      <c r="A4856" t="s">
        <v>487</v>
      </c>
      <c r="B4856" t="s">
        <v>465</v>
      </c>
      <c r="C4856" t="s">
        <v>478</v>
      </c>
      <c r="D4856" t="s">
        <v>226</v>
      </c>
      <c r="E4856" t="s">
        <v>230</v>
      </c>
      <c r="F4856">
        <v>2</v>
      </c>
      <c r="G4856" t="s">
        <v>488</v>
      </c>
      <c r="H4856" s="4">
        <v>11711244</v>
      </c>
      <c r="I4856" s="4">
        <v>8983979.52785386</v>
      </c>
      <c r="J4856" s="3">
        <v>0.2328757279880891</v>
      </c>
      <c r="K4856" s="3">
        <v>0.3035697558849674</v>
      </c>
      <c r="L4856" t="s">
        <v>54</v>
      </c>
    </row>
    <row r="4857" spans="1:12" x14ac:dyDescent="0.25">
      <c r="A4857" t="s">
        <v>487</v>
      </c>
      <c r="B4857" t="s">
        <v>465</v>
      </c>
      <c r="C4857" t="s">
        <v>478</v>
      </c>
      <c r="D4857" t="s">
        <v>226</v>
      </c>
      <c r="E4857" t="s">
        <v>230</v>
      </c>
      <c r="F4857">
        <v>2</v>
      </c>
      <c r="G4857" t="s">
        <v>498</v>
      </c>
      <c r="H4857" s="4">
        <v>11711244</v>
      </c>
      <c r="I4857" s="4">
        <v>8707923</v>
      </c>
      <c r="J4857" s="3">
        <v>0.2564476497970668</v>
      </c>
      <c r="K4857" s="3">
        <v>0.34489521783782423</v>
      </c>
      <c r="L4857" t="s">
        <v>54</v>
      </c>
    </row>
    <row r="4858" spans="1:12" x14ac:dyDescent="0.25">
      <c r="A4858" t="s">
        <v>487</v>
      </c>
      <c r="B4858" t="s">
        <v>465</v>
      </c>
      <c r="C4858" t="s">
        <v>478</v>
      </c>
      <c r="D4858" t="s">
        <v>226</v>
      </c>
      <c r="E4858" t="s">
        <v>230</v>
      </c>
      <c r="F4858">
        <v>2</v>
      </c>
      <c r="G4858" t="s">
        <v>499</v>
      </c>
      <c r="H4858" s="4">
        <v>11711244</v>
      </c>
      <c r="I4858" s="4">
        <v>10109798</v>
      </c>
      <c r="J4858" s="3">
        <v>0.13674431170591272</v>
      </c>
      <c r="K4858" s="3">
        <v>0.15840534103648757</v>
      </c>
      <c r="L4858" t="s">
        <v>54</v>
      </c>
    </row>
    <row r="4859" spans="1:12" x14ac:dyDescent="0.25">
      <c r="A4859" t="s">
        <v>487</v>
      </c>
      <c r="B4859" t="s">
        <v>465</v>
      </c>
      <c r="C4859" t="s">
        <v>478</v>
      </c>
      <c r="D4859" t="s">
        <v>226</v>
      </c>
      <c r="E4859" t="s">
        <v>232</v>
      </c>
      <c r="F4859">
        <v>3</v>
      </c>
      <c r="G4859" t="s">
        <v>488</v>
      </c>
      <c r="H4859" s="4">
        <v>10089277</v>
      </c>
      <c r="I4859" s="4">
        <v>8466168.412042448</v>
      </c>
      <c r="J4859" s="3">
        <v>0.16087461846448975</v>
      </c>
      <c r="K4859" s="3">
        <v>0.19171702108462776</v>
      </c>
      <c r="L4859" t="s">
        <v>54</v>
      </c>
    </row>
    <row r="4860" spans="1:12" x14ac:dyDescent="0.25">
      <c r="A4860" t="s">
        <v>487</v>
      </c>
      <c r="B4860" t="s">
        <v>465</v>
      </c>
      <c r="C4860" t="s">
        <v>478</v>
      </c>
      <c r="D4860" t="s">
        <v>226</v>
      </c>
      <c r="E4860" t="s">
        <v>232</v>
      </c>
      <c r="F4860">
        <v>3</v>
      </c>
      <c r="G4860" t="s">
        <v>498</v>
      </c>
      <c r="H4860" s="4">
        <v>10089277</v>
      </c>
      <c r="I4860" s="4">
        <v>8206023</v>
      </c>
      <c r="J4860" s="3">
        <v>0.18665896476030938</v>
      </c>
      <c r="K4860" s="3">
        <v>0.22949655393361681</v>
      </c>
      <c r="L4860" t="s">
        <v>54</v>
      </c>
    </row>
    <row r="4861" spans="1:12" x14ac:dyDescent="0.25">
      <c r="A4861" t="s">
        <v>487</v>
      </c>
      <c r="B4861" t="s">
        <v>465</v>
      </c>
      <c r="C4861" t="s">
        <v>478</v>
      </c>
      <c r="D4861" t="s">
        <v>226</v>
      </c>
      <c r="E4861" t="s">
        <v>232</v>
      </c>
      <c r="F4861">
        <v>3</v>
      </c>
      <c r="G4861" t="s">
        <v>499</v>
      </c>
      <c r="H4861" s="4">
        <v>10089277</v>
      </c>
      <c r="I4861" s="4">
        <v>10109798</v>
      </c>
      <c r="J4861" s="3">
        <v>0.002033941579758391</v>
      </c>
      <c r="K4861" s="3">
        <v>-0.0020298130585794097</v>
      </c>
      <c r="L4861" t="s">
        <v>54</v>
      </c>
    </row>
    <row r="4862" spans="1:12" x14ac:dyDescent="0.25">
      <c r="A4862" t="s">
        <v>487</v>
      </c>
      <c r="B4862" t="s">
        <v>465</v>
      </c>
      <c r="C4862" t="s">
        <v>478</v>
      </c>
      <c r="D4862" t="s">
        <v>228</v>
      </c>
      <c r="E4862" t="s">
        <v>230</v>
      </c>
      <c r="F4862">
        <v>1</v>
      </c>
      <c r="G4862" t="s">
        <v>488</v>
      </c>
      <c r="H4862" s="4">
        <v>11711244</v>
      </c>
      <c r="I4862" s="4">
        <v>9110106.257396607</v>
      </c>
      <c r="J4862" s="3">
        <v>0.22210601560375595</v>
      </c>
      <c r="K4862" s="3">
        <v>0.2855222177558574</v>
      </c>
      <c r="L4862" t="s">
        <v>54</v>
      </c>
    </row>
    <row r="4863" spans="1:12" x14ac:dyDescent="0.25">
      <c r="A4863" t="s">
        <v>487</v>
      </c>
      <c r="B4863" t="s">
        <v>465</v>
      </c>
      <c r="C4863" t="s">
        <v>478</v>
      </c>
      <c r="D4863" t="s">
        <v>228</v>
      </c>
      <c r="E4863" t="s">
        <v>230</v>
      </c>
      <c r="F4863">
        <v>1</v>
      </c>
      <c r="G4863" t="s">
        <v>498</v>
      </c>
      <c r="H4863" s="4">
        <v>11711244</v>
      </c>
      <c r="I4863" s="4">
        <v>8707923</v>
      </c>
      <c r="J4863" s="3">
        <v>0.2564476497970668</v>
      </c>
      <c r="K4863" s="3">
        <v>0.34489521783782423</v>
      </c>
      <c r="L4863" t="s">
        <v>54</v>
      </c>
    </row>
    <row r="4864" spans="1:12" x14ac:dyDescent="0.25">
      <c r="A4864" t="s">
        <v>487</v>
      </c>
      <c r="B4864" t="s">
        <v>465</v>
      </c>
      <c r="C4864" t="s">
        <v>478</v>
      </c>
      <c r="D4864" t="s">
        <v>228</v>
      </c>
      <c r="E4864" t="s">
        <v>230</v>
      </c>
      <c r="F4864">
        <v>1</v>
      </c>
      <c r="G4864" t="s">
        <v>499</v>
      </c>
      <c r="H4864" s="4">
        <v>11711244</v>
      </c>
      <c r="I4864" s="4">
        <v>12128443</v>
      </c>
      <c r="J4864" s="3">
        <v>0.035623798803952854</v>
      </c>
      <c r="K4864" s="3">
        <v>-0.03439839722213313</v>
      </c>
      <c r="L4864" t="s">
        <v>54</v>
      </c>
    </row>
    <row r="4865" spans="1:12" x14ac:dyDescent="0.25">
      <c r="A4865" t="s">
        <v>487</v>
      </c>
      <c r="B4865" t="s">
        <v>465</v>
      </c>
      <c r="C4865" t="s">
        <v>478</v>
      </c>
      <c r="D4865" t="s">
        <v>228</v>
      </c>
      <c r="E4865" t="s">
        <v>232</v>
      </c>
      <c r="F4865">
        <v>2</v>
      </c>
      <c r="G4865" t="s">
        <v>488</v>
      </c>
      <c r="H4865" s="4">
        <v>10089277</v>
      </c>
      <c r="I4865" s="4">
        <v>8585025.554387707</v>
      </c>
      <c r="J4865" s="3">
        <v>0.1490940773667224</v>
      </c>
      <c r="K4865" s="3">
        <v>0.1752180510218152</v>
      </c>
      <c r="L4865" t="s">
        <v>54</v>
      </c>
    </row>
    <row r="4866" spans="1:12" x14ac:dyDescent="0.25">
      <c r="A4866" t="s">
        <v>487</v>
      </c>
      <c r="B4866" t="s">
        <v>465</v>
      </c>
      <c r="C4866" t="s">
        <v>478</v>
      </c>
      <c r="D4866" t="s">
        <v>228</v>
      </c>
      <c r="E4866" t="s">
        <v>232</v>
      </c>
      <c r="F4866">
        <v>2</v>
      </c>
      <c r="G4866" t="s">
        <v>498</v>
      </c>
      <c r="H4866" s="4">
        <v>10089277</v>
      </c>
      <c r="I4866" s="4">
        <v>8206023</v>
      </c>
      <c r="J4866" s="3">
        <v>0.18665896476030938</v>
      </c>
      <c r="K4866" s="3">
        <v>0.22949655393361681</v>
      </c>
      <c r="L4866" t="s">
        <v>54</v>
      </c>
    </row>
    <row r="4867" spans="1:12" x14ac:dyDescent="0.25">
      <c r="A4867" t="s">
        <v>487</v>
      </c>
      <c r="B4867" t="s">
        <v>465</v>
      </c>
      <c r="C4867" t="s">
        <v>478</v>
      </c>
      <c r="D4867" t="s">
        <v>228</v>
      </c>
      <c r="E4867" t="s">
        <v>232</v>
      </c>
      <c r="F4867">
        <v>2</v>
      </c>
      <c r="G4867" t="s">
        <v>499</v>
      </c>
      <c r="H4867" s="4">
        <v>10089277</v>
      </c>
      <c r="I4867" s="4">
        <v>12128443</v>
      </c>
      <c r="J4867" s="3">
        <v>0.20211220288629206</v>
      </c>
      <c r="K4867" s="3">
        <v>-0.1681308969337614</v>
      </c>
      <c r="L4867" t="s">
        <v>54</v>
      </c>
    </row>
    <row r="4868" spans="1:12" x14ac:dyDescent="0.25">
      <c r="A4868" t="s">
        <v>487</v>
      </c>
      <c r="B4868" t="s">
        <v>465</v>
      </c>
      <c r="C4868" t="s">
        <v>478</v>
      </c>
      <c r="D4868" t="s">
        <v>228</v>
      </c>
      <c r="E4868" t="s">
        <v>234</v>
      </c>
      <c r="F4868">
        <v>3</v>
      </c>
      <c r="G4868" t="s">
        <v>488</v>
      </c>
      <c r="H4868" s="4">
        <v>8253389</v>
      </c>
      <c r="I4868" s="4">
        <v>8591557.939144805</v>
      </c>
      <c r="J4868" s="3">
        <v>0.04097334308910013</v>
      </c>
      <c r="K4868" s="3">
        <v>-0.03936060741719983</v>
      </c>
      <c r="L4868" t="s">
        <v>54</v>
      </c>
    </row>
    <row r="4869" spans="1:12" x14ac:dyDescent="0.25">
      <c r="A4869" t="s">
        <v>487</v>
      </c>
      <c r="B4869" t="s">
        <v>465</v>
      </c>
      <c r="C4869" t="s">
        <v>478</v>
      </c>
      <c r="D4869" t="s">
        <v>228</v>
      </c>
      <c r="E4869" t="s">
        <v>234</v>
      </c>
      <c r="F4869">
        <v>3</v>
      </c>
      <c r="G4869" t="s">
        <v>498</v>
      </c>
      <c r="H4869" s="4">
        <v>8253389</v>
      </c>
      <c r="I4869" s="4">
        <v>8212267</v>
      </c>
      <c r="J4869" s="3">
        <v>0.004982438123296988</v>
      </c>
      <c r="K4869" s="3">
        <v>0.005007387119780689</v>
      </c>
      <c r="L4869" t="s">
        <v>54</v>
      </c>
    </row>
    <row r="4870" spans="1:12" x14ac:dyDescent="0.25">
      <c r="A4870" t="s">
        <v>487</v>
      </c>
      <c r="B4870" t="s">
        <v>465</v>
      </c>
      <c r="C4870" t="s">
        <v>478</v>
      </c>
      <c r="D4870" t="s">
        <v>228</v>
      </c>
      <c r="E4870" t="s">
        <v>234</v>
      </c>
      <c r="F4870">
        <v>3</v>
      </c>
      <c r="G4870" t="s">
        <v>499</v>
      </c>
      <c r="H4870" s="4">
        <v>8253389</v>
      </c>
      <c r="I4870" s="4">
        <v>12128443</v>
      </c>
      <c r="J4870" s="3">
        <v>0.4695106458692302</v>
      </c>
      <c r="K4870" s="3">
        <v>-0.3195013572640775</v>
      </c>
      <c r="L4870" t="s">
        <v>54</v>
      </c>
    </row>
    <row r="4871" spans="1:12" x14ac:dyDescent="0.25">
      <c r="A4871" t="s">
        <v>487</v>
      </c>
      <c r="B4871" t="s">
        <v>465</v>
      </c>
      <c r="C4871" t="s">
        <v>478</v>
      </c>
      <c r="D4871" t="s">
        <v>230</v>
      </c>
      <c r="E4871" t="s">
        <v>232</v>
      </c>
      <c r="F4871">
        <v>1</v>
      </c>
      <c r="G4871" t="s">
        <v>488</v>
      </c>
      <c r="H4871" s="4">
        <v>10089277</v>
      </c>
      <c r="I4871" s="4">
        <v>9017161.262381548</v>
      </c>
      <c r="J4871" s="3">
        <v>0.1062628905538476</v>
      </c>
      <c r="K4871" s="3">
        <v>0.11889725673324517</v>
      </c>
      <c r="L4871" t="s">
        <v>54</v>
      </c>
    </row>
    <row r="4872" spans="1:12" x14ac:dyDescent="0.25">
      <c r="A4872" t="s">
        <v>487</v>
      </c>
      <c r="B4872" t="s">
        <v>465</v>
      </c>
      <c r="C4872" t="s">
        <v>478</v>
      </c>
      <c r="D4872" t="s">
        <v>230</v>
      </c>
      <c r="E4872" t="s">
        <v>232</v>
      </c>
      <c r="F4872">
        <v>1</v>
      </c>
      <c r="G4872" t="s">
        <v>498</v>
      </c>
      <c r="H4872" s="4">
        <v>10089277</v>
      </c>
      <c r="I4872" s="4">
        <v>8206023</v>
      </c>
      <c r="J4872" s="3">
        <v>0.18665896476030938</v>
      </c>
      <c r="K4872" s="3">
        <v>0.22949655393361681</v>
      </c>
      <c r="L4872" t="s">
        <v>54</v>
      </c>
    </row>
    <row r="4873" spans="1:12" x14ac:dyDescent="0.25">
      <c r="A4873" t="s">
        <v>487</v>
      </c>
      <c r="B4873" t="s">
        <v>465</v>
      </c>
      <c r="C4873" t="s">
        <v>478</v>
      </c>
      <c r="D4873" t="s">
        <v>230</v>
      </c>
      <c r="E4873" t="s">
        <v>232</v>
      </c>
      <c r="F4873">
        <v>1</v>
      </c>
      <c r="G4873" t="s">
        <v>499</v>
      </c>
      <c r="H4873" s="4">
        <v>10089277</v>
      </c>
      <c r="I4873" s="4">
        <v>11711244</v>
      </c>
      <c r="J4873" s="3">
        <v>0.1607614698258359</v>
      </c>
      <c r="K4873" s="3">
        <v>-0.13849655937490502</v>
      </c>
      <c r="L4873" t="s">
        <v>54</v>
      </c>
    </row>
    <row r="4874" spans="1:12" x14ac:dyDescent="0.25">
      <c r="A4874" t="s">
        <v>487</v>
      </c>
      <c r="B4874" t="s">
        <v>465</v>
      </c>
      <c r="C4874" t="s">
        <v>478</v>
      </c>
      <c r="D4874" t="s">
        <v>230</v>
      </c>
      <c r="E4874" t="s">
        <v>234</v>
      </c>
      <c r="F4874">
        <v>2</v>
      </c>
      <c r="G4874" t="s">
        <v>488</v>
      </c>
      <c r="H4874" s="4">
        <v>8253389</v>
      </c>
      <c r="I4874" s="4">
        <v>9024022.461152537</v>
      </c>
      <c r="J4874" s="3">
        <v>0.09337176051589678</v>
      </c>
      <c r="K4874" s="3">
        <v>-0.08539799900432789</v>
      </c>
      <c r="L4874" t="s">
        <v>54</v>
      </c>
    </row>
    <row r="4875" spans="1:12" x14ac:dyDescent="0.25">
      <c r="A4875" t="s">
        <v>487</v>
      </c>
      <c r="B4875" t="s">
        <v>465</v>
      </c>
      <c r="C4875" t="s">
        <v>478</v>
      </c>
      <c r="D4875" t="s">
        <v>230</v>
      </c>
      <c r="E4875" t="s">
        <v>234</v>
      </c>
      <c r="F4875">
        <v>2</v>
      </c>
      <c r="G4875" t="s">
        <v>498</v>
      </c>
      <c r="H4875" s="4">
        <v>8253389</v>
      </c>
      <c r="I4875" s="4">
        <v>8212267</v>
      </c>
      <c r="J4875" s="3">
        <v>0.004982438123296988</v>
      </c>
      <c r="K4875" s="3">
        <v>0.005007387119780689</v>
      </c>
      <c r="L4875" t="s">
        <v>54</v>
      </c>
    </row>
    <row r="4876" spans="1:12" x14ac:dyDescent="0.25">
      <c r="A4876" t="s">
        <v>487</v>
      </c>
      <c r="B4876" t="s">
        <v>465</v>
      </c>
      <c r="C4876" t="s">
        <v>478</v>
      </c>
      <c r="D4876" t="s">
        <v>230</v>
      </c>
      <c r="E4876" t="s">
        <v>234</v>
      </c>
      <c r="F4876">
        <v>2</v>
      </c>
      <c r="G4876" t="s">
        <v>499</v>
      </c>
      <c r="H4876" s="4">
        <v>8253389</v>
      </c>
      <c r="I4876" s="4">
        <v>11711244</v>
      </c>
      <c r="J4876" s="3">
        <v>0.418961834950467</v>
      </c>
      <c r="K4876" s="3">
        <v>-0.29525941052889</v>
      </c>
      <c r="L4876" t="s">
        <v>54</v>
      </c>
    </row>
    <row r="4877" spans="1:12" x14ac:dyDescent="0.25">
      <c r="A4877" t="s">
        <v>487</v>
      </c>
      <c r="B4877" t="s">
        <v>465</v>
      </c>
      <c r="C4877" t="s">
        <v>478</v>
      </c>
      <c r="D4877" t="s">
        <v>230</v>
      </c>
      <c r="E4877" t="s">
        <v>236</v>
      </c>
      <c r="F4877">
        <v>3</v>
      </c>
      <c r="G4877" t="s">
        <v>488</v>
      </c>
      <c r="H4877" s="4">
        <v>11435259</v>
      </c>
      <c r="I4877" s="4">
        <v>10419259.977854898</v>
      </c>
      <c r="J4877" s="3">
        <v>0.08884792396438959</v>
      </c>
      <c r="K4877" s="3">
        <v>0.09751162983786821</v>
      </c>
      <c r="L4877" t="s">
        <v>54</v>
      </c>
    </row>
    <row r="4878" spans="1:12" x14ac:dyDescent="0.25">
      <c r="A4878" t="s">
        <v>487</v>
      </c>
      <c r="B4878" t="s">
        <v>465</v>
      </c>
      <c r="C4878" t="s">
        <v>478</v>
      </c>
      <c r="D4878" t="s">
        <v>230</v>
      </c>
      <c r="E4878" t="s">
        <v>236</v>
      </c>
      <c r="F4878">
        <v>3</v>
      </c>
      <c r="G4878" t="s">
        <v>498</v>
      </c>
      <c r="H4878" s="4">
        <v>11435259</v>
      </c>
      <c r="I4878" s="4">
        <v>9481996</v>
      </c>
      <c r="J4878" s="3">
        <v>0.17081056056535318</v>
      </c>
      <c r="K4878" s="3">
        <v>0.20599702847375173</v>
      </c>
      <c r="L4878" t="s">
        <v>54</v>
      </c>
    </row>
    <row r="4879" spans="1:12" x14ac:dyDescent="0.25">
      <c r="A4879" t="s">
        <v>487</v>
      </c>
      <c r="B4879" t="s">
        <v>465</v>
      </c>
      <c r="C4879" t="s">
        <v>478</v>
      </c>
      <c r="D4879" t="s">
        <v>230</v>
      </c>
      <c r="E4879" t="s">
        <v>236</v>
      </c>
      <c r="F4879">
        <v>3</v>
      </c>
      <c r="G4879" t="s">
        <v>499</v>
      </c>
      <c r="H4879" s="4">
        <v>11435259</v>
      </c>
      <c r="I4879" s="4">
        <v>11711244</v>
      </c>
      <c r="J4879" s="3">
        <v>0.02413456485769146</v>
      </c>
      <c r="K4879" s="3">
        <v>-0.0235658141867764</v>
      </c>
      <c r="L4879" t="s">
        <v>54</v>
      </c>
    </row>
    <row r="4880" spans="1:12" x14ac:dyDescent="0.25">
      <c r="A4880" t="s">
        <v>487</v>
      </c>
      <c r="B4880" t="s">
        <v>465</v>
      </c>
      <c r="C4880" t="s">
        <v>478</v>
      </c>
      <c r="D4880" t="s">
        <v>232</v>
      </c>
      <c r="E4880" t="s">
        <v>234</v>
      </c>
      <c r="F4880">
        <v>1</v>
      </c>
      <c r="G4880" t="s">
        <v>488</v>
      </c>
      <c r="H4880" s="4">
        <v>8253389</v>
      </c>
      <c r="I4880" s="4">
        <v>9166647.995167615</v>
      </c>
      <c r="J4880" s="3">
        <v>0.11065260527131521</v>
      </c>
      <c r="K4880" s="3">
        <v>-0.09962845695057321</v>
      </c>
      <c r="L4880" t="s">
        <v>54</v>
      </c>
    </row>
    <row r="4881" spans="1:12" x14ac:dyDescent="0.25">
      <c r="A4881" t="s">
        <v>487</v>
      </c>
      <c r="B4881" t="s">
        <v>465</v>
      </c>
      <c r="C4881" t="s">
        <v>478</v>
      </c>
      <c r="D4881" t="s">
        <v>232</v>
      </c>
      <c r="E4881" t="s">
        <v>234</v>
      </c>
      <c r="F4881">
        <v>1</v>
      </c>
      <c r="G4881" t="s">
        <v>498</v>
      </c>
      <c r="H4881" s="4">
        <v>8253389</v>
      </c>
      <c r="I4881" s="4">
        <v>8212267</v>
      </c>
      <c r="J4881" s="3">
        <v>0.004982438123296988</v>
      </c>
      <c r="K4881" s="3">
        <v>0.005007387119780689</v>
      </c>
      <c r="L4881" t="s">
        <v>54</v>
      </c>
    </row>
    <row r="4882" spans="1:12" x14ac:dyDescent="0.25">
      <c r="A4882" t="s">
        <v>487</v>
      </c>
      <c r="B4882" t="s">
        <v>465</v>
      </c>
      <c r="C4882" t="s">
        <v>478</v>
      </c>
      <c r="D4882" t="s">
        <v>232</v>
      </c>
      <c r="E4882" t="s">
        <v>234</v>
      </c>
      <c r="F4882">
        <v>1</v>
      </c>
      <c r="G4882" t="s">
        <v>499</v>
      </c>
      <c r="H4882" s="4">
        <v>8253389</v>
      </c>
      <c r="I4882" s="4">
        <v>10089277</v>
      </c>
      <c r="J4882" s="3">
        <v>0.2224405029255255</v>
      </c>
      <c r="K4882" s="3">
        <v>-0.18196427751958838</v>
      </c>
      <c r="L4882" t="s">
        <v>54</v>
      </c>
    </row>
    <row r="4883" spans="1:12" x14ac:dyDescent="0.25">
      <c r="A4883" t="s">
        <v>487</v>
      </c>
      <c r="B4883" t="s">
        <v>465</v>
      </c>
      <c r="C4883" t="s">
        <v>478</v>
      </c>
      <c r="D4883" t="s">
        <v>232</v>
      </c>
      <c r="E4883" t="s">
        <v>236</v>
      </c>
      <c r="F4883">
        <v>2</v>
      </c>
      <c r="G4883" t="s">
        <v>488</v>
      </c>
      <c r="H4883" s="4">
        <v>11435259</v>
      </c>
      <c r="I4883" s="4">
        <v>10583937.373637188</v>
      </c>
      <c r="J4883" s="3">
        <v>0.07444707866807493</v>
      </c>
      <c r="K4883" s="3">
        <v>0.08043524789586445</v>
      </c>
      <c r="L4883" t="s">
        <v>54</v>
      </c>
    </row>
    <row r="4884" spans="1:12" x14ac:dyDescent="0.25">
      <c r="A4884" t="s">
        <v>487</v>
      </c>
      <c r="B4884" t="s">
        <v>465</v>
      </c>
      <c r="C4884" t="s">
        <v>478</v>
      </c>
      <c r="D4884" t="s">
        <v>232</v>
      </c>
      <c r="E4884" t="s">
        <v>236</v>
      </c>
      <c r="F4884">
        <v>2</v>
      </c>
      <c r="G4884" t="s">
        <v>498</v>
      </c>
      <c r="H4884" s="4">
        <v>11435259</v>
      </c>
      <c r="I4884" s="4">
        <v>9481996</v>
      </c>
      <c r="J4884" s="3">
        <v>0.17081056056535318</v>
      </c>
      <c r="K4884" s="3">
        <v>0.20599702847375173</v>
      </c>
      <c r="L4884" t="s">
        <v>54</v>
      </c>
    </row>
    <row r="4885" spans="1:12" x14ac:dyDescent="0.25">
      <c r="A4885" t="s">
        <v>487</v>
      </c>
      <c r="B4885" t="s">
        <v>465</v>
      </c>
      <c r="C4885" t="s">
        <v>478</v>
      </c>
      <c r="D4885" t="s">
        <v>232</v>
      </c>
      <c r="E4885" t="s">
        <v>236</v>
      </c>
      <c r="F4885">
        <v>2</v>
      </c>
      <c r="G4885" t="s">
        <v>499</v>
      </c>
      <c r="H4885" s="4">
        <v>11435259</v>
      </c>
      <c r="I4885" s="4">
        <v>10089277</v>
      </c>
      <c r="J4885" s="3">
        <v>0.1177045487120143</v>
      </c>
      <c r="K4885" s="3">
        <v>0.13340718071275076</v>
      </c>
      <c r="L4885" t="s">
        <v>54</v>
      </c>
    </row>
    <row r="4886" spans="1:12" x14ac:dyDescent="0.25">
      <c r="A4886" t="s">
        <v>487</v>
      </c>
      <c r="B4886" t="s">
        <v>465</v>
      </c>
      <c r="C4886" t="s">
        <v>478</v>
      </c>
      <c r="D4886" t="s">
        <v>232</v>
      </c>
      <c r="E4886" t="s">
        <v>238</v>
      </c>
      <c r="F4886">
        <v>3</v>
      </c>
      <c r="G4886" t="s">
        <v>488</v>
      </c>
      <c r="H4886" s="4">
        <v>11169811</v>
      </c>
      <c r="I4886" s="4">
        <v>9369147.0874026</v>
      </c>
      <c r="J4886" s="3">
        <v>0.161208091398986</v>
      </c>
      <c r="K4886" s="3">
        <v>0.19219080411476339</v>
      </c>
      <c r="L4886" t="s">
        <v>54</v>
      </c>
    </row>
    <row r="4887" spans="1:12" x14ac:dyDescent="0.25">
      <c r="A4887" t="s">
        <v>487</v>
      </c>
      <c r="B4887" t="s">
        <v>465</v>
      </c>
      <c r="C4887" t="s">
        <v>478</v>
      </c>
      <c r="D4887" t="s">
        <v>232</v>
      </c>
      <c r="E4887" t="s">
        <v>238</v>
      </c>
      <c r="F4887">
        <v>3</v>
      </c>
      <c r="G4887" t="s">
        <v>498</v>
      </c>
      <c r="H4887" s="4">
        <v>11169811</v>
      </c>
      <c r="I4887" s="4">
        <v>8393683</v>
      </c>
      <c r="J4887" s="3">
        <v>0.2485384936235716</v>
      </c>
      <c r="K4887" s="3">
        <v>0.3307401530412812</v>
      </c>
      <c r="L4887" t="s">
        <v>54</v>
      </c>
    </row>
    <row r="4888" spans="1:12" x14ac:dyDescent="0.25">
      <c r="A4888" t="s">
        <v>487</v>
      </c>
      <c r="B4888" t="s">
        <v>465</v>
      </c>
      <c r="C4888" t="s">
        <v>478</v>
      </c>
      <c r="D4888" t="s">
        <v>232</v>
      </c>
      <c r="E4888" t="s">
        <v>238</v>
      </c>
      <c r="F4888">
        <v>3</v>
      </c>
      <c r="G4888" t="s">
        <v>499</v>
      </c>
      <c r="H4888" s="4">
        <v>11169811</v>
      </c>
      <c r="I4888" s="4">
        <v>10089277</v>
      </c>
      <c r="J4888" s="3">
        <v>0.09673699939954221</v>
      </c>
      <c r="K4888" s="3">
        <v>0.10709726772294982</v>
      </c>
      <c r="L4888" t="s">
        <v>54</v>
      </c>
    </row>
    <row r="4889" spans="1:12" x14ac:dyDescent="0.25">
      <c r="A4889" t="s">
        <v>487</v>
      </c>
      <c r="B4889" t="s">
        <v>465</v>
      </c>
      <c r="C4889" t="s">
        <v>478</v>
      </c>
      <c r="D4889" t="s">
        <v>234</v>
      </c>
      <c r="E4889" t="s">
        <v>236</v>
      </c>
      <c r="F4889">
        <v>1</v>
      </c>
      <c r="G4889" t="s">
        <v>488</v>
      </c>
      <c r="H4889" s="4">
        <v>11435259</v>
      </c>
      <c r="I4889" s="4">
        <v>10528980.2170577</v>
      </c>
      <c r="J4889" s="3">
        <v>0.07925301761353203</v>
      </c>
      <c r="K4889" s="3">
        <v>0.08607469709878117</v>
      </c>
      <c r="L4889" t="s">
        <v>54</v>
      </c>
    </row>
    <row r="4890" spans="1:12" x14ac:dyDescent="0.25">
      <c r="A4890" t="s">
        <v>487</v>
      </c>
      <c r="B4890" t="s">
        <v>465</v>
      </c>
      <c r="C4890" t="s">
        <v>478</v>
      </c>
      <c r="D4890" t="s">
        <v>234</v>
      </c>
      <c r="E4890" t="s">
        <v>236</v>
      </c>
      <c r="F4890">
        <v>1</v>
      </c>
      <c r="G4890" t="s">
        <v>498</v>
      </c>
      <c r="H4890" s="4">
        <v>11435259</v>
      </c>
      <c r="I4890" s="4">
        <v>9481996</v>
      </c>
      <c r="J4890" s="3">
        <v>0.17081056056535318</v>
      </c>
      <c r="K4890" s="3">
        <v>0.20599702847375173</v>
      </c>
      <c r="L4890" t="s">
        <v>54</v>
      </c>
    </row>
    <row r="4891" spans="1:12" x14ac:dyDescent="0.25">
      <c r="A4891" t="s">
        <v>487</v>
      </c>
      <c r="B4891" t="s">
        <v>465</v>
      </c>
      <c r="C4891" t="s">
        <v>478</v>
      </c>
      <c r="D4891" t="s">
        <v>234</v>
      </c>
      <c r="E4891" t="s">
        <v>236</v>
      </c>
      <c r="F4891">
        <v>1</v>
      </c>
      <c r="G4891" t="s">
        <v>499</v>
      </c>
      <c r="H4891" s="4">
        <v>11435259</v>
      </c>
      <c r="I4891" s="4">
        <v>8253389</v>
      </c>
      <c r="J4891" s="3">
        <v>0.2782508030644518</v>
      </c>
      <c r="K4891" s="3">
        <v>0.385522844009897</v>
      </c>
      <c r="L4891" t="s">
        <v>54</v>
      </c>
    </row>
    <row r="4892" spans="1:12" x14ac:dyDescent="0.25">
      <c r="A4892" t="s">
        <v>487</v>
      </c>
      <c r="B4892" t="s">
        <v>465</v>
      </c>
      <c r="C4892" t="s">
        <v>478</v>
      </c>
      <c r="D4892" t="s">
        <v>234</v>
      </c>
      <c r="E4892" t="s">
        <v>238</v>
      </c>
      <c r="F4892">
        <v>2</v>
      </c>
      <c r="G4892" t="s">
        <v>488</v>
      </c>
      <c r="H4892" s="4">
        <v>11169811</v>
      </c>
      <c r="I4892" s="4">
        <v>9320497.73647379</v>
      </c>
      <c r="J4892" s="3">
        <v>0.16556352327950855</v>
      </c>
      <c r="K4892" s="3">
        <v>0.1984135735894571</v>
      </c>
      <c r="L4892" t="s">
        <v>54</v>
      </c>
    </row>
    <row r="4893" spans="1:12" x14ac:dyDescent="0.25">
      <c r="A4893" t="s">
        <v>487</v>
      </c>
      <c r="B4893" t="s">
        <v>465</v>
      </c>
      <c r="C4893" t="s">
        <v>478</v>
      </c>
      <c r="D4893" t="s">
        <v>234</v>
      </c>
      <c r="E4893" t="s">
        <v>238</v>
      </c>
      <c r="F4893">
        <v>2</v>
      </c>
      <c r="G4893" t="s">
        <v>498</v>
      </c>
      <c r="H4893" s="4">
        <v>11169811</v>
      </c>
      <c r="I4893" s="4">
        <v>8393683</v>
      </c>
      <c r="J4893" s="3">
        <v>0.2485384936235716</v>
      </c>
      <c r="K4893" s="3">
        <v>0.3307401530412812</v>
      </c>
      <c r="L4893" t="s">
        <v>54</v>
      </c>
    </row>
    <row r="4894" spans="1:12" x14ac:dyDescent="0.25">
      <c r="A4894" t="s">
        <v>487</v>
      </c>
      <c r="B4894" t="s">
        <v>465</v>
      </c>
      <c r="C4894" t="s">
        <v>478</v>
      </c>
      <c r="D4894" t="s">
        <v>234</v>
      </c>
      <c r="E4894" t="s">
        <v>238</v>
      </c>
      <c r="F4894">
        <v>2</v>
      </c>
      <c r="G4894" t="s">
        <v>499</v>
      </c>
      <c r="H4894" s="4">
        <v>11169811</v>
      </c>
      <c r="I4894" s="4">
        <v>8253389</v>
      </c>
      <c r="J4894" s="3">
        <v>0.26109859871398006</v>
      </c>
      <c r="K4894" s="3">
        <v>0.35336054074271794</v>
      </c>
      <c r="L4894" t="s">
        <v>54</v>
      </c>
    </row>
    <row r="4895" spans="1:12" x14ac:dyDescent="0.25">
      <c r="A4895" t="s">
        <v>487</v>
      </c>
      <c r="B4895" t="s">
        <v>465</v>
      </c>
      <c r="C4895" t="s">
        <v>478</v>
      </c>
      <c r="D4895" t="s">
        <v>234</v>
      </c>
      <c r="E4895" t="s">
        <v>240</v>
      </c>
      <c r="F4895">
        <v>3</v>
      </c>
      <c r="G4895" t="s">
        <v>488</v>
      </c>
      <c r="H4895" s="4">
        <v>11791968</v>
      </c>
      <c r="I4895" s="4">
        <v>12733813.120512538</v>
      </c>
      <c r="J4895" s="3">
        <v>0.07987175003464542</v>
      </c>
      <c r="K4895" s="3">
        <v>-0.07396410734152727</v>
      </c>
      <c r="L4895" t="s">
        <v>54</v>
      </c>
    </row>
    <row r="4896" spans="1:12" x14ac:dyDescent="0.25">
      <c r="A4896" t="s">
        <v>487</v>
      </c>
      <c r="B4896" t="s">
        <v>465</v>
      </c>
      <c r="C4896" t="s">
        <v>478</v>
      </c>
      <c r="D4896" t="s">
        <v>234</v>
      </c>
      <c r="E4896" t="s">
        <v>240</v>
      </c>
      <c r="F4896">
        <v>3</v>
      </c>
      <c r="G4896" t="s">
        <v>498</v>
      </c>
      <c r="H4896" s="4">
        <v>11791968</v>
      </c>
      <c r="I4896" s="4">
        <v>11467584</v>
      </c>
      <c r="J4896" s="3">
        <v>0.027508894189672155</v>
      </c>
      <c r="K4896" s="3">
        <v>0.0282870393624324</v>
      </c>
      <c r="L4896" t="s">
        <v>54</v>
      </c>
    </row>
    <row r="4897" spans="1:12" x14ac:dyDescent="0.25">
      <c r="A4897" t="s">
        <v>487</v>
      </c>
      <c r="B4897" t="s">
        <v>465</v>
      </c>
      <c r="C4897" t="s">
        <v>478</v>
      </c>
      <c r="D4897" t="s">
        <v>234</v>
      </c>
      <c r="E4897" t="s">
        <v>240</v>
      </c>
      <c r="F4897">
        <v>3</v>
      </c>
      <c r="G4897" t="s">
        <v>499</v>
      </c>
      <c r="H4897" s="4">
        <v>11791968</v>
      </c>
      <c r="I4897" s="4">
        <v>8253389</v>
      </c>
      <c r="J4897" s="3">
        <v>0.30008383672682964</v>
      </c>
      <c r="K4897" s="3">
        <v>0.42874254442629567</v>
      </c>
      <c r="L4897" t="s">
        <v>54</v>
      </c>
    </row>
    <row r="4898" spans="1:12" x14ac:dyDescent="0.25">
      <c r="A4898" t="s">
        <v>487</v>
      </c>
      <c r="B4898" t="s">
        <v>465</v>
      </c>
      <c r="C4898" t="s">
        <v>478</v>
      </c>
      <c r="D4898" t="s">
        <v>236</v>
      </c>
      <c r="E4898" t="s">
        <v>238</v>
      </c>
      <c r="F4898">
        <v>1</v>
      </c>
      <c r="G4898" t="s">
        <v>488</v>
      </c>
      <c r="H4898" s="4">
        <v>11169811</v>
      </c>
      <c r="I4898" s="4">
        <v>9299961.234076267</v>
      </c>
      <c r="J4898" s="3">
        <v>0.16740209533748895</v>
      </c>
      <c r="K4898" s="3">
        <v>0.20105995270951885</v>
      </c>
      <c r="L4898" t="s">
        <v>54</v>
      </c>
    </row>
    <row r="4899" spans="1:12" x14ac:dyDescent="0.25">
      <c r="A4899" t="s">
        <v>487</v>
      </c>
      <c r="B4899" t="s">
        <v>465</v>
      </c>
      <c r="C4899" t="s">
        <v>478</v>
      </c>
      <c r="D4899" t="s">
        <v>236</v>
      </c>
      <c r="E4899" t="s">
        <v>238</v>
      </c>
      <c r="F4899">
        <v>1</v>
      </c>
      <c r="G4899" t="s">
        <v>498</v>
      </c>
      <c r="H4899" s="4">
        <v>11169811</v>
      </c>
      <c r="I4899" s="4">
        <v>8393683</v>
      </c>
      <c r="J4899" s="3">
        <v>0.2485384936235716</v>
      </c>
      <c r="K4899" s="3">
        <v>0.3307401530412812</v>
      </c>
      <c r="L4899" t="s">
        <v>54</v>
      </c>
    </row>
    <row r="4900" spans="1:12" x14ac:dyDescent="0.25">
      <c r="A4900" t="s">
        <v>487</v>
      </c>
      <c r="B4900" t="s">
        <v>465</v>
      </c>
      <c r="C4900" t="s">
        <v>478</v>
      </c>
      <c r="D4900" t="s">
        <v>236</v>
      </c>
      <c r="E4900" t="s">
        <v>238</v>
      </c>
      <c r="F4900">
        <v>1</v>
      </c>
      <c r="G4900" t="s">
        <v>499</v>
      </c>
      <c r="H4900" s="4">
        <v>11169811</v>
      </c>
      <c r="I4900" s="4">
        <v>11435259</v>
      </c>
      <c r="J4900" s="3">
        <v>0.023764770952704573</v>
      </c>
      <c r="K4900" s="3">
        <v>-0.02321311655468407</v>
      </c>
      <c r="L4900" t="s">
        <v>54</v>
      </c>
    </row>
    <row r="4901" spans="1:12" x14ac:dyDescent="0.25">
      <c r="A4901" t="s">
        <v>487</v>
      </c>
      <c r="B4901" t="s">
        <v>465</v>
      </c>
      <c r="C4901" t="s">
        <v>478</v>
      </c>
      <c r="D4901" t="s">
        <v>236</v>
      </c>
      <c r="E4901" t="s">
        <v>240</v>
      </c>
      <c r="F4901">
        <v>2</v>
      </c>
      <c r="G4901" t="s">
        <v>488</v>
      </c>
      <c r="H4901" s="4">
        <v>11791968</v>
      </c>
      <c r="I4901" s="4">
        <v>12705755.822386103</v>
      </c>
      <c r="J4901" s="3">
        <v>0.0774923933296039</v>
      </c>
      <c r="K4901" s="3">
        <v>-0.07191920222298874</v>
      </c>
      <c r="L4901" t="s">
        <v>54</v>
      </c>
    </row>
    <row r="4902" spans="1:12" x14ac:dyDescent="0.25">
      <c r="A4902" t="s">
        <v>487</v>
      </c>
      <c r="B4902" t="s">
        <v>465</v>
      </c>
      <c r="C4902" t="s">
        <v>478</v>
      </c>
      <c r="D4902" t="s">
        <v>236</v>
      </c>
      <c r="E4902" t="s">
        <v>240</v>
      </c>
      <c r="F4902">
        <v>2</v>
      </c>
      <c r="G4902" t="s">
        <v>498</v>
      </c>
      <c r="H4902" s="4">
        <v>11791968</v>
      </c>
      <c r="I4902" s="4">
        <v>11467584</v>
      </c>
      <c r="J4902" s="3">
        <v>0.027508894189672155</v>
      </c>
      <c r="K4902" s="3">
        <v>0.0282870393624324</v>
      </c>
      <c r="L4902" t="s">
        <v>54</v>
      </c>
    </row>
    <row r="4903" spans="1:12" x14ac:dyDescent="0.25">
      <c r="A4903" t="s">
        <v>487</v>
      </c>
      <c r="B4903" t="s">
        <v>465</v>
      </c>
      <c r="C4903" t="s">
        <v>478</v>
      </c>
      <c r="D4903" t="s">
        <v>236</v>
      </c>
      <c r="E4903" t="s">
        <v>240</v>
      </c>
      <c r="F4903">
        <v>2</v>
      </c>
      <c r="G4903" t="s">
        <v>499</v>
      </c>
      <c r="H4903" s="4">
        <v>11791968</v>
      </c>
      <c r="I4903" s="4">
        <v>11435259</v>
      </c>
      <c r="J4903" s="3">
        <v>0.03025016689326158</v>
      </c>
      <c r="K4903" s="3">
        <v>0.031193784067330702</v>
      </c>
      <c r="L4903" t="s">
        <v>54</v>
      </c>
    </row>
    <row r="4904" spans="1:12" x14ac:dyDescent="0.25">
      <c r="A4904" t="s">
        <v>487</v>
      </c>
      <c r="B4904" t="s">
        <v>465</v>
      </c>
      <c r="C4904" t="s">
        <v>478</v>
      </c>
      <c r="D4904" t="s">
        <v>236</v>
      </c>
      <c r="E4904" t="s">
        <v>242</v>
      </c>
      <c r="F4904">
        <v>3</v>
      </c>
      <c r="G4904" t="s">
        <v>488</v>
      </c>
      <c r="H4904" s="4">
        <v>10571032</v>
      </c>
      <c r="I4904" s="4">
        <v>9949659.08045</v>
      </c>
      <c r="J4904" s="3">
        <v>0.0587807244883943</v>
      </c>
      <c r="K4904" s="3">
        <v>0.06245167945210606</v>
      </c>
      <c r="L4904" t="s">
        <v>54</v>
      </c>
    </row>
    <row r="4905" spans="1:12" x14ac:dyDescent="0.25">
      <c r="A4905" t="s">
        <v>487</v>
      </c>
      <c r="B4905" t="s">
        <v>465</v>
      </c>
      <c r="C4905" t="s">
        <v>478</v>
      </c>
      <c r="D4905" t="s">
        <v>236</v>
      </c>
      <c r="E4905" t="s">
        <v>242</v>
      </c>
      <c r="F4905">
        <v>3</v>
      </c>
      <c r="G4905" t="s">
        <v>498</v>
      </c>
      <c r="H4905" s="4">
        <v>10571032</v>
      </c>
      <c r="I4905" s="4">
        <v>8980068</v>
      </c>
      <c r="J4905" s="3">
        <v>0.150502240462426</v>
      </c>
      <c r="K4905" s="3">
        <v>0.177166141726321</v>
      </c>
      <c r="L4905" t="s">
        <v>54</v>
      </c>
    </row>
    <row r="4906" spans="1:12" x14ac:dyDescent="0.25">
      <c r="A4906" t="s">
        <v>487</v>
      </c>
      <c r="B4906" t="s">
        <v>465</v>
      </c>
      <c r="C4906" t="s">
        <v>478</v>
      </c>
      <c r="D4906" t="s">
        <v>236</v>
      </c>
      <c r="E4906" t="s">
        <v>242</v>
      </c>
      <c r="F4906">
        <v>3</v>
      </c>
      <c r="G4906" t="s">
        <v>499</v>
      </c>
      <c r="H4906" s="4">
        <v>10571032</v>
      </c>
      <c r="I4906" s="4">
        <v>11435259</v>
      </c>
      <c r="J4906" s="3">
        <v>0.08175426959259985</v>
      </c>
      <c r="K4906" s="3">
        <v>-0.07557563847045354</v>
      </c>
      <c r="L4906" t="s">
        <v>54</v>
      </c>
    </row>
    <row r="4907" spans="1:12" x14ac:dyDescent="0.25">
      <c r="A4907" t="s">
        <v>487</v>
      </c>
      <c r="B4907" t="s">
        <v>465</v>
      </c>
      <c r="C4907" t="s">
        <v>478</v>
      </c>
      <c r="D4907" t="s">
        <v>238</v>
      </c>
      <c r="E4907" t="s">
        <v>240</v>
      </c>
      <c r="F4907">
        <v>1</v>
      </c>
      <c r="G4907" t="s">
        <v>488</v>
      </c>
      <c r="H4907" s="4">
        <v>11791968</v>
      </c>
      <c r="I4907" s="4">
        <v>13059901.23366229</v>
      </c>
      <c r="J4907" s="3">
        <v>0.10752515896093769</v>
      </c>
      <c r="K4907" s="3">
        <v>-0.0970859741568454</v>
      </c>
      <c r="L4907" t="s">
        <v>54</v>
      </c>
    </row>
    <row r="4908" spans="1:12" x14ac:dyDescent="0.25">
      <c r="A4908" t="s">
        <v>487</v>
      </c>
      <c r="B4908" t="s">
        <v>465</v>
      </c>
      <c r="C4908" t="s">
        <v>478</v>
      </c>
      <c r="D4908" t="s">
        <v>238</v>
      </c>
      <c r="E4908" t="s">
        <v>240</v>
      </c>
      <c r="F4908">
        <v>1</v>
      </c>
      <c r="G4908" t="s">
        <v>498</v>
      </c>
      <c r="H4908" s="4">
        <v>11791968</v>
      </c>
      <c r="I4908" s="4">
        <v>11467584</v>
      </c>
      <c r="J4908" s="3">
        <v>0.027508894189672155</v>
      </c>
      <c r="K4908" s="3">
        <v>0.0282870393624324</v>
      </c>
      <c r="L4908" t="s">
        <v>54</v>
      </c>
    </row>
    <row r="4909" spans="1:12" x14ac:dyDescent="0.25">
      <c r="A4909" t="s">
        <v>487</v>
      </c>
      <c r="B4909" t="s">
        <v>465</v>
      </c>
      <c r="C4909" t="s">
        <v>478</v>
      </c>
      <c r="D4909" t="s">
        <v>238</v>
      </c>
      <c r="E4909" t="s">
        <v>240</v>
      </c>
      <c r="F4909">
        <v>1</v>
      </c>
      <c r="G4909" t="s">
        <v>499</v>
      </c>
      <c r="H4909" s="4">
        <v>11791968</v>
      </c>
      <c r="I4909" s="4">
        <v>11169811</v>
      </c>
      <c r="J4909" s="3">
        <v>0.05276108279805373</v>
      </c>
      <c r="K4909" s="3">
        <v>0.05569986815354351</v>
      </c>
      <c r="L4909" t="s">
        <v>54</v>
      </c>
    </row>
    <row r="4910" spans="1:12" x14ac:dyDescent="0.25">
      <c r="A4910" t="s">
        <v>487</v>
      </c>
      <c r="B4910" t="s">
        <v>465</v>
      </c>
      <c r="C4910" t="s">
        <v>478</v>
      </c>
      <c r="D4910" t="s">
        <v>238</v>
      </c>
      <c r="E4910" t="s">
        <v>242</v>
      </c>
      <c r="F4910">
        <v>2</v>
      </c>
      <c r="G4910" t="s">
        <v>488</v>
      </c>
      <c r="H4910" s="4">
        <v>10571032</v>
      </c>
      <c r="I4910" s="4">
        <v>10226984.26726774</v>
      </c>
      <c r="J4910" s="3">
        <v>0.03254627672418933</v>
      </c>
      <c r="K4910" s="3">
        <v>0.03364117160455719</v>
      </c>
      <c r="L4910" t="s">
        <v>54</v>
      </c>
    </row>
    <row r="4911" spans="1:12" x14ac:dyDescent="0.25">
      <c r="A4911" t="s">
        <v>487</v>
      </c>
      <c r="B4911" t="s">
        <v>465</v>
      </c>
      <c r="C4911" t="s">
        <v>478</v>
      </c>
      <c r="D4911" t="s">
        <v>238</v>
      </c>
      <c r="E4911" t="s">
        <v>242</v>
      </c>
      <c r="F4911">
        <v>2</v>
      </c>
      <c r="G4911" t="s">
        <v>498</v>
      </c>
      <c r="H4911" s="4">
        <v>10571032</v>
      </c>
      <c r="I4911" s="4">
        <v>8980068</v>
      </c>
      <c r="J4911" s="3">
        <v>0.150502240462426</v>
      </c>
      <c r="K4911" s="3">
        <v>0.177166141726321</v>
      </c>
      <c r="L4911" t="s">
        <v>54</v>
      </c>
    </row>
    <row r="4912" spans="1:12" x14ac:dyDescent="0.25">
      <c r="A4912" t="s">
        <v>487</v>
      </c>
      <c r="B4912" t="s">
        <v>465</v>
      </c>
      <c r="C4912" t="s">
        <v>478</v>
      </c>
      <c r="D4912" t="s">
        <v>238</v>
      </c>
      <c r="E4912" t="s">
        <v>242</v>
      </c>
      <c r="F4912">
        <v>2</v>
      </c>
      <c r="G4912" t="s">
        <v>499</v>
      </c>
      <c r="H4912" s="4">
        <v>10571032</v>
      </c>
      <c r="I4912" s="4">
        <v>11169811</v>
      </c>
      <c r="J4912" s="3">
        <v>0.0566433816490197</v>
      </c>
      <c r="K4912" s="3">
        <v>-0.0536069052556037</v>
      </c>
      <c r="L4912" t="s">
        <v>54</v>
      </c>
    </row>
    <row r="4913" spans="1:12" x14ac:dyDescent="0.25">
      <c r="A4913" t="s">
        <v>487</v>
      </c>
      <c r="B4913" t="s">
        <v>465</v>
      </c>
      <c r="C4913" t="s">
        <v>478</v>
      </c>
      <c r="D4913" t="s">
        <v>238</v>
      </c>
      <c r="E4913" t="s">
        <v>244</v>
      </c>
      <c r="F4913">
        <v>3</v>
      </c>
      <c r="G4913" t="s">
        <v>488</v>
      </c>
      <c r="H4913" s="4">
        <v>11214299</v>
      </c>
      <c r="I4913" s="4">
        <v>11776621.448799878</v>
      </c>
      <c r="J4913" s="3">
        <v>0.0501433436722062</v>
      </c>
      <c r="K4913" s="3">
        <v>-0.04774904680808799</v>
      </c>
      <c r="L4913" t="s">
        <v>54</v>
      </c>
    </row>
    <row r="4914" spans="1:12" x14ac:dyDescent="0.25">
      <c r="A4914" t="s">
        <v>487</v>
      </c>
      <c r="B4914" t="s">
        <v>465</v>
      </c>
      <c r="C4914" t="s">
        <v>478</v>
      </c>
      <c r="D4914" t="s">
        <v>238</v>
      </c>
      <c r="E4914" t="s">
        <v>244</v>
      </c>
      <c r="F4914">
        <v>3</v>
      </c>
      <c r="G4914" t="s">
        <v>498</v>
      </c>
      <c r="H4914" s="4">
        <v>11214299</v>
      </c>
      <c r="I4914" s="4">
        <v>10340767</v>
      </c>
      <c r="J4914" s="3">
        <v>0.07789448096577414</v>
      </c>
      <c r="K4914" s="3">
        <v>0.08447458491231839</v>
      </c>
      <c r="L4914" t="s">
        <v>54</v>
      </c>
    </row>
    <row r="4915" spans="1:12" x14ac:dyDescent="0.25">
      <c r="A4915" t="s">
        <v>487</v>
      </c>
      <c r="B4915" t="s">
        <v>465</v>
      </c>
      <c r="C4915" t="s">
        <v>478</v>
      </c>
      <c r="D4915" t="s">
        <v>238</v>
      </c>
      <c r="E4915" t="s">
        <v>244</v>
      </c>
      <c r="F4915">
        <v>3</v>
      </c>
      <c r="G4915" t="s">
        <v>499</v>
      </c>
      <c r="H4915" s="4">
        <v>11214299</v>
      </c>
      <c r="I4915" s="4">
        <v>11169811</v>
      </c>
      <c r="J4915" s="3">
        <v>0.003967078102697279</v>
      </c>
      <c r="K4915" s="3">
        <v>0.003982878492751579</v>
      </c>
      <c r="L4915" t="s">
        <v>54</v>
      </c>
    </row>
    <row r="4916" spans="1:12" x14ac:dyDescent="0.25">
      <c r="A4916" t="s">
        <v>487</v>
      </c>
      <c r="B4916" t="s">
        <v>465</v>
      </c>
      <c r="C4916" t="s">
        <v>478</v>
      </c>
      <c r="D4916" t="s">
        <v>240</v>
      </c>
      <c r="E4916" t="s">
        <v>242</v>
      </c>
      <c r="F4916">
        <v>1</v>
      </c>
      <c r="G4916" t="s">
        <v>488</v>
      </c>
      <c r="H4916" s="4">
        <v>10571032</v>
      </c>
      <c r="I4916" s="4">
        <v>10178037.838399664</v>
      </c>
      <c r="J4916" s="3">
        <v>0.03717651801643741</v>
      </c>
      <c r="K4916" s="3">
        <v>0.03861197687020277</v>
      </c>
      <c r="L4916" t="s">
        <v>54</v>
      </c>
    </row>
    <row r="4917" spans="1:12" x14ac:dyDescent="0.25">
      <c r="A4917" t="s">
        <v>487</v>
      </c>
      <c r="B4917" t="s">
        <v>465</v>
      </c>
      <c r="C4917" t="s">
        <v>478</v>
      </c>
      <c r="D4917" t="s">
        <v>240</v>
      </c>
      <c r="E4917" t="s">
        <v>242</v>
      </c>
      <c r="F4917">
        <v>1</v>
      </c>
      <c r="G4917" t="s">
        <v>498</v>
      </c>
      <c r="H4917" s="4">
        <v>10571032</v>
      </c>
      <c r="I4917" s="4">
        <v>8980068</v>
      </c>
      <c r="J4917" s="3">
        <v>0.150502240462426</v>
      </c>
      <c r="K4917" s="3">
        <v>0.177166141726321</v>
      </c>
      <c r="L4917" t="s">
        <v>54</v>
      </c>
    </row>
    <row r="4918" spans="1:12" x14ac:dyDescent="0.25">
      <c r="A4918" t="s">
        <v>487</v>
      </c>
      <c r="B4918" t="s">
        <v>465</v>
      </c>
      <c r="C4918" t="s">
        <v>478</v>
      </c>
      <c r="D4918" t="s">
        <v>240</v>
      </c>
      <c r="E4918" t="s">
        <v>242</v>
      </c>
      <c r="F4918">
        <v>1</v>
      </c>
      <c r="G4918" t="s">
        <v>499</v>
      </c>
      <c r="H4918" s="4">
        <v>10571032</v>
      </c>
      <c r="I4918" s="4">
        <v>11791968</v>
      </c>
      <c r="J4918" s="3">
        <v>0.11549827869218446</v>
      </c>
      <c r="K4918" s="3">
        <v>-0.1035396296869191</v>
      </c>
      <c r="L4918" t="s">
        <v>54</v>
      </c>
    </row>
    <row r="4919" spans="1:12" x14ac:dyDescent="0.25">
      <c r="A4919" t="s">
        <v>487</v>
      </c>
      <c r="B4919" t="s">
        <v>465</v>
      </c>
      <c r="C4919" t="s">
        <v>478</v>
      </c>
      <c r="D4919" t="s">
        <v>240</v>
      </c>
      <c r="E4919" t="s">
        <v>244</v>
      </c>
      <c r="F4919">
        <v>2</v>
      </c>
      <c r="G4919" t="s">
        <v>488</v>
      </c>
      <c r="H4919" s="4">
        <v>11214299</v>
      </c>
      <c r="I4919" s="4">
        <v>11720258.443931</v>
      </c>
      <c r="J4919" s="3">
        <v>0.04511734919240162</v>
      </c>
      <c r="K4919" s="3">
        <v>-0.04316964906119428</v>
      </c>
      <c r="L4919" t="s">
        <v>54</v>
      </c>
    </row>
    <row r="4920" spans="1:12" x14ac:dyDescent="0.25">
      <c r="A4920" t="s">
        <v>487</v>
      </c>
      <c r="B4920" t="s">
        <v>465</v>
      </c>
      <c r="C4920" t="s">
        <v>478</v>
      </c>
      <c r="D4920" t="s">
        <v>240</v>
      </c>
      <c r="E4920" t="s">
        <v>244</v>
      </c>
      <c r="F4920">
        <v>2</v>
      </c>
      <c r="G4920" t="s">
        <v>498</v>
      </c>
      <c r="H4920" s="4">
        <v>11214299</v>
      </c>
      <c r="I4920" s="4">
        <v>10340767</v>
      </c>
      <c r="J4920" s="3">
        <v>0.07789448096577414</v>
      </c>
      <c r="K4920" s="3">
        <v>0.08447458491231839</v>
      </c>
      <c r="L4920" t="s">
        <v>54</v>
      </c>
    </row>
    <row r="4921" spans="1:12" x14ac:dyDescent="0.25">
      <c r="A4921" t="s">
        <v>487</v>
      </c>
      <c r="B4921" t="s">
        <v>465</v>
      </c>
      <c r="C4921" t="s">
        <v>478</v>
      </c>
      <c r="D4921" t="s">
        <v>240</v>
      </c>
      <c r="E4921" t="s">
        <v>244</v>
      </c>
      <c r="F4921">
        <v>2</v>
      </c>
      <c r="G4921" t="s">
        <v>499</v>
      </c>
      <c r="H4921" s="4">
        <v>11214299</v>
      </c>
      <c r="I4921" s="4">
        <v>11791968</v>
      </c>
      <c r="J4921" s="3">
        <v>0.05151182432357118</v>
      </c>
      <c r="K4921" s="3">
        <v>-0.0489883452872328</v>
      </c>
      <c r="L4921" t="s">
        <v>54</v>
      </c>
    </row>
    <row r="4922" spans="1:12" x14ac:dyDescent="0.25">
      <c r="A4922" t="s">
        <v>487</v>
      </c>
      <c r="B4922" t="s">
        <v>465</v>
      </c>
      <c r="C4922" t="s">
        <v>478</v>
      </c>
      <c r="D4922" t="s">
        <v>240</v>
      </c>
      <c r="E4922" t="s">
        <v>246</v>
      </c>
      <c r="F4922">
        <v>3</v>
      </c>
      <c r="G4922" t="s">
        <v>488</v>
      </c>
      <c r="H4922" s="4">
        <v>8824243</v>
      </c>
      <c r="I4922" s="4">
        <v>11335036.22973918</v>
      </c>
      <c r="J4922" s="3">
        <v>0.2845335548600803</v>
      </c>
      <c r="K4922" s="3">
        <v>-0.2215072963906136</v>
      </c>
      <c r="L4922" t="s">
        <v>54</v>
      </c>
    </row>
    <row r="4923" spans="1:12" x14ac:dyDescent="0.25">
      <c r="A4923" t="s">
        <v>487</v>
      </c>
      <c r="B4923" t="s">
        <v>465</v>
      </c>
      <c r="C4923" t="s">
        <v>478</v>
      </c>
      <c r="D4923" t="s">
        <v>240</v>
      </c>
      <c r="E4923" t="s">
        <v>246</v>
      </c>
      <c r="F4923">
        <v>3</v>
      </c>
      <c r="G4923" t="s">
        <v>498</v>
      </c>
      <c r="H4923" s="4">
        <v>8824243</v>
      </c>
      <c r="I4923" s="4">
        <v>10000886</v>
      </c>
      <c r="J4923" s="3">
        <v>0.1333420895140807</v>
      </c>
      <c r="K4923" s="3">
        <v>-0.11765387586659821</v>
      </c>
      <c r="L4923" t="s">
        <v>54</v>
      </c>
    </row>
    <row r="4924" spans="1:12" x14ac:dyDescent="0.25">
      <c r="A4924" t="s">
        <v>487</v>
      </c>
      <c r="B4924" t="s">
        <v>465</v>
      </c>
      <c r="C4924" t="s">
        <v>478</v>
      </c>
      <c r="D4924" t="s">
        <v>240</v>
      </c>
      <c r="E4924" t="s">
        <v>246</v>
      </c>
      <c r="F4924">
        <v>3</v>
      </c>
      <c r="G4924" t="s">
        <v>499</v>
      </c>
      <c r="H4924" s="4">
        <v>8824243</v>
      </c>
      <c r="I4924" s="4">
        <v>11791968</v>
      </c>
      <c r="J4924" s="3">
        <v>0.3363149677541745</v>
      </c>
      <c r="K4924" s="3">
        <v>-0.25167342720061653</v>
      </c>
      <c r="L4924" t="s">
        <v>54</v>
      </c>
    </row>
    <row r="4925" spans="1:12" x14ac:dyDescent="0.25">
      <c r="A4925" t="s">
        <v>487</v>
      </c>
      <c r="B4925" t="s">
        <v>465</v>
      </c>
      <c r="C4925" t="s">
        <v>478</v>
      </c>
      <c r="D4925" t="s">
        <v>242</v>
      </c>
      <c r="E4925" t="s">
        <v>244</v>
      </c>
      <c r="F4925">
        <v>1</v>
      </c>
      <c r="G4925" t="s">
        <v>488</v>
      </c>
      <c r="H4925" s="4">
        <v>11214299</v>
      </c>
      <c r="I4925" s="4">
        <v>11868312.692319106</v>
      </c>
      <c r="J4925" s="3">
        <v>0.058319623216672424</v>
      </c>
      <c r="K4925" s="3">
        <v>-0.05510586966101497</v>
      </c>
      <c r="L4925" t="s">
        <v>54</v>
      </c>
    </row>
    <row r="4926" spans="1:12" x14ac:dyDescent="0.25">
      <c r="A4926" t="s">
        <v>487</v>
      </c>
      <c r="B4926" t="s">
        <v>465</v>
      </c>
      <c r="C4926" t="s">
        <v>478</v>
      </c>
      <c r="D4926" t="s">
        <v>242</v>
      </c>
      <c r="E4926" t="s">
        <v>244</v>
      </c>
      <c r="F4926">
        <v>1</v>
      </c>
      <c r="G4926" t="s">
        <v>498</v>
      </c>
      <c r="H4926" s="4">
        <v>11214299</v>
      </c>
      <c r="I4926" s="4">
        <v>10340767</v>
      </c>
      <c r="J4926" s="3">
        <v>0.07789448096577414</v>
      </c>
      <c r="K4926" s="3">
        <v>0.08447458491231839</v>
      </c>
      <c r="L4926" t="s">
        <v>54</v>
      </c>
    </row>
    <row r="4927" spans="1:12" x14ac:dyDescent="0.25">
      <c r="A4927" t="s">
        <v>487</v>
      </c>
      <c r="B4927" t="s">
        <v>465</v>
      </c>
      <c r="C4927" t="s">
        <v>478</v>
      </c>
      <c r="D4927" t="s">
        <v>242</v>
      </c>
      <c r="E4927" t="s">
        <v>244</v>
      </c>
      <c r="F4927">
        <v>1</v>
      </c>
      <c r="G4927" t="s">
        <v>499</v>
      </c>
      <c r="H4927" s="4">
        <v>11214299</v>
      </c>
      <c r="I4927" s="4">
        <v>10571032</v>
      </c>
      <c r="J4927" s="3">
        <v>0.0573613205783081</v>
      </c>
      <c r="K4927" s="3">
        <v>0.060851863848297875</v>
      </c>
      <c r="L4927" t="s">
        <v>54</v>
      </c>
    </row>
    <row r="4928" spans="1:12" x14ac:dyDescent="0.25">
      <c r="A4928" t="s">
        <v>487</v>
      </c>
      <c r="B4928" t="s">
        <v>465</v>
      </c>
      <c r="C4928" t="s">
        <v>478</v>
      </c>
      <c r="D4928" t="s">
        <v>242</v>
      </c>
      <c r="E4928" t="s">
        <v>246</v>
      </c>
      <c r="F4928">
        <v>2</v>
      </c>
      <c r="G4928" t="s">
        <v>488</v>
      </c>
      <c r="H4928" s="4">
        <v>8824243</v>
      </c>
      <c r="I4928" s="4">
        <v>11478224.221495027</v>
      </c>
      <c r="J4928" s="3">
        <v>0.30076021495498556</v>
      </c>
      <c r="K4928" s="3">
        <v>-0.23121879920458188</v>
      </c>
      <c r="L4928" t="s">
        <v>54</v>
      </c>
    </row>
    <row r="4929" spans="1:12" x14ac:dyDescent="0.25">
      <c r="A4929" t="s">
        <v>487</v>
      </c>
      <c r="B4929" t="s">
        <v>465</v>
      </c>
      <c r="C4929" t="s">
        <v>478</v>
      </c>
      <c r="D4929" t="s">
        <v>242</v>
      </c>
      <c r="E4929" t="s">
        <v>246</v>
      </c>
      <c r="F4929">
        <v>2</v>
      </c>
      <c r="G4929" t="s">
        <v>498</v>
      </c>
      <c r="H4929" s="4">
        <v>8824243</v>
      </c>
      <c r="I4929" s="4">
        <v>10000886</v>
      </c>
      <c r="J4929" s="3">
        <v>0.1333420895140807</v>
      </c>
      <c r="K4929" s="3">
        <v>-0.11765387586659821</v>
      </c>
      <c r="L4929" t="s">
        <v>54</v>
      </c>
    </row>
    <row r="4930" spans="1:12" x14ac:dyDescent="0.25">
      <c r="A4930" t="s">
        <v>487</v>
      </c>
      <c r="B4930" t="s">
        <v>465</v>
      </c>
      <c r="C4930" t="s">
        <v>478</v>
      </c>
      <c r="D4930" t="s">
        <v>242</v>
      </c>
      <c r="E4930" t="s">
        <v>246</v>
      </c>
      <c r="F4930">
        <v>2</v>
      </c>
      <c r="G4930" t="s">
        <v>499</v>
      </c>
      <c r="H4930" s="4">
        <v>8824243</v>
      </c>
      <c r="I4930" s="4">
        <v>10571032</v>
      </c>
      <c r="J4930" s="3">
        <v>0.19795341084782003</v>
      </c>
      <c r="K4930" s="3">
        <v>-0.1652429961426661</v>
      </c>
      <c r="L4930" t="s">
        <v>54</v>
      </c>
    </row>
    <row r="4931" spans="1:12" x14ac:dyDescent="0.25">
      <c r="A4931" t="s">
        <v>487</v>
      </c>
      <c r="B4931" t="s">
        <v>465</v>
      </c>
      <c r="C4931" t="s">
        <v>478</v>
      </c>
      <c r="D4931" t="s">
        <v>242</v>
      </c>
      <c r="E4931" t="s">
        <v>248</v>
      </c>
      <c r="F4931">
        <v>3</v>
      </c>
      <c r="G4931" t="s">
        <v>488</v>
      </c>
      <c r="H4931" s="4">
        <v>12086438</v>
      </c>
      <c r="I4931" s="4">
        <v>9446098.582729265</v>
      </c>
      <c r="J4931" s="3">
        <v>0.2184547190223236</v>
      </c>
      <c r="K4931" s="3">
        <v>0.2795163944295678</v>
      </c>
      <c r="L4931" t="s">
        <v>54</v>
      </c>
    </row>
    <row r="4932" spans="1:12" x14ac:dyDescent="0.25">
      <c r="A4932" t="s">
        <v>487</v>
      </c>
      <c r="B4932" t="s">
        <v>465</v>
      </c>
      <c r="C4932" t="s">
        <v>478</v>
      </c>
      <c r="D4932" t="s">
        <v>242</v>
      </c>
      <c r="E4932" t="s">
        <v>248</v>
      </c>
      <c r="F4932">
        <v>3</v>
      </c>
      <c r="G4932" t="s">
        <v>498</v>
      </c>
      <c r="H4932" s="4">
        <v>12086438</v>
      </c>
      <c r="I4932" s="4">
        <v>8230311</v>
      </c>
      <c r="J4932" s="3">
        <v>0.3190457767623513</v>
      </c>
      <c r="K4932" s="3">
        <v>0.46852749549804373</v>
      </c>
      <c r="L4932" t="s">
        <v>54</v>
      </c>
    </row>
    <row r="4933" spans="1:12" x14ac:dyDescent="0.25">
      <c r="A4933" t="s">
        <v>487</v>
      </c>
      <c r="B4933" t="s">
        <v>465</v>
      </c>
      <c r="C4933" t="s">
        <v>478</v>
      </c>
      <c r="D4933" t="s">
        <v>242</v>
      </c>
      <c r="E4933" t="s">
        <v>248</v>
      </c>
      <c r="F4933">
        <v>3</v>
      </c>
      <c r="G4933" t="s">
        <v>499</v>
      </c>
      <c r="H4933" s="4">
        <v>12086438</v>
      </c>
      <c r="I4933" s="4">
        <v>10571032</v>
      </c>
      <c r="J4933" s="3">
        <v>0.12538069528838852</v>
      </c>
      <c r="K4933" s="3">
        <v>0.14335459395071362</v>
      </c>
      <c r="L4933" t="s">
        <v>54</v>
      </c>
    </row>
    <row r="4934" spans="1:12" x14ac:dyDescent="0.25">
      <c r="A4934" t="s">
        <v>487</v>
      </c>
      <c r="B4934" t="s">
        <v>465</v>
      </c>
      <c r="C4934" t="s">
        <v>478</v>
      </c>
      <c r="D4934" t="s">
        <v>244</v>
      </c>
      <c r="E4934" t="s">
        <v>246</v>
      </c>
      <c r="F4934">
        <v>1</v>
      </c>
      <c r="G4934" t="s">
        <v>488</v>
      </c>
      <c r="H4934" s="4">
        <v>8824243</v>
      </c>
      <c r="I4934" s="4">
        <v>11387282.19638954</v>
      </c>
      <c r="J4934" s="3">
        <v>0.29045428558455827</v>
      </c>
      <c r="K4934" s="3">
        <v>-0.2250790972056685</v>
      </c>
      <c r="L4934" t="s">
        <v>54</v>
      </c>
    </row>
    <row r="4935" spans="1:12" x14ac:dyDescent="0.25">
      <c r="A4935" t="s">
        <v>487</v>
      </c>
      <c r="B4935" t="s">
        <v>465</v>
      </c>
      <c r="C4935" t="s">
        <v>478</v>
      </c>
      <c r="D4935" t="s">
        <v>244</v>
      </c>
      <c r="E4935" t="s">
        <v>246</v>
      </c>
      <c r="F4935">
        <v>1</v>
      </c>
      <c r="G4935" t="s">
        <v>498</v>
      </c>
      <c r="H4935" s="4">
        <v>8824243</v>
      </c>
      <c r="I4935" s="4">
        <v>10000886</v>
      </c>
      <c r="J4935" s="3">
        <v>0.1333420895140807</v>
      </c>
      <c r="K4935" s="3">
        <v>-0.11765387586659821</v>
      </c>
      <c r="L4935" t="s">
        <v>54</v>
      </c>
    </row>
    <row r="4936" spans="1:12" x14ac:dyDescent="0.25">
      <c r="A4936" t="s">
        <v>487</v>
      </c>
      <c r="B4936" t="s">
        <v>465</v>
      </c>
      <c r="C4936" t="s">
        <v>478</v>
      </c>
      <c r="D4936" t="s">
        <v>244</v>
      </c>
      <c r="E4936" t="s">
        <v>246</v>
      </c>
      <c r="F4936">
        <v>1</v>
      </c>
      <c r="G4936" t="s">
        <v>499</v>
      </c>
      <c r="H4936" s="4">
        <v>8824243</v>
      </c>
      <c r="I4936" s="4">
        <v>11214299</v>
      </c>
      <c r="J4936" s="3">
        <v>0.2708511087013356</v>
      </c>
      <c r="K4936" s="3">
        <v>-0.21312576024591462</v>
      </c>
      <c r="L4936" t="s">
        <v>54</v>
      </c>
    </row>
    <row r="4937" spans="1:12" x14ac:dyDescent="0.25">
      <c r="A4937" t="s">
        <v>487</v>
      </c>
      <c r="B4937" t="s">
        <v>465</v>
      </c>
      <c r="C4937" t="s">
        <v>478</v>
      </c>
      <c r="D4937" t="s">
        <v>244</v>
      </c>
      <c r="E4937" t="s">
        <v>248</v>
      </c>
      <c r="F4937">
        <v>2</v>
      </c>
      <c r="G4937" t="s">
        <v>488</v>
      </c>
      <c r="H4937" s="4">
        <v>12086438</v>
      </c>
      <c r="I4937" s="4">
        <v>9371257.09872595</v>
      </c>
      <c r="J4937" s="3">
        <v>0.22464690600109394</v>
      </c>
      <c r="K4937" s="3">
        <v>0.2897349707376171</v>
      </c>
      <c r="L4937" t="s">
        <v>54</v>
      </c>
    </row>
    <row r="4938" spans="1:12" x14ac:dyDescent="0.25">
      <c r="A4938" t="s">
        <v>487</v>
      </c>
      <c r="B4938" t="s">
        <v>465</v>
      </c>
      <c r="C4938" t="s">
        <v>478</v>
      </c>
      <c r="D4938" t="s">
        <v>244</v>
      </c>
      <c r="E4938" t="s">
        <v>248</v>
      </c>
      <c r="F4938">
        <v>2</v>
      </c>
      <c r="G4938" t="s">
        <v>498</v>
      </c>
      <c r="H4938" s="4">
        <v>12086438</v>
      </c>
      <c r="I4938" s="4">
        <v>8230311</v>
      </c>
      <c r="J4938" s="3">
        <v>0.3190457767623513</v>
      </c>
      <c r="K4938" s="3">
        <v>0.46852749549804373</v>
      </c>
      <c r="L4938" t="s">
        <v>54</v>
      </c>
    </row>
    <row r="4939" spans="1:12" x14ac:dyDescent="0.25">
      <c r="A4939" t="s">
        <v>487</v>
      </c>
      <c r="B4939" t="s">
        <v>465</v>
      </c>
      <c r="C4939" t="s">
        <v>478</v>
      </c>
      <c r="D4939" t="s">
        <v>244</v>
      </c>
      <c r="E4939" t="s">
        <v>248</v>
      </c>
      <c r="F4939">
        <v>2</v>
      </c>
      <c r="G4939" t="s">
        <v>499</v>
      </c>
      <c r="H4939" s="4">
        <v>12086438</v>
      </c>
      <c r="I4939" s="4">
        <v>11214299</v>
      </c>
      <c r="J4939" s="3">
        <v>0.07215848043898458</v>
      </c>
      <c r="K4939" s="3">
        <v>0.07777026455242543</v>
      </c>
      <c r="L4939" t="s">
        <v>54</v>
      </c>
    </row>
    <row r="4940" spans="1:12" x14ac:dyDescent="0.25">
      <c r="A4940" t="s">
        <v>487</v>
      </c>
      <c r="B4940" t="s">
        <v>465</v>
      </c>
      <c r="C4940" t="s">
        <v>478</v>
      </c>
      <c r="D4940" t="s">
        <v>244</v>
      </c>
      <c r="E4940" t="s">
        <v>250</v>
      </c>
      <c r="F4940">
        <v>3</v>
      </c>
      <c r="G4940" t="s">
        <v>488</v>
      </c>
      <c r="H4940" s="4">
        <v>9803090</v>
      </c>
      <c r="I4940" s="4">
        <v>11511292.376944859</v>
      </c>
      <c r="J4940" s="3">
        <v>0.17425142245402814</v>
      </c>
      <c r="K4940" s="3">
        <v>-0.14839362262799394</v>
      </c>
      <c r="L4940" t="s">
        <v>54</v>
      </c>
    </row>
    <row r="4941" spans="1:12" x14ac:dyDescent="0.25">
      <c r="A4941" t="s">
        <v>487</v>
      </c>
      <c r="B4941" t="s">
        <v>465</v>
      </c>
      <c r="C4941" t="s">
        <v>478</v>
      </c>
      <c r="D4941" t="s">
        <v>244</v>
      </c>
      <c r="E4941" t="s">
        <v>250</v>
      </c>
      <c r="F4941">
        <v>3</v>
      </c>
      <c r="G4941" t="s">
        <v>498</v>
      </c>
      <c r="H4941" s="4">
        <v>9803090</v>
      </c>
      <c r="I4941" s="4">
        <v>10109798</v>
      </c>
      <c r="J4941" s="3">
        <v>0.03128686975229239</v>
      </c>
      <c r="K4941" s="3">
        <v>-0.030337698141941115</v>
      </c>
      <c r="L4941" t="s">
        <v>54</v>
      </c>
    </row>
    <row r="4942" spans="1:12" x14ac:dyDescent="0.25">
      <c r="A4942" t="s">
        <v>487</v>
      </c>
      <c r="B4942" t="s">
        <v>465</v>
      </c>
      <c r="C4942" t="s">
        <v>478</v>
      </c>
      <c r="D4942" t="s">
        <v>244</v>
      </c>
      <c r="E4942" t="s">
        <v>250</v>
      </c>
      <c r="F4942">
        <v>3</v>
      </c>
      <c r="G4942" t="s">
        <v>499</v>
      </c>
      <c r="H4942" s="4">
        <v>9803090</v>
      </c>
      <c r="I4942" s="4">
        <v>11214299</v>
      </c>
      <c r="J4942" s="3">
        <v>0.14395552830791108</v>
      </c>
      <c r="K4942" s="3">
        <v>-0.12584014390912887</v>
      </c>
      <c r="L4942" t="s">
        <v>54</v>
      </c>
    </row>
    <row r="4943" spans="1:12" x14ac:dyDescent="0.25">
      <c r="A4943" t="s">
        <v>487</v>
      </c>
      <c r="B4943" t="s">
        <v>465</v>
      </c>
      <c r="C4943" t="s">
        <v>478</v>
      </c>
      <c r="D4943" t="s">
        <v>246</v>
      </c>
      <c r="E4943" t="s">
        <v>248</v>
      </c>
      <c r="F4943">
        <v>1</v>
      </c>
      <c r="G4943" t="s">
        <v>488</v>
      </c>
      <c r="H4943" s="4">
        <v>12086438</v>
      </c>
      <c r="I4943" s="4">
        <v>9270551.746995218</v>
      </c>
      <c r="J4943" s="3">
        <v>0.2329790011751007</v>
      </c>
      <c r="K4943" s="3">
        <v>0.30374527103173443</v>
      </c>
      <c r="L4943" t="s">
        <v>54</v>
      </c>
    </row>
    <row r="4944" spans="1:12" x14ac:dyDescent="0.25">
      <c r="A4944" t="s">
        <v>487</v>
      </c>
      <c r="B4944" t="s">
        <v>465</v>
      </c>
      <c r="C4944" t="s">
        <v>478</v>
      </c>
      <c r="D4944" t="s">
        <v>246</v>
      </c>
      <c r="E4944" t="s">
        <v>248</v>
      </c>
      <c r="F4944">
        <v>1</v>
      </c>
      <c r="G4944" t="s">
        <v>498</v>
      </c>
      <c r="H4944" s="4">
        <v>12086438</v>
      </c>
      <c r="I4944" s="4">
        <v>8230311</v>
      </c>
      <c r="J4944" s="3">
        <v>0.3190457767623513</v>
      </c>
      <c r="K4944" s="3">
        <v>0.46852749549804373</v>
      </c>
      <c r="L4944" t="s">
        <v>54</v>
      </c>
    </row>
    <row r="4945" spans="1:12" x14ac:dyDescent="0.25">
      <c r="A4945" t="s">
        <v>487</v>
      </c>
      <c r="B4945" t="s">
        <v>465</v>
      </c>
      <c r="C4945" t="s">
        <v>478</v>
      </c>
      <c r="D4945" t="s">
        <v>246</v>
      </c>
      <c r="E4945" t="s">
        <v>248</v>
      </c>
      <c r="F4945">
        <v>1</v>
      </c>
      <c r="G4945" t="s">
        <v>499</v>
      </c>
      <c r="H4945" s="4">
        <v>12086438</v>
      </c>
      <c r="I4945" s="4">
        <v>8824243</v>
      </c>
      <c r="J4945" s="3">
        <v>0.26990540968315063</v>
      </c>
      <c r="K4945" s="3">
        <v>0.3696855356317817</v>
      </c>
      <c r="L4945" t="s">
        <v>54</v>
      </c>
    </row>
    <row r="4946" spans="1:12" x14ac:dyDescent="0.25">
      <c r="A4946" t="s">
        <v>487</v>
      </c>
      <c r="B4946" t="s">
        <v>465</v>
      </c>
      <c r="C4946" t="s">
        <v>478</v>
      </c>
      <c r="D4946" t="s">
        <v>246</v>
      </c>
      <c r="E4946" t="s">
        <v>250</v>
      </c>
      <c r="F4946">
        <v>2</v>
      </c>
      <c r="G4946" t="s">
        <v>488</v>
      </c>
      <c r="H4946" s="4">
        <v>9803090</v>
      </c>
      <c r="I4946" s="4">
        <v>11387589.789823102</v>
      </c>
      <c r="J4946" s="3">
        <v>0.16163268824657345</v>
      </c>
      <c r="K4946" s="3">
        <v>-0.13914268243479783</v>
      </c>
      <c r="L4946" t="s">
        <v>54</v>
      </c>
    </row>
    <row r="4947" spans="1:12" x14ac:dyDescent="0.25">
      <c r="A4947" t="s">
        <v>487</v>
      </c>
      <c r="B4947" t="s">
        <v>465</v>
      </c>
      <c r="C4947" t="s">
        <v>478</v>
      </c>
      <c r="D4947" t="s">
        <v>246</v>
      </c>
      <c r="E4947" t="s">
        <v>250</v>
      </c>
      <c r="F4947">
        <v>2</v>
      </c>
      <c r="G4947" t="s">
        <v>498</v>
      </c>
      <c r="H4947" s="4">
        <v>9803090</v>
      </c>
      <c r="I4947" s="4">
        <v>10109798</v>
      </c>
      <c r="J4947" s="3">
        <v>0.03128686975229239</v>
      </c>
      <c r="K4947" s="3">
        <v>-0.030337698141941115</v>
      </c>
      <c r="L4947" t="s">
        <v>54</v>
      </c>
    </row>
    <row r="4948" spans="1:12" x14ac:dyDescent="0.25">
      <c r="A4948" t="s">
        <v>487</v>
      </c>
      <c r="B4948" t="s">
        <v>465</v>
      </c>
      <c r="C4948" t="s">
        <v>478</v>
      </c>
      <c r="D4948" t="s">
        <v>246</v>
      </c>
      <c r="E4948" t="s">
        <v>250</v>
      </c>
      <c r="F4948">
        <v>2</v>
      </c>
      <c r="G4948" t="s">
        <v>499</v>
      </c>
      <c r="H4948" s="4">
        <v>9803090</v>
      </c>
      <c r="I4948" s="4">
        <v>8824243</v>
      </c>
      <c r="J4948" s="3">
        <v>0.09985086335022937</v>
      </c>
      <c r="K4948" s="3">
        <v>0.11092702229528358</v>
      </c>
      <c r="L4948" t="s">
        <v>54</v>
      </c>
    </row>
    <row r="4949" spans="1:12" x14ac:dyDescent="0.25">
      <c r="A4949" t="s">
        <v>487</v>
      </c>
      <c r="B4949" t="s">
        <v>465</v>
      </c>
      <c r="C4949" t="s">
        <v>478</v>
      </c>
      <c r="D4949" t="s">
        <v>246</v>
      </c>
      <c r="E4949" t="s">
        <v>252</v>
      </c>
      <c r="F4949">
        <v>3</v>
      </c>
      <c r="G4949" t="s">
        <v>488</v>
      </c>
      <c r="H4949" s="4">
        <v>12850525</v>
      </c>
      <c r="I4949" s="4">
        <v>13661374.21076578</v>
      </c>
      <c r="J4949" s="3">
        <v>0.06309852794074801</v>
      </c>
      <c r="K4949" s="3">
        <v>-0.05935341483631969</v>
      </c>
      <c r="L4949" t="s">
        <v>54</v>
      </c>
    </row>
    <row r="4950" spans="1:12" x14ac:dyDescent="0.25">
      <c r="A4950" t="s">
        <v>487</v>
      </c>
      <c r="B4950" t="s">
        <v>465</v>
      </c>
      <c r="C4950" t="s">
        <v>478</v>
      </c>
      <c r="D4950" t="s">
        <v>246</v>
      </c>
      <c r="E4950" t="s">
        <v>252</v>
      </c>
      <c r="F4950">
        <v>3</v>
      </c>
      <c r="G4950" t="s">
        <v>498</v>
      </c>
      <c r="H4950" s="4">
        <v>12850525</v>
      </c>
      <c r="I4950" s="4">
        <v>12128443</v>
      </c>
      <c r="J4950" s="3">
        <v>0.05619085601561026</v>
      </c>
      <c r="K4950" s="3">
        <v>0.05953624879961921</v>
      </c>
      <c r="L4950" t="s">
        <v>54</v>
      </c>
    </row>
    <row r="4951" spans="1:12" x14ac:dyDescent="0.25">
      <c r="A4951" t="s">
        <v>487</v>
      </c>
      <c r="B4951" t="s">
        <v>465</v>
      </c>
      <c r="C4951" t="s">
        <v>478</v>
      </c>
      <c r="D4951" t="s">
        <v>246</v>
      </c>
      <c r="E4951" t="s">
        <v>252</v>
      </c>
      <c r="F4951">
        <v>3</v>
      </c>
      <c r="G4951" t="s">
        <v>499</v>
      </c>
      <c r="H4951" s="4">
        <v>12850525</v>
      </c>
      <c r="I4951" s="4">
        <v>8824243</v>
      </c>
      <c r="J4951" s="3">
        <v>0.31331653765118544</v>
      </c>
      <c r="K4951" s="3">
        <v>0.4562750595150202</v>
      </c>
      <c r="L4951" t="s">
        <v>54</v>
      </c>
    </row>
    <row r="4952" spans="1:12" x14ac:dyDescent="0.25">
      <c r="A4952" t="s">
        <v>487</v>
      </c>
      <c r="B4952" t="s">
        <v>465</v>
      </c>
      <c r="C4952" t="s">
        <v>478</v>
      </c>
      <c r="D4952" t="s">
        <v>248</v>
      </c>
      <c r="E4952" t="s">
        <v>250</v>
      </c>
      <c r="F4952">
        <v>1</v>
      </c>
      <c r="G4952" t="s">
        <v>488</v>
      </c>
      <c r="H4952" s="4">
        <v>9803090</v>
      </c>
      <c r="I4952" s="4">
        <v>11822877.889229875</v>
      </c>
      <c r="J4952" s="3">
        <v>0.20603584066145217</v>
      </c>
      <c r="K4952" s="3">
        <v>-0.1708372452251929</v>
      </c>
      <c r="L4952" t="s">
        <v>54</v>
      </c>
    </row>
    <row r="4953" spans="1:12" x14ac:dyDescent="0.25">
      <c r="A4953" t="s">
        <v>487</v>
      </c>
      <c r="B4953" t="s">
        <v>465</v>
      </c>
      <c r="C4953" t="s">
        <v>478</v>
      </c>
      <c r="D4953" t="s">
        <v>248</v>
      </c>
      <c r="E4953" t="s">
        <v>250</v>
      </c>
      <c r="F4953">
        <v>1</v>
      </c>
      <c r="G4953" t="s">
        <v>498</v>
      </c>
      <c r="H4953" s="4">
        <v>9803090</v>
      </c>
      <c r="I4953" s="4">
        <v>10109798</v>
      </c>
      <c r="J4953" s="3">
        <v>0.03128686975229239</v>
      </c>
      <c r="K4953" s="3">
        <v>-0.030337698141941115</v>
      </c>
      <c r="L4953" t="s">
        <v>54</v>
      </c>
    </row>
    <row r="4954" spans="1:12" x14ac:dyDescent="0.25">
      <c r="A4954" t="s">
        <v>487</v>
      </c>
      <c r="B4954" t="s">
        <v>465</v>
      </c>
      <c r="C4954" t="s">
        <v>478</v>
      </c>
      <c r="D4954" t="s">
        <v>248</v>
      </c>
      <c r="E4954" t="s">
        <v>250</v>
      </c>
      <c r="F4954">
        <v>1</v>
      </c>
      <c r="G4954" t="s">
        <v>499</v>
      </c>
      <c r="H4954" s="4">
        <v>9803090</v>
      </c>
      <c r="I4954" s="4">
        <v>12086438</v>
      </c>
      <c r="J4954" s="3">
        <v>0.23292125238062691</v>
      </c>
      <c r="K4954" s="3">
        <v>-0.18891819078540759</v>
      </c>
      <c r="L4954" t="s">
        <v>54</v>
      </c>
    </row>
    <row r="4955" spans="1:12" x14ac:dyDescent="0.25">
      <c r="A4955" t="s">
        <v>487</v>
      </c>
      <c r="B4955" t="s">
        <v>465</v>
      </c>
      <c r="C4955" t="s">
        <v>478</v>
      </c>
      <c r="D4955" t="s">
        <v>248</v>
      </c>
      <c r="E4955" t="s">
        <v>252</v>
      </c>
      <c r="F4955">
        <v>2</v>
      </c>
      <c r="G4955" t="s">
        <v>488</v>
      </c>
      <c r="H4955" s="4">
        <v>12850525</v>
      </c>
      <c r="I4955" s="4">
        <v>14183577.216427555</v>
      </c>
      <c r="J4955" s="3">
        <v>0.10373523388558485</v>
      </c>
      <c r="K4955" s="3">
        <v>-0.09398561421328898</v>
      </c>
      <c r="L4955" t="s">
        <v>54</v>
      </c>
    </row>
    <row r="4956" spans="1:12" x14ac:dyDescent="0.25">
      <c r="A4956" t="s">
        <v>487</v>
      </c>
      <c r="B4956" t="s">
        <v>465</v>
      </c>
      <c r="C4956" t="s">
        <v>478</v>
      </c>
      <c r="D4956" t="s">
        <v>248</v>
      </c>
      <c r="E4956" t="s">
        <v>252</v>
      </c>
      <c r="F4956">
        <v>2</v>
      </c>
      <c r="G4956" t="s">
        <v>498</v>
      </c>
      <c r="H4956" s="4">
        <v>12850525</v>
      </c>
      <c r="I4956" s="4">
        <v>12128443</v>
      </c>
      <c r="J4956" s="3">
        <v>0.05619085601561026</v>
      </c>
      <c r="K4956" s="3">
        <v>0.05953624879961921</v>
      </c>
      <c r="L4956" t="s">
        <v>54</v>
      </c>
    </row>
    <row r="4957" spans="1:12" x14ac:dyDescent="0.25">
      <c r="A4957" t="s">
        <v>487</v>
      </c>
      <c r="B4957" t="s">
        <v>465</v>
      </c>
      <c r="C4957" t="s">
        <v>478</v>
      </c>
      <c r="D4957" t="s">
        <v>248</v>
      </c>
      <c r="E4957" t="s">
        <v>252</v>
      </c>
      <c r="F4957">
        <v>2</v>
      </c>
      <c r="G4957" t="s">
        <v>499</v>
      </c>
      <c r="H4957" s="4">
        <v>12850525</v>
      </c>
      <c r="I4957" s="4">
        <v>12086438</v>
      </c>
      <c r="J4957" s="3">
        <v>0.05945959406327757</v>
      </c>
      <c r="K4957" s="3">
        <v>0.06321854296526404</v>
      </c>
      <c r="L4957" t="s">
        <v>54</v>
      </c>
    </row>
    <row r="4958" spans="1:12" x14ac:dyDescent="0.25">
      <c r="A4958" t="s">
        <v>487</v>
      </c>
      <c r="B4958" t="s">
        <v>465</v>
      </c>
      <c r="C4958" t="s">
        <v>478</v>
      </c>
      <c r="D4958" t="s">
        <v>248</v>
      </c>
      <c r="E4958" t="s">
        <v>254</v>
      </c>
      <c r="F4958">
        <v>3</v>
      </c>
      <c r="G4958" t="s">
        <v>488</v>
      </c>
      <c r="H4958" s="4">
        <v>11856299</v>
      </c>
      <c r="I4958" s="4">
        <v>13695684.893306082</v>
      </c>
      <c r="J4958" s="3">
        <v>0.1551399718669445</v>
      </c>
      <c r="K4958" s="3">
        <v>-0.13430404595575227</v>
      </c>
      <c r="L4958" t="s">
        <v>54</v>
      </c>
    </row>
    <row r="4959" spans="1:12" x14ac:dyDescent="0.25">
      <c r="A4959" t="s">
        <v>487</v>
      </c>
      <c r="B4959" t="s">
        <v>465</v>
      </c>
      <c r="C4959" t="s">
        <v>478</v>
      </c>
      <c r="D4959" t="s">
        <v>248</v>
      </c>
      <c r="E4959" t="s">
        <v>254</v>
      </c>
      <c r="F4959">
        <v>3</v>
      </c>
      <c r="G4959" t="s">
        <v>498</v>
      </c>
      <c r="H4959" s="4">
        <v>11856299</v>
      </c>
      <c r="I4959" s="4">
        <v>11711244</v>
      </c>
      <c r="J4959" s="3">
        <v>0.012234424924675061</v>
      </c>
      <c r="K4959" s="3">
        <v>0.012385960022692722</v>
      </c>
      <c r="L4959" t="s">
        <v>54</v>
      </c>
    </row>
    <row r="4960" spans="1:12" x14ac:dyDescent="0.25">
      <c r="A4960" t="s">
        <v>487</v>
      </c>
      <c r="B4960" t="s">
        <v>465</v>
      </c>
      <c r="C4960" t="s">
        <v>478</v>
      </c>
      <c r="D4960" t="s">
        <v>248</v>
      </c>
      <c r="E4960" t="s">
        <v>254</v>
      </c>
      <c r="F4960">
        <v>3</v>
      </c>
      <c r="G4960" t="s">
        <v>499</v>
      </c>
      <c r="H4960" s="4">
        <v>11856299</v>
      </c>
      <c r="I4960" s="4">
        <v>12086438</v>
      </c>
      <c r="J4960" s="3">
        <v>0.019410694686427865</v>
      </c>
      <c r="K4960" s="3">
        <v>-0.019041093827643844</v>
      </c>
      <c r="L4960" t="s">
        <v>54</v>
      </c>
    </row>
    <row r="4961" spans="1:12" x14ac:dyDescent="0.25">
      <c r="A4961" t="s">
        <v>487</v>
      </c>
      <c r="B4961" t="s">
        <v>465</v>
      </c>
      <c r="C4961" t="s">
        <v>478</v>
      </c>
      <c r="D4961" t="s">
        <v>250</v>
      </c>
      <c r="E4961" t="s">
        <v>252</v>
      </c>
      <c r="F4961">
        <v>1</v>
      </c>
      <c r="G4961" t="s">
        <v>488</v>
      </c>
      <c r="H4961" s="4">
        <v>12850525</v>
      </c>
      <c r="I4961" s="4">
        <v>14126288.330975115</v>
      </c>
      <c r="J4961" s="3">
        <v>0.0992771370021937</v>
      </c>
      <c r="K4961" s="3">
        <v>-0.09031129062952174</v>
      </c>
      <c r="L4961" t="s">
        <v>54</v>
      </c>
    </row>
    <row r="4962" spans="1:12" x14ac:dyDescent="0.25">
      <c r="A4962" t="s">
        <v>487</v>
      </c>
      <c r="B4962" t="s">
        <v>465</v>
      </c>
      <c r="C4962" t="s">
        <v>478</v>
      </c>
      <c r="D4962" t="s">
        <v>250</v>
      </c>
      <c r="E4962" t="s">
        <v>252</v>
      </c>
      <c r="F4962">
        <v>1</v>
      </c>
      <c r="G4962" t="s">
        <v>498</v>
      </c>
      <c r="H4962" s="4">
        <v>12850525</v>
      </c>
      <c r="I4962" s="4">
        <v>12128443</v>
      </c>
      <c r="J4962" s="3">
        <v>0.05619085601561026</v>
      </c>
      <c r="K4962" s="3">
        <v>0.05953624879961921</v>
      </c>
      <c r="L4962" t="s">
        <v>54</v>
      </c>
    </row>
    <row r="4963" spans="1:12" x14ac:dyDescent="0.25">
      <c r="A4963" t="s">
        <v>487</v>
      </c>
      <c r="B4963" t="s">
        <v>465</v>
      </c>
      <c r="C4963" t="s">
        <v>478</v>
      </c>
      <c r="D4963" t="s">
        <v>250</v>
      </c>
      <c r="E4963" t="s">
        <v>252</v>
      </c>
      <c r="F4963">
        <v>1</v>
      </c>
      <c r="G4963" t="s">
        <v>499</v>
      </c>
      <c r="H4963" s="4">
        <v>12850525</v>
      </c>
      <c r="I4963" s="4">
        <v>9803090</v>
      </c>
      <c r="J4963" s="3">
        <v>0.23714478591341598</v>
      </c>
      <c r="K4963" s="3">
        <v>0.31086473754703875</v>
      </c>
      <c r="L4963" t="s">
        <v>54</v>
      </c>
    </row>
    <row r="4964" spans="1:12" x14ac:dyDescent="0.25">
      <c r="A4964" t="s">
        <v>487</v>
      </c>
      <c r="B4964" t="s">
        <v>465</v>
      </c>
      <c r="C4964" t="s">
        <v>478</v>
      </c>
      <c r="D4964" t="s">
        <v>250</v>
      </c>
      <c r="E4964" t="s">
        <v>254</v>
      </c>
      <c r="F4964">
        <v>2</v>
      </c>
      <c r="G4964" t="s">
        <v>488</v>
      </c>
      <c r="H4964" s="4">
        <v>11856299</v>
      </c>
      <c r="I4964" s="4">
        <v>13640366.653691849</v>
      </c>
      <c r="J4964" s="3">
        <v>0.1504742461110207</v>
      </c>
      <c r="K4964" s="3">
        <v>-0.1307932329816794</v>
      </c>
      <c r="L4964" t="s">
        <v>54</v>
      </c>
    </row>
    <row r="4965" spans="1:12" x14ac:dyDescent="0.25">
      <c r="A4965" t="s">
        <v>487</v>
      </c>
      <c r="B4965" t="s">
        <v>465</v>
      </c>
      <c r="C4965" t="s">
        <v>478</v>
      </c>
      <c r="D4965" t="s">
        <v>250</v>
      </c>
      <c r="E4965" t="s">
        <v>254</v>
      </c>
      <c r="F4965">
        <v>2</v>
      </c>
      <c r="G4965" t="s">
        <v>498</v>
      </c>
      <c r="H4965" s="4">
        <v>11856299</v>
      </c>
      <c r="I4965" s="4">
        <v>11711244</v>
      </c>
      <c r="J4965" s="3">
        <v>0.012234424924675061</v>
      </c>
      <c r="K4965" s="3">
        <v>0.012385960022692722</v>
      </c>
      <c r="L4965" t="s">
        <v>54</v>
      </c>
    </row>
    <row r="4966" spans="1:12" x14ac:dyDescent="0.25">
      <c r="A4966" t="s">
        <v>487</v>
      </c>
      <c r="B4966" t="s">
        <v>465</v>
      </c>
      <c r="C4966" t="s">
        <v>478</v>
      </c>
      <c r="D4966" t="s">
        <v>250</v>
      </c>
      <c r="E4966" t="s">
        <v>254</v>
      </c>
      <c r="F4966">
        <v>2</v>
      </c>
      <c r="G4966" t="s">
        <v>499</v>
      </c>
      <c r="H4966" s="4">
        <v>11856299</v>
      </c>
      <c r="I4966" s="4">
        <v>9803090</v>
      </c>
      <c r="J4966" s="3">
        <v>0.1731745294210276</v>
      </c>
      <c r="K4966" s="3">
        <v>0.20944508313195126</v>
      </c>
      <c r="L4966" t="s">
        <v>54</v>
      </c>
    </row>
    <row r="4967" spans="1:12" x14ac:dyDescent="0.25">
      <c r="A4967" t="s">
        <v>487</v>
      </c>
      <c r="B4967" t="s">
        <v>465</v>
      </c>
      <c r="C4967" t="s">
        <v>478</v>
      </c>
      <c r="D4967" t="s">
        <v>250</v>
      </c>
      <c r="E4967" t="s">
        <v>256</v>
      </c>
      <c r="F4967">
        <v>3</v>
      </c>
      <c r="G4967" t="s">
        <v>488</v>
      </c>
      <c r="H4967" s="4">
        <v>10562896</v>
      </c>
      <c r="I4967" s="4">
        <v>11751222.80354334</v>
      </c>
      <c r="J4967" s="3">
        <v>0.1125000950064585</v>
      </c>
      <c r="K4967" s="3">
        <v>-0.10112367226881486</v>
      </c>
      <c r="L4967" t="s">
        <v>54</v>
      </c>
    </row>
    <row r="4968" spans="1:12" x14ac:dyDescent="0.25">
      <c r="A4968" t="s">
        <v>487</v>
      </c>
      <c r="B4968" t="s">
        <v>465</v>
      </c>
      <c r="C4968" t="s">
        <v>478</v>
      </c>
      <c r="D4968" t="s">
        <v>250</v>
      </c>
      <c r="E4968" t="s">
        <v>256</v>
      </c>
      <c r="F4968">
        <v>3</v>
      </c>
      <c r="G4968" t="s">
        <v>498</v>
      </c>
      <c r="H4968" s="4">
        <v>10562896</v>
      </c>
      <c r="I4968" s="4">
        <v>10089277</v>
      </c>
      <c r="J4968" s="3">
        <v>0.04483798761248809</v>
      </c>
      <c r="K4968" s="3">
        <v>0.046942808686886085</v>
      </c>
      <c r="L4968" t="s">
        <v>54</v>
      </c>
    </row>
    <row r="4969" spans="1:12" x14ac:dyDescent="0.25">
      <c r="A4969" t="s">
        <v>487</v>
      </c>
      <c r="B4969" t="s">
        <v>465</v>
      </c>
      <c r="C4969" t="s">
        <v>478</v>
      </c>
      <c r="D4969" t="s">
        <v>250</v>
      </c>
      <c r="E4969" t="s">
        <v>256</v>
      </c>
      <c r="F4969">
        <v>3</v>
      </c>
      <c r="G4969" t="s">
        <v>499</v>
      </c>
      <c r="H4969" s="4">
        <v>10562896</v>
      </c>
      <c r="I4969" s="4">
        <v>9803090</v>
      </c>
      <c r="J4969" s="3">
        <v>0.07193159906146951</v>
      </c>
      <c r="K4969" s="3">
        <v>0.07750678612559918</v>
      </c>
      <c r="L4969" t="s">
        <v>54</v>
      </c>
    </row>
    <row r="4970" spans="1:12" x14ac:dyDescent="0.25">
      <c r="A4970" t="s">
        <v>487</v>
      </c>
      <c r="B4970" t="s">
        <v>465</v>
      </c>
      <c r="C4970" t="s">
        <v>478</v>
      </c>
      <c r="D4970" t="s">
        <v>252</v>
      </c>
      <c r="E4970" t="s">
        <v>254</v>
      </c>
      <c r="F4970">
        <v>1</v>
      </c>
      <c r="G4970" t="s">
        <v>488</v>
      </c>
      <c r="H4970" s="4">
        <v>11856299</v>
      </c>
      <c r="I4970" s="4">
        <v>13454400.479470303</v>
      </c>
      <c r="J4970" s="3">
        <v>0.13478923561815565</v>
      </c>
      <c r="K4970" s="3">
        <v>-0.11877909252878284</v>
      </c>
      <c r="L4970" t="s">
        <v>54</v>
      </c>
    </row>
    <row r="4971" spans="1:12" x14ac:dyDescent="0.25">
      <c r="A4971" t="s">
        <v>487</v>
      </c>
      <c r="B4971" t="s">
        <v>465</v>
      </c>
      <c r="C4971" t="s">
        <v>478</v>
      </c>
      <c r="D4971" t="s">
        <v>252</v>
      </c>
      <c r="E4971" t="s">
        <v>254</v>
      </c>
      <c r="F4971">
        <v>1</v>
      </c>
      <c r="G4971" t="s">
        <v>498</v>
      </c>
      <c r="H4971" s="4">
        <v>11856299</v>
      </c>
      <c r="I4971" s="4">
        <v>11711244</v>
      </c>
      <c r="J4971" s="3">
        <v>0.012234424924675061</v>
      </c>
      <c r="K4971" s="3">
        <v>0.012385960022692722</v>
      </c>
      <c r="L4971" t="s">
        <v>54</v>
      </c>
    </row>
    <row r="4972" spans="1:12" x14ac:dyDescent="0.25">
      <c r="A4972" t="s">
        <v>487</v>
      </c>
      <c r="B4972" t="s">
        <v>465</v>
      </c>
      <c r="C4972" t="s">
        <v>478</v>
      </c>
      <c r="D4972" t="s">
        <v>252</v>
      </c>
      <c r="E4972" t="s">
        <v>254</v>
      </c>
      <c r="F4972">
        <v>1</v>
      </c>
      <c r="G4972" t="s">
        <v>499</v>
      </c>
      <c r="H4972" s="4">
        <v>11856299</v>
      </c>
      <c r="I4972" s="4">
        <v>12850525</v>
      </c>
      <c r="J4972" s="3">
        <v>0.08385635348771146</v>
      </c>
      <c r="K4972" s="3">
        <v>-0.07736851218140893</v>
      </c>
      <c r="L4972" t="s">
        <v>54</v>
      </c>
    </row>
    <row r="4973" spans="1:12" x14ac:dyDescent="0.25">
      <c r="A4973" t="s">
        <v>487</v>
      </c>
      <c r="B4973" t="s">
        <v>465</v>
      </c>
      <c r="C4973" t="s">
        <v>478</v>
      </c>
      <c r="D4973" t="s">
        <v>252</v>
      </c>
      <c r="E4973" t="s">
        <v>256</v>
      </c>
      <c r="F4973">
        <v>2</v>
      </c>
      <c r="G4973" t="s">
        <v>488</v>
      </c>
      <c r="H4973" s="4">
        <v>10562896</v>
      </c>
      <c r="I4973" s="4">
        <v>11591012.304611595</v>
      </c>
      <c r="J4973" s="3">
        <v>0.09733280575815528</v>
      </c>
      <c r="K4973" s="3">
        <v>-0.08869944035885023</v>
      </c>
      <c r="L4973" t="s">
        <v>54</v>
      </c>
    </row>
    <row r="4974" spans="1:12" x14ac:dyDescent="0.25">
      <c r="A4974" t="s">
        <v>487</v>
      </c>
      <c r="B4974" t="s">
        <v>465</v>
      </c>
      <c r="C4974" t="s">
        <v>478</v>
      </c>
      <c r="D4974" t="s">
        <v>252</v>
      </c>
      <c r="E4974" t="s">
        <v>256</v>
      </c>
      <c r="F4974">
        <v>2</v>
      </c>
      <c r="G4974" t="s">
        <v>498</v>
      </c>
      <c r="H4974" s="4">
        <v>10562896</v>
      </c>
      <c r="I4974" s="4">
        <v>10089277</v>
      </c>
      <c r="J4974" s="3">
        <v>0.04483798761248809</v>
      </c>
      <c r="K4974" s="3">
        <v>0.046942808686886085</v>
      </c>
      <c r="L4974" t="s">
        <v>54</v>
      </c>
    </row>
    <row r="4975" spans="1:12" x14ac:dyDescent="0.25">
      <c r="A4975" t="s">
        <v>487</v>
      </c>
      <c r="B4975" t="s">
        <v>465</v>
      </c>
      <c r="C4975" t="s">
        <v>478</v>
      </c>
      <c r="D4975" t="s">
        <v>252</v>
      </c>
      <c r="E4975" t="s">
        <v>256</v>
      </c>
      <c r="F4975">
        <v>2</v>
      </c>
      <c r="G4975" t="s">
        <v>499</v>
      </c>
      <c r="H4975" s="4">
        <v>10562896</v>
      </c>
      <c r="I4975" s="4">
        <v>12850525</v>
      </c>
      <c r="J4975" s="3">
        <v>0.2165721408219867</v>
      </c>
      <c r="K4975" s="3">
        <v>-0.17801832999040895</v>
      </c>
      <c r="L4975" t="s">
        <v>54</v>
      </c>
    </row>
    <row r="4976" spans="1:12" x14ac:dyDescent="0.25">
      <c r="A4976" t="s">
        <v>487</v>
      </c>
      <c r="B4976" t="s">
        <v>465</v>
      </c>
      <c r="C4976" t="s">
        <v>478</v>
      </c>
      <c r="D4976" t="s">
        <v>252</v>
      </c>
      <c r="E4976" t="s">
        <v>258</v>
      </c>
      <c r="F4976">
        <v>3</v>
      </c>
      <c r="G4976" t="s">
        <v>488</v>
      </c>
      <c r="H4976" s="4">
        <v>7742483</v>
      </c>
      <c r="I4976" s="4">
        <v>9481862.124882286</v>
      </c>
      <c r="J4976" s="3">
        <v>0.2246539159184833</v>
      </c>
      <c r="K4976" s="3">
        <v>-0.18344277758667368</v>
      </c>
      <c r="L4976" t="s">
        <v>54</v>
      </c>
    </row>
    <row r="4977" spans="1:12" x14ac:dyDescent="0.25">
      <c r="A4977" t="s">
        <v>487</v>
      </c>
      <c r="B4977" t="s">
        <v>465</v>
      </c>
      <c r="C4977" t="s">
        <v>478</v>
      </c>
      <c r="D4977" t="s">
        <v>252</v>
      </c>
      <c r="E4977" t="s">
        <v>258</v>
      </c>
      <c r="F4977">
        <v>3</v>
      </c>
      <c r="G4977" t="s">
        <v>498</v>
      </c>
      <c r="H4977" s="4">
        <v>7742483</v>
      </c>
      <c r="I4977" s="4">
        <v>8253389</v>
      </c>
      <c r="J4977" s="3">
        <v>0.06598735831903021</v>
      </c>
      <c r="K4977" s="3">
        <v>-0.06190257117409588</v>
      </c>
      <c r="L4977" t="s">
        <v>54</v>
      </c>
    </row>
    <row r="4978" spans="1:12" x14ac:dyDescent="0.25">
      <c r="A4978" t="s">
        <v>487</v>
      </c>
      <c r="B4978" t="s">
        <v>465</v>
      </c>
      <c r="C4978" t="s">
        <v>478</v>
      </c>
      <c r="D4978" t="s">
        <v>252</v>
      </c>
      <c r="E4978" t="s">
        <v>258</v>
      </c>
      <c r="F4978">
        <v>3</v>
      </c>
      <c r="G4978" t="s">
        <v>499</v>
      </c>
      <c r="H4978" s="4">
        <v>7742483</v>
      </c>
      <c r="I4978" s="4">
        <v>12850525</v>
      </c>
      <c r="J4978" s="3">
        <v>0.6597421008221781</v>
      </c>
      <c r="K4978" s="3">
        <v>-0.3974967559691141</v>
      </c>
      <c r="L4978" t="s">
        <v>54</v>
      </c>
    </row>
    <row r="4979" spans="1:12" x14ac:dyDescent="0.25">
      <c r="A4979" t="s">
        <v>487</v>
      </c>
      <c r="B4979" t="s">
        <v>465</v>
      </c>
      <c r="C4979" t="s">
        <v>478</v>
      </c>
      <c r="D4979" t="s">
        <v>254</v>
      </c>
      <c r="E4979" t="s">
        <v>256</v>
      </c>
      <c r="F4979">
        <v>1</v>
      </c>
      <c r="G4979" t="s">
        <v>488</v>
      </c>
      <c r="H4979" s="4">
        <v>10562896</v>
      </c>
      <c r="I4979" s="4">
        <v>11311447.470681489</v>
      </c>
      <c r="J4979" s="3">
        <v>0.07086612143880698</v>
      </c>
      <c r="K4979" s="3">
        <v>-0.06617645289178804</v>
      </c>
      <c r="L4979" t="s">
        <v>54</v>
      </c>
    </row>
    <row r="4980" spans="1:12" x14ac:dyDescent="0.25">
      <c r="A4980" t="s">
        <v>487</v>
      </c>
      <c r="B4980" t="s">
        <v>465</v>
      </c>
      <c r="C4980" t="s">
        <v>478</v>
      </c>
      <c r="D4980" t="s">
        <v>254</v>
      </c>
      <c r="E4980" t="s">
        <v>256</v>
      </c>
      <c r="F4980">
        <v>1</v>
      </c>
      <c r="G4980" t="s">
        <v>498</v>
      </c>
      <c r="H4980" s="4">
        <v>10562896</v>
      </c>
      <c r="I4980" s="4">
        <v>10089277</v>
      </c>
      <c r="J4980" s="3">
        <v>0.04483798761248809</v>
      </c>
      <c r="K4980" s="3">
        <v>0.046942808686886085</v>
      </c>
      <c r="L4980" t="s">
        <v>54</v>
      </c>
    </row>
    <row r="4981" spans="1:12" x14ac:dyDescent="0.25">
      <c r="A4981" t="s">
        <v>487</v>
      </c>
      <c r="B4981" t="s">
        <v>465</v>
      </c>
      <c r="C4981" t="s">
        <v>478</v>
      </c>
      <c r="D4981" t="s">
        <v>254</v>
      </c>
      <c r="E4981" t="s">
        <v>256</v>
      </c>
      <c r="F4981">
        <v>1</v>
      </c>
      <c r="G4981" t="s">
        <v>499</v>
      </c>
      <c r="H4981" s="4">
        <v>10562896</v>
      </c>
      <c r="I4981" s="4">
        <v>11856299</v>
      </c>
      <c r="J4981" s="3">
        <v>0.12244776432523807</v>
      </c>
      <c r="K4981" s="3">
        <v>-0.10908994450966529</v>
      </c>
      <c r="L4981" t="s">
        <v>54</v>
      </c>
    </row>
    <row r="4982" spans="1:12" x14ac:dyDescent="0.25">
      <c r="A4982" t="s">
        <v>487</v>
      </c>
      <c r="B4982" t="s">
        <v>465</v>
      </c>
      <c r="C4982" t="s">
        <v>478</v>
      </c>
      <c r="D4982" t="s">
        <v>254</v>
      </c>
      <c r="E4982" t="s">
        <v>258</v>
      </c>
      <c r="F4982">
        <v>2</v>
      </c>
      <c r="G4982" t="s">
        <v>488</v>
      </c>
      <c r="H4982" s="4">
        <v>7742483</v>
      </c>
      <c r="I4982" s="4">
        <v>9253168.103978155</v>
      </c>
      <c r="J4982" s="3">
        <v>0.1951163604722355</v>
      </c>
      <c r="K4982" s="3">
        <v>-0.16326139188249222</v>
      </c>
      <c r="L4982" t="s">
        <v>54</v>
      </c>
    </row>
    <row r="4983" spans="1:12" x14ac:dyDescent="0.25">
      <c r="A4983" t="s">
        <v>487</v>
      </c>
      <c r="B4983" t="s">
        <v>465</v>
      </c>
      <c r="C4983" t="s">
        <v>478</v>
      </c>
      <c r="D4983" t="s">
        <v>254</v>
      </c>
      <c r="E4983" t="s">
        <v>258</v>
      </c>
      <c r="F4983">
        <v>2</v>
      </c>
      <c r="G4983" t="s">
        <v>498</v>
      </c>
      <c r="H4983" s="4">
        <v>7742483</v>
      </c>
      <c r="I4983" s="4">
        <v>8253389</v>
      </c>
      <c r="J4983" s="3">
        <v>0.06598735831903021</v>
      </c>
      <c r="K4983" s="3">
        <v>-0.06190257117409588</v>
      </c>
      <c r="L4983" t="s">
        <v>54</v>
      </c>
    </row>
    <row r="4984" spans="1:12" x14ac:dyDescent="0.25">
      <c r="A4984" t="s">
        <v>487</v>
      </c>
      <c r="B4984" t="s">
        <v>465</v>
      </c>
      <c r="C4984" t="s">
        <v>478</v>
      </c>
      <c r="D4984" t="s">
        <v>254</v>
      </c>
      <c r="E4984" t="s">
        <v>258</v>
      </c>
      <c r="F4984">
        <v>2</v>
      </c>
      <c r="G4984" t="s">
        <v>499</v>
      </c>
      <c r="H4984" s="4">
        <v>7742483</v>
      </c>
      <c r="I4984" s="4">
        <v>11856299</v>
      </c>
      <c r="J4984" s="3">
        <v>0.5313303238767202</v>
      </c>
      <c r="K4984" s="3">
        <v>-0.34697303096016724</v>
      </c>
      <c r="L4984" t="s">
        <v>54</v>
      </c>
    </row>
    <row r="4985" spans="1:12" x14ac:dyDescent="0.25">
      <c r="A4985" t="s">
        <v>487</v>
      </c>
      <c r="B4985" t="s">
        <v>465</v>
      </c>
      <c r="C4985" t="s">
        <v>478</v>
      </c>
      <c r="D4985" t="s">
        <v>254</v>
      </c>
      <c r="E4985" t="s">
        <v>260</v>
      </c>
      <c r="F4985">
        <v>3</v>
      </c>
      <c r="G4985" t="s">
        <v>488</v>
      </c>
      <c r="H4985" s="4">
        <v>12583145</v>
      </c>
      <c r="I4985" s="4">
        <v>12820475.78752548</v>
      </c>
      <c r="J4985" s="3">
        <v>0.01886100712703228</v>
      </c>
      <c r="K4985" s="3">
        <v>-0.018511854899831964</v>
      </c>
      <c r="L4985" t="s">
        <v>54</v>
      </c>
    </row>
    <row r="4986" spans="1:12" x14ac:dyDescent="0.25">
      <c r="A4986" t="s">
        <v>487</v>
      </c>
      <c r="B4986" t="s">
        <v>465</v>
      </c>
      <c r="C4986" t="s">
        <v>478</v>
      </c>
      <c r="D4986" t="s">
        <v>254</v>
      </c>
      <c r="E4986" t="s">
        <v>260</v>
      </c>
      <c r="F4986">
        <v>3</v>
      </c>
      <c r="G4986" t="s">
        <v>498</v>
      </c>
      <c r="H4986" s="4">
        <v>12583145</v>
      </c>
      <c r="I4986" s="4">
        <v>11435259</v>
      </c>
      <c r="J4986" s="3">
        <v>0.09122409381756309</v>
      </c>
      <c r="K4986" s="3">
        <v>0.10038128563594406</v>
      </c>
      <c r="L4986" t="s">
        <v>54</v>
      </c>
    </row>
    <row r="4987" spans="1:12" x14ac:dyDescent="0.25">
      <c r="A4987" t="s">
        <v>487</v>
      </c>
      <c r="B4987" t="s">
        <v>465</v>
      </c>
      <c r="C4987" t="s">
        <v>478</v>
      </c>
      <c r="D4987" t="s">
        <v>254</v>
      </c>
      <c r="E4987" t="s">
        <v>260</v>
      </c>
      <c r="F4987">
        <v>3</v>
      </c>
      <c r="G4987" t="s">
        <v>499</v>
      </c>
      <c r="H4987" s="4">
        <v>12583145</v>
      </c>
      <c r="I4987" s="4">
        <v>11856299</v>
      </c>
      <c r="J4987" s="3">
        <v>0.05776346056570118</v>
      </c>
      <c r="K4987" s="3">
        <v>0.061304628029370714</v>
      </c>
      <c r="L4987" t="s">
        <v>54</v>
      </c>
    </row>
    <row r="4988" spans="1:12" x14ac:dyDescent="0.25">
      <c r="A4988" t="s">
        <v>487</v>
      </c>
      <c r="B4988" t="s">
        <v>465</v>
      </c>
      <c r="C4988" t="s">
        <v>478</v>
      </c>
      <c r="D4988" t="s">
        <v>256</v>
      </c>
      <c r="E4988" t="s">
        <v>258</v>
      </c>
      <c r="F4988">
        <v>1</v>
      </c>
      <c r="G4988" t="s">
        <v>488</v>
      </c>
      <c r="H4988" s="4">
        <v>7742483</v>
      </c>
      <c r="I4988" s="4">
        <v>9127610.84790081</v>
      </c>
      <c r="J4988" s="3">
        <v>0.17889969508500175</v>
      </c>
      <c r="K4988" s="3">
        <v>-0.15175141348399673</v>
      </c>
      <c r="L4988" t="s">
        <v>54</v>
      </c>
    </row>
    <row r="4989" spans="1:12" x14ac:dyDescent="0.25">
      <c r="A4989" t="s">
        <v>487</v>
      </c>
      <c r="B4989" t="s">
        <v>465</v>
      </c>
      <c r="C4989" t="s">
        <v>478</v>
      </c>
      <c r="D4989" t="s">
        <v>256</v>
      </c>
      <c r="E4989" t="s">
        <v>258</v>
      </c>
      <c r="F4989">
        <v>1</v>
      </c>
      <c r="G4989" t="s">
        <v>498</v>
      </c>
      <c r="H4989" s="4">
        <v>7742483</v>
      </c>
      <c r="I4989" s="4">
        <v>8253389</v>
      </c>
      <c r="J4989" s="3">
        <v>0.06598735831903021</v>
      </c>
      <c r="K4989" s="3">
        <v>-0.06190257117409588</v>
      </c>
      <c r="L4989" t="s">
        <v>54</v>
      </c>
    </row>
    <row r="4990" spans="1:12" x14ac:dyDescent="0.25">
      <c r="A4990" t="s">
        <v>487</v>
      </c>
      <c r="B4990" t="s">
        <v>465</v>
      </c>
      <c r="C4990" t="s">
        <v>478</v>
      </c>
      <c r="D4990" t="s">
        <v>256</v>
      </c>
      <c r="E4990" t="s">
        <v>258</v>
      </c>
      <c r="F4990">
        <v>1</v>
      </c>
      <c r="G4990" t="s">
        <v>499</v>
      </c>
      <c r="H4990" s="4">
        <v>7742483</v>
      </c>
      <c r="I4990" s="4">
        <v>10562896</v>
      </c>
      <c r="J4990" s="3">
        <v>0.364277583819041</v>
      </c>
      <c r="K4990" s="3">
        <v>-0.26701133855715325</v>
      </c>
      <c r="L4990" t="s">
        <v>54</v>
      </c>
    </row>
    <row r="4991" spans="1:12" x14ac:dyDescent="0.25">
      <c r="A4991" t="s">
        <v>487</v>
      </c>
      <c r="B4991" t="s">
        <v>465</v>
      </c>
      <c r="C4991" t="s">
        <v>478</v>
      </c>
      <c r="D4991" t="s">
        <v>256</v>
      </c>
      <c r="E4991" t="s">
        <v>260</v>
      </c>
      <c r="F4991">
        <v>2</v>
      </c>
      <c r="G4991" t="s">
        <v>488</v>
      </c>
      <c r="H4991" s="4">
        <v>12583145</v>
      </c>
      <c r="I4991" s="4">
        <v>12646513.340999117</v>
      </c>
      <c r="J4991" s="3">
        <v>0.005035970021732812</v>
      </c>
      <c r="K4991" s="3">
        <v>-0.005010736104921612</v>
      </c>
      <c r="L4991" t="s">
        <v>54</v>
      </c>
    </row>
    <row r="4992" spans="1:12" x14ac:dyDescent="0.25">
      <c r="A4992" t="s">
        <v>487</v>
      </c>
      <c r="B4992" t="s">
        <v>465</v>
      </c>
      <c r="C4992" t="s">
        <v>478</v>
      </c>
      <c r="D4992" t="s">
        <v>256</v>
      </c>
      <c r="E4992" t="s">
        <v>260</v>
      </c>
      <c r="F4992">
        <v>2</v>
      </c>
      <c r="G4992" t="s">
        <v>498</v>
      </c>
      <c r="H4992" s="4">
        <v>12583145</v>
      </c>
      <c r="I4992" s="4">
        <v>11435259</v>
      </c>
      <c r="J4992" s="3">
        <v>0.09122409381756309</v>
      </c>
      <c r="K4992" s="3">
        <v>0.10038128563594406</v>
      </c>
      <c r="L4992" t="s">
        <v>54</v>
      </c>
    </row>
    <row r="4993" spans="1:12" x14ac:dyDescent="0.25">
      <c r="A4993" t="s">
        <v>487</v>
      </c>
      <c r="B4993" t="s">
        <v>465</v>
      </c>
      <c r="C4993" t="s">
        <v>478</v>
      </c>
      <c r="D4993" t="s">
        <v>256</v>
      </c>
      <c r="E4993" t="s">
        <v>260</v>
      </c>
      <c r="F4993">
        <v>2</v>
      </c>
      <c r="G4993" t="s">
        <v>499</v>
      </c>
      <c r="H4993" s="4">
        <v>12583145</v>
      </c>
      <c r="I4993" s="4">
        <v>10562896</v>
      </c>
      <c r="J4993" s="3">
        <v>0.1605519923675679</v>
      </c>
      <c r="K4993" s="3">
        <v>0.19125900699959555</v>
      </c>
      <c r="L4993" t="s">
        <v>54</v>
      </c>
    </row>
    <row r="4994" spans="1:12" x14ac:dyDescent="0.25">
      <c r="A4994" t="s">
        <v>487</v>
      </c>
      <c r="B4994" t="s">
        <v>465</v>
      </c>
      <c r="C4994" t="s">
        <v>478</v>
      </c>
      <c r="D4994" t="s">
        <v>256</v>
      </c>
      <c r="E4994" t="s">
        <v>262</v>
      </c>
      <c r="F4994">
        <v>3</v>
      </c>
      <c r="G4994" t="s">
        <v>488</v>
      </c>
      <c r="H4994" s="4">
        <v>10402786</v>
      </c>
      <c r="I4994" s="4">
        <v>12352948.352804137</v>
      </c>
      <c r="J4994" s="3">
        <v>0.1874653917521842</v>
      </c>
      <c r="K4994" s="3">
        <v>-0.15787019398987834</v>
      </c>
      <c r="L4994" t="s">
        <v>54</v>
      </c>
    </row>
    <row r="4995" spans="1:12" x14ac:dyDescent="0.25">
      <c r="A4995" t="s">
        <v>487</v>
      </c>
      <c r="B4995" t="s">
        <v>465</v>
      </c>
      <c r="C4995" t="s">
        <v>478</v>
      </c>
      <c r="D4995" t="s">
        <v>256</v>
      </c>
      <c r="E4995" t="s">
        <v>262</v>
      </c>
      <c r="F4995">
        <v>3</v>
      </c>
      <c r="G4995" t="s">
        <v>498</v>
      </c>
      <c r="H4995" s="4">
        <v>10402786</v>
      </c>
      <c r="I4995" s="4">
        <v>11169811</v>
      </c>
      <c r="J4995" s="3">
        <v>0.07373265200303072</v>
      </c>
      <c r="K4995" s="3">
        <v>-0.06866946987733274</v>
      </c>
      <c r="L4995" t="s">
        <v>54</v>
      </c>
    </row>
    <row r="4996" spans="1:12" x14ac:dyDescent="0.25">
      <c r="A4996" t="s">
        <v>487</v>
      </c>
      <c r="B4996" t="s">
        <v>465</v>
      </c>
      <c r="C4996" t="s">
        <v>478</v>
      </c>
      <c r="D4996" t="s">
        <v>256</v>
      </c>
      <c r="E4996" t="s">
        <v>262</v>
      </c>
      <c r="F4996">
        <v>3</v>
      </c>
      <c r="G4996" t="s">
        <v>499</v>
      </c>
      <c r="H4996" s="4">
        <v>10402786</v>
      </c>
      <c r="I4996" s="4">
        <v>10562896</v>
      </c>
      <c r="J4996" s="3">
        <v>0.015391069277018676</v>
      </c>
      <c r="K4996" s="3">
        <v>-0.01515777491324349</v>
      </c>
      <c r="L4996" t="s">
        <v>54</v>
      </c>
    </row>
    <row r="4997" spans="1:12" x14ac:dyDescent="0.25">
      <c r="A4997" t="s">
        <v>487</v>
      </c>
      <c r="B4997" t="s">
        <v>465</v>
      </c>
      <c r="C4997" t="s">
        <v>478</v>
      </c>
      <c r="D4997" t="s">
        <v>258</v>
      </c>
      <c r="E4997" t="s">
        <v>260</v>
      </c>
      <c r="F4997">
        <v>1</v>
      </c>
      <c r="G4997" t="s">
        <v>488</v>
      </c>
      <c r="H4997" s="4">
        <v>12583145</v>
      </c>
      <c r="I4997" s="4">
        <v>12582752.282434974</v>
      </c>
      <c r="J4997" s="3">
        <v>0.00003120981002969721</v>
      </c>
      <c r="K4997" s="3">
        <v>0.00003121078411234023</v>
      </c>
      <c r="L4997" t="s">
        <v>54</v>
      </c>
    </row>
    <row r="4998" spans="1:12" x14ac:dyDescent="0.25">
      <c r="A4998" t="s">
        <v>487</v>
      </c>
      <c r="B4998" t="s">
        <v>465</v>
      </c>
      <c r="C4998" t="s">
        <v>478</v>
      </c>
      <c r="D4998" t="s">
        <v>258</v>
      </c>
      <c r="E4998" t="s">
        <v>260</v>
      </c>
      <c r="F4998">
        <v>1</v>
      </c>
      <c r="G4998" t="s">
        <v>498</v>
      </c>
      <c r="H4998" s="4">
        <v>12583145</v>
      </c>
      <c r="I4998" s="4">
        <v>11435259</v>
      </c>
      <c r="J4998" s="3">
        <v>0.09122409381756309</v>
      </c>
      <c r="K4998" s="3">
        <v>0.10038128563594406</v>
      </c>
      <c r="L4998" t="s">
        <v>54</v>
      </c>
    </row>
    <row r="4999" spans="1:12" x14ac:dyDescent="0.25">
      <c r="A4999" t="s">
        <v>487</v>
      </c>
      <c r="B4999" t="s">
        <v>465</v>
      </c>
      <c r="C4999" t="s">
        <v>478</v>
      </c>
      <c r="D4999" t="s">
        <v>258</v>
      </c>
      <c r="E4999" t="s">
        <v>260</v>
      </c>
      <c r="F4999">
        <v>1</v>
      </c>
      <c r="G4999" t="s">
        <v>499</v>
      </c>
      <c r="H4999" s="4">
        <v>12583145</v>
      </c>
      <c r="I4999" s="4">
        <v>7742483</v>
      </c>
      <c r="J4999" s="3">
        <v>0.38469412853463897</v>
      </c>
      <c r="K4999" s="3">
        <v>0.6252079597720783</v>
      </c>
      <c r="L4999" t="s">
        <v>54</v>
      </c>
    </row>
    <row r="5000" spans="1:12" x14ac:dyDescent="0.25">
      <c r="A5000" t="s">
        <v>487</v>
      </c>
      <c r="B5000" t="s">
        <v>465</v>
      </c>
      <c r="C5000" t="s">
        <v>478</v>
      </c>
      <c r="D5000" t="s">
        <v>258</v>
      </c>
      <c r="E5000" t="s">
        <v>262</v>
      </c>
      <c r="F5000">
        <v>2</v>
      </c>
      <c r="G5000" t="s">
        <v>488</v>
      </c>
      <c r="H5000" s="4">
        <v>10402786</v>
      </c>
      <c r="I5000" s="4">
        <v>12290667.387124095</v>
      </c>
      <c r="J5000" s="3">
        <v>0.181478441171826</v>
      </c>
      <c r="K5000" s="3">
        <v>-0.1536028376377568</v>
      </c>
      <c r="L5000" t="s">
        <v>54</v>
      </c>
    </row>
    <row r="5001" spans="1:12" x14ac:dyDescent="0.25">
      <c r="A5001" t="s">
        <v>487</v>
      </c>
      <c r="B5001" t="s">
        <v>465</v>
      </c>
      <c r="C5001" t="s">
        <v>478</v>
      </c>
      <c r="D5001" t="s">
        <v>258</v>
      </c>
      <c r="E5001" t="s">
        <v>262</v>
      </c>
      <c r="F5001">
        <v>2</v>
      </c>
      <c r="G5001" t="s">
        <v>498</v>
      </c>
      <c r="H5001" s="4">
        <v>10402786</v>
      </c>
      <c r="I5001" s="4">
        <v>11169811</v>
      </c>
      <c r="J5001" s="3">
        <v>0.07373265200303072</v>
      </c>
      <c r="K5001" s="3">
        <v>-0.06866946987733274</v>
      </c>
      <c r="L5001" t="s">
        <v>54</v>
      </c>
    </row>
    <row r="5002" spans="1:12" x14ac:dyDescent="0.25">
      <c r="A5002" t="s">
        <v>487</v>
      </c>
      <c r="B5002" t="s">
        <v>465</v>
      </c>
      <c r="C5002" t="s">
        <v>478</v>
      </c>
      <c r="D5002" t="s">
        <v>258</v>
      </c>
      <c r="E5002" t="s">
        <v>262</v>
      </c>
      <c r="F5002">
        <v>2</v>
      </c>
      <c r="G5002" t="s">
        <v>499</v>
      </c>
      <c r="H5002" s="4">
        <v>10402786</v>
      </c>
      <c r="I5002" s="4">
        <v>7742483</v>
      </c>
      <c r="J5002" s="3">
        <v>0.2557298592896172</v>
      </c>
      <c r="K5002" s="3">
        <v>0.3435981712843283</v>
      </c>
      <c r="L5002" t="s">
        <v>54</v>
      </c>
    </row>
    <row r="5003" spans="1:12" x14ac:dyDescent="0.25">
      <c r="A5003" t="s">
        <v>487</v>
      </c>
      <c r="B5003" t="s">
        <v>465</v>
      </c>
      <c r="C5003" t="s">
        <v>478</v>
      </c>
      <c r="D5003" t="s">
        <v>258</v>
      </c>
      <c r="E5003" t="s">
        <v>264</v>
      </c>
      <c r="F5003">
        <v>3</v>
      </c>
      <c r="G5003" t="s">
        <v>488</v>
      </c>
      <c r="H5003" s="4">
        <v>9432801</v>
      </c>
      <c r="I5003" s="4">
        <v>12975255.940105963</v>
      </c>
      <c r="J5003" s="3">
        <v>0.375546451166092</v>
      </c>
      <c r="K5003" s="3">
        <v>-0.2730161899278138</v>
      </c>
      <c r="L5003" t="s">
        <v>54</v>
      </c>
    </row>
    <row r="5004" spans="1:12" x14ac:dyDescent="0.25">
      <c r="A5004" t="s">
        <v>487</v>
      </c>
      <c r="B5004" t="s">
        <v>465</v>
      </c>
      <c r="C5004" t="s">
        <v>478</v>
      </c>
      <c r="D5004" t="s">
        <v>258</v>
      </c>
      <c r="E5004" t="s">
        <v>264</v>
      </c>
      <c r="F5004">
        <v>3</v>
      </c>
      <c r="G5004" t="s">
        <v>498</v>
      </c>
      <c r="H5004" s="4">
        <v>9432801</v>
      </c>
      <c r="I5004" s="4">
        <v>11791968</v>
      </c>
      <c r="J5004" s="3">
        <v>0.2501024881156721</v>
      </c>
      <c r="K5004" s="3">
        <v>-0.20006558701651836</v>
      </c>
      <c r="L5004" t="s">
        <v>54</v>
      </c>
    </row>
    <row r="5005" spans="1:12" x14ac:dyDescent="0.25">
      <c r="A5005" t="s">
        <v>487</v>
      </c>
      <c r="B5005" t="s">
        <v>465</v>
      </c>
      <c r="C5005" t="s">
        <v>478</v>
      </c>
      <c r="D5005" t="s">
        <v>258</v>
      </c>
      <c r="E5005" t="s">
        <v>264</v>
      </c>
      <c r="F5005">
        <v>3</v>
      </c>
      <c r="G5005" t="s">
        <v>499</v>
      </c>
      <c r="H5005" s="4">
        <v>9432801</v>
      </c>
      <c r="I5005" s="4">
        <v>7742483</v>
      </c>
      <c r="J5005" s="3">
        <v>0.1791957659236106</v>
      </c>
      <c r="K5005" s="3">
        <v>0.21831730208513211</v>
      </c>
      <c r="L5005" t="s">
        <v>54</v>
      </c>
    </row>
    <row r="5006" spans="1:12" x14ac:dyDescent="0.25">
      <c r="A5006" t="s">
        <v>487</v>
      </c>
      <c r="B5006" t="s">
        <v>465</v>
      </c>
      <c r="C5006" t="s">
        <v>478</v>
      </c>
      <c r="D5006" t="s">
        <v>260</v>
      </c>
      <c r="E5006" t="s">
        <v>262</v>
      </c>
      <c r="F5006">
        <v>1</v>
      </c>
      <c r="G5006" t="s">
        <v>488</v>
      </c>
      <c r="H5006" s="4">
        <v>10402786</v>
      </c>
      <c r="I5006" s="4">
        <v>12192358.396613853</v>
      </c>
      <c r="J5006" s="3">
        <v>0.1720281852009503</v>
      </c>
      <c r="K5006" s="3">
        <v>-0.14677819814670684</v>
      </c>
      <c r="L5006" t="s">
        <v>54</v>
      </c>
    </row>
    <row r="5007" spans="1:12" x14ac:dyDescent="0.25">
      <c r="A5007" t="s">
        <v>487</v>
      </c>
      <c r="B5007" t="s">
        <v>465</v>
      </c>
      <c r="C5007" t="s">
        <v>478</v>
      </c>
      <c r="D5007" t="s">
        <v>260</v>
      </c>
      <c r="E5007" t="s">
        <v>262</v>
      </c>
      <c r="F5007">
        <v>1</v>
      </c>
      <c r="G5007" t="s">
        <v>498</v>
      </c>
      <c r="H5007" s="4">
        <v>10402786</v>
      </c>
      <c r="I5007" s="4">
        <v>11169811</v>
      </c>
      <c r="J5007" s="3">
        <v>0.07373265200303072</v>
      </c>
      <c r="K5007" s="3">
        <v>-0.06866946987733274</v>
      </c>
      <c r="L5007" t="s">
        <v>54</v>
      </c>
    </row>
    <row r="5008" spans="1:12" x14ac:dyDescent="0.25">
      <c r="A5008" t="s">
        <v>487</v>
      </c>
      <c r="B5008" t="s">
        <v>465</v>
      </c>
      <c r="C5008" t="s">
        <v>478</v>
      </c>
      <c r="D5008" t="s">
        <v>260</v>
      </c>
      <c r="E5008" t="s">
        <v>262</v>
      </c>
      <c r="F5008">
        <v>1</v>
      </c>
      <c r="G5008" t="s">
        <v>499</v>
      </c>
      <c r="H5008" s="4">
        <v>10402786</v>
      </c>
      <c r="I5008" s="4">
        <v>12583145</v>
      </c>
      <c r="J5008" s="3">
        <v>0.2095937569031988</v>
      </c>
      <c r="K5008" s="3">
        <v>-0.173276156318631</v>
      </c>
      <c r="L5008" t="s">
        <v>54</v>
      </c>
    </row>
    <row r="5009" spans="1:12" x14ac:dyDescent="0.25">
      <c r="A5009" t="s">
        <v>487</v>
      </c>
      <c r="B5009" t="s">
        <v>465</v>
      </c>
      <c r="C5009" t="s">
        <v>478</v>
      </c>
      <c r="D5009" t="s">
        <v>260</v>
      </c>
      <c r="E5009" t="s">
        <v>264</v>
      </c>
      <c r="F5009">
        <v>2</v>
      </c>
      <c r="G5009" t="s">
        <v>488</v>
      </c>
      <c r="H5009" s="4">
        <v>9432801</v>
      </c>
      <c r="I5009" s="4">
        <v>12871471.151785994</v>
      </c>
      <c r="J5009" s="3">
        <v>0.3645439092572815</v>
      </c>
      <c r="K5009" s="3">
        <v>-0.26715439993111106</v>
      </c>
      <c r="L5009" t="s">
        <v>54</v>
      </c>
    </row>
    <row r="5010" spans="1:12" x14ac:dyDescent="0.25">
      <c r="A5010" t="s">
        <v>487</v>
      </c>
      <c r="B5010" t="s">
        <v>465</v>
      </c>
      <c r="C5010" t="s">
        <v>478</v>
      </c>
      <c r="D5010" t="s">
        <v>260</v>
      </c>
      <c r="E5010" t="s">
        <v>264</v>
      </c>
      <c r="F5010">
        <v>2</v>
      </c>
      <c r="G5010" t="s">
        <v>498</v>
      </c>
      <c r="H5010" s="4">
        <v>9432801</v>
      </c>
      <c r="I5010" s="4">
        <v>11791968</v>
      </c>
      <c r="J5010" s="3">
        <v>0.2501024881156721</v>
      </c>
      <c r="K5010" s="3">
        <v>-0.20006558701651836</v>
      </c>
      <c r="L5010" t="s">
        <v>54</v>
      </c>
    </row>
    <row r="5011" spans="1:12" x14ac:dyDescent="0.25">
      <c r="A5011" t="s">
        <v>487</v>
      </c>
      <c r="B5011" t="s">
        <v>465</v>
      </c>
      <c r="C5011" t="s">
        <v>478</v>
      </c>
      <c r="D5011" t="s">
        <v>260</v>
      </c>
      <c r="E5011" t="s">
        <v>264</v>
      </c>
      <c r="F5011">
        <v>2</v>
      </c>
      <c r="G5011" t="s">
        <v>499</v>
      </c>
      <c r="H5011" s="4">
        <v>9432801</v>
      </c>
      <c r="I5011" s="4">
        <v>12583145</v>
      </c>
      <c r="J5011" s="3">
        <v>0.3339775746355722</v>
      </c>
      <c r="K5011" s="3">
        <v>-0.2503622107191803</v>
      </c>
      <c r="L5011" t="s">
        <v>54</v>
      </c>
    </row>
    <row r="5012" spans="1:12" x14ac:dyDescent="0.25">
      <c r="A5012" t="s">
        <v>487</v>
      </c>
      <c r="B5012" t="s">
        <v>465</v>
      </c>
      <c r="C5012" t="s">
        <v>478</v>
      </c>
      <c r="D5012" t="s">
        <v>260</v>
      </c>
      <c r="E5012" t="s">
        <v>266</v>
      </c>
      <c r="F5012">
        <v>3</v>
      </c>
      <c r="G5012" t="s">
        <v>488</v>
      </c>
      <c r="H5012" s="4">
        <v>12220227</v>
      </c>
      <c r="I5012" s="4">
        <v>11538763.795204211</v>
      </c>
      <c r="J5012" s="3">
        <v>0.055765183805160816</v>
      </c>
      <c r="K5012" s="3">
        <v>0.05905859734116592</v>
      </c>
      <c r="L5012" t="s">
        <v>54</v>
      </c>
    </row>
    <row r="5013" spans="1:12" x14ac:dyDescent="0.25">
      <c r="A5013" t="s">
        <v>487</v>
      </c>
      <c r="B5013" t="s">
        <v>465</v>
      </c>
      <c r="C5013" t="s">
        <v>478</v>
      </c>
      <c r="D5013" t="s">
        <v>260</v>
      </c>
      <c r="E5013" t="s">
        <v>266</v>
      </c>
      <c r="F5013">
        <v>3</v>
      </c>
      <c r="G5013" t="s">
        <v>498</v>
      </c>
      <c r="H5013" s="4">
        <v>12220227</v>
      </c>
      <c r="I5013" s="4">
        <v>10571032</v>
      </c>
      <c r="J5013" s="3">
        <v>0.13495616734451824</v>
      </c>
      <c r="K5013" s="3">
        <v>0.15601078494512172</v>
      </c>
      <c r="L5013" t="s">
        <v>54</v>
      </c>
    </row>
    <row r="5014" spans="1:12" x14ac:dyDescent="0.25">
      <c r="A5014" t="s">
        <v>487</v>
      </c>
      <c r="B5014" t="s">
        <v>465</v>
      </c>
      <c r="C5014" t="s">
        <v>478</v>
      </c>
      <c r="D5014" t="s">
        <v>260</v>
      </c>
      <c r="E5014" t="s">
        <v>266</v>
      </c>
      <c r="F5014">
        <v>3</v>
      </c>
      <c r="G5014" t="s">
        <v>499</v>
      </c>
      <c r="H5014" s="4">
        <v>12220227</v>
      </c>
      <c r="I5014" s="4">
        <v>12583145</v>
      </c>
      <c r="J5014" s="3">
        <v>0.02969813899529035</v>
      </c>
      <c r="K5014" s="3">
        <v>-0.02884159723185261</v>
      </c>
      <c r="L5014" t="s">
        <v>54</v>
      </c>
    </row>
    <row r="5015" spans="1:12" x14ac:dyDescent="0.25">
      <c r="A5015" t="s">
        <v>487</v>
      </c>
      <c r="B5015" t="s">
        <v>465</v>
      </c>
      <c r="C5015" t="s">
        <v>478</v>
      </c>
      <c r="D5015" t="s">
        <v>262</v>
      </c>
      <c r="E5015" t="s">
        <v>264</v>
      </c>
      <c r="F5015">
        <v>1</v>
      </c>
      <c r="G5015" t="s">
        <v>488</v>
      </c>
      <c r="H5015" s="4">
        <v>9432801</v>
      </c>
      <c r="I5015" s="4">
        <v>12478985.694090297</v>
      </c>
      <c r="J5015" s="3">
        <v>0.32293532897495636</v>
      </c>
      <c r="K5015" s="3">
        <v>-0.2441051515535342</v>
      </c>
      <c r="L5015" t="s">
        <v>54</v>
      </c>
    </row>
    <row r="5016" spans="1:12" x14ac:dyDescent="0.25">
      <c r="A5016" t="s">
        <v>487</v>
      </c>
      <c r="B5016" t="s">
        <v>465</v>
      </c>
      <c r="C5016" t="s">
        <v>478</v>
      </c>
      <c r="D5016" t="s">
        <v>262</v>
      </c>
      <c r="E5016" t="s">
        <v>264</v>
      </c>
      <c r="F5016">
        <v>1</v>
      </c>
      <c r="G5016" t="s">
        <v>498</v>
      </c>
      <c r="H5016" s="4">
        <v>9432801</v>
      </c>
      <c r="I5016" s="4">
        <v>11791968</v>
      </c>
      <c r="J5016" s="3">
        <v>0.2501024881156721</v>
      </c>
      <c r="K5016" s="3">
        <v>-0.20006558701651836</v>
      </c>
      <c r="L5016" t="s">
        <v>54</v>
      </c>
    </row>
    <row r="5017" spans="1:12" x14ac:dyDescent="0.25">
      <c r="A5017" t="s">
        <v>487</v>
      </c>
      <c r="B5017" t="s">
        <v>465</v>
      </c>
      <c r="C5017" t="s">
        <v>478</v>
      </c>
      <c r="D5017" t="s">
        <v>262</v>
      </c>
      <c r="E5017" t="s">
        <v>264</v>
      </c>
      <c r="F5017">
        <v>1</v>
      </c>
      <c r="G5017" t="s">
        <v>499</v>
      </c>
      <c r="H5017" s="4">
        <v>9432801</v>
      </c>
      <c r="I5017" s="4">
        <v>10402786</v>
      </c>
      <c r="J5017" s="3">
        <v>0.10283106788747054</v>
      </c>
      <c r="K5017" s="3">
        <v>-0.0932428101472048</v>
      </c>
      <c r="L5017" t="s">
        <v>54</v>
      </c>
    </row>
    <row r="5018" spans="1:12" x14ac:dyDescent="0.25">
      <c r="A5018" t="s">
        <v>487</v>
      </c>
      <c r="B5018" t="s">
        <v>465</v>
      </c>
      <c r="C5018" t="s">
        <v>478</v>
      </c>
      <c r="D5018" t="s">
        <v>262</v>
      </c>
      <c r="E5018" t="s">
        <v>266</v>
      </c>
      <c r="F5018">
        <v>2</v>
      </c>
      <c r="G5018" t="s">
        <v>488</v>
      </c>
      <c r="H5018" s="4">
        <v>12220227</v>
      </c>
      <c r="I5018" s="4">
        <v>11186916.136455826</v>
      </c>
      <c r="J5018" s="3">
        <v>0.08455741972257745</v>
      </c>
      <c r="K5018" s="3">
        <v>0.09236780279212328</v>
      </c>
      <c r="L5018" t="s">
        <v>54</v>
      </c>
    </row>
    <row r="5019" spans="1:12" x14ac:dyDescent="0.25">
      <c r="A5019" t="s">
        <v>487</v>
      </c>
      <c r="B5019" t="s">
        <v>465</v>
      </c>
      <c r="C5019" t="s">
        <v>478</v>
      </c>
      <c r="D5019" t="s">
        <v>262</v>
      </c>
      <c r="E5019" t="s">
        <v>266</v>
      </c>
      <c r="F5019">
        <v>2</v>
      </c>
      <c r="G5019" t="s">
        <v>498</v>
      </c>
      <c r="H5019" s="4">
        <v>12220227</v>
      </c>
      <c r="I5019" s="4">
        <v>10571032</v>
      </c>
      <c r="J5019" s="3">
        <v>0.13495616734451824</v>
      </c>
      <c r="K5019" s="3">
        <v>0.15601078494512172</v>
      </c>
      <c r="L5019" t="s">
        <v>54</v>
      </c>
    </row>
    <row r="5020" spans="1:12" x14ac:dyDescent="0.25">
      <c r="A5020" t="s">
        <v>487</v>
      </c>
      <c r="B5020" t="s">
        <v>465</v>
      </c>
      <c r="C5020" t="s">
        <v>478</v>
      </c>
      <c r="D5020" t="s">
        <v>262</v>
      </c>
      <c r="E5020" t="s">
        <v>266</v>
      </c>
      <c r="F5020">
        <v>2</v>
      </c>
      <c r="G5020" t="s">
        <v>499</v>
      </c>
      <c r="H5020" s="4">
        <v>12220227</v>
      </c>
      <c r="I5020" s="4">
        <v>10402786</v>
      </c>
      <c r="J5020" s="3">
        <v>0.148723996698261</v>
      </c>
      <c r="K5020" s="3">
        <v>0.1747071409524333</v>
      </c>
      <c r="L5020" t="s">
        <v>54</v>
      </c>
    </row>
    <row r="5021" spans="1:12" x14ac:dyDescent="0.25">
      <c r="A5021" t="s">
        <v>487</v>
      </c>
      <c r="B5021" t="s">
        <v>465</v>
      </c>
      <c r="C5021" t="s">
        <v>478</v>
      </c>
      <c r="D5021" t="s">
        <v>262</v>
      </c>
      <c r="E5021" t="s">
        <v>268</v>
      </c>
      <c r="F5021">
        <v>3</v>
      </c>
      <c r="G5021" t="s">
        <v>488</v>
      </c>
      <c r="H5021" s="4">
        <v>11693010</v>
      </c>
      <c r="I5021" s="4">
        <v>11867660.834073763</v>
      </c>
      <c r="J5021" s="3">
        <v>0.014936345224519892</v>
      </c>
      <c r="K5021" s="3">
        <v>-0.01471653399230248</v>
      </c>
      <c r="L5021" t="s">
        <v>54</v>
      </c>
    </row>
    <row r="5022" spans="1:12" x14ac:dyDescent="0.25">
      <c r="A5022" t="s">
        <v>487</v>
      </c>
      <c r="B5022" t="s">
        <v>465</v>
      </c>
      <c r="C5022" t="s">
        <v>478</v>
      </c>
      <c r="D5022" t="s">
        <v>262</v>
      </c>
      <c r="E5022" t="s">
        <v>268</v>
      </c>
      <c r="F5022">
        <v>3</v>
      </c>
      <c r="G5022" t="s">
        <v>498</v>
      </c>
      <c r="H5022" s="4">
        <v>11693010</v>
      </c>
      <c r="I5022" s="4">
        <v>11214299</v>
      </c>
      <c r="J5022" s="3">
        <v>0.04093992906873423</v>
      </c>
      <c r="K5022" s="3">
        <v>0.04268755452302458</v>
      </c>
      <c r="L5022" t="s">
        <v>54</v>
      </c>
    </row>
    <row r="5023" spans="1:12" x14ac:dyDescent="0.25">
      <c r="A5023" t="s">
        <v>487</v>
      </c>
      <c r="B5023" t="s">
        <v>465</v>
      </c>
      <c r="C5023" t="s">
        <v>478</v>
      </c>
      <c r="D5023" t="s">
        <v>262</v>
      </c>
      <c r="E5023" t="s">
        <v>268</v>
      </c>
      <c r="F5023">
        <v>3</v>
      </c>
      <c r="G5023" t="s">
        <v>499</v>
      </c>
      <c r="H5023" s="4">
        <v>11693010</v>
      </c>
      <c r="I5023" s="4">
        <v>10402786</v>
      </c>
      <c r="J5023" s="3">
        <v>0.11034147751519925</v>
      </c>
      <c r="K5023" s="3">
        <v>0.12402677513504555</v>
      </c>
      <c r="L5023" t="s">
        <v>54</v>
      </c>
    </row>
    <row r="5024" spans="1:12" x14ac:dyDescent="0.25">
      <c r="A5024" t="s">
        <v>487</v>
      </c>
      <c r="B5024" t="s">
        <v>465</v>
      </c>
      <c r="C5024" t="s">
        <v>478</v>
      </c>
      <c r="D5024" t="s">
        <v>264</v>
      </c>
      <c r="E5024" t="s">
        <v>266</v>
      </c>
      <c r="F5024">
        <v>1</v>
      </c>
      <c r="G5024" t="s">
        <v>488</v>
      </c>
      <c r="H5024" s="4">
        <v>12220227</v>
      </c>
      <c r="I5024" s="4">
        <v>10985755.893061165</v>
      </c>
      <c r="J5024" s="3">
        <v>0.10101867231589358</v>
      </c>
      <c r="K5024" s="3">
        <v>0.11237015631473782</v>
      </c>
      <c r="L5024" t="s">
        <v>54</v>
      </c>
    </row>
    <row r="5025" spans="1:12" x14ac:dyDescent="0.25">
      <c r="A5025" t="s">
        <v>487</v>
      </c>
      <c r="B5025" t="s">
        <v>465</v>
      </c>
      <c r="C5025" t="s">
        <v>478</v>
      </c>
      <c r="D5025" t="s">
        <v>264</v>
      </c>
      <c r="E5025" t="s">
        <v>266</v>
      </c>
      <c r="F5025">
        <v>1</v>
      </c>
      <c r="G5025" t="s">
        <v>498</v>
      </c>
      <c r="H5025" s="4">
        <v>12220227</v>
      </c>
      <c r="I5025" s="4">
        <v>10571032</v>
      </c>
      <c r="J5025" s="3">
        <v>0.13495616734451824</v>
      </c>
      <c r="K5025" s="3">
        <v>0.15601078494512172</v>
      </c>
      <c r="L5025" t="s">
        <v>54</v>
      </c>
    </row>
    <row r="5026" spans="1:12" x14ac:dyDescent="0.25">
      <c r="A5026" t="s">
        <v>487</v>
      </c>
      <c r="B5026" t="s">
        <v>465</v>
      </c>
      <c r="C5026" t="s">
        <v>478</v>
      </c>
      <c r="D5026" t="s">
        <v>264</v>
      </c>
      <c r="E5026" t="s">
        <v>266</v>
      </c>
      <c r="F5026">
        <v>1</v>
      </c>
      <c r="G5026" t="s">
        <v>499</v>
      </c>
      <c r="H5026" s="4">
        <v>12220227</v>
      </c>
      <c r="I5026" s="4">
        <v>9432801</v>
      </c>
      <c r="J5026" s="3">
        <v>0.22809936345699633</v>
      </c>
      <c r="K5026" s="3">
        <v>0.2955035307116094</v>
      </c>
      <c r="L5026" t="s">
        <v>54</v>
      </c>
    </row>
    <row r="5027" spans="1:12" x14ac:dyDescent="0.25">
      <c r="A5027" t="s">
        <v>487</v>
      </c>
      <c r="B5027" t="s">
        <v>465</v>
      </c>
      <c r="C5027" t="s">
        <v>478</v>
      </c>
      <c r="D5027" t="s">
        <v>264</v>
      </c>
      <c r="E5027" t="s">
        <v>268</v>
      </c>
      <c r="F5027">
        <v>2</v>
      </c>
      <c r="G5027" t="s">
        <v>488</v>
      </c>
      <c r="H5027" s="4">
        <v>11693010</v>
      </c>
      <c r="I5027" s="4">
        <v>11654259.61493636</v>
      </c>
      <c r="J5027" s="3">
        <v>0.0033139786131749457</v>
      </c>
      <c r="K5027" s="3">
        <v>0.0033249975840573703</v>
      </c>
      <c r="L5027" t="s">
        <v>54</v>
      </c>
    </row>
    <row r="5028" spans="1:12" x14ac:dyDescent="0.25">
      <c r="A5028" t="s">
        <v>487</v>
      </c>
      <c r="B5028" t="s">
        <v>465</v>
      </c>
      <c r="C5028" t="s">
        <v>478</v>
      </c>
      <c r="D5028" t="s">
        <v>264</v>
      </c>
      <c r="E5028" t="s">
        <v>268</v>
      </c>
      <c r="F5028">
        <v>2</v>
      </c>
      <c r="G5028" t="s">
        <v>498</v>
      </c>
      <c r="H5028" s="4">
        <v>11693010</v>
      </c>
      <c r="I5028" s="4">
        <v>11214299</v>
      </c>
      <c r="J5028" s="3">
        <v>0.04093992906873423</v>
      </c>
      <c r="K5028" s="3">
        <v>0.04268755452302458</v>
      </c>
      <c r="L5028" t="s">
        <v>54</v>
      </c>
    </row>
    <row r="5029" spans="1:12" x14ac:dyDescent="0.25">
      <c r="A5029" t="s">
        <v>487</v>
      </c>
      <c r="B5029" t="s">
        <v>465</v>
      </c>
      <c r="C5029" t="s">
        <v>478</v>
      </c>
      <c r="D5029" t="s">
        <v>264</v>
      </c>
      <c r="E5029" t="s">
        <v>268</v>
      </c>
      <c r="F5029">
        <v>2</v>
      </c>
      <c r="G5029" t="s">
        <v>499</v>
      </c>
      <c r="H5029" s="4">
        <v>11693010</v>
      </c>
      <c r="I5029" s="4">
        <v>9432801</v>
      </c>
      <c r="J5029" s="3">
        <v>0.19329573822309226</v>
      </c>
      <c r="K5029" s="3">
        <v>0.239611648756292</v>
      </c>
      <c r="L5029" t="s">
        <v>54</v>
      </c>
    </row>
    <row r="5030" spans="1:12" x14ac:dyDescent="0.25">
      <c r="A5030" t="s">
        <v>487</v>
      </c>
      <c r="B5030" t="s">
        <v>465</v>
      </c>
      <c r="C5030" t="s">
        <v>478</v>
      </c>
      <c r="D5030" t="s">
        <v>264</v>
      </c>
      <c r="E5030" t="s">
        <v>270</v>
      </c>
      <c r="F5030">
        <v>3</v>
      </c>
      <c r="G5030" t="s">
        <v>488</v>
      </c>
      <c r="H5030" s="4">
        <v>9785199</v>
      </c>
      <c r="I5030" s="4">
        <v>9170436.674399788</v>
      </c>
      <c r="J5030" s="3">
        <v>0.06282573564423294</v>
      </c>
      <c r="K5030" s="3">
        <v>0.06703741025946827</v>
      </c>
      <c r="L5030" t="s">
        <v>54</v>
      </c>
    </row>
    <row r="5031" spans="1:12" x14ac:dyDescent="0.25">
      <c r="A5031" t="s">
        <v>487</v>
      </c>
      <c r="B5031" t="s">
        <v>465</v>
      </c>
      <c r="C5031" t="s">
        <v>478</v>
      </c>
      <c r="D5031" t="s">
        <v>264</v>
      </c>
      <c r="E5031" t="s">
        <v>270</v>
      </c>
      <c r="F5031">
        <v>3</v>
      </c>
      <c r="G5031" t="s">
        <v>498</v>
      </c>
      <c r="H5031" s="4">
        <v>9785199</v>
      </c>
      <c r="I5031" s="4">
        <v>8824243</v>
      </c>
      <c r="J5031" s="3">
        <v>0.09820505438877636</v>
      </c>
      <c r="K5031" s="3">
        <v>0.10889953959790091</v>
      </c>
      <c r="L5031" t="s">
        <v>54</v>
      </c>
    </row>
    <row r="5032" spans="1:12" x14ac:dyDescent="0.25">
      <c r="A5032" t="s">
        <v>487</v>
      </c>
      <c r="B5032" t="s">
        <v>465</v>
      </c>
      <c r="C5032" t="s">
        <v>478</v>
      </c>
      <c r="D5032" t="s">
        <v>264</v>
      </c>
      <c r="E5032" t="s">
        <v>270</v>
      </c>
      <c r="F5032">
        <v>3</v>
      </c>
      <c r="G5032" t="s">
        <v>499</v>
      </c>
      <c r="H5032" s="4">
        <v>9785199</v>
      </c>
      <c r="I5032" s="4">
        <v>9432801</v>
      </c>
      <c r="J5032" s="3">
        <v>0.03601337080625545</v>
      </c>
      <c r="K5032" s="3">
        <v>0.03735878664248297</v>
      </c>
      <c r="L5032" t="s">
        <v>54</v>
      </c>
    </row>
    <row r="5033" spans="1:12" x14ac:dyDescent="0.25">
      <c r="A5033" t="s">
        <v>487</v>
      </c>
      <c r="B5033" t="s">
        <v>465</v>
      </c>
      <c r="C5033" t="s">
        <v>478</v>
      </c>
      <c r="D5033" t="s">
        <v>266</v>
      </c>
      <c r="E5033" t="s">
        <v>268</v>
      </c>
      <c r="F5033">
        <v>1</v>
      </c>
      <c r="G5033" t="s">
        <v>488</v>
      </c>
      <c r="H5033" s="4">
        <v>11693010</v>
      </c>
      <c r="I5033" s="4">
        <v>11634489.406903356</v>
      </c>
      <c r="J5033" s="3">
        <v>0.0050047501111043</v>
      </c>
      <c r="K5033" s="3">
        <v>0.005029923621909899</v>
      </c>
      <c r="L5033" t="s">
        <v>54</v>
      </c>
    </row>
    <row r="5034" spans="1:12" x14ac:dyDescent="0.25">
      <c r="A5034" t="s">
        <v>487</v>
      </c>
      <c r="B5034" t="s">
        <v>465</v>
      </c>
      <c r="C5034" t="s">
        <v>478</v>
      </c>
      <c r="D5034" t="s">
        <v>266</v>
      </c>
      <c r="E5034" t="s">
        <v>268</v>
      </c>
      <c r="F5034">
        <v>1</v>
      </c>
      <c r="G5034" t="s">
        <v>498</v>
      </c>
      <c r="H5034" s="4">
        <v>11693010</v>
      </c>
      <c r="I5034" s="4">
        <v>11214299</v>
      </c>
      <c r="J5034" s="3">
        <v>0.04093992906873423</v>
      </c>
      <c r="K5034" s="3">
        <v>0.04268755452302458</v>
      </c>
      <c r="L5034" t="s">
        <v>54</v>
      </c>
    </row>
    <row r="5035" spans="1:12" x14ac:dyDescent="0.25">
      <c r="A5035" t="s">
        <v>487</v>
      </c>
      <c r="B5035" t="s">
        <v>465</v>
      </c>
      <c r="C5035" t="s">
        <v>478</v>
      </c>
      <c r="D5035" t="s">
        <v>266</v>
      </c>
      <c r="E5035" t="s">
        <v>268</v>
      </c>
      <c r="F5035">
        <v>1</v>
      </c>
      <c r="G5035" t="s">
        <v>499</v>
      </c>
      <c r="H5035" s="4">
        <v>11693010</v>
      </c>
      <c r="I5035" s="4">
        <v>12220227</v>
      </c>
      <c r="J5035" s="3">
        <v>0.0450882193720864</v>
      </c>
      <c r="K5035" s="3">
        <v>-0.04314297925889593</v>
      </c>
      <c r="L5035" t="s">
        <v>54</v>
      </c>
    </row>
    <row r="5036" spans="1:12" x14ac:dyDescent="0.25">
      <c r="A5036" t="s">
        <v>487</v>
      </c>
      <c r="B5036" t="s">
        <v>465</v>
      </c>
      <c r="C5036" t="s">
        <v>478</v>
      </c>
      <c r="D5036" t="s">
        <v>266</v>
      </c>
      <c r="E5036" t="s">
        <v>270</v>
      </c>
      <c r="F5036">
        <v>2</v>
      </c>
      <c r="G5036" t="s">
        <v>488</v>
      </c>
      <c r="H5036" s="4">
        <v>9785199</v>
      </c>
      <c r="I5036" s="4">
        <v>9154880.006984038</v>
      </c>
      <c r="J5036" s="3">
        <v>0.06441555179572349</v>
      </c>
      <c r="K5036" s="3">
        <v>0.06885060126786004</v>
      </c>
      <c r="L5036" t="s">
        <v>54</v>
      </c>
    </row>
    <row r="5037" spans="1:12" x14ac:dyDescent="0.25">
      <c r="A5037" t="s">
        <v>487</v>
      </c>
      <c r="B5037" t="s">
        <v>465</v>
      </c>
      <c r="C5037" t="s">
        <v>478</v>
      </c>
      <c r="D5037" t="s">
        <v>266</v>
      </c>
      <c r="E5037" t="s">
        <v>270</v>
      </c>
      <c r="F5037">
        <v>2</v>
      </c>
      <c r="G5037" t="s">
        <v>498</v>
      </c>
      <c r="H5037" s="4">
        <v>9785199</v>
      </c>
      <c r="I5037" s="4">
        <v>8824243</v>
      </c>
      <c r="J5037" s="3">
        <v>0.09820505438877636</v>
      </c>
      <c r="K5037" s="3">
        <v>0.10889953959790091</v>
      </c>
      <c r="L5037" t="s">
        <v>54</v>
      </c>
    </row>
    <row r="5038" spans="1:12" x14ac:dyDescent="0.25">
      <c r="A5038" t="s">
        <v>487</v>
      </c>
      <c r="B5038" t="s">
        <v>465</v>
      </c>
      <c r="C5038" t="s">
        <v>478</v>
      </c>
      <c r="D5038" t="s">
        <v>266</v>
      </c>
      <c r="E5038" t="s">
        <v>270</v>
      </c>
      <c r="F5038">
        <v>2</v>
      </c>
      <c r="G5038" t="s">
        <v>499</v>
      </c>
      <c r="H5038" s="4">
        <v>9785199</v>
      </c>
      <c r="I5038" s="4">
        <v>12220227</v>
      </c>
      <c r="J5038" s="3">
        <v>0.24884808167927908</v>
      </c>
      <c r="K5038" s="3">
        <v>-0.19926209226718947</v>
      </c>
      <c r="L5038" t="s">
        <v>54</v>
      </c>
    </row>
    <row r="5039" spans="1:12" x14ac:dyDescent="0.25">
      <c r="A5039" t="s">
        <v>487</v>
      </c>
      <c r="B5039" t="s">
        <v>465</v>
      </c>
      <c r="C5039" t="s">
        <v>478</v>
      </c>
      <c r="D5039" t="s">
        <v>266</v>
      </c>
      <c r="E5039" t="s">
        <v>272</v>
      </c>
      <c r="F5039">
        <v>3</v>
      </c>
      <c r="G5039" t="s">
        <v>488</v>
      </c>
      <c r="H5039" s="4">
        <v>12152727</v>
      </c>
      <c r="I5039" s="4">
        <v>12539306.72601062</v>
      </c>
      <c r="J5039" s="3">
        <v>0.031810121794937106</v>
      </c>
      <c r="K5039" s="3">
        <v>-0.03082943375240418</v>
      </c>
      <c r="L5039" t="s">
        <v>54</v>
      </c>
    </row>
    <row r="5040" spans="1:12" x14ac:dyDescent="0.25">
      <c r="A5040" t="s">
        <v>487</v>
      </c>
      <c r="B5040" t="s">
        <v>465</v>
      </c>
      <c r="C5040" t="s">
        <v>478</v>
      </c>
      <c r="D5040" t="s">
        <v>266</v>
      </c>
      <c r="E5040" t="s">
        <v>272</v>
      </c>
      <c r="F5040">
        <v>3</v>
      </c>
      <c r="G5040" t="s">
        <v>498</v>
      </c>
      <c r="H5040" s="4">
        <v>12152727</v>
      </c>
      <c r="I5040" s="4">
        <v>12086438</v>
      </c>
      <c r="J5040" s="3">
        <v>0.0054546605054157805</v>
      </c>
      <c r="K5040" s="3">
        <v>0.0054845770110267394</v>
      </c>
      <c r="L5040" t="s">
        <v>54</v>
      </c>
    </row>
    <row r="5041" spans="1:12" x14ac:dyDescent="0.25">
      <c r="A5041" t="s">
        <v>487</v>
      </c>
      <c r="B5041" t="s">
        <v>465</v>
      </c>
      <c r="C5041" t="s">
        <v>478</v>
      </c>
      <c r="D5041" t="s">
        <v>266</v>
      </c>
      <c r="E5041" t="s">
        <v>272</v>
      </c>
      <c r="F5041">
        <v>3</v>
      </c>
      <c r="G5041" t="s">
        <v>499</v>
      </c>
      <c r="H5041" s="4">
        <v>12152727</v>
      </c>
      <c r="I5041" s="4">
        <v>12220227</v>
      </c>
      <c r="J5041" s="3">
        <v>0.005554308921775335</v>
      </c>
      <c r="K5041" s="3">
        <v>-0.005523628980050862</v>
      </c>
      <c r="L5041" t="s">
        <v>54</v>
      </c>
    </row>
    <row r="5042" spans="1:12" x14ac:dyDescent="0.25">
      <c r="A5042" t="s">
        <v>487</v>
      </c>
      <c r="B5042" t="s">
        <v>465</v>
      </c>
      <c r="C5042" t="s">
        <v>478</v>
      </c>
      <c r="D5042" t="s">
        <v>268</v>
      </c>
      <c r="E5042" t="s">
        <v>270</v>
      </c>
      <c r="F5042">
        <v>1</v>
      </c>
      <c r="G5042" t="s">
        <v>488</v>
      </c>
      <c r="H5042" s="4">
        <v>9785199</v>
      </c>
      <c r="I5042" s="4">
        <v>9124151.764450412</v>
      </c>
      <c r="J5042" s="3">
        <v>0.0675558295288208</v>
      </c>
      <c r="K5042" s="3">
        <v>0.07245026744569998</v>
      </c>
      <c r="L5042" t="s">
        <v>54</v>
      </c>
    </row>
    <row r="5043" spans="1:12" x14ac:dyDescent="0.25">
      <c r="A5043" t="s">
        <v>487</v>
      </c>
      <c r="B5043" t="s">
        <v>465</v>
      </c>
      <c r="C5043" t="s">
        <v>478</v>
      </c>
      <c r="D5043" t="s">
        <v>268</v>
      </c>
      <c r="E5043" t="s">
        <v>270</v>
      </c>
      <c r="F5043">
        <v>1</v>
      </c>
      <c r="G5043" t="s">
        <v>498</v>
      </c>
      <c r="H5043" s="4">
        <v>9785199</v>
      </c>
      <c r="I5043" s="4">
        <v>8824243</v>
      </c>
      <c r="J5043" s="3">
        <v>0.09820505438877636</v>
      </c>
      <c r="K5043" s="3">
        <v>0.10889953959790091</v>
      </c>
      <c r="L5043" t="s">
        <v>54</v>
      </c>
    </row>
    <row r="5044" spans="1:12" x14ac:dyDescent="0.25">
      <c r="A5044" t="s">
        <v>487</v>
      </c>
      <c r="B5044" t="s">
        <v>465</v>
      </c>
      <c r="C5044" t="s">
        <v>478</v>
      </c>
      <c r="D5044" t="s">
        <v>268</v>
      </c>
      <c r="E5044" t="s">
        <v>270</v>
      </c>
      <c r="F5044">
        <v>1</v>
      </c>
      <c r="G5044" t="s">
        <v>499</v>
      </c>
      <c r="H5044" s="4">
        <v>9785199</v>
      </c>
      <c r="I5044" s="4">
        <v>11693010</v>
      </c>
      <c r="J5044" s="3">
        <v>0.19496905479387797</v>
      </c>
      <c r="K5044" s="3">
        <v>-0.16315824582378702</v>
      </c>
      <c r="L5044" t="s">
        <v>54</v>
      </c>
    </row>
    <row r="5045" spans="1:12" x14ac:dyDescent="0.25">
      <c r="A5045" t="s">
        <v>487</v>
      </c>
      <c r="B5045" t="s">
        <v>465</v>
      </c>
      <c r="C5045" t="s">
        <v>478</v>
      </c>
      <c r="D5045" t="s">
        <v>268</v>
      </c>
      <c r="E5045" t="s">
        <v>272</v>
      </c>
      <c r="F5045">
        <v>2</v>
      </c>
      <c r="G5045" t="s">
        <v>488</v>
      </c>
      <c r="H5045" s="4">
        <v>12152727</v>
      </c>
      <c r="I5045" s="4">
        <v>12497218.696676929</v>
      </c>
      <c r="J5045" s="3">
        <v>0.028346863767854617</v>
      </c>
      <c r="K5045" s="3">
        <v>-0.027565469168634345</v>
      </c>
      <c r="L5045" t="s">
        <v>54</v>
      </c>
    </row>
    <row r="5046" spans="1:12" x14ac:dyDescent="0.25">
      <c r="A5046" t="s">
        <v>487</v>
      </c>
      <c r="B5046" t="s">
        <v>465</v>
      </c>
      <c r="C5046" t="s">
        <v>478</v>
      </c>
      <c r="D5046" t="s">
        <v>268</v>
      </c>
      <c r="E5046" t="s">
        <v>272</v>
      </c>
      <c r="F5046">
        <v>2</v>
      </c>
      <c r="G5046" t="s">
        <v>498</v>
      </c>
      <c r="H5046" s="4">
        <v>12152727</v>
      </c>
      <c r="I5046" s="4">
        <v>12086438</v>
      </c>
      <c r="J5046" s="3">
        <v>0.0054546605054157805</v>
      </c>
      <c r="K5046" s="3">
        <v>0.0054845770110267394</v>
      </c>
      <c r="L5046" t="s">
        <v>54</v>
      </c>
    </row>
    <row r="5047" spans="1:12" x14ac:dyDescent="0.25">
      <c r="A5047" t="s">
        <v>487</v>
      </c>
      <c r="B5047" t="s">
        <v>465</v>
      </c>
      <c r="C5047" t="s">
        <v>478</v>
      </c>
      <c r="D5047" t="s">
        <v>268</v>
      </c>
      <c r="E5047" t="s">
        <v>272</v>
      </c>
      <c r="F5047">
        <v>2</v>
      </c>
      <c r="G5047" t="s">
        <v>499</v>
      </c>
      <c r="H5047" s="4">
        <v>12152727</v>
      </c>
      <c r="I5047" s="4">
        <v>11693010</v>
      </c>
      <c r="J5047" s="3">
        <v>0.037828299771730245</v>
      </c>
      <c r="K5047" s="3">
        <v>0.03931553979685299</v>
      </c>
      <c r="L5047" t="s">
        <v>54</v>
      </c>
    </row>
    <row r="5048" spans="1:12" x14ac:dyDescent="0.25">
      <c r="A5048" t="s">
        <v>487</v>
      </c>
      <c r="B5048" t="s">
        <v>465</v>
      </c>
      <c r="C5048" t="s">
        <v>478</v>
      </c>
      <c r="D5048" t="s">
        <v>268</v>
      </c>
      <c r="E5048" t="s">
        <v>274</v>
      </c>
      <c r="F5048">
        <v>3</v>
      </c>
      <c r="G5048" t="s">
        <v>488</v>
      </c>
      <c r="H5048" s="4">
        <v>10455112</v>
      </c>
      <c r="I5048" s="4">
        <v>10136266.750651153</v>
      </c>
      <c r="J5048" s="3">
        <v>0.030496588592149678</v>
      </c>
      <c r="K5048" s="3">
        <v>0.03145588580020002</v>
      </c>
      <c r="L5048" t="s">
        <v>54</v>
      </c>
    </row>
    <row r="5049" spans="1:12" x14ac:dyDescent="0.25">
      <c r="A5049" t="s">
        <v>487</v>
      </c>
      <c r="B5049" t="s">
        <v>465</v>
      </c>
      <c r="C5049" t="s">
        <v>478</v>
      </c>
      <c r="D5049" t="s">
        <v>268</v>
      </c>
      <c r="E5049" t="s">
        <v>274</v>
      </c>
      <c r="F5049">
        <v>3</v>
      </c>
      <c r="G5049" t="s">
        <v>498</v>
      </c>
      <c r="H5049" s="4">
        <v>10455112</v>
      </c>
      <c r="I5049" s="4">
        <v>9803090</v>
      </c>
      <c r="J5049" s="3">
        <v>0.06236394215576074</v>
      </c>
      <c r="K5049" s="3">
        <v>0.06651188553813134</v>
      </c>
      <c r="L5049" t="s">
        <v>54</v>
      </c>
    </row>
    <row r="5050" spans="1:12" x14ac:dyDescent="0.25">
      <c r="A5050" t="s">
        <v>487</v>
      </c>
      <c r="B5050" t="s">
        <v>465</v>
      </c>
      <c r="C5050" t="s">
        <v>478</v>
      </c>
      <c r="D5050" t="s">
        <v>268</v>
      </c>
      <c r="E5050" t="s">
        <v>274</v>
      </c>
      <c r="F5050">
        <v>3</v>
      </c>
      <c r="G5050" t="s">
        <v>499</v>
      </c>
      <c r="H5050" s="4">
        <v>10455112</v>
      </c>
      <c r="I5050" s="4">
        <v>11693010</v>
      </c>
      <c r="J5050" s="3">
        <v>0.11840121846614364</v>
      </c>
      <c r="K5050" s="3">
        <v>-0.10586649630847832</v>
      </c>
      <c r="L5050" t="s">
        <v>54</v>
      </c>
    </row>
    <row r="5051" spans="1:12" x14ac:dyDescent="0.25">
      <c r="A5051" t="s">
        <v>487</v>
      </c>
      <c r="B5051" t="s">
        <v>465</v>
      </c>
      <c r="C5051" t="s">
        <v>478</v>
      </c>
      <c r="D5051" t="s">
        <v>270</v>
      </c>
      <c r="E5051" t="s">
        <v>272</v>
      </c>
      <c r="F5051">
        <v>1</v>
      </c>
      <c r="G5051" t="s">
        <v>488</v>
      </c>
      <c r="H5051" s="4">
        <v>12152727</v>
      </c>
      <c r="I5051" s="4">
        <v>12725404.014151921</v>
      </c>
      <c r="J5051" s="3">
        <v>0.04712333405925448</v>
      </c>
      <c r="K5051" s="3">
        <v>-0.045002658737989566</v>
      </c>
      <c r="L5051" t="s">
        <v>54</v>
      </c>
    </row>
    <row r="5052" spans="1:12" x14ac:dyDescent="0.25">
      <c r="A5052" t="s">
        <v>487</v>
      </c>
      <c r="B5052" t="s">
        <v>465</v>
      </c>
      <c r="C5052" t="s">
        <v>478</v>
      </c>
      <c r="D5052" t="s">
        <v>270</v>
      </c>
      <c r="E5052" t="s">
        <v>272</v>
      </c>
      <c r="F5052">
        <v>1</v>
      </c>
      <c r="G5052" t="s">
        <v>498</v>
      </c>
      <c r="H5052" s="4">
        <v>12152727</v>
      </c>
      <c r="I5052" s="4">
        <v>12086438</v>
      </c>
      <c r="J5052" s="3">
        <v>0.0054546605054157805</v>
      </c>
      <c r="K5052" s="3">
        <v>0.0054845770110267394</v>
      </c>
      <c r="L5052" t="s">
        <v>54</v>
      </c>
    </row>
    <row r="5053" spans="1:12" x14ac:dyDescent="0.25">
      <c r="A5053" t="s">
        <v>487</v>
      </c>
      <c r="B5053" t="s">
        <v>465</v>
      </c>
      <c r="C5053" t="s">
        <v>478</v>
      </c>
      <c r="D5053" t="s">
        <v>270</v>
      </c>
      <c r="E5053" t="s">
        <v>272</v>
      </c>
      <c r="F5053">
        <v>1</v>
      </c>
      <c r="G5053" t="s">
        <v>499</v>
      </c>
      <c r="H5053" s="4">
        <v>12152727</v>
      </c>
      <c r="I5053" s="4">
        <v>9785199</v>
      </c>
      <c r="J5053" s="3">
        <v>0.1948145465622654</v>
      </c>
      <c r="K5053" s="3">
        <v>0.2419499082236345</v>
      </c>
      <c r="L5053" t="s">
        <v>54</v>
      </c>
    </row>
    <row r="5054" spans="1:12" x14ac:dyDescent="0.25">
      <c r="A5054" t="s">
        <v>487</v>
      </c>
      <c r="B5054" t="s">
        <v>465</v>
      </c>
      <c r="C5054" t="s">
        <v>478</v>
      </c>
      <c r="D5054" t="s">
        <v>270</v>
      </c>
      <c r="E5054" t="s">
        <v>274</v>
      </c>
      <c r="F5054">
        <v>2</v>
      </c>
      <c r="G5054" t="s">
        <v>488</v>
      </c>
      <c r="H5054" s="4">
        <v>10455112</v>
      </c>
      <c r="I5054" s="4">
        <v>10321343.710784977</v>
      </c>
      <c r="J5054" s="3">
        <v>0.012794534311542784</v>
      </c>
      <c r="K5054" s="3">
        <v>0.01296035603147733</v>
      </c>
      <c r="L5054" t="s">
        <v>54</v>
      </c>
    </row>
    <row r="5055" spans="1:12" x14ac:dyDescent="0.25">
      <c r="A5055" t="s">
        <v>487</v>
      </c>
      <c r="B5055" t="s">
        <v>465</v>
      </c>
      <c r="C5055" t="s">
        <v>478</v>
      </c>
      <c r="D5055" t="s">
        <v>270</v>
      </c>
      <c r="E5055" t="s">
        <v>274</v>
      </c>
      <c r="F5055">
        <v>2</v>
      </c>
      <c r="G5055" t="s">
        <v>498</v>
      </c>
      <c r="H5055" s="4">
        <v>10455112</v>
      </c>
      <c r="I5055" s="4">
        <v>9803090</v>
      </c>
      <c r="J5055" s="3">
        <v>0.06236394215576074</v>
      </c>
      <c r="K5055" s="3">
        <v>0.06651188553813134</v>
      </c>
      <c r="L5055" t="s">
        <v>54</v>
      </c>
    </row>
    <row r="5056" spans="1:12" x14ac:dyDescent="0.25">
      <c r="A5056" t="s">
        <v>487</v>
      </c>
      <c r="B5056" t="s">
        <v>465</v>
      </c>
      <c r="C5056" t="s">
        <v>478</v>
      </c>
      <c r="D5056" t="s">
        <v>270</v>
      </c>
      <c r="E5056" t="s">
        <v>274</v>
      </c>
      <c r="F5056">
        <v>2</v>
      </c>
      <c r="G5056" t="s">
        <v>499</v>
      </c>
      <c r="H5056" s="4">
        <v>10455112</v>
      </c>
      <c r="I5056" s="4">
        <v>9785199</v>
      </c>
      <c r="J5056" s="3">
        <v>0.06407516246597837</v>
      </c>
      <c r="K5056" s="3">
        <v>0.06846186776579608</v>
      </c>
      <c r="L5056" t="s">
        <v>54</v>
      </c>
    </row>
    <row r="5057" spans="1:12" x14ac:dyDescent="0.25">
      <c r="A5057" t="s">
        <v>487</v>
      </c>
      <c r="B5057" t="s">
        <v>465</v>
      </c>
      <c r="C5057" t="s">
        <v>478</v>
      </c>
      <c r="D5057" t="s">
        <v>270</v>
      </c>
      <c r="E5057" t="s">
        <v>276</v>
      </c>
      <c r="F5057">
        <v>3</v>
      </c>
      <c r="G5057" t="s">
        <v>488</v>
      </c>
      <c r="H5057" s="4">
        <v>10485906</v>
      </c>
      <c r="I5057" s="4">
        <v>13529885.514570927</v>
      </c>
      <c r="J5057" s="3">
        <v>0.2902924663420526</v>
      </c>
      <c r="K5057" s="3">
        <v>-0.22498191217455107</v>
      </c>
      <c r="L5057" t="s">
        <v>54</v>
      </c>
    </row>
    <row r="5058" spans="1:12" x14ac:dyDescent="0.25">
      <c r="A5058" t="s">
        <v>487</v>
      </c>
      <c r="B5058" t="s">
        <v>465</v>
      </c>
      <c r="C5058" t="s">
        <v>478</v>
      </c>
      <c r="D5058" t="s">
        <v>270</v>
      </c>
      <c r="E5058" t="s">
        <v>276</v>
      </c>
      <c r="F5058">
        <v>3</v>
      </c>
      <c r="G5058" t="s">
        <v>498</v>
      </c>
      <c r="H5058" s="4">
        <v>10485906</v>
      </c>
      <c r="I5058" s="4">
        <v>12850525</v>
      </c>
      <c r="J5058" s="3">
        <v>0.2255045009940009</v>
      </c>
      <c r="K5058" s="3">
        <v>-0.18400952490267908</v>
      </c>
      <c r="L5058" t="s">
        <v>54</v>
      </c>
    </row>
    <row r="5059" spans="1:12" x14ac:dyDescent="0.25">
      <c r="A5059" t="s">
        <v>487</v>
      </c>
      <c r="B5059" t="s">
        <v>465</v>
      </c>
      <c r="C5059" t="s">
        <v>478</v>
      </c>
      <c r="D5059" t="s">
        <v>270</v>
      </c>
      <c r="E5059" t="s">
        <v>276</v>
      </c>
      <c r="F5059">
        <v>3</v>
      </c>
      <c r="G5059" t="s">
        <v>499</v>
      </c>
      <c r="H5059" s="4">
        <v>10485906</v>
      </c>
      <c r="I5059" s="4">
        <v>9785199</v>
      </c>
      <c r="J5059" s="3">
        <v>0.06682369649317856</v>
      </c>
      <c r="K5059" s="3">
        <v>0.07160886559384229</v>
      </c>
      <c r="L5059" t="s">
        <v>54</v>
      </c>
    </row>
    <row r="5060" spans="1:12" x14ac:dyDescent="0.25">
      <c r="A5060" t="s">
        <v>487</v>
      </c>
      <c r="B5060" t="s">
        <v>465</v>
      </c>
      <c r="C5060" t="s">
        <v>478</v>
      </c>
      <c r="D5060" t="s">
        <v>272</v>
      </c>
      <c r="E5060" t="s">
        <v>274</v>
      </c>
      <c r="F5060">
        <v>1</v>
      </c>
      <c r="G5060" t="s">
        <v>488</v>
      </c>
      <c r="H5060" s="4">
        <v>10455112</v>
      </c>
      <c r="I5060" s="4">
        <v>9943072.760469068</v>
      </c>
      <c r="J5060" s="3">
        <v>0.048975012370114465</v>
      </c>
      <c r="K5060" s="3">
        <v>0.051497082628889114</v>
      </c>
      <c r="L5060" t="s">
        <v>54</v>
      </c>
    </row>
    <row r="5061" spans="1:12" x14ac:dyDescent="0.25">
      <c r="A5061" t="s">
        <v>487</v>
      </c>
      <c r="B5061" t="s">
        <v>465</v>
      </c>
      <c r="C5061" t="s">
        <v>478</v>
      </c>
      <c r="D5061" t="s">
        <v>272</v>
      </c>
      <c r="E5061" t="s">
        <v>274</v>
      </c>
      <c r="F5061">
        <v>1</v>
      </c>
      <c r="G5061" t="s">
        <v>498</v>
      </c>
      <c r="H5061" s="4">
        <v>10455112</v>
      </c>
      <c r="I5061" s="4">
        <v>9803090</v>
      </c>
      <c r="J5061" s="3">
        <v>0.06236394215576074</v>
      </c>
      <c r="K5061" s="3">
        <v>0.06651188553813134</v>
      </c>
      <c r="L5061" t="s">
        <v>54</v>
      </c>
    </row>
    <row r="5062" spans="1:12" x14ac:dyDescent="0.25">
      <c r="A5062" t="s">
        <v>487</v>
      </c>
      <c r="B5062" t="s">
        <v>465</v>
      </c>
      <c r="C5062" t="s">
        <v>478</v>
      </c>
      <c r="D5062" t="s">
        <v>272</v>
      </c>
      <c r="E5062" t="s">
        <v>274</v>
      </c>
      <c r="F5062">
        <v>1</v>
      </c>
      <c r="G5062" t="s">
        <v>499</v>
      </c>
      <c r="H5062" s="4">
        <v>10455112</v>
      </c>
      <c r="I5062" s="4">
        <v>12152727</v>
      </c>
      <c r="J5062" s="3">
        <v>0.1623717660795982</v>
      </c>
      <c r="K5062" s="3">
        <v>-0.13969004652206868</v>
      </c>
      <c r="L5062" t="s">
        <v>54</v>
      </c>
    </row>
    <row r="5063" spans="1:12" x14ac:dyDescent="0.25">
      <c r="A5063" t="s">
        <v>487</v>
      </c>
      <c r="B5063" t="s">
        <v>465</v>
      </c>
      <c r="C5063" t="s">
        <v>478</v>
      </c>
      <c r="D5063" t="s">
        <v>272</v>
      </c>
      <c r="E5063" t="s">
        <v>276</v>
      </c>
      <c r="F5063">
        <v>2</v>
      </c>
      <c r="G5063" t="s">
        <v>488</v>
      </c>
      <c r="H5063" s="4">
        <v>10485906</v>
      </c>
      <c r="I5063" s="4">
        <v>13034023.464563394</v>
      </c>
      <c r="J5063" s="3">
        <v>0.24300403461211592</v>
      </c>
      <c r="K5063" s="3">
        <v>-0.19549738202414302</v>
      </c>
      <c r="L5063" t="s">
        <v>54</v>
      </c>
    </row>
    <row r="5064" spans="1:12" x14ac:dyDescent="0.25">
      <c r="A5064" t="s">
        <v>487</v>
      </c>
      <c r="B5064" t="s">
        <v>465</v>
      </c>
      <c r="C5064" t="s">
        <v>478</v>
      </c>
      <c r="D5064" t="s">
        <v>272</v>
      </c>
      <c r="E5064" t="s">
        <v>276</v>
      </c>
      <c r="F5064">
        <v>2</v>
      </c>
      <c r="G5064" t="s">
        <v>498</v>
      </c>
      <c r="H5064" s="4">
        <v>10485906</v>
      </c>
      <c r="I5064" s="4">
        <v>12850525</v>
      </c>
      <c r="J5064" s="3">
        <v>0.2255045009940009</v>
      </c>
      <c r="K5064" s="3">
        <v>-0.18400952490267908</v>
      </c>
      <c r="L5064" t="s">
        <v>54</v>
      </c>
    </row>
    <row r="5065" spans="1:12" x14ac:dyDescent="0.25">
      <c r="A5065" t="s">
        <v>487</v>
      </c>
      <c r="B5065" t="s">
        <v>465</v>
      </c>
      <c r="C5065" t="s">
        <v>478</v>
      </c>
      <c r="D5065" t="s">
        <v>272</v>
      </c>
      <c r="E5065" t="s">
        <v>276</v>
      </c>
      <c r="F5065">
        <v>2</v>
      </c>
      <c r="G5065" t="s">
        <v>499</v>
      </c>
      <c r="H5065" s="4">
        <v>10485906</v>
      </c>
      <c r="I5065" s="4">
        <v>12152727</v>
      </c>
      <c r="J5065" s="3">
        <v>0.1589582244967674</v>
      </c>
      <c r="K5065" s="3">
        <v>-0.1371561296489257</v>
      </c>
      <c r="L5065" t="s">
        <v>54</v>
      </c>
    </row>
    <row r="5066" spans="1:12" x14ac:dyDescent="0.25">
      <c r="A5066" t="s">
        <v>487</v>
      </c>
      <c r="B5066" t="s">
        <v>465</v>
      </c>
      <c r="C5066" t="s">
        <v>478</v>
      </c>
      <c r="D5066" t="s">
        <v>272</v>
      </c>
      <c r="E5066" t="s">
        <v>278</v>
      </c>
      <c r="F5066">
        <v>3</v>
      </c>
      <c r="G5066" t="s">
        <v>488</v>
      </c>
      <c r="H5066" s="4">
        <v>10760034</v>
      </c>
      <c r="I5066" s="4">
        <v>12025600.461372552</v>
      </c>
      <c r="J5066" s="3">
        <v>0.1176173292177843</v>
      </c>
      <c r="K5066" s="3">
        <v>-0.10523935710633994</v>
      </c>
      <c r="L5066" t="s">
        <v>54</v>
      </c>
    </row>
    <row r="5067" spans="1:12" x14ac:dyDescent="0.25">
      <c r="A5067" t="s">
        <v>487</v>
      </c>
      <c r="B5067" t="s">
        <v>465</v>
      </c>
      <c r="C5067" t="s">
        <v>478</v>
      </c>
      <c r="D5067" t="s">
        <v>272</v>
      </c>
      <c r="E5067" t="s">
        <v>278</v>
      </c>
      <c r="F5067">
        <v>3</v>
      </c>
      <c r="G5067" t="s">
        <v>498</v>
      </c>
      <c r="H5067" s="4">
        <v>10760034</v>
      </c>
      <c r="I5067" s="4">
        <v>11856299</v>
      </c>
      <c r="J5067" s="3">
        <v>0.10188304237700364</v>
      </c>
      <c r="K5067" s="3">
        <v>-0.0924626647826611</v>
      </c>
      <c r="L5067" t="s">
        <v>54</v>
      </c>
    </row>
    <row r="5068" spans="1:12" x14ac:dyDescent="0.25">
      <c r="A5068" t="s">
        <v>487</v>
      </c>
      <c r="B5068" t="s">
        <v>465</v>
      </c>
      <c r="C5068" t="s">
        <v>478</v>
      </c>
      <c r="D5068" t="s">
        <v>272</v>
      </c>
      <c r="E5068" t="s">
        <v>278</v>
      </c>
      <c r="F5068">
        <v>3</v>
      </c>
      <c r="G5068" t="s">
        <v>499</v>
      </c>
      <c r="H5068" s="4">
        <v>10760034</v>
      </c>
      <c r="I5068" s="4">
        <v>12152727</v>
      </c>
      <c r="J5068" s="3">
        <v>0.1294320259582823</v>
      </c>
      <c r="K5068" s="3">
        <v>-0.11459921711398602</v>
      </c>
      <c r="L5068" t="s">
        <v>54</v>
      </c>
    </row>
    <row r="5069" spans="1:12" x14ac:dyDescent="0.25">
      <c r="A5069" t="s">
        <v>487</v>
      </c>
      <c r="B5069" t="s">
        <v>465</v>
      </c>
      <c r="C5069" t="s">
        <v>478</v>
      </c>
      <c r="D5069" t="s">
        <v>274</v>
      </c>
      <c r="E5069" t="s">
        <v>276</v>
      </c>
      <c r="F5069">
        <v>1</v>
      </c>
      <c r="G5069" t="s">
        <v>488</v>
      </c>
      <c r="H5069" s="4">
        <v>10485906</v>
      </c>
      <c r="I5069" s="4">
        <v>13137737.46425676</v>
      </c>
      <c r="J5069" s="3">
        <v>0.2528948346720598</v>
      </c>
      <c r="K5069" s="3">
        <v>-0.20184841350890714</v>
      </c>
      <c r="L5069" t="s">
        <v>54</v>
      </c>
    </row>
    <row r="5070" spans="1:12" x14ac:dyDescent="0.25">
      <c r="A5070" t="s">
        <v>487</v>
      </c>
      <c r="B5070" t="s">
        <v>465</v>
      </c>
      <c r="C5070" t="s">
        <v>478</v>
      </c>
      <c r="D5070" t="s">
        <v>274</v>
      </c>
      <c r="E5070" t="s">
        <v>276</v>
      </c>
      <c r="F5070">
        <v>1</v>
      </c>
      <c r="G5070" t="s">
        <v>498</v>
      </c>
      <c r="H5070" s="4">
        <v>10485906</v>
      </c>
      <c r="I5070" s="4">
        <v>12850525</v>
      </c>
      <c r="J5070" s="3">
        <v>0.2255045009940009</v>
      </c>
      <c r="K5070" s="3">
        <v>-0.18400952490267908</v>
      </c>
      <c r="L5070" t="s">
        <v>54</v>
      </c>
    </row>
    <row r="5071" spans="1:12" x14ac:dyDescent="0.25">
      <c r="A5071" t="s">
        <v>487</v>
      </c>
      <c r="B5071" t="s">
        <v>465</v>
      </c>
      <c r="C5071" t="s">
        <v>478</v>
      </c>
      <c r="D5071" t="s">
        <v>274</v>
      </c>
      <c r="E5071" t="s">
        <v>276</v>
      </c>
      <c r="F5071">
        <v>1</v>
      </c>
      <c r="G5071" t="s">
        <v>499</v>
      </c>
      <c r="H5071" s="4">
        <v>10485906</v>
      </c>
      <c r="I5071" s="4">
        <v>10455112</v>
      </c>
      <c r="J5071" s="3">
        <v>0.002936703800320163</v>
      </c>
      <c r="K5071" s="3">
        <v>0.002945353430934073</v>
      </c>
      <c r="L5071" t="s">
        <v>54</v>
      </c>
    </row>
    <row r="5072" spans="1:12" x14ac:dyDescent="0.25">
      <c r="A5072" t="s">
        <v>487</v>
      </c>
      <c r="B5072" t="s">
        <v>465</v>
      </c>
      <c r="C5072" t="s">
        <v>478</v>
      </c>
      <c r="D5072" t="s">
        <v>274</v>
      </c>
      <c r="E5072" t="s">
        <v>278</v>
      </c>
      <c r="F5072">
        <v>2</v>
      </c>
      <c r="G5072" t="s">
        <v>488</v>
      </c>
      <c r="H5072" s="4">
        <v>10760034</v>
      </c>
      <c r="I5072" s="4">
        <v>12121290.263217257</v>
      </c>
      <c r="J5072" s="3">
        <v>0.12651040537764632</v>
      </c>
      <c r="K5072" s="3">
        <v>-0.11230291773047187</v>
      </c>
      <c r="L5072" t="s">
        <v>54</v>
      </c>
    </row>
    <row r="5073" spans="1:12" x14ac:dyDescent="0.25">
      <c r="A5073" t="s">
        <v>487</v>
      </c>
      <c r="B5073" t="s">
        <v>465</v>
      </c>
      <c r="C5073" t="s">
        <v>478</v>
      </c>
      <c r="D5073" t="s">
        <v>274</v>
      </c>
      <c r="E5073" t="s">
        <v>278</v>
      </c>
      <c r="F5073">
        <v>2</v>
      </c>
      <c r="G5073" t="s">
        <v>498</v>
      </c>
      <c r="H5073" s="4">
        <v>10760034</v>
      </c>
      <c r="I5073" s="4">
        <v>11856299</v>
      </c>
      <c r="J5073" s="3">
        <v>0.10188304237700364</v>
      </c>
      <c r="K5073" s="3">
        <v>-0.0924626647826611</v>
      </c>
      <c r="L5073" t="s">
        <v>54</v>
      </c>
    </row>
    <row r="5074" spans="1:12" x14ac:dyDescent="0.25">
      <c r="A5074" t="s">
        <v>487</v>
      </c>
      <c r="B5074" t="s">
        <v>465</v>
      </c>
      <c r="C5074" t="s">
        <v>478</v>
      </c>
      <c r="D5074" t="s">
        <v>274</v>
      </c>
      <c r="E5074" t="s">
        <v>278</v>
      </c>
      <c r="F5074">
        <v>2</v>
      </c>
      <c r="G5074" t="s">
        <v>499</v>
      </c>
      <c r="H5074" s="4">
        <v>10760034</v>
      </c>
      <c r="I5074" s="4">
        <v>10455112</v>
      </c>
      <c r="J5074" s="3">
        <v>0.02833838629134443</v>
      </c>
      <c r="K5074" s="3">
        <v>0.029164871691474945</v>
      </c>
      <c r="L5074" t="s">
        <v>54</v>
      </c>
    </row>
    <row r="5075" spans="1:12" x14ac:dyDescent="0.25">
      <c r="A5075" t="s">
        <v>487</v>
      </c>
      <c r="B5075" t="s">
        <v>465</v>
      </c>
      <c r="C5075" t="s">
        <v>478</v>
      </c>
      <c r="D5075" t="s">
        <v>274</v>
      </c>
      <c r="E5075" t="s">
        <v>280</v>
      </c>
      <c r="F5075">
        <v>3</v>
      </c>
      <c r="G5075" t="s">
        <v>488</v>
      </c>
      <c r="H5075" s="4">
        <v>9418047</v>
      </c>
      <c r="I5075" s="4">
        <v>10798979.381017342</v>
      </c>
      <c r="J5075" s="3">
        <v>0.14662619341540153</v>
      </c>
      <c r="K5075" s="3">
        <v>-0.12787619387854118</v>
      </c>
      <c r="L5075" t="s">
        <v>54</v>
      </c>
    </row>
    <row r="5076" spans="1:12" x14ac:dyDescent="0.25">
      <c r="A5076" t="s">
        <v>487</v>
      </c>
      <c r="B5076" t="s">
        <v>465</v>
      </c>
      <c r="C5076" t="s">
        <v>478</v>
      </c>
      <c r="D5076" t="s">
        <v>274</v>
      </c>
      <c r="E5076" t="s">
        <v>280</v>
      </c>
      <c r="F5076">
        <v>3</v>
      </c>
      <c r="G5076" t="s">
        <v>498</v>
      </c>
      <c r="H5076" s="4">
        <v>9418047</v>
      </c>
      <c r="I5076" s="4">
        <v>10562896</v>
      </c>
      <c r="J5076" s="3">
        <v>0.12155906633296691</v>
      </c>
      <c r="K5076" s="3">
        <v>-0.1083840075676216</v>
      </c>
      <c r="L5076" t="s">
        <v>54</v>
      </c>
    </row>
    <row r="5077" spans="1:12" x14ac:dyDescent="0.25">
      <c r="A5077" t="s">
        <v>487</v>
      </c>
      <c r="B5077" t="s">
        <v>465</v>
      </c>
      <c r="C5077" t="s">
        <v>478</v>
      </c>
      <c r="D5077" t="s">
        <v>274</v>
      </c>
      <c r="E5077" t="s">
        <v>280</v>
      </c>
      <c r="F5077">
        <v>3</v>
      </c>
      <c r="G5077" t="s">
        <v>499</v>
      </c>
      <c r="H5077" s="4">
        <v>9418047</v>
      </c>
      <c r="I5077" s="4">
        <v>10455112</v>
      </c>
      <c r="J5077" s="3">
        <v>0.11011465540573327</v>
      </c>
      <c r="K5077" s="3">
        <v>-0.09919214638733664</v>
      </c>
      <c r="L5077" t="s">
        <v>54</v>
      </c>
    </row>
    <row r="5078" spans="1:12" x14ac:dyDescent="0.25">
      <c r="A5078" t="s">
        <v>487</v>
      </c>
      <c r="B5078" t="s">
        <v>465</v>
      </c>
      <c r="C5078" t="s">
        <v>478</v>
      </c>
      <c r="D5078" t="s">
        <v>276</v>
      </c>
      <c r="E5078" t="s">
        <v>278</v>
      </c>
      <c r="F5078">
        <v>1</v>
      </c>
      <c r="G5078" t="s">
        <v>488</v>
      </c>
      <c r="H5078" s="4">
        <v>10760034</v>
      </c>
      <c r="I5078" s="4">
        <v>11880660.970450524</v>
      </c>
      <c r="J5078" s="3">
        <v>0.10414715887055043</v>
      </c>
      <c r="K5078" s="3">
        <v>-0.09432362166025424</v>
      </c>
      <c r="L5078" t="s">
        <v>54</v>
      </c>
    </row>
    <row r="5079" spans="1:12" x14ac:dyDescent="0.25">
      <c r="A5079" t="s">
        <v>487</v>
      </c>
      <c r="B5079" t="s">
        <v>465</v>
      </c>
      <c r="C5079" t="s">
        <v>478</v>
      </c>
      <c r="D5079" t="s">
        <v>276</v>
      </c>
      <c r="E5079" t="s">
        <v>278</v>
      </c>
      <c r="F5079">
        <v>1</v>
      </c>
      <c r="G5079" t="s">
        <v>498</v>
      </c>
      <c r="H5079" s="4">
        <v>10760034</v>
      </c>
      <c r="I5079" s="4">
        <v>11856299</v>
      </c>
      <c r="J5079" s="3">
        <v>0.10188304237700364</v>
      </c>
      <c r="K5079" s="3">
        <v>-0.0924626647826611</v>
      </c>
      <c r="L5079" t="s">
        <v>54</v>
      </c>
    </row>
    <row r="5080" spans="1:12" x14ac:dyDescent="0.25">
      <c r="A5080" t="s">
        <v>487</v>
      </c>
      <c r="B5080" t="s">
        <v>465</v>
      </c>
      <c r="C5080" t="s">
        <v>478</v>
      </c>
      <c r="D5080" t="s">
        <v>276</v>
      </c>
      <c r="E5080" t="s">
        <v>278</v>
      </c>
      <c r="F5080">
        <v>1</v>
      </c>
      <c r="G5080" t="s">
        <v>499</v>
      </c>
      <c r="H5080" s="4">
        <v>10760034</v>
      </c>
      <c r="I5080" s="4">
        <v>10485906</v>
      </c>
      <c r="J5080" s="3">
        <v>0.025476499423700706</v>
      </c>
      <c r="K5080" s="3">
        <v>0.026142519301622577</v>
      </c>
      <c r="L5080" t="s">
        <v>54</v>
      </c>
    </row>
    <row r="5081" spans="1:12" x14ac:dyDescent="0.25">
      <c r="A5081" t="s">
        <v>487</v>
      </c>
      <c r="B5081" t="s">
        <v>465</v>
      </c>
      <c r="C5081" t="s">
        <v>478</v>
      </c>
      <c r="D5081" t="s">
        <v>276</v>
      </c>
      <c r="E5081" t="s">
        <v>280</v>
      </c>
      <c r="F5081">
        <v>2</v>
      </c>
      <c r="G5081" t="s">
        <v>488</v>
      </c>
      <c r="H5081" s="4">
        <v>9418047</v>
      </c>
      <c r="I5081" s="4">
        <v>10584600.324445931</v>
      </c>
      <c r="J5081" s="3">
        <v>0.12386361253516055</v>
      </c>
      <c r="K5081" s="3">
        <v>-0.11021231682708779</v>
      </c>
      <c r="L5081" t="s">
        <v>54</v>
      </c>
    </row>
    <row r="5082" spans="1:12" x14ac:dyDescent="0.25">
      <c r="A5082" t="s">
        <v>487</v>
      </c>
      <c r="B5082" t="s">
        <v>465</v>
      </c>
      <c r="C5082" t="s">
        <v>478</v>
      </c>
      <c r="D5082" t="s">
        <v>276</v>
      </c>
      <c r="E5082" t="s">
        <v>280</v>
      </c>
      <c r="F5082">
        <v>2</v>
      </c>
      <c r="G5082" t="s">
        <v>498</v>
      </c>
      <c r="H5082" s="4">
        <v>9418047</v>
      </c>
      <c r="I5082" s="4">
        <v>10562896</v>
      </c>
      <c r="J5082" s="3">
        <v>0.12155906633296691</v>
      </c>
      <c r="K5082" s="3">
        <v>-0.1083840075676216</v>
      </c>
      <c r="L5082" t="s">
        <v>54</v>
      </c>
    </row>
    <row r="5083" spans="1:12" x14ac:dyDescent="0.25">
      <c r="A5083" t="s">
        <v>487</v>
      </c>
      <c r="B5083" t="s">
        <v>465</v>
      </c>
      <c r="C5083" t="s">
        <v>478</v>
      </c>
      <c r="D5083" t="s">
        <v>276</v>
      </c>
      <c r="E5083" t="s">
        <v>280</v>
      </c>
      <c r="F5083">
        <v>2</v>
      </c>
      <c r="G5083" t="s">
        <v>499</v>
      </c>
      <c r="H5083" s="4">
        <v>9418047</v>
      </c>
      <c r="I5083" s="4">
        <v>10485906</v>
      </c>
      <c r="J5083" s="3">
        <v>0.11338433541476274</v>
      </c>
      <c r="K5083" s="3">
        <v>-0.1018375522343992</v>
      </c>
      <c r="L5083" t="s">
        <v>54</v>
      </c>
    </row>
    <row r="5084" spans="1:12" x14ac:dyDescent="0.25">
      <c r="A5084" t="s">
        <v>487</v>
      </c>
      <c r="B5084" t="s">
        <v>465</v>
      </c>
      <c r="C5084" t="s">
        <v>478</v>
      </c>
      <c r="D5084" t="s">
        <v>276</v>
      </c>
      <c r="E5084" t="s">
        <v>282</v>
      </c>
      <c r="F5084">
        <v>3</v>
      </c>
      <c r="G5084" t="s">
        <v>488</v>
      </c>
      <c r="H5084" s="4">
        <v>7318809</v>
      </c>
      <c r="I5084" s="4">
        <v>7758392.023723144</v>
      </c>
      <c r="J5084" s="3">
        <v>0.060062098043977385</v>
      </c>
      <c r="K5084" s="3">
        <v>-0.056659037385454816</v>
      </c>
      <c r="L5084" t="s">
        <v>54</v>
      </c>
    </row>
    <row r="5085" spans="1:12" x14ac:dyDescent="0.25">
      <c r="A5085" t="s">
        <v>487</v>
      </c>
      <c r="B5085" t="s">
        <v>465</v>
      </c>
      <c r="C5085" t="s">
        <v>478</v>
      </c>
      <c r="D5085" t="s">
        <v>276</v>
      </c>
      <c r="E5085" t="s">
        <v>282</v>
      </c>
      <c r="F5085">
        <v>3</v>
      </c>
      <c r="G5085" t="s">
        <v>498</v>
      </c>
      <c r="H5085" s="4">
        <v>7318809</v>
      </c>
      <c r="I5085" s="4">
        <v>7742483</v>
      </c>
      <c r="J5085" s="3">
        <v>0.05788838047283376</v>
      </c>
      <c r="K5085" s="3">
        <v>-0.05472068844064624</v>
      </c>
      <c r="L5085" t="s">
        <v>54</v>
      </c>
    </row>
    <row r="5086" spans="1:12" x14ac:dyDescent="0.25">
      <c r="A5086" t="s">
        <v>487</v>
      </c>
      <c r="B5086" t="s">
        <v>465</v>
      </c>
      <c r="C5086" t="s">
        <v>478</v>
      </c>
      <c r="D5086" t="s">
        <v>276</v>
      </c>
      <c r="E5086" t="s">
        <v>282</v>
      </c>
      <c r="F5086">
        <v>3</v>
      </c>
      <c r="G5086" t="s">
        <v>499</v>
      </c>
      <c r="H5086" s="4">
        <v>7318809</v>
      </c>
      <c r="I5086" s="4">
        <v>10485906</v>
      </c>
      <c r="J5086" s="3">
        <v>0.4327339325291861</v>
      </c>
      <c r="K5086" s="3">
        <v>-0.30203370123668855</v>
      </c>
      <c r="L5086" t="s">
        <v>54</v>
      </c>
    </row>
    <row r="5087" spans="1:12" x14ac:dyDescent="0.25">
      <c r="A5087" t="s">
        <v>487</v>
      </c>
      <c r="B5087" t="s">
        <v>465</v>
      </c>
      <c r="C5087" t="s">
        <v>478</v>
      </c>
      <c r="D5087" t="s">
        <v>278</v>
      </c>
      <c r="E5087" t="s">
        <v>280</v>
      </c>
      <c r="F5087">
        <v>1</v>
      </c>
      <c r="G5087" t="s">
        <v>488</v>
      </c>
      <c r="H5087" s="4">
        <v>9418047</v>
      </c>
      <c r="I5087" s="4">
        <v>10492308.2311491</v>
      </c>
      <c r="J5087" s="3">
        <v>0.11406411872324483</v>
      </c>
      <c r="K5087" s="3">
        <v>-0.10238559595112548</v>
      </c>
      <c r="L5087" t="s">
        <v>54</v>
      </c>
    </row>
    <row r="5088" spans="1:12" x14ac:dyDescent="0.25">
      <c r="A5088" t="s">
        <v>487</v>
      </c>
      <c r="B5088" t="s">
        <v>465</v>
      </c>
      <c r="C5088" t="s">
        <v>478</v>
      </c>
      <c r="D5088" t="s">
        <v>278</v>
      </c>
      <c r="E5088" t="s">
        <v>280</v>
      </c>
      <c r="F5088">
        <v>1</v>
      </c>
      <c r="G5088" t="s">
        <v>498</v>
      </c>
      <c r="H5088" s="4">
        <v>9418047</v>
      </c>
      <c r="I5088" s="4">
        <v>10562896</v>
      </c>
      <c r="J5088" s="3">
        <v>0.12155906633296691</v>
      </c>
      <c r="K5088" s="3">
        <v>-0.1083840075676216</v>
      </c>
      <c r="L5088" t="s">
        <v>54</v>
      </c>
    </row>
    <row r="5089" spans="1:12" x14ac:dyDescent="0.25">
      <c r="A5089" t="s">
        <v>487</v>
      </c>
      <c r="B5089" t="s">
        <v>465</v>
      </c>
      <c r="C5089" t="s">
        <v>478</v>
      </c>
      <c r="D5089" t="s">
        <v>278</v>
      </c>
      <c r="E5089" t="s">
        <v>280</v>
      </c>
      <c r="F5089">
        <v>1</v>
      </c>
      <c r="G5089" t="s">
        <v>499</v>
      </c>
      <c r="H5089" s="4">
        <v>9418047</v>
      </c>
      <c r="I5089" s="4">
        <v>10760034</v>
      </c>
      <c r="J5089" s="3">
        <v>0.14249100689346741</v>
      </c>
      <c r="K5089" s="3">
        <v>-0.12471958731728915</v>
      </c>
      <c r="L5089" t="s">
        <v>54</v>
      </c>
    </row>
    <row r="5090" spans="1:12" x14ac:dyDescent="0.25">
      <c r="A5090" t="s">
        <v>487</v>
      </c>
      <c r="B5090" t="s">
        <v>465</v>
      </c>
      <c r="C5090" t="s">
        <v>478</v>
      </c>
      <c r="D5090" t="s">
        <v>278</v>
      </c>
      <c r="E5090" t="s">
        <v>282</v>
      </c>
      <c r="F5090">
        <v>2</v>
      </c>
      <c r="G5090" t="s">
        <v>488</v>
      </c>
      <c r="H5090" s="4">
        <v>7318809</v>
      </c>
      <c r="I5090" s="4">
        <v>7690742.965795741</v>
      </c>
      <c r="J5090" s="3">
        <v>0.050818919553132405</v>
      </c>
      <c r="K5090" s="3">
        <v>-0.048361252930945973</v>
      </c>
      <c r="L5090" t="s">
        <v>54</v>
      </c>
    </row>
    <row r="5091" spans="1:12" x14ac:dyDescent="0.25">
      <c r="A5091" t="s">
        <v>487</v>
      </c>
      <c r="B5091" t="s">
        <v>465</v>
      </c>
      <c r="C5091" t="s">
        <v>478</v>
      </c>
      <c r="D5091" t="s">
        <v>278</v>
      </c>
      <c r="E5091" t="s">
        <v>282</v>
      </c>
      <c r="F5091">
        <v>2</v>
      </c>
      <c r="G5091" t="s">
        <v>498</v>
      </c>
      <c r="H5091" s="4">
        <v>7318809</v>
      </c>
      <c r="I5091" s="4">
        <v>7742483</v>
      </c>
      <c r="J5091" s="3">
        <v>0.05788838047283376</v>
      </c>
      <c r="K5091" s="3">
        <v>-0.05472068844064624</v>
      </c>
      <c r="L5091" t="s">
        <v>54</v>
      </c>
    </row>
    <row r="5092" spans="1:12" x14ac:dyDescent="0.25">
      <c r="A5092" t="s">
        <v>487</v>
      </c>
      <c r="B5092" t="s">
        <v>465</v>
      </c>
      <c r="C5092" t="s">
        <v>478</v>
      </c>
      <c r="D5092" t="s">
        <v>278</v>
      </c>
      <c r="E5092" t="s">
        <v>282</v>
      </c>
      <c r="F5092">
        <v>2</v>
      </c>
      <c r="G5092" t="s">
        <v>499</v>
      </c>
      <c r="H5092" s="4">
        <v>7318809</v>
      </c>
      <c r="I5092" s="4">
        <v>10760034</v>
      </c>
      <c r="J5092" s="3">
        <v>0.47018920701441996</v>
      </c>
      <c r="K5092" s="3">
        <v>-0.3198154392448946</v>
      </c>
      <c r="L5092" t="s">
        <v>54</v>
      </c>
    </row>
    <row r="5093" spans="1:12" x14ac:dyDescent="0.25">
      <c r="A5093" t="s">
        <v>487</v>
      </c>
      <c r="B5093" t="s">
        <v>465</v>
      </c>
      <c r="C5093" t="s">
        <v>478</v>
      </c>
      <c r="D5093" t="s">
        <v>278</v>
      </c>
      <c r="E5093" t="s">
        <v>284</v>
      </c>
      <c r="F5093">
        <v>3</v>
      </c>
      <c r="G5093" t="s">
        <v>488</v>
      </c>
      <c r="H5093" s="4">
        <v>8874964</v>
      </c>
      <c r="I5093" s="4">
        <v>12499056.68457236</v>
      </c>
      <c r="J5093" s="3">
        <v>0.40835012790726355</v>
      </c>
      <c r="K5093" s="3">
        <v>-0.28994929585731</v>
      </c>
      <c r="L5093" t="s">
        <v>54</v>
      </c>
    </row>
    <row r="5094" spans="1:12" x14ac:dyDescent="0.25">
      <c r="A5094" t="s">
        <v>487</v>
      </c>
      <c r="B5094" t="s">
        <v>465</v>
      </c>
      <c r="C5094" t="s">
        <v>478</v>
      </c>
      <c r="D5094" t="s">
        <v>278</v>
      </c>
      <c r="E5094" t="s">
        <v>284</v>
      </c>
      <c r="F5094">
        <v>3</v>
      </c>
      <c r="G5094" t="s">
        <v>498</v>
      </c>
      <c r="H5094" s="4">
        <v>8874964</v>
      </c>
      <c r="I5094" s="4">
        <v>12583145</v>
      </c>
      <c r="J5094" s="3">
        <v>0.4178249061066614</v>
      </c>
      <c r="K5094" s="3">
        <v>-0.29469429145098464</v>
      </c>
      <c r="L5094" t="s">
        <v>54</v>
      </c>
    </row>
    <row r="5095" spans="1:12" x14ac:dyDescent="0.25">
      <c r="A5095" t="s">
        <v>487</v>
      </c>
      <c r="B5095" t="s">
        <v>465</v>
      </c>
      <c r="C5095" t="s">
        <v>478</v>
      </c>
      <c r="D5095" t="s">
        <v>278</v>
      </c>
      <c r="E5095" t="s">
        <v>284</v>
      </c>
      <c r="F5095">
        <v>3</v>
      </c>
      <c r="G5095" t="s">
        <v>499</v>
      </c>
      <c r="H5095" s="4">
        <v>8874964</v>
      </c>
      <c r="I5095" s="4">
        <v>10760034</v>
      </c>
      <c r="J5095" s="3">
        <v>0.21240311509995985</v>
      </c>
      <c r="K5095" s="3">
        <v>-0.17519182560203805</v>
      </c>
      <c r="L5095" t="s">
        <v>54</v>
      </c>
    </row>
    <row r="5096" spans="1:12" x14ac:dyDescent="0.25">
      <c r="A5096" t="s">
        <v>487</v>
      </c>
      <c r="B5096" t="s">
        <v>465</v>
      </c>
      <c r="C5096" t="s">
        <v>478</v>
      </c>
      <c r="D5096" t="s">
        <v>280</v>
      </c>
      <c r="E5096" t="s">
        <v>282</v>
      </c>
      <c r="F5096">
        <v>1</v>
      </c>
      <c r="G5096" t="s">
        <v>488</v>
      </c>
      <c r="H5096" s="4">
        <v>7318809</v>
      </c>
      <c r="I5096" s="4">
        <v>7590525.029604522</v>
      </c>
      <c r="J5096" s="3">
        <v>0.037125716712175655</v>
      </c>
      <c r="K5096" s="3">
        <v>-0.03579673718810969</v>
      </c>
      <c r="L5096" t="s">
        <v>54</v>
      </c>
    </row>
    <row r="5097" spans="1:12" x14ac:dyDescent="0.25">
      <c r="A5097" t="s">
        <v>487</v>
      </c>
      <c r="B5097" t="s">
        <v>465</v>
      </c>
      <c r="C5097" t="s">
        <v>478</v>
      </c>
      <c r="D5097" t="s">
        <v>280</v>
      </c>
      <c r="E5097" t="s">
        <v>282</v>
      </c>
      <c r="F5097">
        <v>1</v>
      </c>
      <c r="G5097" t="s">
        <v>498</v>
      </c>
      <c r="H5097" s="4">
        <v>7318809</v>
      </c>
      <c r="I5097" s="4">
        <v>7742483</v>
      </c>
      <c r="J5097" s="3">
        <v>0.05788838047283376</v>
      </c>
      <c r="K5097" s="3">
        <v>-0.05472068844064624</v>
      </c>
      <c r="L5097" t="s">
        <v>54</v>
      </c>
    </row>
    <row r="5098" spans="1:12" x14ac:dyDescent="0.25">
      <c r="A5098" t="s">
        <v>487</v>
      </c>
      <c r="B5098" t="s">
        <v>465</v>
      </c>
      <c r="C5098" t="s">
        <v>478</v>
      </c>
      <c r="D5098" t="s">
        <v>280</v>
      </c>
      <c r="E5098" t="s">
        <v>282</v>
      </c>
      <c r="F5098">
        <v>1</v>
      </c>
      <c r="G5098" t="s">
        <v>499</v>
      </c>
      <c r="H5098" s="4">
        <v>7318809</v>
      </c>
      <c r="I5098" s="4">
        <v>9418047</v>
      </c>
      <c r="J5098" s="3">
        <v>0.2868278158372489</v>
      </c>
      <c r="K5098" s="3">
        <v>-0.22289525630950877</v>
      </c>
      <c r="L5098" t="s">
        <v>54</v>
      </c>
    </row>
    <row r="5099" spans="1:12" x14ac:dyDescent="0.25">
      <c r="A5099" t="s">
        <v>487</v>
      </c>
      <c r="B5099" t="s">
        <v>465</v>
      </c>
      <c r="C5099" t="s">
        <v>478</v>
      </c>
      <c r="D5099" t="s">
        <v>280</v>
      </c>
      <c r="E5099" t="s">
        <v>284</v>
      </c>
      <c r="F5099">
        <v>2</v>
      </c>
      <c r="G5099" t="s">
        <v>488</v>
      </c>
      <c r="H5099" s="4">
        <v>8874964</v>
      </c>
      <c r="I5099" s="4">
        <v>12336181.696962459</v>
      </c>
      <c r="J5099" s="3">
        <v>0.38999794218460593</v>
      </c>
      <c r="K5099" s="3">
        <v>-0.2805744745000566</v>
      </c>
      <c r="L5099" t="s">
        <v>54</v>
      </c>
    </row>
    <row r="5100" spans="1:12" x14ac:dyDescent="0.25">
      <c r="A5100" t="s">
        <v>487</v>
      </c>
      <c r="B5100" t="s">
        <v>465</v>
      </c>
      <c r="C5100" t="s">
        <v>478</v>
      </c>
      <c r="D5100" t="s">
        <v>280</v>
      </c>
      <c r="E5100" t="s">
        <v>284</v>
      </c>
      <c r="F5100">
        <v>2</v>
      </c>
      <c r="G5100" t="s">
        <v>498</v>
      </c>
      <c r="H5100" s="4">
        <v>8874964</v>
      </c>
      <c r="I5100" s="4">
        <v>12583145</v>
      </c>
      <c r="J5100" s="3">
        <v>0.4178249061066614</v>
      </c>
      <c r="K5100" s="3">
        <v>-0.29469429145098464</v>
      </c>
      <c r="L5100" t="s">
        <v>54</v>
      </c>
    </row>
    <row r="5101" spans="1:12" x14ac:dyDescent="0.25">
      <c r="A5101" t="s">
        <v>487</v>
      </c>
      <c r="B5101" t="s">
        <v>465</v>
      </c>
      <c r="C5101" t="s">
        <v>478</v>
      </c>
      <c r="D5101" t="s">
        <v>280</v>
      </c>
      <c r="E5101" t="s">
        <v>284</v>
      </c>
      <c r="F5101">
        <v>2</v>
      </c>
      <c r="G5101" t="s">
        <v>499</v>
      </c>
      <c r="H5101" s="4">
        <v>8874964</v>
      </c>
      <c r="I5101" s="4">
        <v>9418047</v>
      </c>
      <c r="J5101" s="3">
        <v>0.06119269892249704</v>
      </c>
      <c r="K5101" s="3">
        <v>-0.057664078338109805</v>
      </c>
      <c r="L5101" t="s">
        <v>54</v>
      </c>
    </row>
    <row r="5102" spans="1:12" x14ac:dyDescent="0.25">
      <c r="A5102" t="s">
        <v>487</v>
      </c>
      <c r="B5102" t="s">
        <v>465</v>
      </c>
      <c r="C5102" t="s">
        <v>478</v>
      </c>
      <c r="D5102" t="s">
        <v>280</v>
      </c>
      <c r="E5102" t="s">
        <v>286</v>
      </c>
      <c r="F5102">
        <v>3</v>
      </c>
      <c r="G5102" t="s">
        <v>488</v>
      </c>
      <c r="H5102" s="4">
        <v>14202329</v>
      </c>
      <c r="I5102" s="4">
        <v>10198615.548864556</v>
      </c>
      <c r="J5102" s="3">
        <v>0.28190541502984784</v>
      </c>
      <c r="K5102" s="3">
        <v>0.39257421087719985</v>
      </c>
      <c r="L5102" t="s">
        <v>54</v>
      </c>
    </row>
    <row r="5103" spans="1:12" x14ac:dyDescent="0.25">
      <c r="A5103" t="s">
        <v>487</v>
      </c>
      <c r="B5103" t="s">
        <v>465</v>
      </c>
      <c r="C5103" t="s">
        <v>478</v>
      </c>
      <c r="D5103" t="s">
        <v>280</v>
      </c>
      <c r="E5103" t="s">
        <v>286</v>
      </c>
      <c r="F5103">
        <v>3</v>
      </c>
      <c r="G5103" t="s">
        <v>498</v>
      </c>
      <c r="H5103" s="4">
        <v>14202329</v>
      </c>
      <c r="I5103" s="4">
        <v>10402786</v>
      </c>
      <c r="J5103" s="3">
        <v>0.26752957208638106</v>
      </c>
      <c r="K5103" s="3">
        <v>0.36524283014184855</v>
      </c>
      <c r="L5103" t="s">
        <v>54</v>
      </c>
    </row>
    <row r="5104" spans="1:12" x14ac:dyDescent="0.25">
      <c r="A5104" t="s">
        <v>487</v>
      </c>
      <c r="B5104" t="s">
        <v>465</v>
      </c>
      <c r="C5104" t="s">
        <v>478</v>
      </c>
      <c r="D5104" t="s">
        <v>280</v>
      </c>
      <c r="E5104" t="s">
        <v>286</v>
      </c>
      <c r="F5104">
        <v>3</v>
      </c>
      <c r="G5104" t="s">
        <v>499</v>
      </c>
      <c r="H5104" s="4">
        <v>14202329</v>
      </c>
      <c r="I5104" s="4">
        <v>9418047</v>
      </c>
      <c r="J5104" s="3">
        <v>0.3368660168342812</v>
      </c>
      <c r="K5104" s="3">
        <v>0.5079908817613673</v>
      </c>
      <c r="L5104" t="s">
        <v>54</v>
      </c>
    </row>
    <row r="5105" spans="1:12" x14ac:dyDescent="0.25">
      <c r="A5105" t="s">
        <v>487</v>
      </c>
      <c r="B5105" t="s">
        <v>465</v>
      </c>
      <c r="C5105" t="s">
        <v>478</v>
      </c>
      <c r="D5105" t="s">
        <v>282</v>
      </c>
      <c r="E5105" t="s">
        <v>284</v>
      </c>
      <c r="F5105">
        <v>1</v>
      </c>
      <c r="G5105" t="s">
        <v>488</v>
      </c>
      <c r="H5105" s="4">
        <v>8874964</v>
      </c>
      <c r="I5105" s="4">
        <v>12343712.58627979</v>
      </c>
      <c r="J5105" s="3">
        <v>0.39084649653562437</v>
      </c>
      <c r="K5105" s="3">
        <v>-0.28101339544598225</v>
      </c>
      <c r="L5105" t="s">
        <v>54</v>
      </c>
    </row>
    <row r="5106" spans="1:12" x14ac:dyDescent="0.25">
      <c r="A5106" t="s">
        <v>487</v>
      </c>
      <c r="B5106" t="s">
        <v>465</v>
      </c>
      <c r="C5106" t="s">
        <v>478</v>
      </c>
      <c r="D5106" t="s">
        <v>282</v>
      </c>
      <c r="E5106" t="s">
        <v>284</v>
      </c>
      <c r="F5106">
        <v>1</v>
      </c>
      <c r="G5106" t="s">
        <v>498</v>
      </c>
      <c r="H5106" s="4">
        <v>8874964</v>
      </c>
      <c r="I5106" s="4">
        <v>12583145</v>
      </c>
      <c r="J5106" s="3">
        <v>0.4178249061066614</v>
      </c>
      <c r="K5106" s="3">
        <v>-0.29469429145098464</v>
      </c>
      <c r="L5106" t="s">
        <v>54</v>
      </c>
    </row>
    <row r="5107" spans="1:12" x14ac:dyDescent="0.25">
      <c r="A5107" t="s">
        <v>487</v>
      </c>
      <c r="B5107" t="s">
        <v>465</v>
      </c>
      <c r="C5107" t="s">
        <v>478</v>
      </c>
      <c r="D5107" t="s">
        <v>282</v>
      </c>
      <c r="E5107" t="s">
        <v>284</v>
      </c>
      <c r="F5107">
        <v>1</v>
      </c>
      <c r="G5107" t="s">
        <v>499</v>
      </c>
      <c r="H5107" s="4">
        <v>8874964</v>
      </c>
      <c r="I5107" s="4">
        <v>7318809</v>
      </c>
      <c r="J5107" s="3">
        <v>0.1753421196976123</v>
      </c>
      <c r="K5107" s="3">
        <v>0.21262407585715107</v>
      </c>
      <c r="L5107" t="s">
        <v>54</v>
      </c>
    </row>
    <row r="5108" spans="1:12" x14ac:dyDescent="0.25">
      <c r="A5108" t="s">
        <v>487</v>
      </c>
      <c r="B5108" t="s">
        <v>465</v>
      </c>
      <c r="C5108" t="s">
        <v>478</v>
      </c>
      <c r="D5108" t="s">
        <v>282</v>
      </c>
      <c r="E5108" t="s">
        <v>286</v>
      </c>
      <c r="F5108">
        <v>2</v>
      </c>
      <c r="G5108" t="s">
        <v>488</v>
      </c>
      <c r="H5108" s="4">
        <v>14202329</v>
      </c>
      <c r="I5108" s="4">
        <v>10204841.51462732</v>
      </c>
      <c r="J5108" s="3">
        <v>0.2814670386365982</v>
      </c>
      <c r="K5108" s="3">
        <v>0.39172460244902363</v>
      </c>
      <c r="L5108" t="s">
        <v>54</v>
      </c>
    </row>
    <row r="5109" spans="1:12" x14ac:dyDescent="0.25">
      <c r="A5109" t="s">
        <v>487</v>
      </c>
      <c r="B5109" t="s">
        <v>465</v>
      </c>
      <c r="C5109" t="s">
        <v>478</v>
      </c>
      <c r="D5109" t="s">
        <v>282</v>
      </c>
      <c r="E5109" t="s">
        <v>286</v>
      </c>
      <c r="F5109">
        <v>2</v>
      </c>
      <c r="G5109" t="s">
        <v>498</v>
      </c>
      <c r="H5109" s="4">
        <v>14202329</v>
      </c>
      <c r="I5109" s="4">
        <v>10402786</v>
      </c>
      <c r="J5109" s="3">
        <v>0.26752957208638106</v>
      </c>
      <c r="K5109" s="3">
        <v>0.36524283014184855</v>
      </c>
      <c r="L5109" t="s">
        <v>54</v>
      </c>
    </row>
    <row r="5110" spans="1:12" x14ac:dyDescent="0.25">
      <c r="A5110" t="s">
        <v>487</v>
      </c>
      <c r="B5110" t="s">
        <v>465</v>
      </c>
      <c r="C5110" t="s">
        <v>478</v>
      </c>
      <c r="D5110" t="s">
        <v>282</v>
      </c>
      <c r="E5110" t="s">
        <v>286</v>
      </c>
      <c r="F5110">
        <v>2</v>
      </c>
      <c r="G5110" t="s">
        <v>499</v>
      </c>
      <c r="H5110" s="4">
        <v>14202329</v>
      </c>
      <c r="I5110" s="4">
        <v>7318809</v>
      </c>
      <c r="J5110" s="3">
        <v>0.48467543597954954</v>
      </c>
      <c r="K5110" s="3">
        <v>0.9405246126794674</v>
      </c>
      <c r="L5110" t="s">
        <v>54</v>
      </c>
    </row>
    <row r="5111" spans="1:12" x14ac:dyDescent="0.25">
      <c r="A5111" t="s">
        <v>487</v>
      </c>
      <c r="B5111" t="s">
        <v>465</v>
      </c>
      <c r="C5111" t="s">
        <v>478</v>
      </c>
      <c r="D5111" t="s">
        <v>282</v>
      </c>
      <c r="E5111" t="s">
        <v>288</v>
      </c>
      <c r="F5111">
        <v>3</v>
      </c>
      <c r="G5111" t="s">
        <v>488</v>
      </c>
      <c r="H5111" s="4">
        <v>11740634</v>
      </c>
      <c r="I5111" s="4">
        <v>9253313.414696611</v>
      </c>
      <c r="J5111" s="3">
        <v>0.21185572987824922</v>
      </c>
      <c r="K5111" s="3">
        <v>0.2688032355364611</v>
      </c>
      <c r="L5111" t="s">
        <v>54</v>
      </c>
    </row>
    <row r="5112" spans="1:12" x14ac:dyDescent="0.25">
      <c r="A5112" t="s">
        <v>487</v>
      </c>
      <c r="B5112" t="s">
        <v>465</v>
      </c>
      <c r="C5112" t="s">
        <v>478</v>
      </c>
      <c r="D5112" t="s">
        <v>282</v>
      </c>
      <c r="E5112" t="s">
        <v>288</v>
      </c>
      <c r="F5112">
        <v>3</v>
      </c>
      <c r="G5112" t="s">
        <v>498</v>
      </c>
      <c r="H5112" s="4">
        <v>11740634</v>
      </c>
      <c r="I5112" s="4">
        <v>9432801</v>
      </c>
      <c r="J5112" s="3">
        <v>0.19656800476021993</v>
      </c>
      <c r="K5112" s="3">
        <v>0.24466041422902912</v>
      </c>
      <c r="L5112" t="s">
        <v>54</v>
      </c>
    </row>
    <row r="5113" spans="1:12" x14ac:dyDescent="0.25">
      <c r="A5113" t="s">
        <v>487</v>
      </c>
      <c r="B5113" t="s">
        <v>465</v>
      </c>
      <c r="C5113" t="s">
        <v>478</v>
      </c>
      <c r="D5113" t="s">
        <v>282</v>
      </c>
      <c r="E5113" t="s">
        <v>288</v>
      </c>
      <c r="F5113">
        <v>3</v>
      </c>
      <c r="G5113" t="s">
        <v>499</v>
      </c>
      <c r="H5113" s="4">
        <v>11740634</v>
      </c>
      <c r="I5113" s="4">
        <v>7318809</v>
      </c>
      <c r="J5113" s="3">
        <v>0.3766257426983926</v>
      </c>
      <c r="K5113" s="3">
        <v>0.6041727554305626</v>
      </c>
      <c r="L5113" t="s">
        <v>54</v>
      </c>
    </row>
    <row r="5114" spans="1:12" x14ac:dyDescent="0.25">
      <c r="A5114" t="s">
        <v>487</v>
      </c>
      <c r="B5114" t="s">
        <v>465</v>
      </c>
      <c r="C5114" t="s">
        <v>478</v>
      </c>
      <c r="D5114" t="s">
        <v>284</v>
      </c>
      <c r="E5114" t="s">
        <v>286</v>
      </c>
      <c r="F5114">
        <v>1</v>
      </c>
      <c r="G5114" t="s">
        <v>488</v>
      </c>
      <c r="H5114" s="4">
        <v>14202329</v>
      </c>
      <c r="I5114" s="4">
        <v>9862350.95777217</v>
      </c>
      <c r="J5114" s="3">
        <v>0.30558213672052176</v>
      </c>
      <c r="K5114" s="3">
        <v>0.4400551208135265</v>
      </c>
      <c r="L5114" t="s">
        <v>54</v>
      </c>
    </row>
    <row r="5115" spans="1:12" x14ac:dyDescent="0.25">
      <c r="A5115" t="s">
        <v>487</v>
      </c>
      <c r="B5115" t="s">
        <v>465</v>
      </c>
      <c r="C5115" t="s">
        <v>478</v>
      </c>
      <c r="D5115" t="s">
        <v>284</v>
      </c>
      <c r="E5115" t="s">
        <v>286</v>
      </c>
      <c r="F5115">
        <v>1</v>
      </c>
      <c r="G5115" t="s">
        <v>498</v>
      </c>
      <c r="H5115" s="4">
        <v>14202329</v>
      </c>
      <c r="I5115" s="4">
        <v>10402786</v>
      </c>
      <c r="J5115" s="3">
        <v>0.26752957208638106</v>
      </c>
      <c r="K5115" s="3">
        <v>0.36524283014184855</v>
      </c>
      <c r="L5115" t="s">
        <v>54</v>
      </c>
    </row>
    <row r="5116" spans="1:12" x14ac:dyDescent="0.25">
      <c r="A5116" t="s">
        <v>487</v>
      </c>
      <c r="B5116" t="s">
        <v>465</v>
      </c>
      <c r="C5116" t="s">
        <v>478</v>
      </c>
      <c r="D5116" t="s">
        <v>284</v>
      </c>
      <c r="E5116" t="s">
        <v>286</v>
      </c>
      <c r="F5116">
        <v>1</v>
      </c>
      <c r="G5116" t="s">
        <v>499</v>
      </c>
      <c r="H5116" s="4">
        <v>14202329</v>
      </c>
      <c r="I5116" s="4">
        <v>8874964</v>
      </c>
      <c r="J5116" s="3">
        <v>0.375105026788212</v>
      </c>
      <c r="K5116" s="3">
        <v>0.6002689137668614</v>
      </c>
      <c r="L5116" t="s">
        <v>54</v>
      </c>
    </row>
    <row r="5117" spans="1:12" x14ac:dyDescent="0.25">
      <c r="A5117" t="s">
        <v>487</v>
      </c>
      <c r="B5117" t="s">
        <v>465</v>
      </c>
      <c r="C5117" t="s">
        <v>478</v>
      </c>
      <c r="D5117" t="s">
        <v>284</v>
      </c>
      <c r="E5117" t="s">
        <v>288</v>
      </c>
      <c r="F5117">
        <v>2</v>
      </c>
      <c r="G5117" t="s">
        <v>488</v>
      </c>
      <c r="H5117" s="4">
        <v>11740634</v>
      </c>
      <c r="I5117" s="4">
        <v>8942757.639811516</v>
      </c>
      <c r="J5117" s="3">
        <v>0.2383070931423707</v>
      </c>
      <c r="K5117" s="3">
        <v>0.31286505492811884</v>
      </c>
      <c r="L5117" t="s">
        <v>54</v>
      </c>
    </row>
    <row r="5118" spans="1:12" x14ac:dyDescent="0.25">
      <c r="A5118" t="s">
        <v>487</v>
      </c>
      <c r="B5118" t="s">
        <v>465</v>
      </c>
      <c r="C5118" t="s">
        <v>478</v>
      </c>
      <c r="D5118" t="s">
        <v>284</v>
      </c>
      <c r="E5118" t="s">
        <v>288</v>
      </c>
      <c r="F5118">
        <v>2</v>
      </c>
      <c r="G5118" t="s">
        <v>498</v>
      </c>
      <c r="H5118" s="4">
        <v>11740634</v>
      </c>
      <c r="I5118" s="4">
        <v>9432801</v>
      </c>
      <c r="J5118" s="3">
        <v>0.19656800476021993</v>
      </c>
      <c r="K5118" s="3">
        <v>0.24466041422902912</v>
      </c>
      <c r="L5118" t="s">
        <v>54</v>
      </c>
    </row>
    <row r="5119" spans="1:12" x14ac:dyDescent="0.25">
      <c r="A5119" t="s">
        <v>487</v>
      </c>
      <c r="B5119" t="s">
        <v>465</v>
      </c>
      <c r="C5119" t="s">
        <v>478</v>
      </c>
      <c r="D5119" t="s">
        <v>284</v>
      </c>
      <c r="E5119" t="s">
        <v>288</v>
      </c>
      <c r="F5119">
        <v>2</v>
      </c>
      <c r="G5119" t="s">
        <v>499</v>
      </c>
      <c r="H5119" s="4">
        <v>11740634</v>
      </c>
      <c r="I5119" s="4">
        <v>8874964</v>
      </c>
      <c r="J5119" s="3">
        <v>0.24408136732650043</v>
      </c>
      <c r="K5119" s="3">
        <v>0.3228937041322083</v>
      </c>
      <c r="L5119" t="s">
        <v>54</v>
      </c>
    </row>
    <row r="5120" spans="1:12" x14ac:dyDescent="0.25">
      <c r="A5120" t="s">
        <v>487</v>
      </c>
      <c r="B5120" t="s">
        <v>465</v>
      </c>
      <c r="C5120" t="s">
        <v>478</v>
      </c>
      <c r="D5120" t="s">
        <v>284</v>
      </c>
      <c r="E5120" t="s">
        <v>290</v>
      </c>
      <c r="F5120">
        <v>3</v>
      </c>
      <c r="G5120" t="s">
        <v>488</v>
      </c>
      <c r="H5120" s="4">
        <v>8718535</v>
      </c>
      <c r="I5120" s="4">
        <v>11585374.096674036</v>
      </c>
      <c r="J5120" s="3">
        <v>0.32882119492254563</v>
      </c>
      <c r="K5120" s="3">
        <v>-0.2474533038598259</v>
      </c>
      <c r="L5120" t="s">
        <v>54</v>
      </c>
    </row>
    <row r="5121" spans="1:12" x14ac:dyDescent="0.25">
      <c r="A5121" t="s">
        <v>487</v>
      </c>
      <c r="B5121" t="s">
        <v>465</v>
      </c>
      <c r="C5121" t="s">
        <v>478</v>
      </c>
      <c r="D5121" t="s">
        <v>284</v>
      </c>
      <c r="E5121" t="s">
        <v>290</v>
      </c>
      <c r="F5121">
        <v>3</v>
      </c>
      <c r="G5121" t="s">
        <v>498</v>
      </c>
      <c r="H5121" s="4">
        <v>8718535</v>
      </c>
      <c r="I5121" s="4">
        <v>12220227</v>
      </c>
      <c r="J5121" s="3">
        <v>0.40163766045556965</v>
      </c>
      <c r="K5121" s="3">
        <v>-0.2865488505246261</v>
      </c>
      <c r="L5121" t="s">
        <v>54</v>
      </c>
    </row>
    <row r="5122" spans="1:12" x14ac:dyDescent="0.25">
      <c r="A5122" t="s">
        <v>487</v>
      </c>
      <c r="B5122" t="s">
        <v>465</v>
      </c>
      <c r="C5122" t="s">
        <v>478</v>
      </c>
      <c r="D5122" t="s">
        <v>284</v>
      </c>
      <c r="E5122" t="s">
        <v>290</v>
      </c>
      <c r="F5122">
        <v>3</v>
      </c>
      <c r="G5122" t="s">
        <v>499</v>
      </c>
      <c r="H5122" s="4">
        <v>8718535</v>
      </c>
      <c r="I5122" s="4">
        <v>8874964</v>
      </c>
      <c r="J5122" s="3">
        <v>0.017942119863027448</v>
      </c>
      <c r="K5122" s="3">
        <v>-0.017625874313405666</v>
      </c>
      <c r="L5122" t="s">
        <v>54</v>
      </c>
    </row>
    <row r="5123" spans="1:12" x14ac:dyDescent="0.25">
      <c r="A5123" t="s">
        <v>487</v>
      </c>
      <c r="B5123" t="s">
        <v>465</v>
      </c>
      <c r="C5123" t="s">
        <v>478</v>
      </c>
      <c r="D5123" t="s">
        <v>286</v>
      </c>
      <c r="E5123" t="s">
        <v>288</v>
      </c>
      <c r="F5123">
        <v>1</v>
      </c>
      <c r="G5123" t="s">
        <v>488</v>
      </c>
      <c r="H5123" s="4">
        <v>11740634</v>
      </c>
      <c r="I5123" s="4">
        <v>9283841.671272619</v>
      </c>
      <c r="J5123" s="3">
        <v>0.20925550772874627</v>
      </c>
      <c r="K5123" s="3">
        <v>0.26463100252232186</v>
      </c>
      <c r="L5123" t="s">
        <v>54</v>
      </c>
    </row>
    <row r="5124" spans="1:12" x14ac:dyDescent="0.25">
      <c r="A5124" t="s">
        <v>487</v>
      </c>
      <c r="B5124" t="s">
        <v>465</v>
      </c>
      <c r="C5124" t="s">
        <v>478</v>
      </c>
      <c r="D5124" t="s">
        <v>286</v>
      </c>
      <c r="E5124" t="s">
        <v>288</v>
      </c>
      <c r="F5124">
        <v>1</v>
      </c>
      <c r="G5124" t="s">
        <v>498</v>
      </c>
      <c r="H5124" s="4">
        <v>11740634</v>
      </c>
      <c r="I5124" s="4">
        <v>9432801</v>
      </c>
      <c r="J5124" s="3">
        <v>0.19656800476021993</v>
      </c>
      <c r="K5124" s="3">
        <v>0.24466041422902912</v>
      </c>
      <c r="L5124" t="s">
        <v>54</v>
      </c>
    </row>
    <row r="5125" spans="1:12" x14ac:dyDescent="0.25">
      <c r="A5125" t="s">
        <v>487</v>
      </c>
      <c r="B5125" t="s">
        <v>465</v>
      </c>
      <c r="C5125" t="s">
        <v>478</v>
      </c>
      <c r="D5125" t="s">
        <v>286</v>
      </c>
      <c r="E5125" t="s">
        <v>288</v>
      </c>
      <c r="F5125">
        <v>1</v>
      </c>
      <c r="G5125" t="s">
        <v>499</v>
      </c>
      <c r="H5125" s="4">
        <v>11740634</v>
      </c>
      <c r="I5125" s="4">
        <v>14202329</v>
      </c>
      <c r="J5125" s="3">
        <v>0.20967308920455233</v>
      </c>
      <c r="K5125" s="3">
        <v>-0.17333037419426067</v>
      </c>
      <c r="L5125" t="s">
        <v>54</v>
      </c>
    </row>
    <row r="5126" spans="1:12" x14ac:dyDescent="0.25">
      <c r="A5126" t="s">
        <v>487</v>
      </c>
      <c r="B5126" t="s">
        <v>465</v>
      </c>
      <c r="C5126" t="s">
        <v>478</v>
      </c>
      <c r="D5126" t="s">
        <v>286</v>
      </c>
      <c r="E5126" t="s">
        <v>290</v>
      </c>
      <c r="F5126">
        <v>2</v>
      </c>
      <c r="G5126" t="s">
        <v>488</v>
      </c>
      <c r="H5126" s="4">
        <v>8718535</v>
      </c>
      <c r="I5126" s="4">
        <v>12027249.663701246</v>
      </c>
      <c r="J5126" s="3">
        <v>0.3795035133426941</v>
      </c>
      <c r="K5126" s="3">
        <v>-0.2751015199831669</v>
      </c>
      <c r="L5126" t="s">
        <v>54</v>
      </c>
    </row>
    <row r="5127" spans="1:12" x14ac:dyDescent="0.25">
      <c r="A5127" t="s">
        <v>487</v>
      </c>
      <c r="B5127" t="s">
        <v>465</v>
      </c>
      <c r="C5127" t="s">
        <v>478</v>
      </c>
      <c r="D5127" t="s">
        <v>286</v>
      </c>
      <c r="E5127" t="s">
        <v>290</v>
      </c>
      <c r="F5127">
        <v>2</v>
      </c>
      <c r="G5127" t="s">
        <v>498</v>
      </c>
      <c r="H5127" s="4">
        <v>8718535</v>
      </c>
      <c r="I5127" s="4">
        <v>12220227</v>
      </c>
      <c r="J5127" s="3">
        <v>0.40163766045556965</v>
      </c>
      <c r="K5127" s="3">
        <v>-0.2865488505246261</v>
      </c>
      <c r="L5127" t="s">
        <v>54</v>
      </c>
    </row>
    <row r="5128" spans="1:12" x14ac:dyDescent="0.25">
      <c r="A5128" t="s">
        <v>487</v>
      </c>
      <c r="B5128" t="s">
        <v>465</v>
      </c>
      <c r="C5128" t="s">
        <v>478</v>
      </c>
      <c r="D5128" t="s">
        <v>286</v>
      </c>
      <c r="E5128" t="s">
        <v>290</v>
      </c>
      <c r="F5128">
        <v>2</v>
      </c>
      <c r="G5128" t="s">
        <v>499</v>
      </c>
      <c r="H5128" s="4">
        <v>8718535</v>
      </c>
      <c r="I5128" s="4">
        <v>14202329</v>
      </c>
      <c r="J5128" s="3">
        <v>0.6289811304307432</v>
      </c>
      <c r="K5128" s="3">
        <v>-0.38611934704512196</v>
      </c>
      <c r="L5128" t="s">
        <v>54</v>
      </c>
    </row>
    <row r="5129" spans="1:12" x14ac:dyDescent="0.25">
      <c r="A5129" t="s">
        <v>487</v>
      </c>
      <c r="B5129" t="s">
        <v>465</v>
      </c>
      <c r="C5129" t="s">
        <v>478</v>
      </c>
      <c r="D5129" t="s">
        <v>286</v>
      </c>
      <c r="E5129" t="s">
        <v>292</v>
      </c>
      <c r="F5129">
        <v>3</v>
      </c>
      <c r="G5129" t="s">
        <v>488</v>
      </c>
      <c r="H5129" s="4">
        <v>3262029</v>
      </c>
      <c r="I5129" s="4">
        <v>11508358.280918619</v>
      </c>
      <c r="J5129" s="3">
        <v>2.5279754658584026</v>
      </c>
      <c r="K5129" s="3">
        <v>-0.7165513168452018</v>
      </c>
      <c r="L5129" t="s">
        <v>54</v>
      </c>
    </row>
    <row r="5130" spans="1:12" x14ac:dyDescent="0.25">
      <c r="A5130" t="s">
        <v>487</v>
      </c>
      <c r="B5130" t="s">
        <v>465</v>
      </c>
      <c r="C5130" t="s">
        <v>478</v>
      </c>
      <c r="D5130" t="s">
        <v>286</v>
      </c>
      <c r="E5130" t="s">
        <v>292</v>
      </c>
      <c r="F5130">
        <v>3</v>
      </c>
      <c r="G5130" t="s">
        <v>498</v>
      </c>
      <c r="H5130" s="4">
        <v>3262029</v>
      </c>
      <c r="I5130" s="4">
        <v>11693010</v>
      </c>
      <c r="J5130" s="3">
        <v>2.5845818660716997</v>
      </c>
      <c r="K5130" s="3">
        <v>-0.7210274343389769</v>
      </c>
      <c r="L5130" t="s">
        <v>54</v>
      </c>
    </row>
    <row r="5131" spans="1:12" x14ac:dyDescent="0.25">
      <c r="A5131" t="s">
        <v>487</v>
      </c>
      <c r="B5131" t="s">
        <v>465</v>
      </c>
      <c r="C5131" t="s">
        <v>478</v>
      </c>
      <c r="D5131" t="s">
        <v>286</v>
      </c>
      <c r="E5131" t="s">
        <v>292</v>
      </c>
      <c r="F5131">
        <v>3</v>
      </c>
      <c r="G5131" t="s">
        <v>499</v>
      </c>
      <c r="H5131" s="4">
        <v>3262029</v>
      </c>
      <c r="I5131" s="4">
        <v>14202329</v>
      </c>
      <c r="J5131" s="3">
        <v>3.3538328445271333</v>
      </c>
      <c r="K5131" s="3">
        <v>-0.7703173190819619</v>
      </c>
      <c r="L5131" t="s">
        <v>54</v>
      </c>
    </row>
    <row r="5132" spans="1:12" x14ac:dyDescent="0.25">
      <c r="A5132" t="s">
        <v>487</v>
      </c>
      <c r="B5132" t="s">
        <v>465</v>
      </c>
      <c r="C5132" t="s">
        <v>478</v>
      </c>
      <c r="D5132" t="s">
        <v>288</v>
      </c>
      <c r="E5132" t="s">
        <v>290</v>
      </c>
      <c r="F5132">
        <v>1</v>
      </c>
      <c r="G5132" t="s">
        <v>488</v>
      </c>
      <c r="H5132" s="4">
        <v>8718535</v>
      </c>
      <c r="I5132" s="4">
        <v>12480137.387703152</v>
      </c>
      <c r="J5132" s="3">
        <v>0.4314489060034917</v>
      </c>
      <c r="K5132" s="3">
        <v>-0.3014071296530365</v>
      </c>
      <c r="L5132" t="s">
        <v>54</v>
      </c>
    </row>
    <row r="5133" spans="1:12" x14ac:dyDescent="0.25">
      <c r="A5133" t="s">
        <v>487</v>
      </c>
      <c r="B5133" t="s">
        <v>465</v>
      </c>
      <c r="C5133" t="s">
        <v>478</v>
      </c>
      <c r="D5133" t="s">
        <v>288</v>
      </c>
      <c r="E5133" t="s">
        <v>290</v>
      </c>
      <c r="F5133">
        <v>1</v>
      </c>
      <c r="G5133" t="s">
        <v>498</v>
      </c>
      <c r="H5133" s="4">
        <v>8718535</v>
      </c>
      <c r="I5133" s="4">
        <v>12220227</v>
      </c>
      <c r="J5133" s="3">
        <v>0.40163766045556965</v>
      </c>
      <c r="K5133" s="3">
        <v>-0.2865488505246261</v>
      </c>
      <c r="L5133" t="s">
        <v>54</v>
      </c>
    </row>
    <row r="5134" spans="1:12" x14ac:dyDescent="0.25">
      <c r="A5134" t="s">
        <v>487</v>
      </c>
      <c r="B5134" t="s">
        <v>465</v>
      </c>
      <c r="C5134" t="s">
        <v>478</v>
      </c>
      <c r="D5134" t="s">
        <v>288</v>
      </c>
      <c r="E5134" t="s">
        <v>290</v>
      </c>
      <c r="F5134">
        <v>1</v>
      </c>
      <c r="G5134" t="s">
        <v>499</v>
      </c>
      <c r="H5134" s="4">
        <v>8718535</v>
      </c>
      <c r="I5134" s="4">
        <v>11740634</v>
      </c>
      <c r="J5134" s="3">
        <v>0.34662922153779274</v>
      </c>
      <c r="K5134" s="3">
        <v>-0.257405094137165</v>
      </c>
      <c r="L5134" t="s">
        <v>54</v>
      </c>
    </row>
    <row r="5135" spans="1:12" x14ac:dyDescent="0.25">
      <c r="A5135" t="s">
        <v>487</v>
      </c>
      <c r="B5135" t="s">
        <v>465</v>
      </c>
      <c r="C5135" t="s">
        <v>478</v>
      </c>
      <c r="D5135" t="s">
        <v>288</v>
      </c>
      <c r="E5135" t="s">
        <v>292</v>
      </c>
      <c r="F5135">
        <v>2</v>
      </c>
      <c r="G5135" t="s">
        <v>488</v>
      </c>
      <c r="H5135" s="4">
        <v>3262029</v>
      </c>
      <c r="I5135" s="4">
        <v>11941707.079237303</v>
      </c>
      <c r="J5135" s="3">
        <v>2.660821862478017</v>
      </c>
      <c r="K5135" s="3">
        <v>-0.726837295676797</v>
      </c>
      <c r="L5135" t="s">
        <v>54</v>
      </c>
    </row>
    <row r="5136" spans="1:12" x14ac:dyDescent="0.25">
      <c r="A5136" t="s">
        <v>487</v>
      </c>
      <c r="B5136" t="s">
        <v>465</v>
      </c>
      <c r="C5136" t="s">
        <v>478</v>
      </c>
      <c r="D5136" t="s">
        <v>288</v>
      </c>
      <c r="E5136" t="s">
        <v>292</v>
      </c>
      <c r="F5136">
        <v>2</v>
      </c>
      <c r="G5136" t="s">
        <v>498</v>
      </c>
      <c r="H5136" s="4">
        <v>3262029</v>
      </c>
      <c r="I5136" s="4">
        <v>11693010</v>
      </c>
      <c r="J5136" s="3">
        <v>2.5845818660716997</v>
      </c>
      <c r="K5136" s="3">
        <v>-0.7210274343389769</v>
      </c>
      <c r="L5136" t="s">
        <v>54</v>
      </c>
    </row>
    <row r="5137" spans="1:12" x14ac:dyDescent="0.25">
      <c r="A5137" t="s">
        <v>487</v>
      </c>
      <c r="B5137" t="s">
        <v>465</v>
      </c>
      <c r="C5137" t="s">
        <v>478</v>
      </c>
      <c r="D5137" t="s">
        <v>288</v>
      </c>
      <c r="E5137" t="s">
        <v>292</v>
      </c>
      <c r="F5137">
        <v>2</v>
      </c>
      <c r="G5137" t="s">
        <v>499</v>
      </c>
      <c r="H5137" s="4">
        <v>3262029</v>
      </c>
      <c r="I5137" s="4">
        <v>11740634</v>
      </c>
      <c r="J5137" s="3">
        <v>2.599181368405983</v>
      </c>
      <c r="K5137" s="3">
        <v>-0.7221590418370933</v>
      </c>
      <c r="L5137" t="s">
        <v>54</v>
      </c>
    </row>
    <row r="5138" spans="1:12" x14ac:dyDescent="0.25">
      <c r="A5138" t="s">
        <v>487</v>
      </c>
      <c r="B5138" t="s">
        <v>465</v>
      </c>
      <c r="C5138" t="s">
        <v>478</v>
      </c>
      <c r="D5138" t="s">
        <v>288</v>
      </c>
      <c r="E5138" t="s">
        <v>294</v>
      </c>
      <c r="F5138">
        <v>3</v>
      </c>
      <c r="G5138" t="s">
        <v>488</v>
      </c>
      <c r="H5138" s="4">
        <v>5588319</v>
      </c>
      <c r="I5138" s="4">
        <v>9993319.100047445</v>
      </c>
      <c r="J5138" s="3">
        <v>0.7882513686222001</v>
      </c>
      <c r="K5138" s="3">
        <v>-0.44079450040042567</v>
      </c>
      <c r="L5138" t="s">
        <v>54</v>
      </c>
    </row>
    <row r="5139" spans="1:12" x14ac:dyDescent="0.25">
      <c r="A5139" t="s">
        <v>487</v>
      </c>
      <c r="B5139" t="s">
        <v>465</v>
      </c>
      <c r="C5139" t="s">
        <v>478</v>
      </c>
      <c r="D5139" t="s">
        <v>288</v>
      </c>
      <c r="E5139" t="s">
        <v>294</v>
      </c>
      <c r="F5139">
        <v>3</v>
      </c>
      <c r="G5139" t="s">
        <v>498</v>
      </c>
      <c r="H5139" s="4">
        <v>5588319</v>
      </c>
      <c r="I5139" s="4">
        <v>9785199</v>
      </c>
      <c r="J5139" s="3">
        <v>0.7510093822489374</v>
      </c>
      <c r="K5139" s="3">
        <v>-0.4289008327781581</v>
      </c>
      <c r="L5139" t="s">
        <v>54</v>
      </c>
    </row>
    <row r="5140" spans="1:12" x14ac:dyDescent="0.25">
      <c r="A5140" t="s">
        <v>487</v>
      </c>
      <c r="B5140" t="s">
        <v>465</v>
      </c>
      <c r="C5140" t="s">
        <v>478</v>
      </c>
      <c r="D5140" t="s">
        <v>288</v>
      </c>
      <c r="E5140" t="s">
        <v>294</v>
      </c>
      <c r="F5140">
        <v>3</v>
      </c>
      <c r="G5140" t="s">
        <v>499</v>
      </c>
      <c r="H5140" s="4">
        <v>5588319</v>
      </c>
      <c r="I5140" s="4">
        <v>11740634</v>
      </c>
      <c r="J5140" s="3">
        <v>1.1009240882633937</v>
      </c>
      <c r="K5140" s="3">
        <v>-0.5240189754658905</v>
      </c>
      <c r="L5140" t="s">
        <v>54</v>
      </c>
    </row>
    <row r="5141" spans="1:12" x14ac:dyDescent="0.25">
      <c r="A5141" t="s">
        <v>487</v>
      </c>
      <c r="B5141" t="s">
        <v>465</v>
      </c>
      <c r="C5141" t="s">
        <v>478</v>
      </c>
      <c r="D5141" t="s">
        <v>290</v>
      </c>
      <c r="E5141" t="s">
        <v>292</v>
      </c>
      <c r="F5141">
        <v>1</v>
      </c>
      <c r="G5141" t="s">
        <v>488</v>
      </c>
      <c r="H5141" s="4">
        <v>3262029</v>
      </c>
      <c r="I5141" s="4">
        <v>11510469.225641958</v>
      </c>
      <c r="J5141" s="3">
        <v>2.528622592148003</v>
      </c>
      <c r="K5141" s="3">
        <v>-0.7166032994786039</v>
      </c>
      <c r="L5141" t="s">
        <v>54</v>
      </c>
    </row>
    <row r="5142" spans="1:12" x14ac:dyDescent="0.25">
      <c r="A5142" t="s">
        <v>487</v>
      </c>
      <c r="B5142" t="s">
        <v>465</v>
      </c>
      <c r="C5142" t="s">
        <v>478</v>
      </c>
      <c r="D5142" t="s">
        <v>290</v>
      </c>
      <c r="E5142" t="s">
        <v>292</v>
      </c>
      <c r="F5142">
        <v>1</v>
      </c>
      <c r="G5142" t="s">
        <v>498</v>
      </c>
      <c r="H5142" s="4">
        <v>3262029</v>
      </c>
      <c r="I5142" s="4">
        <v>11693010</v>
      </c>
      <c r="J5142" s="3">
        <v>2.5845818660716997</v>
      </c>
      <c r="K5142" s="3">
        <v>-0.7210274343389769</v>
      </c>
      <c r="L5142" t="s">
        <v>54</v>
      </c>
    </row>
    <row r="5143" spans="1:12" x14ac:dyDescent="0.25">
      <c r="A5143" t="s">
        <v>487</v>
      </c>
      <c r="B5143" t="s">
        <v>465</v>
      </c>
      <c r="C5143" t="s">
        <v>478</v>
      </c>
      <c r="D5143" t="s">
        <v>290</v>
      </c>
      <c r="E5143" t="s">
        <v>292</v>
      </c>
      <c r="F5143">
        <v>1</v>
      </c>
      <c r="G5143" t="s">
        <v>499</v>
      </c>
      <c r="H5143" s="4">
        <v>3262029</v>
      </c>
      <c r="I5143" s="4">
        <v>8718535</v>
      </c>
      <c r="J5143" s="3">
        <v>1.6727337494547105</v>
      </c>
      <c r="K5143" s="3">
        <v>-0.6258512467977705</v>
      </c>
      <c r="L5143" t="s">
        <v>54</v>
      </c>
    </row>
    <row r="5144" spans="1:12" x14ac:dyDescent="0.25">
      <c r="A5144" t="s">
        <v>487</v>
      </c>
      <c r="B5144" t="s">
        <v>465</v>
      </c>
      <c r="C5144" t="s">
        <v>478</v>
      </c>
      <c r="D5144" t="s">
        <v>290</v>
      </c>
      <c r="E5144" t="s">
        <v>294</v>
      </c>
      <c r="F5144">
        <v>2</v>
      </c>
      <c r="G5144" t="s">
        <v>488</v>
      </c>
      <c r="H5144" s="4">
        <v>5588319</v>
      </c>
      <c r="I5144" s="4">
        <v>9632441.258177534</v>
      </c>
      <c r="J5144" s="3">
        <v>0.7236741957961838</v>
      </c>
      <c r="K5144" s="3">
        <v>-0.41984395749563963</v>
      </c>
      <c r="L5144" t="s">
        <v>54</v>
      </c>
    </row>
    <row r="5145" spans="1:12" x14ac:dyDescent="0.25">
      <c r="A5145" t="s">
        <v>487</v>
      </c>
      <c r="B5145" t="s">
        <v>465</v>
      </c>
      <c r="C5145" t="s">
        <v>478</v>
      </c>
      <c r="D5145" t="s">
        <v>290</v>
      </c>
      <c r="E5145" t="s">
        <v>294</v>
      </c>
      <c r="F5145">
        <v>2</v>
      </c>
      <c r="G5145" t="s">
        <v>498</v>
      </c>
      <c r="H5145" s="4">
        <v>5588319</v>
      </c>
      <c r="I5145" s="4">
        <v>9785199</v>
      </c>
      <c r="J5145" s="3">
        <v>0.7510093822489374</v>
      </c>
      <c r="K5145" s="3">
        <v>-0.4289008327781581</v>
      </c>
      <c r="L5145" t="s">
        <v>54</v>
      </c>
    </row>
    <row r="5146" spans="1:12" x14ac:dyDescent="0.25">
      <c r="A5146" t="s">
        <v>487</v>
      </c>
      <c r="B5146" t="s">
        <v>465</v>
      </c>
      <c r="C5146" t="s">
        <v>478</v>
      </c>
      <c r="D5146" t="s">
        <v>290</v>
      </c>
      <c r="E5146" t="s">
        <v>294</v>
      </c>
      <c r="F5146">
        <v>2</v>
      </c>
      <c r="G5146" t="s">
        <v>499</v>
      </c>
      <c r="H5146" s="4">
        <v>5588319</v>
      </c>
      <c r="I5146" s="4">
        <v>8718535</v>
      </c>
      <c r="J5146" s="3">
        <v>0.5601355255489173</v>
      </c>
      <c r="K5146" s="3">
        <v>-0.3590300434648711</v>
      </c>
      <c r="L5146" t="s">
        <v>54</v>
      </c>
    </row>
    <row r="5147" spans="1:12" x14ac:dyDescent="0.25">
      <c r="A5147" t="s">
        <v>487</v>
      </c>
      <c r="B5147" t="s">
        <v>465</v>
      </c>
      <c r="C5147" t="s">
        <v>478</v>
      </c>
      <c r="D5147" t="s">
        <v>290</v>
      </c>
      <c r="E5147" t="s">
        <v>296</v>
      </c>
      <c r="F5147">
        <v>3</v>
      </c>
      <c r="G5147" t="s">
        <v>488</v>
      </c>
      <c r="H5147" s="4">
        <v>8160399</v>
      </c>
      <c r="I5147" s="4">
        <v>11963009.536563138</v>
      </c>
      <c r="J5147" s="3">
        <v>0.4659834079881557</v>
      </c>
      <c r="K5147" s="3">
        <v>-0.31786403955802517</v>
      </c>
      <c r="L5147" t="s">
        <v>54</v>
      </c>
    </row>
    <row r="5148" spans="1:12" x14ac:dyDescent="0.25">
      <c r="A5148" t="s">
        <v>487</v>
      </c>
      <c r="B5148" t="s">
        <v>465</v>
      </c>
      <c r="C5148" t="s">
        <v>478</v>
      </c>
      <c r="D5148" t="s">
        <v>290</v>
      </c>
      <c r="E5148" t="s">
        <v>296</v>
      </c>
      <c r="F5148">
        <v>3</v>
      </c>
      <c r="G5148" t="s">
        <v>498</v>
      </c>
      <c r="H5148" s="4">
        <v>8160399</v>
      </c>
      <c r="I5148" s="4">
        <v>12152727</v>
      </c>
      <c r="J5148" s="3">
        <v>0.48923196034899763</v>
      </c>
      <c r="K5148" s="3">
        <v>-0.32851293376375523</v>
      </c>
      <c r="L5148" t="s">
        <v>54</v>
      </c>
    </row>
    <row r="5149" spans="1:12" x14ac:dyDescent="0.25">
      <c r="A5149" t="s">
        <v>487</v>
      </c>
      <c r="B5149" t="s">
        <v>465</v>
      </c>
      <c r="C5149" t="s">
        <v>478</v>
      </c>
      <c r="D5149" t="s">
        <v>290</v>
      </c>
      <c r="E5149" t="s">
        <v>296</v>
      </c>
      <c r="F5149">
        <v>3</v>
      </c>
      <c r="G5149" t="s">
        <v>499</v>
      </c>
      <c r="H5149" s="4">
        <v>8160399</v>
      </c>
      <c r="I5149" s="4">
        <v>8718535</v>
      </c>
      <c r="J5149" s="3">
        <v>0.06839567526048665</v>
      </c>
      <c r="K5149" s="3">
        <v>-0.06401717719777462</v>
      </c>
      <c r="L5149" t="s">
        <v>54</v>
      </c>
    </row>
    <row r="5150" spans="1:12" x14ac:dyDescent="0.25">
      <c r="A5150" t="s">
        <v>487</v>
      </c>
      <c r="B5150" t="s">
        <v>465</v>
      </c>
      <c r="C5150" t="s">
        <v>478</v>
      </c>
      <c r="D5150" t="s">
        <v>292</v>
      </c>
      <c r="E5150" t="s">
        <v>294</v>
      </c>
      <c r="F5150">
        <v>1</v>
      </c>
      <c r="G5150" t="s">
        <v>488</v>
      </c>
      <c r="H5150" s="4">
        <v>5588319</v>
      </c>
      <c r="I5150" s="4">
        <v>9009682.662736077</v>
      </c>
      <c r="J5150" s="3">
        <v>0.6122348532243912</v>
      </c>
      <c r="K5150" s="3">
        <v>-0.37974297106898003</v>
      </c>
      <c r="L5150" t="s">
        <v>54</v>
      </c>
    </row>
    <row r="5151" spans="1:12" x14ac:dyDescent="0.25">
      <c r="A5151" t="s">
        <v>487</v>
      </c>
      <c r="B5151" t="s">
        <v>465</v>
      </c>
      <c r="C5151" t="s">
        <v>478</v>
      </c>
      <c r="D5151" t="s">
        <v>292</v>
      </c>
      <c r="E5151" t="s">
        <v>294</v>
      </c>
      <c r="F5151">
        <v>1</v>
      </c>
      <c r="G5151" t="s">
        <v>498</v>
      </c>
      <c r="H5151" s="4">
        <v>5588319</v>
      </c>
      <c r="I5151" s="4">
        <v>9785199</v>
      </c>
      <c r="J5151" s="3">
        <v>0.7510093822489374</v>
      </c>
      <c r="K5151" s="3">
        <v>-0.4289008327781581</v>
      </c>
      <c r="L5151" t="s">
        <v>54</v>
      </c>
    </row>
    <row r="5152" spans="1:12" x14ac:dyDescent="0.25">
      <c r="A5152" t="s">
        <v>487</v>
      </c>
      <c r="B5152" t="s">
        <v>465</v>
      </c>
      <c r="C5152" t="s">
        <v>478</v>
      </c>
      <c r="D5152" t="s">
        <v>292</v>
      </c>
      <c r="E5152" t="s">
        <v>294</v>
      </c>
      <c r="F5152">
        <v>1</v>
      </c>
      <c r="G5152" t="s">
        <v>499</v>
      </c>
      <c r="H5152" s="4">
        <v>5588319</v>
      </c>
      <c r="I5152" s="4">
        <v>3262029</v>
      </c>
      <c r="J5152" s="3">
        <v>0.4162772382893675</v>
      </c>
      <c r="K5152" s="3">
        <v>0.7131420352179579</v>
      </c>
      <c r="L5152" t="s">
        <v>54</v>
      </c>
    </row>
    <row r="5153" spans="1:12" x14ac:dyDescent="0.25">
      <c r="A5153" t="s">
        <v>487</v>
      </c>
      <c r="B5153" t="s">
        <v>465</v>
      </c>
      <c r="C5153" t="s">
        <v>478</v>
      </c>
      <c r="D5153" t="s">
        <v>292</v>
      </c>
      <c r="E5153" t="s">
        <v>296</v>
      </c>
      <c r="F5153">
        <v>2</v>
      </c>
      <c r="G5153" t="s">
        <v>488</v>
      </c>
      <c r="H5153" s="4">
        <v>8160399</v>
      </c>
      <c r="I5153" s="4">
        <v>11189574.556109142</v>
      </c>
      <c r="J5153" s="3">
        <v>0.371204343820583</v>
      </c>
      <c r="K5153" s="3">
        <v>-0.27071409560029347</v>
      </c>
      <c r="L5153" t="s">
        <v>54</v>
      </c>
    </row>
    <row r="5154" spans="1:12" x14ac:dyDescent="0.25">
      <c r="A5154" t="s">
        <v>487</v>
      </c>
      <c r="B5154" t="s">
        <v>465</v>
      </c>
      <c r="C5154" t="s">
        <v>478</v>
      </c>
      <c r="D5154" t="s">
        <v>292</v>
      </c>
      <c r="E5154" t="s">
        <v>296</v>
      </c>
      <c r="F5154">
        <v>2</v>
      </c>
      <c r="G5154" t="s">
        <v>498</v>
      </c>
      <c r="H5154" s="4">
        <v>8160399</v>
      </c>
      <c r="I5154" s="4">
        <v>12152727</v>
      </c>
      <c r="J5154" s="3">
        <v>0.48923196034899763</v>
      </c>
      <c r="K5154" s="3">
        <v>-0.32851293376375523</v>
      </c>
      <c r="L5154" t="s">
        <v>54</v>
      </c>
    </row>
    <row r="5155" spans="1:12" x14ac:dyDescent="0.25">
      <c r="A5155" t="s">
        <v>487</v>
      </c>
      <c r="B5155" t="s">
        <v>465</v>
      </c>
      <c r="C5155" t="s">
        <v>478</v>
      </c>
      <c r="D5155" t="s">
        <v>292</v>
      </c>
      <c r="E5155" t="s">
        <v>296</v>
      </c>
      <c r="F5155">
        <v>2</v>
      </c>
      <c r="G5155" t="s">
        <v>499</v>
      </c>
      <c r="H5155" s="4">
        <v>8160399</v>
      </c>
      <c r="I5155" s="4">
        <v>3262029</v>
      </c>
      <c r="J5155" s="3">
        <v>0.6002610901746348</v>
      </c>
      <c r="K5155" s="3">
        <v>1.5016328794133957</v>
      </c>
      <c r="L5155" t="s">
        <v>54</v>
      </c>
    </row>
    <row r="5156" spans="1:12" x14ac:dyDescent="0.25">
      <c r="A5156" t="s">
        <v>487</v>
      </c>
      <c r="B5156" t="s">
        <v>465</v>
      </c>
      <c r="C5156" t="s">
        <v>478</v>
      </c>
      <c r="D5156" t="s">
        <v>292</v>
      </c>
      <c r="E5156" t="s">
        <v>298</v>
      </c>
      <c r="F5156">
        <v>3</v>
      </c>
      <c r="G5156" t="s">
        <v>488</v>
      </c>
      <c r="H5156" s="4">
        <v>9894926</v>
      </c>
      <c r="I5156" s="4">
        <v>9626502.3658041</v>
      </c>
      <c r="J5156" s="3">
        <v>0.02712740188212621</v>
      </c>
      <c r="K5156" s="3">
        <v>0.027883817402820345</v>
      </c>
      <c r="L5156" t="s">
        <v>54</v>
      </c>
    </row>
    <row r="5157" spans="1:12" x14ac:dyDescent="0.25">
      <c r="A5157" t="s">
        <v>487</v>
      </c>
      <c r="B5157" t="s">
        <v>465</v>
      </c>
      <c r="C5157" t="s">
        <v>478</v>
      </c>
      <c r="D5157" t="s">
        <v>292</v>
      </c>
      <c r="E5157" t="s">
        <v>298</v>
      </c>
      <c r="F5157">
        <v>3</v>
      </c>
      <c r="G5157" t="s">
        <v>498</v>
      </c>
      <c r="H5157" s="4">
        <v>9894926</v>
      </c>
      <c r="I5157" s="4">
        <v>10455112</v>
      </c>
      <c r="J5157" s="3">
        <v>0.05661346027246692</v>
      </c>
      <c r="K5157" s="3">
        <v>-0.05358010511986863</v>
      </c>
      <c r="L5157" t="s">
        <v>54</v>
      </c>
    </row>
    <row r="5158" spans="1:12" x14ac:dyDescent="0.25">
      <c r="A5158" t="s">
        <v>487</v>
      </c>
      <c r="B5158" t="s">
        <v>465</v>
      </c>
      <c r="C5158" t="s">
        <v>478</v>
      </c>
      <c r="D5158" t="s">
        <v>292</v>
      </c>
      <c r="E5158" t="s">
        <v>298</v>
      </c>
      <c r="F5158">
        <v>3</v>
      </c>
      <c r="G5158" t="s">
        <v>499</v>
      </c>
      <c r="H5158" s="4">
        <v>9894926</v>
      </c>
      <c r="I5158" s="4">
        <v>3262029</v>
      </c>
      <c r="J5158" s="3">
        <v>0.6703331586309994</v>
      </c>
      <c r="K5158" s="3">
        <v>2.0333654299210706</v>
      </c>
      <c r="L5158" t="s">
        <v>54</v>
      </c>
    </row>
    <row r="5159" spans="1:12" x14ac:dyDescent="0.25">
      <c r="A5159" t="s">
        <v>487</v>
      </c>
      <c r="B5159" t="s">
        <v>465</v>
      </c>
      <c r="C5159" t="s">
        <v>478</v>
      </c>
      <c r="D5159" t="s">
        <v>294</v>
      </c>
      <c r="E5159" t="s">
        <v>296</v>
      </c>
      <c r="F5159">
        <v>1</v>
      </c>
      <c r="G5159" t="s">
        <v>488</v>
      </c>
      <c r="H5159" s="4">
        <v>8160399</v>
      </c>
      <c r="I5159" s="4">
        <v>10644929.46394376</v>
      </c>
      <c r="J5159" s="3">
        <v>0.3044618852514149</v>
      </c>
      <c r="K5159" s="3">
        <v>-0.23340036891360347</v>
      </c>
      <c r="L5159" t="s">
        <v>54</v>
      </c>
    </row>
    <row r="5160" spans="1:12" x14ac:dyDescent="0.25">
      <c r="A5160" t="s">
        <v>487</v>
      </c>
      <c r="B5160" t="s">
        <v>465</v>
      </c>
      <c r="C5160" t="s">
        <v>478</v>
      </c>
      <c r="D5160" t="s">
        <v>294</v>
      </c>
      <c r="E5160" t="s">
        <v>296</v>
      </c>
      <c r="F5160">
        <v>1</v>
      </c>
      <c r="G5160" t="s">
        <v>498</v>
      </c>
      <c r="H5160" s="4">
        <v>8160399</v>
      </c>
      <c r="I5160" s="4">
        <v>12152727</v>
      </c>
      <c r="J5160" s="3">
        <v>0.48923196034899763</v>
      </c>
      <c r="K5160" s="3">
        <v>-0.32851293376375523</v>
      </c>
      <c r="L5160" t="s">
        <v>54</v>
      </c>
    </row>
    <row r="5161" spans="1:12" x14ac:dyDescent="0.25">
      <c r="A5161" t="s">
        <v>487</v>
      </c>
      <c r="B5161" t="s">
        <v>465</v>
      </c>
      <c r="C5161" t="s">
        <v>478</v>
      </c>
      <c r="D5161" t="s">
        <v>294</v>
      </c>
      <c r="E5161" t="s">
        <v>296</v>
      </c>
      <c r="F5161">
        <v>1</v>
      </c>
      <c r="G5161" t="s">
        <v>499</v>
      </c>
      <c r="H5161" s="4">
        <v>8160399</v>
      </c>
      <c r="I5161" s="4">
        <v>5588319</v>
      </c>
      <c r="J5161" s="3">
        <v>0.3151904704659662</v>
      </c>
      <c r="K5161" s="3">
        <v>0.460260053157309</v>
      </c>
      <c r="L5161" t="s">
        <v>54</v>
      </c>
    </row>
    <row r="5162" spans="1:12" x14ac:dyDescent="0.25">
      <c r="A5162" t="s">
        <v>487</v>
      </c>
      <c r="B5162" t="s">
        <v>465</v>
      </c>
      <c r="C5162" t="s">
        <v>478</v>
      </c>
      <c r="D5162" t="s">
        <v>294</v>
      </c>
      <c r="E5162" t="s">
        <v>298</v>
      </c>
      <c r="F5162">
        <v>2</v>
      </c>
      <c r="G5162" t="s">
        <v>488</v>
      </c>
      <c r="H5162" s="4">
        <v>9894926</v>
      </c>
      <c r="I5162" s="4">
        <v>9157938.771901317</v>
      </c>
      <c r="J5162" s="3">
        <v>0.07448132791480028</v>
      </c>
      <c r="K5162" s="3">
        <v>0.08047522990216216</v>
      </c>
      <c r="L5162" t="s">
        <v>54</v>
      </c>
    </row>
    <row r="5163" spans="1:12" x14ac:dyDescent="0.25">
      <c r="A5163" t="s">
        <v>487</v>
      </c>
      <c r="B5163" t="s">
        <v>465</v>
      </c>
      <c r="C5163" t="s">
        <v>478</v>
      </c>
      <c r="D5163" t="s">
        <v>294</v>
      </c>
      <c r="E5163" t="s">
        <v>298</v>
      </c>
      <c r="F5163">
        <v>2</v>
      </c>
      <c r="G5163" t="s">
        <v>498</v>
      </c>
      <c r="H5163" s="4">
        <v>9894926</v>
      </c>
      <c r="I5163" s="4">
        <v>10455112</v>
      </c>
      <c r="J5163" s="3">
        <v>0.05661346027246692</v>
      </c>
      <c r="K5163" s="3">
        <v>-0.05358010511986863</v>
      </c>
      <c r="L5163" t="s">
        <v>54</v>
      </c>
    </row>
    <row r="5164" spans="1:12" x14ac:dyDescent="0.25">
      <c r="A5164" t="s">
        <v>487</v>
      </c>
      <c r="B5164" t="s">
        <v>465</v>
      </c>
      <c r="C5164" t="s">
        <v>478</v>
      </c>
      <c r="D5164" t="s">
        <v>294</v>
      </c>
      <c r="E5164" t="s">
        <v>298</v>
      </c>
      <c r="F5164">
        <v>2</v>
      </c>
      <c r="G5164" t="s">
        <v>499</v>
      </c>
      <c r="H5164" s="4">
        <v>9894926</v>
      </c>
      <c r="I5164" s="4">
        <v>5588319</v>
      </c>
      <c r="J5164" s="3">
        <v>0.4352338764332346</v>
      </c>
      <c r="K5164" s="3">
        <v>0.7706444460310874</v>
      </c>
      <c r="L5164" t="s">
        <v>54</v>
      </c>
    </row>
    <row r="5165" spans="1:12" x14ac:dyDescent="0.25">
      <c r="A5165" t="s">
        <v>487</v>
      </c>
      <c r="B5165" t="s">
        <v>465</v>
      </c>
      <c r="C5165" t="s">
        <v>478</v>
      </c>
      <c r="D5165" t="s">
        <v>294</v>
      </c>
      <c r="E5165" t="s">
        <v>300</v>
      </c>
      <c r="F5165">
        <v>3</v>
      </c>
      <c r="G5165" t="s">
        <v>488</v>
      </c>
      <c r="H5165" s="4">
        <v>9032028</v>
      </c>
      <c r="I5165" s="4">
        <v>9184912.13828342</v>
      </c>
      <c r="J5165" s="3">
        <v>0.016926889319145197</v>
      </c>
      <c r="K5165" s="3">
        <v>-0.01664513889536161</v>
      </c>
      <c r="L5165" t="s">
        <v>54</v>
      </c>
    </row>
    <row r="5166" spans="1:12" x14ac:dyDescent="0.25">
      <c r="A5166" t="s">
        <v>487</v>
      </c>
      <c r="B5166" t="s">
        <v>465</v>
      </c>
      <c r="C5166" t="s">
        <v>478</v>
      </c>
      <c r="D5166" t="s">
        <v>294</v>
      </c>
      <c r="E5166" t="s">
        <v>300</v>
      </c>
      <c r="F5166">
        <v>3</v>
      </c>
      <c r="G5166" t="s">
        <v>498</v>
      </c>
      <c r="H5166" s="4">
        <v>9032028</v>
      </c>
      <c r="I5166" s="4">
        <v>10485906</v>
      </c>
      <c r="J5166" s="3">
        <v>0.16096916440028752</v>
      </c>
      <c r="K5166" s="3">
        <v>-0.138650680255955</v>
      </c>
      <c r="L5166" t="s">
        <v>54</v>
      </c>
    </row>
    <row r="5167" spans="1:12" x14ac:dyDescent="0.25">
      <c r="A5167" t="s">
        <v>487</v>
      </c>
      <c r="B5167" t="s">
        <v>465</v>
      </c>
      <c r="C5167" t="s">
        <v>478</v>
      </c>
      <c r="D5167" t="s">
        <v>294</v>
      </c>
      <c r="E5167" t="s">
        <v>300</v>
      </c>
      <c r="F5167">
        <v>3</v>
      </c>
      <c r="G5167" t="s">
        <v>499</v>
      </c>
      <c r="H5167" s="4">
        <v>9032028</v>
      </c>
      <c r="I5167" s="4">
        <v>5588319</v>
      </c>
      <c r="J5167" s="3">
        <v>0.381277493825307</v>
      </c>
      <c r="K5167" s="3">
        <v>0.6162334326297407</v>
      </c>
      <c r="L5167" t="s">
        <v>54</v>
      </c>
    </row>
    <row r="5168" spans="1:12" x14ac:dyDescent="0.25">
      <c r="A5168" t="s">
        <v>487</v>
      </c>
      <c r="B5168" t="s">
        <v>465</v>
      </c>
      <c r="C5168" t="s">
        <v>478</v>
      </c>
      <c r="D5168" t="s">
        <v>296</v>
      </c>
      <c r="E5168" t="s">
        <v>298</v>
      </c>
      <c r="F5168">
        <v>1</v>
      </c>
      <c r="G5168" t="s">
        <v>488</v>
      </c>
      <c r="H5168" s="4">
        <v>9894926</v>
      </c>
      <c r="I5168" s="4">
        <v>8866940.323328687</v>
      </c>
      <c r="J5168" s="3">
        <v>0.10389018337997809</v>
      </c>
      <c r="K5168" s="3">
        <v>0.11593465605793125</v>
      </c>
      <c r="L5168" t="s">
        <v>54</v>
      </c>
    </row>
    <row r="5169" spans="1:12" x14ac:dyDescent="0.25">
      <c r="A5169" t="s">
        <v>487</v>
      </c>
      <c r="B5169" t="s">
        <v>465</v>
      </c>
      <c r="C5169" t="s">
        <v>478</v>
      </c>
      <c r="D5169" t="s">
        <v>296</v>
      </c>
      <c r="E5169" t="s">
        <v>298</v>
      </c>
      <c r="F5169">
        <v>1</v>
      </c>
      <c r="G5169" t="s">
        <v>498</v>
      </c>
      <c r="H5169" s="4">
        <v>9894926</v>
      </c>
      <c r="I5169" s="4">
        <v>10455112</v>
      </c>
      <c r="J5169" s="3">
        <v>0.05661346027246692</v>
      </c>
      <c r="K5169" s="3">
        <v>-0.05358010511986863</v>
      </c>
      <c r="L5169" t="s">
        <v>54</v>
      </c>
    </row>
    <row r="5170" spans="1:12" x14ac:dyDescent="0.25">
      <c r="A5170" t="s">
        <v>487</v>
      </c>
      <c r="B5170" t="s">
        <v>465</v>
      </c>
      <c r="C5170" t="s">
        <v>478</v>
      </c>
      <c r="D5170" t="s">
        <v>296</v>
      </c>
      <c r="E5170" t="s">
        <v>298</v>
      </c>
      <c r="F5170">
        <v>1</v>
      </c>
      <c r="G5170" t="s">
        <v>499</v>
      </c>
      <c r="H5170" s="4">
        <v>9894926</v>
      </c>
      <c r="I5170" s="4">
        <v>8160399</v>
      </c>
      <c r="J5170" s="3">
        <v>0.17529459037894776</v>
      </c>
      <c r="K5170" s="3">
        <v>0.21255419005859885</v>
      </c>
      <c r="L5170" t="s">
        <v>54</v>
      </c>
    </row>
    <row r="5171" spans="1:12" x14ac:dyDescent="0.25">
      <c r="A5171" t="s">
        <v>487</v>
      </c>
      <c r="B5171" t="s">
        <v>465</v>
      </c>
      <c r="C5171" t="s">
        <v>478</v>
      </c>
      <c r="D5171" t="s">
        <v>296</v>
      </c>
      <c r="E5171" t="s">
        <v>300</v>
      </c>
      <c r="F5171">
        <v>2</v>
      </c>
      <c r="G5171" t="s">
        <v>488</v>
      </c>
      <c r="H5171" s="4">
        <v>9032028</v>
      </c>
      <c r="I5171" s="4">
        <v>8893056.59643189</v>
      </c>
      <c r="J5171" s="3">
        <v>0.01538651159718609</v>
      </c>
      <c r="K5171" s="3">
        <v>0.015626955935922886</v>
      </c>
      <c r="L5171" t="s">
        <v>54</v>
      </c>
    </row>
    <row r="5172" spans="1:12" x14ac:dyDescent="0.25">
      <c r="A5172" t="s">
        <v>487</v>
      </c>
      <c r="B5172" t="s">
        <v>465</v>
      </c>
      <c r="C5172" t="s">
        <v>478</v>
      </c>
      <c r="D5172" t="s">
        <v>296</v>
      </c>
      <c r="E5172" t="s">
        <v>300</v>
      </c>
      <c r="F5172">
        <v>2</v>
      </c>
      <c r="G5172" t="s">
        <v>498</v>
      </c>
      <c r="H5172" s="4">
        <v>9032028</v>
      </c>
      <c r="I5172" s="4">
        <v>10485906</v>
      </c>
      <c r="J5172" s="3">
        <v>0.16096916440028752</v>
      </c>
      <c r="K5172" s="3">
        <v>-0.138650680255955</v>
      </c>
      <c r="L5172" t="s">
        <v>54</v>
      </c>
    </row>
    <row r="5173" spans="1:12" x14ac:dyDescent="0.25">
      <c r="A5173" t="s">
        <v>487</v>
      </c>
      <c r="B5173" t="s">
        <v>465</v>
      </c>
      <c r="C5173" t="s">
        <v>478</v>
      </c>
      <c r="D5173" t="s">
        <v>296</v>
      </c>
      <c r="E5173" t="s">
        <v>300</v>
      </c>
      <c r="F5173">
        <v>2</v>
      </c>
      <c r="G5173" t="s">
        <v>499</v>
      </c>
      <c r="H5173" s="4">
        <v>9032028</v>
      </c>
      <c r="I5173" s="4">
        <v>8160399</v>
      </c>
      <c r="J5173" s="3">
        <v>0.09650424024371936</v>
      </c>
      <c r="K5173" s="3">
        <v>0.10681205661634928</v>
      </c>
      <c r="L5173" t="s">
        <v>54</v>
      </c>
    </row>
    <row r="5174" spans="1:12" x14ac:dyDescent="0.25">
      <c r="A5174" t="s">
        <v>487</v>
      </c>
      <c r="B5174" t="s">
        <v>465</v>
      </c>
      <c r="C5174" t="s">
        <v>478</v>
      </c>
      <c r="D5174" t="s">
        <v>296</v>
      </c>
      <c r="E5174" t="s">
        <v>302</v>
      </c>
      <c r="F5174">
        <v>3</v>
      </c>
      <c r="G5174" t="s">
        <v>488</v>
      </c>
      <c r="H5174" s="4">
        <v>11752905</v>
      </c>
      <c r="I5174" s="4">
        <v>9125543.500154534</v>
      </c>
      <c r="J5174" s="3">
        <v>0.22354996486787443</v>
      </c>
      <c r="K5174" s="3">
        <v>0.28791287881110567</v>
      </c>
      <c r="L5174" t="s">
        <v>54</v>
      </c>
    </row>
    <row r="5175" spans="1:12" x14ac:dyDescent="0.25">
      <c r="A5175" t="s">
        <v>487</v>
      </c>
      <c r="B5175" t="s">
        <v>465</v>
      </c>
      <c r="C5175" t="s">
        <v>478</v>
      </c>
      <c r="D5175" t="s">
        <v>296</v>
      </c>
      <c r="E5175" t="s">
        <v>302</v>
      </c>
      <c r="F5175">
        <v>3</v>
      </c>
      <c r="G5175" t="s">
        <v>498</v>
      </c>
      <c r="H5175" s="4">
        <v>11752905</v>
      </c>
      <c r="I5175" s="4">
        <v>10760034</v>
      </c>
      <c r="J5175" s="3">
        <v>0.08447877354577443</v>
      </c>
      <c r="K5175" s="3">
        <v>0.09227396493356806</v>
      </c>
      <c r="L5175" t="s">
        <v>54</v>
      </c>
    </row>
    <row r="5176" spans="1:12" x14ac:dyDescent="0.25">
      <c r="A5176" t="s">
        <v>487</v>
      </c>
      <c r="B5176" t="s">
        <v>465</v>
      </c>
      <c r="C5176" t="s">
        <v>478</v>
      </c>
      <c r="D5176" t="s">
        <v>296</v>
      </c>
      <c r="E5176" t="s">
        <v>302</v>
      </c>
      <c r="F5176">
        <v>3</v>
      </c>
      <c r="G5176" t="s">
        <v>499</v>
      </c>
      <c r="H5176" s="4">
        <v>11752905</v>
      </c>
      <c r="I5176" s="4">
        <v>8160399</v>
      </c>
      <c r="J5176" s="3">
        <v>0.30566961955363375</v>
      </c>
      <c r="K5176" s="3">
        <v>0.4402365619622276</v>
      </c>
      <c r="L5176" t="s">
        <v>54</v>
      </c>
    </row>
    <row r="5177" spans="1:12" x14ac:dyDescent="0.25">
      <c r="A5177" t="s">
        <v>487</v>
      </c>
      <c r="B5177" t="s">
        <v>465</v>
      </c>
      <c r="C5177" t="s">
        <v>478</v>
      </c>
      <c r="D5177" t="s">
        <v>298</v>
      </c>
      <c r="E5177" t="s">
        <v>300</v>
      </c>
      <c r="F5177">
        <v>1</v>
      </c>
      <c r="G5177" t="s">
        <v>488</v>
      </c>
      <c r="H5177" s="4">
        <v>9032028</v>
      </c>
      <c r="I5177" s="4">
        <v>8788117.15264917</v>
      </c>
      <c r="J5177" s="3">
        <v>0.027005103100968045</v>
      </c>
      <c r="K5177" s="3">
        <v>0.02775461946104161</v>
      </c>
      <c r="L5177" t="s">
        <v>54</v>
      </c>
    </row>
    <row r="5178" spans="1:12" x14ac:dyDescent="0.25">
      <c r="A5178" t="s">
        <v>487</v>
      </c>
      <c r="B5178" t="s">
        <v>465</v>
      </c>
      <c r="C5178" t="s">
        <v>478</v>
      </c>
      <c r="D5178" t="s">
        <v>298</v>
      </c>
      <c r="E5178" t="s">
        <v>300</v>
      </c>
      <c r="F5178">
        <v>1</v>
      </c>
      <c r="G5178" t="s">
        <v>498</v>
      </c>
      <c r="H5178" s="4">
        <v>9032028</v>
      </c>
      <c r="I5178" s="4">
        <v>10485906</v>
      </c>
      <c r="J5178" s="3">
        <v>0.16096916440028752</v>
      </c>
      <c r="K5178" s="3">
        <v>-0.138650680255955</v>
      </c>
      <c r="L5178" t="s">
        <v>54</v>
      </c>
    </row>
    <row r="5179" spans="1:12" x14ac:dyDescent="0.25">
      <c r="A5179" t="s">
        <v>487</v>
      </c>
      <c r="B5179" t="s">
        <v>465</v>
      </c>
      <c r="C5179" t="s">
        <v>478</v>
      </c>
      <c r="D5179" t="s">
        <v>298</v>
      </c>
      <c r="E5179" t="s">
        <v>300</v>
      </c>
      <c r="F5179">
        <v>1</v>
      </c>
      <c r="G5179" t="s">
        <v>499</v>
      </c>
      <c r="H5179" s="4">
        <v>9032028</v>
      </c>
      <c r="I5179" s="4">
        <v>9894926</v>
      </c>
      <c r="J5179" s="3">
        <v>0.0955375691926553</v>
      </c>
      <c r="K5179" s="3">
        <v>-0.0872061094746944</v>
      </c>
      <c r="L5179" t="s">
        <v>54</v>
      </c>
    </row>
    <row r="5180" spans="1:12" x14ac:dyDescent="0.25">
      <c r="A5180" t="s">
        <v>487</v>
      </c>
      <c r="B5180" t="s">
        <v>465</v>
      </c>
      <c r="C5180" t="s">
        <v>478</v>
      </c>
      <c r="D5180" t="s">
        <v>298</v>
      </c>
      <c r="E5180" t="s">
        <v>302</v>
      </c>
      <c r="F5180">
        <v>2</v>
      </c>
      <c r="G5180" t="s">
        <v>488</v>
      </c>
      <c r="H5180" s="4">
        <v>11752905</v>
      </c>
      <c r="I5180" s="4">
        <v>9017860.67493722</v>
      </c>
      <c r="J5180" s="3">
        <v>0.23271219541575294</v>
      </c>
      <c r="K5180" s="3">
        <v>0.303291925175127</v>
      </c>
      <c r="L5180" t="s">
        <v>54</v>
      </c>
    </row>
    <row r="5181" spans="1:12" x14ac:dyDescent="0.25">
      <c r="A5181" t="s">
        <v>487</v>
      </c>
      <c r="B5181" t="s">
        <v>465</v>
      </c>
      <c r="C5181" t="s">
        <v>478</v>
      </c>
      <c r="D5181" t="s">
        <v>298</v>
      </c>
      <c r="E5181" t="s">
        <v>302</v>
      </c>
      <c r="F5181">
        <v>2</v>
      </c>
      <c r="G5181" t="s">
        <v>498</v>
      </c>
      <c r="H5181" s="4">
        <v>11752905</v>
      </c>
      <c r="I5181" s="4">
        <v>10760034</v>
      </c>
      <c r="J5181" s="3">
        <v>0.08447877354577443</v>
      </c>
      <c r="K5181" s="3">
        <v>0.09227396493356806</v>
      </c>
      <c r="L5181" t="s">
        <v>54</v>
      </c>
    </row>
    <row r="5182" spans="1:12" x14ac:dyDescent="0.25">
      <c r="A5182" t="s">
        <v>487</v>
      </c>
      <c r="B5182" t="s">
        <v>465</v>
      </c>
      <c r="C5182" t="s">
        <v>478</v>
      </c>
      <c r="D5182" t="s">
        <v>298</v>
      </c>
      <c r="E5182" t="s">
        <v>302</v>
      </c>
      <c r="F5182">
        <v>2</v>
      </c>
      <c r="G5182" t="s">
        <v>499</v>
      </c>
      <c r="H5182" s="4">
        <v>11752905</v>
      </c>
      <c r="I5182" s="4">
        <v>9894926</v>
      </c>
      <c r="J5182" s="3">
        <v>0.1580867879047776</v>
      </c>
      <c r="K5182" s="3">
        <v>0.1877708837842749</v>
      </c>
      <c r="L5182" t="s">
        <v>54</v>
      </c>
    </row>
    <row r="5183" spans="1:12" x14ac:dyDescent="0.25">
      <c r="A5183" t="s">
        <v>487</v>
      </c>
      <c r="B5183" t="s">
        <v>465</v>
      </c>
      <c r="C5183" t="s">
        <v>478</v>
      </c>
      <c r="D5183" t="s">
        <v>298</v>
      </c>
      <c r="E5183" t="s">
        <v>304</v>
      </c>
      <c r="F5183">
        <v>3</v>
      </c>
      <c r="G5183" t="s">
        <v>488</v>
      </c>
      <c r="H5183" s="4">
        <v>9757710</v>
      </c>
      <c r="I5183" s="4">
        <v>7893156.8130742395</v>
      </c>
      <c r="J5183" s="3">
        <v>0.19108512006667142</v>
      </c>
      <c r="K5183" s="3">
        <v>0.2362240141786251</v>
      </c>
      <c r="L5183" t="s">
        <v>54</v>
      </c>
    </row>
    <row r="5184" spans="1:12" x14ac:dyDescent="0.25">
      <c r="A5184" t="s">
        <v>487</v>
      </c>
      <c r="B5184" t="s">
        <v>465</v>
      </c>
      <c r="C5184" t="s">
        <v>478</v>
      </c>
      <c r="D5184" t="s">
        <v>298</v>
      </c>
      <c r="E5184" t="s">
        <v>304</v>
      </c>
      <c r="F5184">
        <v>3</v>
      </c>
      <c r="G5184" t="s">
        <v>498</v>
      </c>
      <c r="H5184" s="4">
        <v>9757710</v>
      </c>
      <c r="I5184" s="4">
        <v>9418047</v>
      </c>
      <c r="J5184" s="3">
        <v>0.0348097043261175</v>
      </c>
      <c r="K5184" s="3">
        <v>0.03606512050746827</v>
      </c>
      <c r="L5184" t="s">
        <v>54</v>
      </c>
    </row>
    <row r="5185" spans="1:12" x14ac:dyDescent="0.25">
      <c r="A5185" t="s">
        <v>487</v>
      </c>
      <c r="B5185" t="s">
        <v>465</v>
      </c>
      <c r="C5185" t="s">
        <v>478</v>
      </c>
      <c r="D5185" t="s">
        <v>298</v>
      </c>
      <c r="E5185" t="s">
        <v>304</v>
      </c>
      <c r="F5185">
        <v>3</v>
      </c>
      <c r="G5185" t="s">
        <v>499</v>
      </c>
      <c r="H5185" s="4">
        <v>9757710</v>
      </c>
      <c r="I5185" s="4">
        <v>9894926</v>
      </c>
      <c r="J5185" s="3">
        <v>0.014062315850747768</v>
      </c>
      <c r="K5185" s="3">
        <v>-0.0138673093664369</v>
      </c>
      <c r="L5185" t="s">
        <v>54</v>
      </c>
    </row>
    <row r="5186" spans="1:12" x14ac:dyDescent="0.25">
      <c r="A5186" t="s">
        <v>487</v>
      </c>
      <c r="B5186" t="s">
        <v>465</v>
      </c>
      <c r="C5186" t="s">
        <v>478</v>
      </c>
      <c r="D5186" t="s">
        <v>300</v>
      </c>
      <c r="E5186" t="s">
        <v>302</v>
      </c>
      <c r="F5186">
        <v>1</v>
      </c>
      <c r="G5186" t="s">
        <v>488</v>
      </c>
      <c r="H5186" s="4">
        <v>11752905</v>
      </c>
      <c r="I5186" s="4">
        <v>9058532.567487177</v>
      </c>
      <c r="J5186" s="3">
        <v>0.2292516133256266</v>
      </c>
      <c r="K5186" s="3">
        <v>0.29744027660544564</v>
      </c>
      <c r="L5186" t="s">
        <v>54</v>
      </c>
    </row>
    <row r="5187" spans="1:12" x14ac:dyDescent="0.25">
      <c r="A5187" t="s">
        <v>487</v>
      </c>
      <c r="B5187" t="s">
        <v>465</v>
      </c>
      <c r="C5187" t="s">
        <v>478</v>
      </c>
      <c r="D5187" t="s">
        <v>300</v>
      </c>
      <c r="E5187" t="s">
        <v>302</v>
      </c>
      <c r="F5187">
        <v>1</v>
      </c>
      <c r="G5187" t="s">
        <v>498</v>
      </c>
      <c r="H5187" s="4">
        <v>11752905</v>
      </c>
      <c r="I5187" s="4">
        <v>10760034</v>
      </c>
      <c r="J5187" s="3">
        <v>0.08447877354577443</v>
      </c>
      <c r="K5187" s="3">
        <v>0.09227396493356806</v>
      </c>
      <c r="L5187" t="s">
        <v>54</v>
      </c>
    </row>
    <row r="5188" spans="1:12" x14ac:dyDescent="0.25">
      <c r="A5188" t="s">
        <v>487</v>
      </c>
      <c r="B5188" t="s">
        <v>465</v>
      </c>
      <c r="C5188" t="s">
        <v>478</v>
      </c>
      <c r="D5188" t="s">
        <v>300</v>
      </c>
      <c r="E5188" t="s">
        <v>302</v>
      </c>
      <c r="F5188">
        <v>1</v>
      </c>
      <c r="G5188" t="s">
        <v>499</v>
      </c>
      <c r="H5188" s="4">
        <v>11752905</v>
      </c>
      <c r="I5188" s="4">
        <v>9032028</v>
      </c>
      <c r="J5188" s="3">
        <v>0.23150676364694517</v>
      </c>
      <c r="K5188" s="3">
        <v>0.3012476267788364</v>
      </c>
      <c r="L5188" t="s">
        <v>54</v>
      </c>
    </row>
    <row r="5189" spans="1:12" x14ac:dyDescent="0.25">
      <c r="A5189" t="s">
        <v>487</v>
      </c>
      <c r="B5189" t="s">
        <v>465</v>
      </c>
      <c r="C5189" t="s">
        <v>478</v>
      </c>
      <c r="D5189" t="s">
        <v>300</v>
      </c>
      <c r="E5189" t="s">
        <v>304</v>
      </c>
      <c r="F5189">
        <v>2</v>
      </c>
      <c r="G5189" t="s">
        <v>488</v>
      </c>
      <c r="H5189" s="4">
        <v>9757710</v>
      </c>
      <c r="I5189" s="4">
        <v>7928756.123969953</v>
      </c>
      <c r="J5189" s="3">
        <v>0.1874367936770049</v>
      </c>
      <c r="K5189" s="3">
        <v>0.2306734937275741</v>
      </c>
      <c r="L5189" t="s">
        <v>54</v>
      </c>
    </row>
    <row r="5190" spans="1:12" x14ac:dyDescent="0.25">
      <c r="A5190" t="s">
        <v>487</v>
      </c>
      <c r="B5190" t="s">
        <v>465</v>
      </c>
      <c r="C5190" t="s">
        <v>478</v>
      </c>
      <c r="D5190" t="s">
        <v>300</v>
      </c>
      <c r="E5190" t="s">
        <v>304</v>
      </c>
      <c r="F5190">
        <v>2</v>
      </c>
      <c r="G5190" t="s">
        <v>498</v>
      </c>
      <c r="H5190" s="4">
        <v>9757710</v>
      </c>
      <c r="I5190" s="4">
        <v>9418047</v>
      </c>
      <c r="J5190" s="3">
        <v>0.0348097043261175</v>
      </c>
      <c r="K5190" s="3">
        <v>0.03606512050746827</v>
      </c>
      <c r="L5190" t="s">
        <v>54</v>
      </c>
    </row>
    <row r="5191" spans="1:12" x14ac:dyDescent="0.25">
      <c r="A5191" t="s">
        <v>487</v>
      </c>
      <c r="B5191" t="s">
        <v>465</v>
      </c>
      <c r="C5191" t="s">
        <v>478</v>
      </c>
      <c r="D5191" t="s">
        <v>300</v>
      </c>
      <c r="E5191" t="s">
        <v>304</v>
      </c>
      <c r="F5191">
        <v>2</v>
      </c>
      <c r="G5191" t="s">
        <v>499</v>
      </c>
      <c r="H5191" s="4">
        <v>9757710</v>
      </c>
      <c r="I5191" s="4">
        <v>9032028</v>
      </c>
      <c r="J5191" s="3">
        <v>0.07437011347949468</v>
      </c>
      <c r="K5191" s="3">
        <v>0.08034541079810648</v>
      </c>
      <c r="L5191" t="s">
        <v>54</v>
      </c>
    </row>
    <row r="5192" spans="1:12" x14ac:dyDescent="0.25">
      <c r="A5192" t="s">
        <v>487</v>
      </c>
      <c r="B5192" t="s">
        <v>465</v>
      </c>
      <c r="C5192" t="s">
        <v>478</v>
      </c>
      <c r="D5192" t="s">
        <v>300</v>
      </c>
      <c r="E5192" t="s">
        <v>306</v>
      </c>
      <c r="F5192">
        <v>3</v>
      </c>
      <c r="G5192" t="s">
        <v>488</v>
      </c>
      <c r="H5192" s="4">
        <v>10236878</v>
      </c>
      <c r="I5192" s="4">
        <v>6161473.995502083</v>
      </c>
      <c r="J5192" s="3">
        <v>0.3981100492257422</v>
      </c>
      <c r="K5192" s="3">
        <v>0.6614332881179065</v>
      </c>
      <c r="L5192" t="s">
        <v>54</v>
      </c>
    </row>
    <row r="5193" spans="1:12" x14ac:dyDescent="0.25">
      <c r="A5193" t="s">
        <v>487</v>
      </c>
      <c r="B5193" t="s">
        <v>465</v>
      </c>
      <c r="C5193" t="s">
        <v>478</v>
      </c>
      <c r="D5193" t="s">
        <v>300</v>
      </c>
      <c r="E5193" t="s">
        <v>306</v>
      </c>
      <c r="F5193">
        <v>3</v>
      </c>
      <c r="G5193" t="s">
        <v>498</v>
      </c>
      <c r="H5193" s="4">
        <v>10236878</v>
      </c>
      <c r="I5193" s="4">
        <v>7318809</v>
      </c>
      <c r="J5193" s="3">
        <v>0.2850545840245434</v>
      </c>
      <c r="K5193" s="3">
        <v>0.39870817779231565</v>
      </c>
      <c r="L5193" t="s">
        <v>54</v>
      </c>
    </row>
    <row r="5194" spans="1:12" x14ac:dyDescent="0.25">
      <c r="A5194" t="s">
        <v>487</v>
      </c>
      <c r="B5194" t="s">
        <v>465</v>
      </c>
      <c r="C5194" t="s">
        <v>478</v>
      </c>
      <c r="D5194" t="s">
        <v>300</v>
      </c>
      <c r="E5194" t="s">
        <v>306</v>
      </c>
      <c r="F5194">
        <v>3</v>
      </c>
      <c r="G5194" t="s">
        <v>499</v>
      </c>
      <c r="H5194" s="4">
        <v>10236878</v>
      </c>
      <c r="I5194" s="4">
        <v>9032028</v>
      </c>
      <c r="J5194" s="3">
        <v>0.1176970166099469</v>
      </c>
      <c r="K5194" s="3">
        <v>0.13339750496787653</v>
      </c>
      <c r="L5194" t="s">
        <v>54</v>
      </c>
    </row>
    <row r="5195" spans="1:12" x14ac:dyDescent="0.25">
      <c r="A5195" t="s">
        <v>487</v>
      </c>
      <c r="B5195" t="s">
        <v>465</v>
      </c>
      <c r="C5195" t="s">
        <v>478</v>
      </c>
      <c r="D5195" t="s">
        <v>302</v>
      </c>
      <c r="E5195" t="s">
        <v>304</v>
      </c>
      <c r="F5195">
        <v>1</v>
      </c>
      <c r="G5195" t="s">
        <v>488</v>
      </c>
      <c r="H5195" s="4">
        <v>9757710</v>
      </c>
      <c r="I5195" s="4">
        <v>8073744.312410706</v>
      </c>
      <c r="J5195" s="3">
        <v>0.17257796015553795</v>
      </c>
      <c r="K5195" s="3">
        <v>0.20857307618730941</v>
      </c>
      <c r="L5195" t="s">
        <v>54</v>
      </c>
    </row>
    <row r="5196" spans="1:12" x14ac:dyDescent="0.25">
      <c r="A5196" t="s">
        <v>487</v>
      </c>
      <c r="B5196" t="s">
        <v>465</v>
      </c>
      <c r="C5196" t="s">
        <v>478</v>
      </c>
      <c r="D5196" t="s">
        <v>302</v>
      </c>
      <c r="E5196" t="s">
        <v>304</v>
      </c>
      <c r="F5196">
        <v>1</v>
      </c>
      <c r="G5196" t="s">
        <v>498</v>
      </c>
      <c r="H5196" s="4">
        <v>9757710</v>
      </c>
      <c r="I5196" s="4">
        <v>9418047</v>
      </c>
      <c r="J5196" s="3">
        <v>0.0348097043261175</v>
      </c>
      <c r="K5196" s="3">
        <v>0.03606512050746827</v>
      </c>
      <c r="L5196" t="s">
        <v>54</v>
      </c>
    </row>
    <row r="5197" spans="1:12" x14ac:dyDescent="0.25">
      <c r="A5197" t="s">
        <v>487</v>
      </c>
      <c r="B5197" t="s">
        <v>465</v>
      </c>
      <c r="C5197" t="s">
        <v>478</v>
      </c>
      <c r="D5197" t="s">
        <v>302</v>
      </c>
      <c r="E5197" t="s">
        <v>304</v>
      </c>
      <c r="F5197">
        <v>1</v>
      </c>
      <c r="G5197" t="s">
        <v>499</v>
      </c>
      <c r="H5197" s="4">
        <v>9757710</v>
      </c>
      <c r="I5197" s="4">
        <v>11752905</v>
      </c>
      <c r="J5197" s="3">
        <v>0.2044736931103712</v>
      </c>
      <c r="K5197" s="3">
        <v>-0.16976185887659265</v>
      </c>
      <c r="L5197" t="s">
        <v>54</v>
      </c>
    </row>
    <row r="5198" spans="1:12" x14ac:dyDescent="0.25">
      <c r="A5198" t="s">
        <v>487</v>
      </c>
      <c r="B5198" t="s">
        <v>465</v>
      </c>
      <c r="C5198" t="s">
        <v>478</v>
      </c>
      <c r="D5198" t="s">
        <v>302</v>
      </c>
      <c r="E5198" t="s">
        <v>306</v>
      </c>
      <c r="F5198">
        <v>2</v>
      </c>
      <c r="G5198" t="s">
        <v>488</v>
      </c>
      <c r="H5198" s="4">
        <v>10236878</v>
      </c>
      <c r="I5198" s="4">
        <v>6274145.004518483</v>
      </c>
      <c r="J5198" s="3">
        <v>0.3871036653442111</v>
      </c>
      <c r="K5198" s="3">
        <v>0.6315972921613472</v>
      </c>
      <c r="L5198" t="s">
        <v>54</v>
      </c>
    </row>
    <row r="5199" spans="1:12" x14ac:dyDescent="0.25">
      <c r="A5199" t="s">
        <v>487</v>
      </c>
      <c r="B5199" t="s">
        <v>465</v>
      </c>
      <c r="C5199" t="s">
        <v>478</v>
      </c>
      <c r="D5199" t="s">
        <v>302</v>
      </c>
      <c r="E5199" t="s">
        <v>306</v>
      </c>
      <c r="F5199">
        <v>2</v>
      </c>
      <c r="G5199" t="s">
        <v>498</v>
      </c>
      <c r="H5199" s="4">
        <v>10236878</v>
      </c>
      <c r="I5199" s="4">
        <v>7318809</v>
      </c>
      <c r="J5199" s="3">
        <v>0.2850545840245434</v>
      </c>
      <c r="K5199" s="3">
        <v>0.39870817779231565</v>
      </c>
      <c r="L5199" t="s">
        <v>54</v>
      </c>
    </row>
    <row r="5200" spans="1:12" x14ac:dyDescent="0.25">
      <c r="A5200" t="s">
        <v>487</v>
      </c>
      <c r="B5200" t="s">
        <v>465</v>
      </c>
      <c r="C5200" t="s">
        <v>478</v>
      </c>
      <c r="D5200" t="s">
        <v>302</v>
      </c>
      <c r="E5200" t="s">
        <v>306</v>
      </c>
      <c r="F5200">
        <v>2</v>
      </c>
      <c r="G5200" t="s">
        <v>499</v>
      </c>
      <c r="H5200" s="4">
        <v>10236878</v>
      </c>
      <c r="I5200" s="4">
        <v>11752905</v>
      </c>
      <c r="J5200" s="3">
        <v>0.1480946632361937</v>
      </c>
      <c r="K5200" s="3">
        <v>-0.128991683332759</v>
      </c>
      <c r="L5200" t="s">
        <v>54</v>
      </c>
    </row>
    <row r="5201" spans="1:12" x14ac:dyDescent="0.25">
      <c r="A5201" t="s">
        <v>487</v>
      </c>
      <c r="B5201" t="s">
        <v>465</v>
      </c>
      <c r="C5201" t="s">
        <v>478</v>
      </c>
      <c r="D5201" t="s">
        <v>302</v>
      </c>
      <c r="E5201" t="s">
        <v>308</v>
      </c>
      <c r="F5201">
        <v>3</v>
      </c>
      <c r="G5201" t="s">
        <v>488</v>
      </c>
      <c r="H5201" s="4">
        <v>10687554</v>
      </c>
      <c r="I5201" s="4">
        <v>7608179.287897986</v>
      </c>
      <c r="J5201" s="3">
        <v>0.2881271722324878</v>
      </c>
      <c r="K5201" s="3">
        <v>0.40474528735150167</v>
      </c>
      <c r="L5201" t="s">
        <v>54</v>
      </c>
    </row>
    <row r="5202" spans="1:12" x14ac:dyDescent="0.25">
      <c r="A5202" t="s">
        <v>487</v>
      </c>
      <c r="B5202" t="s">
        <v>465</v>
      </c>
      <c r="C5202" t="s">
        <v>478</v>
      </c>
      <c r="D5202" t="s">
        <v>302</v>
      </c>
      <c r="E5202" t="s">
        <v>308</v>
      </c>
      <c r="F5202">
        <v>3</v>
      </c>
      <c r="G5202" t="s">
        <v>498</v>
      </c>
      <c r="H5202" s="4">
        <v>10687554</v>
      </c>
      <c r="I5202" s="4">
        <v>8874964</v>
      </c>
      <c r="J5202" s="3">
        <v>0.16959820741022688</v>
      </c>
      <c r="K5202" s="3">
        <v>0.20423632140930376</v>
      </c>
      <c r="L5202" t="s">
        <v>54</v>
      </c>
    </row>
    <row r="5203" spans="1:12" x14ac:dyDescent="0.25">
      <c r="A5203" t="s">
        <v>487</v>
      </c>
      <c r="B5203" t="s">
        <v>465</v>
      </c>
      <c r="C5203" t="s">
        <v>478</v>
      </c>
      <c r="D5203" t="s">
        <v>302</v>
      </c>
      <c r="E5203" t="s">
        <v>308</v>
      </c>
      <c r="F5203">
        <v>3</v>
      </c>
      <c r="G5203" t="s">
        <v>499</v>
      </c>
      <c r="H5203" s="4">
        <v>10687554</v>
      </c>
      <c r="I5203" s="4">
        <v>11752905</v>
      </c>
      <c r="J5203" s="3">
        <v>0.09968146125858171</v>
      </c>
      <c r="K5203" s="3">
        <v>-0.09064575949520565</v>
      </c>
      <c r="L5203" t="s">
        <v>54</v>
      </c>
    </row>
    <row r="5204" spans="1:12" x14ac:dyDescent="0.25">
      <c r="A5204" t="s">
        <v>487</v>
      </c>
      <c r="B5204" t="s">
        <v>465</v>
      </c>
      <c r="C5204" t="s">
        <v>478</v>
      </c>
      <c r="D5204" t="s">
        <v>304</v>
      </c>
      <c r="E5204" t="s">
        <v>306</v>
      </c>
      <c r="F5204">
        <v>1</v>
      </c>
      <c r="G5204" t="s">
        <v>488</v>
      </c>
      <c r="H5204" s="4">
        <v>10236878</v>
      </c>
      <c r="I5204" s="4">
        <v>6362244.6360683255</v>
      </c>
      <c r="J5204" s="3">
        <v>0.3784975618476331</v>
      </c>
      <c r="K5204" s="3">
        <v>0.6090041464243476</v>
      </c>
      <c r="L5204" t="s">
        <v>54</v>
      </c>
    </row>
    <row r="5205" spans="1:12" x14ac:dyDescent="0.25">
      <c r="A5205" t="s">
        <v>487</v>
      </c>
      <c r="B5205" t="s">
        <v>465</v>
      </c>
      <c r="C5205" t="s">
        <v>478</v>
      </c>
      <c r="D5205" t="s">
        <v>304</v>
      </c>
      <c r="E5205" t="s">
        <v>306</v>
      </c>
      <c r="F5205">
        <v>1</v>
      </c>
      <c r="G5205" t="s">
        <v>498</v>
      </c>
      <c r="H5205" s="4">
        <v>10236878</v>
      </c>
      <c r="I5205" s="4">
        <v>7318809</v>
      </c>
      <c r="J5205" s="3">
        <v>0.2850545840245434</v>
      </c>
      <c r="K5205" s="3">
        <v>0.39870817779231565</v>
      </c>
      <c r="L5205" t="s">
        <v>54</v>
      </c>
    </row>
    <row r="5206" spans="1:12" x14ac:dyDescent="0.25">
      <c r="A5206" t="s">
        <v>487</v>
      </c>
      <c r="B5206" t="s">
        <v>465</v>
      </c>
      <c r="C5206" t="s">
        <v>478</v>
      </c>
      <c r="D5206" t="s">
        <v>304</v>
      </c>
      <c r="E5206" t="s">
        <v>306</v>
      </c>
      <c r="F5206">
        <v>1</v>
      </c>
      <c r="G5206" t="s">
        <v>499</v>
      </c>
      <c r="H5206" s="4">
        <v>10236878</v>
      </c>
      <c r="I5206" s="4">
        <v>9757710</v>
      </c>
      <c r="J5206" s="3">
        <v>0.046808020961078174</v>
      </c>
      <c r="K5206" s="3">
        <v>0.04910660390603943</v>
      </c>
      <c r="L5206" t="s">
        <v>54</v>
      </c>
    </row>
    <row r="5207" spans="1:12" x14ac:dyDescent="0.25">
      <c r="A5207" t="s">
        <v>487</v>
      </c>
      <c r="B5207" t="s">
        <v>465</v>
      </c>
      <c r="C5207" t="s">
        <v>478</v>
      </c>
      <c r="D5207" t="s">
        <v>304</v>
      </c>
      <c r="E5207" t="s">
        <v>308</v>
      </c>
      <c r="F5207">
        <v>2</v>
      </c>
      <c r="G5207" t="s">
        <v>488</v>
      </c>
      <c r="H5207" s="4">
        <v>10687554</v>
      </c>
      <c r="I5207" s="4">
        <v>7715011.02218947</v>
      </c>
      <c r="J5207" s="3">
        <v>0.27813127099152246</v>
      </c>
      <c r="K5207" s="3">
        <v>0.3852934194469811</v>
      </c>
      <c r="L5207" t="s">
        <v>54</v>
      </c>
    </row>
    <row r="5208" spans="1:12" x14ac:dyDescent="0.25">
      <c r="A5208" t="s">
        <v>487</v>
      </c>
      <c r="B5208" t="s">
        <v>465</v>
      </c>
      <c r="C5208" t="s">
        <v>478</v>
      </c>
      <c r="D5208" t="s">
        <v>304</v>
      </c>
      <c r="E5208" t="s">
        <v>308</v>
      </c>
      <c r="F5208">
        <v>2</v>
      </c>
      <c r="G5208" t="s">
        <v>498</v>
      </c>
      <c r="H5208" s="4">
        <v>10687554</v>
      </c>
      <c r="I5208" s="4">
        <v>8874964</v>
      </c>
      <c r="J5208" s="3">
        <v>0.16959820741022688</v>
      </c>
      <c r="K5208" s="3">
        <v>0.20423632140930376</v>
      </c>
      <c r="L5208" t="s">
        <v>54</v>
      </c>
    </row>
    <row r="5209" spans="1:12" x14ac:dyDescent="0.25">
      <c r="A5209" t="s">
        <v>487</v>
      </c>
      <c r="B5209" t="s">
        <v>465</v>
      </c>
      <c r="C5209" t="s">
        <v>478</v>
      </c>
      <c r="D5209" t="s">
        <v>304</v>
      </c>
      <c r="E5209" t="s">
        <v>308</v>
      </c>
      <c r="F5209">
        <v>2</v>
      </c>
      <c r="G5209" t="s">
        <v>499</v>
      </c>
      <c r="H5209" s="4">
        <v>10687554</v>
      </c>
      <c r="I5209" s="4">
        <v>9757710</v>
      </c>
      <c r="J5209" s="3">
        <v>0.08700250777680281</v>
      </c>
      <c r="K5209" s="3">
        <v>0.09529326040638633</v>
      </c>
      <c r="L5209" t="s">
        <v>54</v>
      </c>
    </row>
    <row r="5210" spans="1:12" x14ac:dyDescent="0.25">
      <c r="A5210" t="s">
        <v>487</v>
      </c>
      <c r="B5210" t="s">
        <v>465</v>
      </c>
      <c r="C5210" t="s">
        <v>478</v>
      </c>
      <c r="D5210" t="s">
        <v>304</v>
      </c>
      <c r="E5210" t="s">
        <v>310</v>
      </c>
      <c r="F5210">
        <v>3</v>
      </c>
      <c r="G5210" t="s">
        <v>488</v>
      </c>
      <c r="H5210" s="4">
        <v>11225412</v>
      </c>
      <c r="I5210" s="4">
        <v>12346092.308178507</v>
      </c>
      <c r="J5210" s="3">
        <v>0.09983422507597109</v>
      </c>
      <c r="K5210" s="3">
        <v>-0.09077206618940689</v>
      </c>
      <c r="L5210" t="s">
        <v>54</v>
      </c>
    </row>
    <row r="5211" spans="1:12" x14ac:dyDescent="0.25">
      <c r="A5211" t="s">
        <v>487</v>
      </c>
      <c r="B5211" t="s">
        <v>465</v>
      </c>
      <c r="C5211" t="s">
        <v>478</v>
      </c>
      <c r="D5211" t="s">
        <v>304</v>
      </c>
      <c r="E5211" t="s">
        <v>310</v>
      </c>
      <c r="F5211">
        <v>3</v>
      </c>
      <c r="G5211" t="s">
        <v>498</v>
      </c>
      <c r="H5211" s="4">
        <v>11225412</v>
      </c>
      <c r="I5211" s="4">
        <v>14202329</v>
      </c>
      <c r="J5211" s="3">
        <v>0.265194453441887</v>
      </c>
      <c r="K5211" s="3">
        <v>-0.20960766364446282</v>
      </c>
      <c r="L5211" t="s">
        <v>54</v>
      </c>
    </row>
    <row r="5212" spans="1:12" x14ac:dyDescent="0.25">
      <c r="A5212" t="s">
        <v>487</v>
      </c>
      <c r="B5212" t="s">
        <v>465</v>
      </c>
      <c r="C5212" t="s">
        <v>478</v>
      </c>
      <c r="D5212" t="s">
        <v>304</v>
      </c>
      <c r="E5212" t="s">
        <v>310</v>
      </c>
      <c r="F5212">
        <v>3</v>
      </c>
      <c r="G5212" t="s">
        <v>499</v>
      </c>
      <c r="H5212" s="4">
        <v>11225412</v>
      </c>
      <c r="I5212" s="4">
        <v>9757710</v>
      </c>
      <c r="J5212" s="3">
        <v>0.13074816318545815</v>
      </c>
      <c r="K5212" s="3">
        <v>0.15041459522777373</v>
      </c>
      <c r="L5212" t="s">
        <v>54</v>
      </c>
    </row>
    <row r="5213" spans="1:12" x14ac:dyDescent="0.25">
      <c r="A5213" t="s">
        <v>487</v>
      </c>
      <c r="B5213" t="s">
        <v>465</v>
      </c>
      <c r="C5213" t="s">
        <v>478</v>
      </c>
      <c r="D5213" t="s">
        <v>306</v>
      </c>
      <c r="E5213" t="s">
        <v>308</v>
      </c>
      <c r="F5213">
        <v>1</v>
      </c>
      <c r="G5213" t="s">
        <v>488</v>
      </c>
      <c r="H5213" s="4">
        <v>10687554</v>
      </c>
      <c r="I5213" s="4">
        <v>8050358.094221</v>
      </c>
      <c r="J5213" s="3">
        <v>0.24675392571387245</v>
      </c>
      <c r="K5213" s="3">
        <v>0.3275874035556416</v>
      </c>
      <c r="L5213" t="s">
        <v>54</v>
      </c>
    </row>
    <row r="5214" spans="1:12" x14ac:dyDescent="0.25">
      <c r="A5214" t="s">
        <v>487</v>
      </c>
      <c r="B5214" t="s">
        <v>465</v>
      </c>
      <c r="C5214" t="s">
        <v>478</v>
      </c>
      <c r="D5214" t="s">
        <v>306</v>
      </c>
      <c r="E5214" t="s">
        <v>308</v>
      </c>
      <c r="F5214">
        <v>1</v>
      </c>
      <c r="G5214" t="s">
        <v>498</v>
      </c>
      <c r="H5214" s="4">
        <v>10687554</v>
      </c>
      <c r="I5214" s="4">
        <v>8874964</v>
      </c>
      <c r="J5214" s="3">
        <v>0.16959820741022688</v>
      </c>
      <c r="K5214" s="3">
        <v>0.20423632140930376</v>
      </c>
      <c r="L5214" t="s">
        <v>54</v>
      </c>
    </row>
    <row r="5215" spans="1:12" x14ac:dyDescent="0.25">
      <c r="A5215" t="s">
        <v>487</v>
      </c>
      <c r="B5215" t="s">
        <v>465</v>
      </c>
      <c r="C5215" t="s">
        <v>478</v>
      </c>
      <c r="D5215" t="s">
        <v>306</v>
      </c>
      <c r="E5215" t="s">
        <v>308</v>
      </c>
      <c r="F5215">
        <v>1</v>
      </c>
      <c r="G5215" t="s">
        <v>499</v>
      </c>
      <c r="H5215" s="4">
        <v>10687554</v>
      </c>
      <c r="I5215" s="4">
        <v>10236878</v>
      </c>
      <c r="J5215" s="3">
        <v>0.042168301558990956</v>
      </c>
      <c r="K5215" s="3">
        <v>0.04402475051475655</v>
      </c>
      <c r="L5215" t="s">
        <v>54</v>
      </c>
    </row>
    <row r="5216" spans="1:12" x14ac:dyDescent="0.25">
      <c r="A5216" t="s">
        <v>487</v>
      </c>
      <c r="B5216" t="s">
        <v>465</v>
      </c>
      <c r="C5216" t="s">
        <v>478</v>
      </c>
      <c r="D5216" t="s">
        <v>306</v>
      </c>
      <c r="E5216" t="s">
        <v>310</v>
      </c>
      <c r="F5216">
        <v>2</v>
      </c>
      <c r="G5216" t="s">
        <v>488</v>
      </c>
      <c r="H5216" s="4">
        <v>11225412</v>
      </c>
      <c r="I5216" s="4">
        <v>12882737.8028733</v>
      </c>
      <c r="J5216" s="3">
        <v>0.14764053229167004</v>
      </c>
      <c r="K5216" s="3">
        <v>-0.12864701806658355</v>
      </c>
      <c r="L5216" t="s">
        <v>54</v>
      </c>
    </row>
    <row r="5217" spans="1:12" x14ac:dyDescent="0.25">
      <c r="A5217" t="s">
        <v>487</v>
      </c>
      <c r="B5217" t="s">
        <v>465</v>
      </c>
      <c r="C5217" t="s">
        <v>478</v>
      </c>
      <c r="D5217" t="s">
        <v>306</v>
      </c>
      <c r="E5217" t="s">
        <v>310</v>
      </c>
      <c r="F5217">
        <v>2</v>
      </c>
      <c r="G5217" t="s">
        <v>498</v>
      </c>
      <c r="H5217" s="4">
        <v>11225412</v>
      </c>
      <c r="I5217" s="4">
        <v>14202329</v>
      </c>
      <c r="J5217" s="3">
        <v>0.265194453441887</v>
      </c>
      <c r="K5217" s="3">
        <v>-0.20960766364446282</v>
      </c>
      <c r="L5217" t="s">
        <v>54</v>
      </c>
    </row>
    <row r="5218" spans="1:12" x14ac:dyDescent="0.25">
      <c r="A5218" t="s">
        <v>487</v>
      </c>
      <c r="B5218" t="s">
        <v>465</v>
      </c>
      <c r="C5218" t="s">
        <v>478</v>
      </c>
      <c r="D5218" t="s">
        <v>306</v>
      </c>
      <c r="E5218" t="s">
        <v>310</v>
      </c>
      <c r="F5218">
        <v>2</v>
      </c>
      <c r="G5218" t="s">
        <v>499</v>
      </c>
      <c r="H5218" s="4">
        <v>11225412</v>
      </c>
      <c r="I5218" s="4">
        <v>10236878</v>
      </c>
      <c r="J5218" s="3">
        <v>0.0880621575404092</v>
      </c>
      <c r="K5218" s="3">
        <v>0.09656596474042184</v>
      </c>
      <c r="L5218" t="s">
        <v>54</v>
      </c>
    </row>
    <row r="5219" spans="1:12" x14ac:dyDescent="0.25">
      <c r="A5219" t="s">
        <v>487</v>
      </c>
      <c r="B5219" t="s">
        <v>465</v>
      </c>
      <c r="C5219" t="s">
        <v>478</v>
      </c>
      <c r="D5219" t="s">
        <v>306</v>
      </c>
      <c r="E5219" t="s">
        <v>312</v>
      </c>
      <c r="F5219">
        <v>3</v>
      </c>
      <c r="G5219" t="s">
        <v>488</v>
      </c>
      <c r="H5219" s="4">
        <v>14436141</v>
      </c>
      <c r="I5219" s="4">
        <v>10649768.038854724</v>
      </c>
      <c r="J5219" s="3">
        <v>0.26228428782631563</v>
      </c>
      <c r="K5219" s="3">
        <v>0.35553572127872024</v>
      </c>
      <c r="L5219" t="s">
        <v>54</v>
      </c>
    </row>
    <row r="5220" spans="1:12" x14ac:dyDescent="0.25">
      <c r="A5220" t="s">
        <v>487</v>
      </c>
      <c r="B5220" t="s">
        <v>465</v>
      </c>
      <c r="C5220" t="s">
        <v>478</v>
      </c>
      <c r="D5220" t="s">
        <v>306</v>
      </c>
      <c r="E5220" t="s">
        <v>312</v>
      </c>
      <c r="F5220">
        <v>3</v>
      </c>
      <c r="G5220" t="s">
        <v>498</v>
      </c>
      <c r="H5220" s="4">
        <v>14436141</v>
      </c>
      <c r="I5220" s="4">
        <v>11740634</v>
      </c>
      <c r="J5220" s="3">
        <v>0.18671935941883638</v>
      </c>
      <c r="K5220" s="3">
        <v>0.22958785701010695</v>
      </c>
      <c r="L5220" t="s">
        <v>54</v>
      </c>
    </row>
    <row r="5221" spans="1:12" x14ac:dyDescent="0.25">
      <c r="A5221" t="s">
        <v>487</v>
      </c>
      <c r="B5221" t="s">
        <v>465</v>
      </c>
      <c r="C5221" t="s">
        <v>478</v>
      </c>
      <c r="D5221" t="s">
        <v>306</v>
      </c>
      <c r="E5221" t="s">
        <v>312</v>
      </c>
      <c r="F5221">
        <v>3</v>
      </c>
      <c r="G5221" t="s">
        <v>499</v>
      </c>
      <c r="H5221" s="4">
        <v>14436141</v>
      </c>
      <c r="I5221" s="4">
        <v>10236878</v>
      </c>
      <c r="J5221" s="3">
        <v>0.29088542429725506</v>
      </c>
      <c r="K5221" s="3">
        <v>0.4102093431219948</v>
      </c>
      <c r="L5221" t="s">
        <v>54</v>
      </c>
    </row>
    <row r="5222" spans="1:12" x14ac:dyDescent="0.25">
      <c r="A5222" t="s">
        <v>487</v>
      </c>
      <c r="B5222" t="s">
        <v>465</v>
      </c>
      <c r="C5222" t="s">
        <v>478</v>
      </c>
      <c r="D5222" t="s">
        <v>308</v>
      </c>
      <c r="E5222" t="s">
        <v>310</v>
      </c>
      <c r="F5222">
        <v>1</v>
      </c>
      <c r="G5222" t="s">
        <v>488</v>
      </c>
      <c r="H5222" s="4">
        <v>11225412</v>
      </c>
      <c r="I5222" s="4">
        <v>13473235.862207754</v>
      </c>
      <c r="J5222" s="3">
        <v>0.20024421929526984</v>
      </c>
      <c r="K5222" s="3">
        <v>-0.16683622889085387</v>
      </c>
      <c r="L5222" t="s">
        <v>54</v>
      </c>
    </row>
    <row r="5223" spans="1:12" x14ac:dyDescent="0.25">
      <c r="A5223" t="s">
        <v>487</v>
      </c>
      <c r="B5223" t="s">
        <v>465</v>
      </c>
      <c r="C5223" t="s">
        <v>478</v>
      </c>
      <c r="D5223" t="s">
        <v>308</v>
      </c>
      <c r="E5223" t="s">
        <v>310</v>
      </c>
      <c r="F5223">
        <v>1</v>
      </c>
      <c r="G5223" t="s">
        <v>498</v>
      </c>
      <c r="H5223" s="4">
        <v>11225412</v>
      </c>
      <c r="I5223" s="4">
        <v>14202329</v>
      </c>
      <c r="J5223" s="3">
        <v>0.265194453441887</v>
      </c>
      <c r="K5223" s="3">
        <v>-0.20960766364446282</v>
      </c>
      <c r="L5223" t="s">
        <v>54</v>
      </c>
    </row>
    <row r="5224" spans="1:12" x14ac:dyDescent="0.25">
      <c r="A5224" t="s">
        <v>487</v>
      </c>
      <c r="B5224" t="s">
        <v>465</v>
      </c>
      <c r="C5224" t="s">
        <v>478</v>
      </c>
      <c r="D5224" t="s">
        <v>308</v>
      </c>
      <c r="E5224" t="s">
        <v>310</v>
      </c>
      <c r="F5224">
        <v>1</v>
      </c>
      <c r="G5224" t="s">
        <v>499</v>
      </c>
      <c r="H5224" s="4">
        <v>11225412</v>
      </c>
      <c r="I5224" s="4">
        <v>10687554</v>
      </c>
      <c r="J5224" s="3">
        <v>0.04791432154116036</v>
      </c>
      <c r="K5224" s="3">
        <v>0.05032564045992189</v>
      </c>
      <c r="L5224" t="s">
        <v>54</v>
      </c>
    </row>
    <row r="5225" spans="1:12" x14ac:dyDescent="0.25">
      <c r="A5225" t="s">
        <v>487</v>
      </c>
      <c r="B5225" t="s">
        <v>465</v>
      </c>
      <c r="C5225" t="s">
        <v>478</v>
      </c>
      <c r="D5225" t="s">
        <v>308</v>
      </c>
      <c r="E5225" t="s">
        <v>312</v>
      </c>
      <c r="F5225">
        <v>2</v>
      </c>
      <c r="G5225" t="s">
        <v>488</v>
      </c>
      <c r="H5225" s="4">
        <v>14436141</v>
      </c>
      <c r="I5225" s="4">
        <v>11137914.848603752</v>
      </c>
      <c r="J5225" s="3">
        <v>0.22847007045693501</v>
      </c>
      <c r="K5225" s="3">
        <v>0.2961259981090369</v>
      </c>
      <c r="L5225" t="s">
        <v>54</v>
      </c>
    </row>
    <row r="5226" spans="1:12" x14ac:dyDescent="0.25">
      <c r="A5226" t="s">
        <v>487</v>
      </c>
      <c r="B5226" t="s">
        <v>465</v>
      </c>
      <c r="C5226" t="s">
        <v>478</v>
      </c>
      <c r="D5226" t="s">
        <v>308</v>
      </c>
      <c r="E5226" t="s">
        <v>312</v>
      </c>
      <c r="F5226">
        <v>2</v>
      </c>
      <c r="G5226" t="s">
        <v>498</v>
      </c>
      <c r="H5226" s="4">
        <v>14436141</v>
      </c>
      <c r="I5226" s="4">
        <v>11740634</v>
      </c>
      <c r="J5226" s="3">
        <v>0.18671935941883638</v>
      </c>
      <c r="K5226" s="3">
        <v>0.22958785701010695</v>
      </c>
      <c r="L5226" t="s">
        <v>54</v>
      </c>
    </row>
    <row r="5227" spans="1:12" x14ac:dyDescent="0.25">
      <c r="A5227" t="s">
        <v>487</v>
      </c>
      <c r="B5227" t="s">
        <v>465</v>
      </c>
      <c r="C5227" t="s">
        <v>478</v>
      </c>
      <c r="D5227" t="s">
        <v>308</v>
      </c>
      <c r="E5227" t="s">
        <v>312</v>
      </c>
      <c r="F5227">
        <v>2</v>
      </c>
      <c r="G5227" t="s">
        <v>499</v>
      </c>
      <c r="H5227" s="4">
        <v>14436141</v>
      </c>
      <c r="I5227" s="4">
        <v>10687554</v>
      </c>
      <c r="J5227" s="3">
        <v>0.2596668320155643</v>
      </c>
      <c r="K5227" s="3">
        <v>0.35074321027992</v>
      </c>
      <c r="L5227" t="s">
        <v>54</v>
      </c>
    </row>
    <row r="5228" spans="1:12" x14ac:dyDescent="0.25">
      <c r="A5228" t="s">
        <v>487</v>
      </c>
      <c r="B5228" t="s">
        <v>465</v>
      </c>
      <c r="C5228" t="s">
        <v>478</v>
      </c>
      <c r="D5228" t="s">
        <v>308</v>
      </c>
      <c r="E5228" t="s">
        <v>314</v>
      </c>
      <c r="F5228">
        <v>3</v>
      </c>
      <c r="G5228" t="s">
        <v>488</v>
      </c>
      <c r="H5228" s="4">
        <v>15905831</v>
      </c>
      <c r="I5228" s="4">
        <v>8270958.828507175</v>
      </c>
      <c r="J5228" s="3">
        <v>0.48000460783802024</v>
      </c>
      <c r="K5228" s="3">
        <v>0.9230939640490078</v>
      </c>
      <c r="L5228" t="s">
        <v>54</v>
      </c>
    </row>
    <row r="5229" spans="1:12" x14ac:dyDescent="0.25">
      <c r="A5229" t="s">
        <v>487</v>
      </c>
      <c r="B5229" t="s">
        <v>465</v>
      </c>
      <c r="C5229" t="s">
        <v>478</v>
      </c>
      <c r="D5229" t="s">
        <v>308</v>
      </c>
      <c r="E5229" t="s">
        <v>314</v>
      </c>
      <c r="F5229">
        <v>3</v>
      </c>
      <c r="G5229" t="s">
        <v>498</v>
      </c>
      <c r="H5229" s="4">
        <v>15905831</v>
      </c>
      <c r="I5229" s="4">
        <v>8718535</v>
      </c>
      <c r="J5229" s="3">
        <v>0.4518654825390764</v>
      </c>
      <c r="K5229" s="3">
        <v>0.8243696905500753</v>
      </c>
      <c r="L5229" t="s">
        <v>54</v>
      </c>
    </row>
    <row r="5230" spans="1:12" x14ac:dyDescent="0.25">
      <c r="A5230" t="s">
        <v>487</v>
      </c>
      <c r="B5230" t="s">
        <v>465</v>
      </c>
      <c r="C5230" t="s">
        <v>478</v>
      </c>
      <c r="D5230" t="s">
        <v>308</v>
      </c>
      <c r="E5230" t="s">
        <v>314</v>
      </c>
      <c r="F5230">
        <v>3</v>
      </c>
      <c r="G5230" t="s">
        <v>499</v>
      </c>
      <c r="H5230" s="4">
        <v>15905831</v>
      </c>
      <c r="I5230" s="4">
        <v>10687554</v>
      </c>
      <c r="J5230" s="3">
        <v>0.3280732078694914</v>
      </c>
      <c r="K5230" s="3">
        <v>0.4882573692727073</v>
      </c>
      <c r="L5230" t="s">
        <v>54</v>
      </c>
    </row>
    <row r="5231" spans="1:12" x14ac:dyDescent="0.25">
      <c r="A5231" t="s">
        <v>487</v>
      </c>
      <c r="B5231" t="s">
        <v>465</v>
      </c>
      <c r="C5231" t="s">
        <v>478</v>
      </c>
      <c r="D5231" t="s">
        <v>310</v>
      </c>
      <c r="E5231" t="s">
        <v>312</v>
      </c>
      <c r="F5231">
        <v>1</v>
      </c>
      <c r="G5231" t="s">
        <v>488</v>
      </c>
      <c r="H5231" s="4">
        <v>14436141</v>
      </c>
      <c r="I5231" s="4">
        <v>10575489.077581722</v>
      </c>
      <c r="J5231" s="3">
        <v>0.26742963527567915</v>
      </c>
      <c r="K5231" s="3">
        <v>0.36505658453207784</v>
      </c>
      <c r="L5231" t="s">
        <v>54</v>
      </c>
    </row>
    <row r="5232" spans="1:12" x14ac:dyDescent="0.25">
      <c r="A5232" t="s">
        <v>487</v>
      </c>
      <c r="B5232" t="s">
        <v>465</v>
      </c>
      <c r="C5232" t="s">
        <v>478</v>
      </c>
      <c r="D5232" t="s">
        <v>310</v>
      </c>
      <c r="E5232" t="s">
        <v>312</v>
      </c>
      <c r="F5232">
        <v>1</v>
      </c>
      <c r="G5232" t="s">
        <v>498</v>
      </c>
      <c r="H5232" s="4">
        <v>14436141</v>
      </c>
      <c r="I5232" s="4">
        <v>11740634</v>
      </c>
      <c r="J5232" s="3">
        <v>0.18671935941883638</v>
      </c>
      <c r="K5232" s="3">
        <v>0.22958785701010695</v>
      </c>
      <c r="L5232" t="s">
        <v>54</v>
      </c>
    </row>
    <row r="5233" spans="1:12" x14ac:dyDescent="0.25">
      <c r="A5233" t="s">
        <v>487</v>
      </c>
      <c r="B5233" t="s">
        <v>465</v>
      </c>
      <c r="C5233" t="s">
        <v>478</v>
      </c>
      <c r="D5233" t="s">
        <v>310</v>
      </c>
      <c r="E5233" t="s">
        <v>312</v>
      </c>
      <c r="F5233">
        <v>1</v>
      </c>
      <c r="G5233" t="s">
        <v>499</v>
      </c>
      <c r="H5233" s="4">
        <v>14436141</v>
      </c>
      <c r="I5233" s="4">
        <v>11225412</v>
      </c>
      <c r="J5233" s="3">
        <v>0.2224090911830246</v>
      </c>
      <c r="K5233" s="3">
        <v>0.2860232657830287</v>
      </c>
      <c r="L5233" t="s">
        <v>54</v>
      </c>
    </row>
    <row r="5234" spans="1:12" x14ac:dyDescent="0.25">
      <c r="A5234" t="s">
        <v>487</v>
      </c>
      <c r="B5234" t="s">
        <v>465</v>
      </c>
      <c r="C5234" t="s">
        <v>478</v>
      </c>
      <c r="D5234" t="s">
        <v>310</v>
      </c>
      <c r="E5234" t="s">
        <v>314</v>
      </c>
      <c r="F5234">
        <v>2</v>
      </c>
      <c r="G5234" t="s">
        <v>488</v>
      </c>
      <c r="H5234" s="4">
        <v>15905831</v>
      </c>
      <c r="I5234" s="4">
        <v>7853304.316020238</v>
      </c>
      <c r="J5234" s="3">
        <v>0.5062625576733314</v>
      </c>
      <c r="K5234" s="3">
        <v>1.025367967411262</v>
      </c>
      <c r="L5234" t="s">
        <v>54</v>
      </c>
    </row>
    <row r="5235" spans="1:12" x14ac:dyDescent="0.25">
      <c r="A5235" t="s">
        <v>487</v>
      </c>
      <c r="B5235" t="s">
        <v>465</v>
      </c>
      <c r="C5235" t="s">
        <v>478</v>
      </c>
      <c r="D5235" t="s">
        <v>310</v>
      </c>
      <c r="E5235" t="s">
        <v>314</v>
      </c>
      <c r="F5235">
        <v>2</v>
      </c>
      <c r="G5235" t="s">
        <v>498</v>
      </c>
      <c r="H5235" s="4">
        <v>15905831</v>
      </c>
      <c r="I5235" s="4">
        <v>8718535</v>
      </c>
      <c r="J5235" s="3">
        <v>0.4518654825390764</v>
      </c>
      <c r="K5235" s="3">
        <v>0.8243696905500753</v>
      </c>
      <c r="L5235" t="s">
        <v>54</v>
      </c>
    </row>
    <row r="5236" spans="1:12" x14ac:dyDescent="0.25">
      <c r="A5236" t="s">
        <v>487</v>
      </c>
      <c r="B5236" t="s">
        <v>465</v>
      </c>
      <c r="C5236" t="s">
        <v>478</v>
      </c>
      <c r="D5236" t="s">
        <v>310</v>
      </c>
      <c r="E5236" t="s">
        <v>314</v>
      </c>
      <c r="F5236">
        <v>2</v>
      </c>
      <c r="G5236" t="s">
        <v>499</v>
      </c>
      <c r="H5236" s="4">
        <v>15905831</v>
      </c>
      <c r="I5236" s="4">
        <v>11225412</v>
      </c>
      <c r="J5236" s="3">
        <v>0.29425806171334273</v>
      </c>
      <c r="K5236" s="3">
        <v>0.4169485271453734</v>
      </c>
      <c r="L5236" t="s">
        <v>54</v>
      </c>
    </row>
    <row r="5237" spans="1:12" x14ac:dyDescent="0.25">
      <c r="A5237" t="s">
        <v>487</v>
      </c>
      <c r="B5237" t="s">
        <v>465</v>
      </c>
      <c r="C5237" t="s">
        <v>478</v>
      </c>
      <c r="D5237" t="s">
        <v>310</v>
      </c>
      <c r="E5237" t="s">
        <v>316</v>
      </c>
      <c r="F5237">
        <v>3</v>
      </c>
      <c r="G5237" t="s">
        <v>488</v>
      </c>
      <c r="H5237" s="4">
        <v>13034629</v>
      </c>
      <c r="I5237" s="4">
        <v>2938304.01835666</v>
      </c>
      <c r="J5237" s="3">
        <v>0.7745770885878945</v>
      </c>
      <c r="K5237" s="3">
        <v>3.4361063111808394</v>
      </c>
      <c r="L5237" t="s">
        <v>54</v>
      </c>
    </row>
    <row r="5238" spans="1:12" x14ac:dyDescent="0.25">
      <c r="A5238" t="s">
        <v>487</v>
      </c>
      <c r="B5238" t="s">
        <v>465</v>
      </c>
      <c r="C5238" t="s">
        <v>478</v>
      </c>
      <c r="D5238" t="s">
        <v>310</v>
      </c>
      <c r="E5238" t="s">
        <v>316</v>
      </c>
      <c r="F5238">
        <v>3</v>
      </c>
      <c r="G5238" t="s">
        <v>498</v>
      </c>
      <c r="H5238" s="4">
        <v>13034629</v>
      </c>
      <c r="I5238" s="4">
        <v>3262029</v>
      </c>
      <c r="J5238" s="3">
        <v>0.7497413236694347</v>
      </c>
      <c r="K5238" s="3">
        <v>2.9958654567448666</v>
      </c>
      <c r="L5238" t="s">
        <v>54</v>
      </c>
    </row>
    <row r="5239" spans="1:12" x14ac:dyDescent="0.25">
      <c r="A5239" t="s">
        <v>487</v>
      </c>
      <c r="B5239" t="s">
        <v>465</v>
      </c>
      <c r="C5239" t="s">
        <v>478</v>
      </c>
      <c r="D5239" t="s">
        <v>310</v>
      </c>
      <c r="E5239" t="s">
        <v>316</v>
      </c>
      <c r="F5239">
        <v>3</v>
      </c>
      <c r="G5239" t="s">
        <v>499</v>
      </c>
      <c r="H5239" s="4">
        <v>13034629</v>
      </c>
      <c r="I5239" s="4">
        <v>11225412</v>
      </c>
      <c r="J5239" s="3">
        <v>0.13880080514758034</v>
      </c>
      <c r="K5239" s="3">
        <v>0.1611715454185557</v>
      </c>
      <c r="L5239" t="s">
        <v>54</v>
      </c>
    </row>
    <row r="5240" spans="1:12" x14ac:dyDescent="0.25">
      <c r="A5240" t="s">
        <v>487</v>
      </c>
      <c r="B5240" t="s">
        <v>465</v>
      </c>
      <c r="C5240" t="s">
        <v>478</v>
      </c>
      <c r="D5240" t="s">
        <v>312</v>
      </c>
      <c r="E5240" t="s">
        <v>314</v>
      </c>
      <c r="F5240">
        <v>1</v>
      </c>
      <c r="G5240" t="s">
        <v>488</v>
      </c>
      <c r="H5240" s="4">
        <v>15905831</v>
      </c>
      <c r="I5240" s="4">
        <v>7842353.431215849</v>
      </c>
      <c r="J5240" s="3">
        <v>0.5069510400798394</v>
      </c>
      <c r="K5240" s="3">
        <v>1.0281961453928021</v>
      </c>
      <c r="L5240" t="s">
        <v>54</v>
      </c>
    </row>
    <row r="5241" spans="1:12" x14ac:dyDescent="0.25">
      <c r="A5241" t="s">
        <v>487</v>
      </c>
      <c r="B5241" t="s">
        <v>465</v>
      </c>
      <c r="C5241" t="s">
        <v>478</v>
      </c>
      <c r="D5241" t="s">
        <v>312</v>
      </c>
      <c r="E5241" t="s">
        <v>314</v>
      </c>
      <c r="F5241">
        <v>1</v>
      </c>
      <c r="G5241" t="s">
        <v>498</v>
      </c>
      <c r="H5241" s="4">
        <v>15905831</v>
      </c>
      <c r="I5241" s="4">
        <v>8718535</v>
      </c>
      <c r="J5241" s="3">
        <v>0.4518654825390764</v>
      </c>
      <c r="K5241" s="3">
        <v>0.8243696905500753</v>
      </c>
      <c r="L5241" t="s">
        <v>54</v>
      </c>
    </row>
    <row r="5242" spans="1:12" x14ac:dyDescent="0.25">
      <c r="A5242" t="s">
        <v>487</v>
      </c>
      <c r="B5242" t="s">
        <v>465</v>
      </c>
      <c r="C5242" t="s">
        <v>478</v>
      </c>
      <c r="D5242" t="s">
        <v>312</v>
      </c>
      <c r="E5242" t="s">
        <v>314</v>
      </c>
      <c r="F5242">
        <v>1</v>
      </c>
      <c r="G5242" t="s">
        <v>499</v>
      </c>
      <c r="H5242" s="4">
        <v>15905831</v>
      </c>
      <c r="I5242" s="4">
        <v>14436141</v>
      </c>
      <c r="J5242" s="3">
        <v>0.0923994477245483</v>
      </c>
      <c r="K5242" s="3">
        <v>0.10180629296984561</v>
      </c>
      <c r="L5242" t="s">
        <v>54</v>
      </c>
    </row>
    <row r="5243" spans="1:12" x14ac:dyDescent="0.25">
      <c r="A5243" t="s">
        <v>487</v>
      </c>
      <c r="B5243" t="s">
        <v>465</v>
      </c>
      <c r="C5243" t="s">
        <v>478</v>
      </c>
      <c r="D5243" t="s">
        <v>312</v>
      </c>
      <c r="E5243" t="s">
        <v>316</v>
      </c>
      <c r="F5243">
        <v>2</v>
      </c>
      <c r="G5243" t="s">
        <v>488</v>
      </c>
      <c r="H5243" s="4">
        <v>13034629</v>
      </c>
      <c r="I5243" s="4">
        <v>2934206.7584606363</v>
      </c>
      <c r="J5243" s="3">
        <v>0.7748914251061049</v>
      </c>
      <c r="K5243" s="3">
        <v>3.4423007896138564</v>
      </c>
      <c r="L5243" t="s">
        <v>54</v>
      </c>
    </row>
    <row r="5244" spans="1:12" x14ac:dyDescent="0.25">
      <c r="A5244" t="s">
        <v>487</v>
      </c>
      <c r="B5244" t="s">
        <v>465</v>
      </c>
      <c r="C5244" t="s">
        <v>478</v>
      </c>
      <c r="D5244" t="s">
        <v>312</v>
      </c>
      <c r="E5244" t="s">
        <v>316</v>
      </c>
      <c r="F5244">
        <v>2</v>
      </c>
      <c r="G5244" t="s">
        <v>498</v>
      </c>
      <c r="H5244" s="4">
        <v>13034629</v>
      </c>
      <c r="I5244" s="4">
        <v>3262029</v>
      </c>
      <c r="J5244" s="3">
        <v>0.7497413236694347</v>
      </c>
      <c r="K5244" s="3">
        <v>2.9958654567448666</v>
      </c>
      <c r="L5244" t="s">
        <v>54</v>
      </c>
    </row>
    <row r="5245" spans="1:12" x14ac:dyDescent="0.25">
      <c r="A5245" t="s">
        <v>487</v>
      </c>
      <c r="B5245" t="s">
        <v>465</v>
      </c>
      <c r="C5245" t="s">
        <v>478</v>
      </c>
      <c r="D5245" t="s">
        <v>312</v>
      </c>
      <c r="E5245" t="s">
        <v>316</v>
      </c>
      <c r="F5245">
        <v>2</v>
      </c>
      <c r="G5245" t="s">
        <v>499</v>
      </c>
      <c r="H5245" s="4">
        <v>13034629</v>
      </c>
      <c r="I5245" s="4">
        <v>14436141</v>
      </c>
      <c r="J5245" s="3">
        <v>0.10752220105382362</v>
      </c>
      <c r="K5245" s="3">
        <v>-0.09708356270557346</v>
      </c>
      <c r="L5245" t="s">
        <v>54</v>
      </c>
    </row>
    <row r="5246" spans="1:12" x14ac:dyDescent="0.25">
      <c r="A5246" t="s">
        <v>487</v>
      </c>
      <c r="B5246" t="s">
        <v>465</v>
      </c>
      <c r="C5246" t="s">
        <v>478</v>
      </c>
      <c r="D5246" t="s">
        <v>312</v>
      </c>
      <c r="E5246" t="s">
        <v>318</v>
      </c>
      <c r="F5246">
        <v>3</v>
      </c>
      <c r="G5246" t="s">
        <v>488</v>
      </c>
      <c r="H5246" s="4">
        <v>13814712</v>
      </c>
      <c r="I5246" s="4">
        <v>5026712.937939541</v>
      </c>
      <c r="J5246" s="3">
        <v>0.6361333527662726</v>
      </c>
      <c r="K5246" s="3">
        <v>1.7482595824663651</v>
      </c>
      <c r="L5246" t="s">
        <v>54</v>
      </c>
    </row>
    <row r="5247" spans="1:12" x14ac:dyDescent="0.25">
      <c r="A5247" t="s">
        <v>487</v>
      </c>
      <c r="B5247" t="s">
        <v>465</v>
      </c>
      <c r="C5247" t="s">
        <v>478</v>
      </c>
      <c r="D5247" t="s">
        <v>312</v>
      </c>
      <c r="E5247" t="s">
        <v>318</v>
      </c>
      <c r="F5247">
        <v>3</v>
      </c>
      <c r="G5247" t="s">
        <v>498</v>
      </c>
      <c r="H5247" s="4">
        <v>13814712</v>
      </c>
      <c r="I5247" s="4">
        <v>5588319</v>
      </c>
      <c r="J5247" s="3">
        <v>0.5954806006813606</v>
      </c>
      <c r="K5247" s="3">
        <v>1.4720693288983682</v>
      </c>
      <c r="L5247" t="s">
        <v>54</v>
      </c>
    </row>
    <row r="5248" spans="1:12" x14ac:dyDescent="0.25">
      <c r="A5248" t="s">
        <v>487</v>
      </c>
      <c r="B5248" t="s">
        <v>465</v>
      </c>
      <c r="C5248" t="s">
        <v>478</v>
      </c>
      <c r="D5248" t="s">
        <v>312</v>
      </c>
      <c r="E5248" t="s">
        <v>318</v>
      </c>
      <c r="F5248">
        <v>3</v>
      </c>
      <c r="G5248" t="s">
        <v>499</v>
      </c>
      <c r="H5248" s="4">
        <v>13814712</v>
      </c>
      <c r="I5248" s="4">
        <v>14436141</v>
      </c>
      <c r="J5248" s="3">
        <v>0.04498313102727006</v>
      </c>
      <c r="K5248" s="3">
        <v>-0.04304675328399744</v>
      </c>
      <c r="L5248" t="s">
        <v>54</v>
      </c>
    </row>
    <row r="5249" spans="1:12" x14ac:dyDescent="0.25">
      <c r="A5249" t="s">
        <v>487</v>
      </c>
      <c r="B5249" t="s">
        <v>465</v>
      </c>
      <c r="C5249" t="s">
        <v>478</v>
      </c>
      <c r="D5249" t="s">
        <v>314</v>
      </c>
      <c r="E5249" t="s">
        <v>316</v>
      </c>
      <c r="F5249">
        <v>1</v>
      </c>
      <c r="G5249" t="s">
        <v>488</v>
      </c>
      <c r="H5249" s="4">
        <v>13034629</v>
      </c>
      <c r="I5249" s="4">
        <v>3236194.1332625835</v>
      </c>
      <c r="J5249" s="3">
        <v>0.7517233414727351</v>
      </c>
      <c r="K5249" s="3">
        <v>3.027764856881154</v>
      </c>
      <c r="L5249" t="s">
        <v>54</v>
      </c>
    </row>
    <row r="5250" spans="1:12" x14ac:dyDescent="0.25">
      <c r="A5250" t="s">
        <v>487</v>
      </c>
      <c r="B5250" t="s">
        <v>465</v>
      </c>
      <c r="C5250" t="s">
        <v>478</v>
      </c>
      <c r="D5250" t="s">
        <v>314</v>
      </c>
      <c r="E5250" t="s">
        <v>316</v>
      </c>
      <c r="F5250">
        <v>1</v>
      </c>
      <c r="G5250" t="s">
        <v>498</v>
      </c>
      <c r="H5250" s="4">
        <v>13034629</v>
      </c>
      <c r="I5250" s="4">
        <v>3262029</v>
      </c>
      <c r="J5250" s="3">
        <v>0.7497413236694347</v>
      </c>
      <c r="K5250" s="3">
        <v>2.9958654567448666</v>
      </c>
      <c r="L5250" t="s">
        <v>54</v>
      </c>
    </row>
    <row r="5251" spans="1:12" x14ac:dyDescent="0.25">
      <c r="A5251" t="s">
        <v>487</v>
      </c>
      <c r="B5251" t="s">
        <v>465</v>
      </c>
      <c r="C5251" t="s">
        <v>478</v>
      </c>
      <c r="D5251" t="s">
        <v>314</v>
      </c>
      <c r="E5251" t="s">
        <v>316</v>
      </c>
      <c r="F5251">
        <v>1</v>
      </c>
      <c r="G5251" t="s">
        <v>499</v>
      </c>
      <c r="H5251" s="4">
        <v>13034629</v>
      </c>
      <c r="I5251" s="4">
        <v>15905831</v>
      </c>
      <c r="J5251" s="3">
        <v>0.22027493072491744</v>
      </c>
      <c r="K5251" s="3">
        <v>-0.18051254285299523</v>
      </c>
      <c r="L5251" t="s">
        <v>54</v>
      </c>
    </row>
    <row r="5252" spans="1:12" x14ac:dyDescent="0.25">
      <c r="A5252" t="s">
        <v>487</v>
      </c>
      <c r="B5252" t="s">
        <v>465</v>
      </c>
      <c r="C5252" t="s">
        <v>478</v>
      </c>
      <c r="D5252" t="s">
        <v>314</v>
      </c>
      <c r="E5252" t="s">
        <v>318</v>
      </c>
      <c r="F5252">
        <v>2</v>
      </c>
      <c r="G5252" t="s">
        <v>488</v>
      </c>
      <c r="H5252" s="4">
        <v>13814712</v>
      </c>
      <c r="I5252" s="4">
        <v>5544060.203817878</v>
      </c>
      <c r="J5252" s="3">
        <v>0.5986843443556494</v>
      </c>
      <c r="K5252" s="3">
        <v>1.4918041096463195</v>
      </c>
      <c r="L5252" t="s">
        <v>54</v>
      </c>
    </row>
    <row r="5253" spans="1:12" x14ac:dyDescent="0.25">
      <c r="A5253" t="s">
        <v>487</v>
      </c>
      <c r="B5253" t="s">
        <v>465</v>
      </c>
      <c r="C5253" t="s">
        <v>478</v>
      </c>
      <c r="D5253" t="s">
        <v>314</v>
      </c>
      <c r="E5253" t="s">
        <v>318</v>
      </c>
      <c r="F5253">
        <v>2</v>
      </c>
      <c r="G5253" t="s">
        <v>498</v>
      </c>
      <c r="H5253" s="4">
        <v>13814712</v>
      </c>
      <c r="I5253" s="4">
        <v>5588319</v>
      </c>
      <c r="J5253" s="3">
        <v>0.5954806006813606</v>
      </c>
      <c r="K5253" s="3">
        <v>1.4720693288983682</v>
      </c>
      <c r="L5253" t="s">
        <v>54</v>
      </c>
    </row>
    <row r="5254" spans="1:12" x14ac:dyDescent="0.25">
      <c r="A5254" t="s">
        <v>487</v>
      </c>
      <c r="B5254" t="s">
        <v>465</v>
      </c>
      <c r="C5254" t="s">
        <v>478</v>
      </c>
      <c r="D5254" t="s">
        <v>314</v>
      </c>
      <c r="E5254" t="s">
        <v>318</v>
      </c>
      <c r="F5254">
        <v>2</v>
      </c>
      <c r="G5254" t="s">
        <v>499</v>
      </c>
      <c r="H5254" s="4">
        <v>13814712</v>
      </c>
      <c r="I5254" s="4">
        <v>15905831</v>
      </c>
      <c r="J5254" s="3">
        <v>0.15136898981317887</v>
      </c>
      <c r="K5254" s="3">
        <v>-0.13146870477876949</v>
      </c>
      <c r="L5254" t="s">
        <v>54</v>
      </c>
    </row>
    <row r="5255" spans="1:12" x14ac:dyDescent="0.25">
      <c r="A5255" t="s">
        <v>487</v>
      </c>
      <c r="B5255" t="s">
        <v>465</v>
      </c>
      <c r="C5255" t="s">
        <v>478</v>
      </c>
      <c r="D5255" t="s">
        <v>314</v>
      </c>
      <c r="E5255" t="s">
        <v>320</v>
      </c>
      <c r="F5255">
        <v>3</v>
      </c>
      <c r="G5255" t="s">
        <v>488</v>
      </c>
      <c r="H5255" s="4">
        <v>12783364</v>
      </c>
      <c r="I5255" s="4">
        <v>8095769.647934416</v>
      </c>
      <c r="J5255" s="3">
        <v>0.3666948975297569</v>
      </c>
      <c r="K5255" s="3">
        <v>0.5790177532115917</v>
      </c>
      <c r="L5255" t="s">
        <v>54</v>
      </c>
    </row>
    <row r="5256" spans="1:12" x14ac:dyDescent="0.25">
      <c r="A5256" t="s">
        <v>487</v>
      </c>
      <c r="B5256" t="s">
        <v>465</v>
      </c>
      <c r="C5256" t="s">
        <v>478</v>
      </c>
      <c r="D5256" t="s">
        <v>314</v>
      </c>
      <c r="E5256" t="s">
        <v>320</v>
      </c>
      <c r="F5256">
        <v>3</v>
      </c>
      <c r="G5256" t="s">
        <v>498</v>
      </c>
      <c r="H5256" s="4">
        <v>12783364</v>
      </c>
      <c r="I5256" s="4">
        <v>8160399</v>
      </c>
      <c r="J5256" s="3">
        <v>0.36163915851883743</v>
      </c>
      <c r="K5256" s="3">
        <v>0.5665121276545424</v>
      </c>
      <c r="L5256" t="s">
        <v>54</v>
      </c>
    </row>
    <row r="5257" spans="1:12" x14ac:dyDescent="0.25">
      <c r="A5257" t="s">
        <v>487</v>
      </c>
      <c r="B5257" t="s">
        <v>465</v>
      </c>
      <c r="C5257" t="s">
        <v>478</v>
      </c>
      <c r="D5257" t="s">
        <v>314</v>
      </c>
      <c r="E5257" t="s">
        <v>320</v>
      </c>
      <c r="F5257">
        <v>3</v>
      </c>
      <c r="G5257" t="s">
        <v>499</v>
      </c>
      <c r="H5257" s="4">
        <v>12783364</v>
      </c>
      <c r="I5257" s="4">
        <v>15905831</v>
      </c>
      <c r="J5257" s="3">
        <v>0.24426019629887719</v>
      </c>
      <c r="K5257" s="3">
        <v>-0.19630957980126912</v>
      </c>
      <c r="L5257" t="s">
        <v>54</v>
      </c>
    </row>
    <row r="5258" spans="1:12" x14ac:dyDescent="0.25">
      <c r="A5258" t="s">
        <v>487</v>
      </c>
      <c r="B5258" t="s">
        <v>465</v>
      </c>
      <c r="C5258" t="s">
        <v>478</v>
      </c>
      <c r="D5258" t="s">
        <v>316</v>
      </c>
      <c r="E5258" t="s">
        <v>318</v>
      </c>
      <c r="F5258">
        <v>1</v>
      </c>
      <c r="G5258" t="s">
        <v>488</v>
      </c>
      <c r="H5258" s="4">
        <v>13814712</v>
      </c>
      <c r="I5258" s="4">
        <v>7274992.134168608</v>
      </c>
      <c r="J5258" s="3">
        <v>0.47338807105290304</v>
      </c>
      <c r="K5258" s="3">
        <v>0.8989315376873265</v>
      </c>
      <c r="L5258" t="s">
        <v>54</v>
      </c>
    </row>
    <row r="5259" spans="1:12" x14ac:dyDescent="0.25">
      <c r="A5259" t="s">
        <v>487</v>
      </c>
      <c r="B5259" t="s">
        <v>465</v>
      </c>
      <c r="C5259" t="s">
        <v>478</v>
      </c>
      <c r="D5259" t="s">
        <v>316</v>
      </c>
      <c r="E5259" t="s">
        <v>318</v>
      </c>
      <c r="F5259">
        <v>1</v>
      </c>
      <c r="G5259" t="s">
        <v>498</v>
      </c>
      <c r="H5259" s="4">
        <v>13814712</v>
      </c>
      <c r="I5259" s="4">
        <v>5588319</v>
      </c>
      <c r="J5259" s="3">
        <v>0.5954806006813606</v>
      </c>
      <c r="K5259" s="3">
        <v>1.4720693288983682</v>
      </c>
      <c r="L5259" t="s">
        <v>54</v>
      </c>
    </row>
    <row r="5260" spans="1:12" x14ac:dyDescent="0.25">
      <c r="A5260" t="s">
        <v>487</v>
      </c>
      <c r="B5260" t="s">
        <v>465</v>
      </c>
      <c r="C5260" t="s">
        <v>478</v>
      </c>
      <c r="D5260" t="s">
        <v>316</v>
      </c>
      <c r="E5260" t="s">
        <v>318</v>
      </c>
      <c r="F5260">
        <v>1</v>
      </c>
      <c r="G5260" t="s">
        <v>499</v>
      </c>
      <c r="H5260" s="4">
        <v>13814712</v>
      </c>
      <c r="I5260" s="4">
        <v>13034629</v>
      </c>
      <c r="J5260" s="3">
        <v>0.056467554300082407</v>
      </c>
      <c r="K5260" s="3">
        <v>0.059846966108509876</v>
      </c>
      <c r="L5260" t="s">
        <v>54</v>
      </c>
    </row>
    <row r="5261" spans="1:12" x14ac:dyDescent="0.25">
      <c r="A5261" t="s">
        <v>487</v>
      </c>
      <c r="B5261" t="s">
        <v>465</v>
      </c>
      <c r="C5261" t="s">
        <v>478</v>
      </c>
      <c r="D5261" t="s">
        <v>316</v>
      </c>
      <c r="E5261" t="s">
        <v>320</v>
      </c>
      <c r="F5261">
        <v>2</v>
      </c>
      <c r="G5261" t="s">
        <v>488</v>
      </c>
      <c r="H5261" s="4">
        <v>12783364</v>
      </c>
      <c r="I5261" s="4">
        <v>10623380.400560057</v>
      </c>
      <c r="J5261" s="3">
        <v>0.1689683247257876</v>
      </c>
      <c r="K5261" s="3">
        <v>0.20332356726358689</v>
      </c>
      <c r="L5261" t="s">
        <v>54</v>
      </c>
    </row>
    <row r="5262" spans="1:12" x14ac:dyDescent="0.25">
      <c r="A5262" t="s">
        <v>487</v>
      </c>
      <c r="B5262" t="s">
        <v>465</v>
      </c>
      <c r="C5262" t="s">
        <v>478</v>
      </c>
      <c r="D5262" t="s">
        <v>316</v>
      </c>
      <c r="E5262" t="s">
        <v>320</v>
      </c>
      <c r="F5262">
        <v>2</v>
      </c>
      <c r="G5262" t="s">
        <v>498</v>
      </c>
      <c r="H5262" s="4">
        <v>12783364</v>
      </c>
      <c r="I5262" s="4">
        <v>8160399</v>
      </c>
      <c r="J5262" s="3">
        <v>0.36163915851883743</v>
      </c>
      <c r="K5262" s="3">
        <v>0.5665121276545424</v>
      </c>
      <c r="L5262" t="s">
        <v>54</v>
      </c>
    </row>
    <row r="5263" spans="1:12" x14ac:dyDescent="0.25">
      <c r="A5263" t="s">
        <v>487</v>
      </c>
      <c r="B5263" t="s">
        <v>465</v>
      </c>
      <c r="C5263" t="s">
        <v>478</v>
      </c>
      <c r="D5263" t="s">
        <v>316</v>
      </c>
      <c r="E5263" t="s">
        <v>320</v>
      </c>
      <c r="F5263">
        <v>2</v>
      </c>
      <c r="G5263" t="s">
        <v>499</v>
      </c>
      <c r="H5263" s="4">
        <v>12783364</v>
      </c>
      <c r="I5263" s="4">
        <v>13034629</v>
      </c>
      <c r="J5263" s="3">
        <v>0.01965562429419987</v>
      </c>
      <c r="K5263" s="3">
        <v>-0.019276728167713864</v>
      </c>
      <c r="L5263" t="s">
        <v>54</v>
      </c>
    </row>
    <row r="5264" spans="1:12" x14ac:dyDescent="0.25">
      <c r="A5264" t="s">
        <v>487</v>
      </c>
      <c r="B5264" t="s">
        <v>465</v>
      </c>
      <c r="C5264" t="s">
        <v>478</v>
      </c>
      <c r="D5264" t="s">
        <v>316</v>
      </c>
      <c r="E5264" t="s">
        <v>322</v>
      </c>
      <c r="F5264">
        <v>3</v>
      </c>
      <c r="G5264" t="s">
        <v>488</v>
      </c>
      <c r="H5264" s="4">
        <v>14140895</v>
      </c>
      <c r="I5264" s="4">
        <v>12881424.417285493</v>
      </c>
      <c r="J5264" s="3">
        <v>0.08906583230513397</v>
      </c>
      <c r="K5264" s="3">
        <v>0.09777417014724184</v>
      </c>
      <c r="L5264" t="s">
        <v>54</v>
      </c>
    </row>
    <row r="5265" spans="1:12" x14ac:dyDescent="0.25">
      <c r="A5265" t="s">
        <v>487</v>
      </c>
      <c r="B5265" t="s">
        <v>465</v>
      </c>
      <c r="C5265" t="s">
        <v>478</v>
      </c>
      <c r="D5265" t="s">
        <v>316</v>
      </c>
      <c r="E5265" t="s">
        <v>322</v>
      </c>
      <c r="F5265">
        <v>3</v>
      </c>
      <c r="G5265" t="s">
        <v>498</v>
      </c>
      <c r="H5265" s="4">
        <v>14140895</v>
      </c>
      <c r="I5265" s="4">
        <v>9894926</v>
      </c>
      <c r="J5265" s="3">
        <v>0.3002616878210325</v>
      </c>
      <c r="K5265" s="3">
        <v>0.42910568507536084</v>
      </c>
      <c r="L5265" t="s">
        <v>54</v>
      </c>
    </row>
    <row r="5266" spans="1:12" x14ac:dyDescent="0.25">
      <c r="A5266" t="s">
        <v>487</v>
      </c>
      <c r="B5266" t="s">
        <v>465</v>
      </c>
      <c r="C5266" t="s">
        <v>478</v>
      </c>
      <c r="D5266" t="s">
        <v>316</v>
      </c>
      <c r="E5266" t="s">
        <v>322</v>
      </c>
      <c r="F5266">
        <v>3</v>
      </c>
      <c r="G5266" t="s">
        <v>499</v>
      </c>
      <c r="H5266" s="4">
        <v>14140895</v>
      </c>
      <c r="I5266" s="4">
        <v>13034629</v>
      </c>
      <c r="J5266" s="3">
        <v>0.07823168194092382</v>
      </c>
      <c r="K5266" s="3">
        <v>0.08487130703911865</v>
      </c>
      <c r="L5266" t="s">
        <v>54</v>
      </c>
    </row>
    <row r="5267" spans="1:12" x14ac:dyDescent="0.25">
      <c r="A5267" t="s">
        <v>487</v>
      </c>
      <c r="B5267" t="s">
        <v>465</v>
      </c>
      <c r="C5267" t="s">
        <v>478</v>
      </c>
      <c r="D5267" t="s">
        <v>318</v>
      </c>
      <c r="E5267" t="s">
        <v>320</v>
      </c>
      <c r="F5267">
        <v>1</v>
      </c>
      <c r="G5267" t="s">
        <v>488</v>
      </c>
      <c r="H5267" s="4">
        <v>12783364</v>
      </c>
      <c r="I5267" s="4">
        <v>11916103.317757973</v>
      </c>
      <c r="J5267" s="3">
        <v>0.0678429153892533</v>
      </c>
      <c r="K5267" s="3">
        <v>0.07278056081887031</v>
      </c>
      <c r="L5267" t="s">
        <v>54</v>
      </c>
    </row>
    <row r="5268" spans="1:12" x14ac:dyDescent="0.25">
      <c r="A5268" t="s">
        <v>487</v>
      </c>
      <c r="B5268" t="s">
        <v>465</v>
      </c>
      <c r="C5268" t="s">
        <v>478</v>
      </c>
      <c r="D5268" t="s">
        <v>318</v>
      </c>
      <c r="E5268" t="s">
        <v>320</v>
      </c>
      <c r="F5268">
        <v>1</v>
      </c>
      <c r="G5268" t="s">
        <v>498</v>
      </c>
      <c r="H5268" s="4">
        <v>12783364</v>
      </c>
      <c r="I5268" s="4">
        <v>8160399</v>
      </c>
      <c r="J5268" s="3">
        <v>0.36163915851883743</v>
      </c>
      <c r="K5268" s="3">
        <v>0.5665121276545424</v>
      </c>
      <c r="L5268" t="s">
        <v>54</v>
      </c>
    </row>
    <row r="5269" spans="1:12" x14ac:dyDescent="0.25">
      <c r="A5269" t="s">
        <v>487</v>
      </c>
      <c r="B5269" t="s">
        <v>465</v>
      </c>
      <c r="C5269" t="s">
        <v>478</v>
      </c>
      <c r="D5269" t="s">
        <v>318</v>
      </c>
      <c r="E5269" t="s">
        <v>320</v>
      </c>
      <c r="F5269">
        <v>1</v>
      </c>
      <c r="G5269" t="s">
        <v>499</v>
      </c>
      <c r="H5269" s="4">
        <v>12783364</v>
      </c>
      <c r="I5269" s="4">
        <v>13814712</v>
      </c>
      <c r="J5269" s="3">
        <v>0.08067891988368633</v>
      </c>
      <c r="K5269" s="3">
        <v>-0.07465577277325795</v>
      </c>
      <c r="L5269" t="s">
        <v>54</v>
      </c>
    </row>
    <row r="5270" spans="1:12" x14ac:dyDescent="0.25">
      <c r="A5270" t="s">
        <v>487</v>
      </c>
      <c r="B5270" t="s">
        <v>465</v>
      </c>
      <c r="C5270" t="s">
        <v>478</v>
      </c>
      <c r="D5270" t="s">
        <v>318</v>
      </c>
      <c r="E5270" t="s">
        <v>322</v>
      </c>
      <c r="F5270">
        <v>2</v>
      </c>
      <c r="G5270" t="s">
        <v>488</v>
      </c>
      <c r="H5270" s="4">
        <v>14140895</v>
      </c>
      <c r="I5270" s="4">
        <v>14448921.007118601</v>
      </c>
      <c r="J5270" s="3">
        <v>0.021782638731042227</v>
      </c>
      <c r="K5270" s="3">
        <v>-0.02131827054538156</v>
      </c>
      <c r="L5270" t="s">
        <v>54</v>
      </c>
    </row>
    <row r="5271" spans="1:12" x14ac:dyDescent="0.25">
      <c r="A5271" t="s">
        <v>487</v>
      </c>
      <c r="B5271" t="s">
        <v>465</v>
      </c>
      <c r="C5271" t="s">
        <v>478</v>
      </c>
      <c r="D5271" t="s">
        <v>318</v>
      </c>
      <c r="E5271" t="s">
        <v>322</v>
      </c>
      <c r="F5271">
        <v>2</v>
      </c>
      <c r="G5271" t="s">
        <v>498</v>
      </c>
      <c r="H5271" s="4">
        <v>14140895</v>
      </c>
      <c r="I5271" s="4">
        <v>9894926</v>
      </c>
      <c r="J5271" s="3">
        <v>0.3002616878210325</v>
      </c>
      <c r="K5271" s="3">
        <v>0.42910568507536084</v>
      </c>
      <c r="L5271" t="s">
        <v>54</v>
      </c>
    </row>
    <row r="5272" spans="1:12" x14ac:dyDescent="0.25">
      <c r="A5272" t="s">
        <v>487</v>
      </c>
      <c r="B5272" t="s">
        <v>465</v>
      </c>
      <c r="C5272" t="s">
        <v>478</v>
      </c>
      <c r="D5272" t="s">
        <v>318</v>
      </c>
      <c r="E5272" t="s">
        <v>322</v>
      </c>
      <c r="F5272">
        <v>2</v>
      </c>
      <c r="G5272" t="s">
        <v>499</v>
      </c>
      <c r="H5272" s="4">
        <v>14140895</v>
      </c>
      <c r="I5272" s="4">
        <v>13814712</v>
      </c>
      <c r="J5272" s="3">
        <v>0.023066644650144137</v>
      </c>
      <c r="K5272" s="3">
        <v>0.023611277600285842</v>
      </c>
      <c r="L5272" t="s">
        <v>54</v>
      </c>
    </row>
    <row r="5273" spans="1:12" x14ac:dyDescent="0.25">
      <c r="A5273" t="s">
        <v>487</v>
      </c>
      <c r="B5273" t="s">
        <v>465</v>
      </c>
      <c r="C5273" t="s">
        <v>478</v>
      </c>
      <c r="D5273" t="s">
        <v>318</v>
      </c>
      <c r="E5273" t="s">
        <v>324</v>
      </c>
      <c r="F5273">
        <v>3</v>
      </c>
      <c r="G5273" t="s">
        <v>488</v>
      </c>
      <c r="H5273" s="4">
        <v>15550637</v>
      </c>
      <c r="I5273" s="4">
        <v>13188886.819980605</v>
      </c>
      <c r="J5273" s="3">
        <v>0.1518748190199151</v>
      </c>
      <c r="K5273" s="3">
        <v>0.17907122960835814</v>
      </c>
      <c r="L5273" t="s">
        <v>54</v>
      </c>
    </row>
    <row r="5274" spans="1:12" x14ac:dyDescent="0.25">
      <c r="A5274" t="s">
        <v>487</v>
      </c>
      <c r="B5274" t="s">
        <v>465</v>
      </c>
      <c r="C5274" t="s">
        <v>478</v>
      </c>
      <c r="D5274" t="s">
        <v>318</v>
      </c>
      <c r="E5274" t="s">
        <v>324</v>
      </c>
      <c r="F5274">
        <v>3</v>
      </c>
      <c r="G5274" t="s">
        <v>498</v>
      </c>
      <c r="H5274" s="4">
        <v>15550637</v>
      </c>
      <c r="I5274" s="4">
        <v>9032028</v>
      </c>
      <c r="J5274" s="3">
        <v>0.41918597932676327</v>
      </c>
      <c r="K5274" s="3">
        <v>0.7217215225639247</v>
      </c>
      <c r="L5274" t="s">
        <v>54</v>
      </c>
    </row>
    <row r="5275" spans="1:12" x14ac:dyDescent="0.25">
      <c r="A5275" t="s">
        <v>487</v>
      </c>
      <c r="B5275" t="s">
        <v>465</v>
      </c>
      <c r="C5275" t="s">
        <v>478</v>
      </c>
      <c r="D5275" t="s">
        <v>318</v>
      </c>
      <c r="E5275" t="s">
        <v>324</v>
      </c>
      <c r="F5275">
        <v>3</v>
      </c>
      <c r="G5275" t="s">
        <v>499</v>
      </c>
      <c r="H5275" s="4">
        <v>15550637</v>
      </c>
      <c r="I5275" s="4">
        <v>13814712</v>
      </c>
      <c r="J5275" s="3">
        <v>0.11163047533036749</v>
      </c>
      <c r="K5275" s="3">
        <v>0.1256577046267776</v>
      </c>
      <c r="L5275" t="s">
        <v>54</v>
      </c>
    </row>
    <row r="5276" spans="1:12" x14ac:dyDescent="0.25">
      <c r="A5276" t="s">
        <v>487</v>
      </c>
      <c r="B5276" t="s">
        <v>465</v>
      </c>
      <c r="C5276" t="s">
        <v>478</v>
      </c>
      <c r="D5276" t="s">
        <v>320</v>
      </c>
      <c r="E5276" t="s">
        <v>322</v>
      </c>
      <c r="F5276">
        <v>1</v>
      </c>
      <c r="G5276" t="s">
        <v>488</v>
      </c>
      <c r="H5276" s="4">
        <v>14140895</v>
      </c>
      <c r="I5276" s="4">
        <v>15186938.236358559</v>
      </c>
      <c r="J5276" s="3">
        <v>0.07397291588393512</v>
      </c>
      <c r="K5276" s="3">
        <v>-0.0688778225129184</v>
      </c>
      <c r="L5276" t="s">
        <v>54</v>
      </c>
    </row>
    <row r="5277" spans="1:12" x14ac:dyDescent="0.25">
      <c r="A5277" t="s">
        <v>487</v>
      </c>
      <c r="B5277" t="s">
        <v>465</v>
      </c>
      <c r="C5277" t="s">
        <v>478</v>
      </c>
      <c r="D5277" t="s">
        <v>320</v>
      </c>
      <c r="E5277" t="s">
        <v>322</v>
      </c>
      <c r="F5277">
        <v>1</v>
      </c>
      <c r="G5277" t="s">
        <v>498</v>
      </c>
      <c r="H5277" s="4">
        <v>14140895</v>
      </c>
      <c r="I5277" s="4">
        <v>9894926</v>
      </c>
      <c r="J5277" s="3">
        <v>0.3002616878210325</v>
      </c>
      <c r="K5277" s="3">
        <v>0.42910568507536084</v>
      </c>
      <c r="L5277" t="s">
        <v>54</v>
      </c>
    </row>
    <row r="5278" spans="1:12" x14ac:dyDescent="0.25">
      <c r="A5278" t="s">
        <v>487</v>
      </c>
      <c r="B5278" t="s">
        <v>465</v>
      </c>
      <c r="C5278" t="s">
        <v>478</v>
      </c>
      <c r="D5278" t="s">
        <v>320</v>
      </c>
      <c r="E5278" t="s">
        <v>322</v>
      </c>
      <c r="F5278">
        <v>1</v>
      </c>
      <c r="G5278" t="s">
        <v>499</v>
      </c>
      <c r="H5278" s="4">
        <v>14140895</v>
      </c>
      <c r="I5278" s="4">
        <v>12783364</v>
      </c>
      <c r="J5278" s="3">
        <v>0.09600035924175945</v>
      </c>
      <c r="K5278" s="3">
        <v>0.1061951298578371</v>
      </c>
      <c r="L5278" t="s">
        <v>54</v>
      </c>
    </row>
    <row r="5279" spans="1:12" x14ac:dyDescent="0.25">
      <c r="A5279" t="s">
        <v>487</v>
      </c>
      <c r="B5279" t="s">
        <v>465</v>
      </c>
      <c r="C5279" t="s">
        <v>478</v>
      </c>
      <c r="D5279" t="s">
        <v>320</v>
      </c>
      <c r="E5279" t="s">
        <v>324</v>
      </c>
      <c r="F5279">
        <v>2</v>
      </c>
      <c r="G5279" t="s">
        <v>488</v>
      </c>
      <c r="H5279" s="4">
        <v>15550637</v>
      </c>
      <c r="I5279" s="4">
        <v>13862544.437933253</v>
      </c>
      <c r="J5279" s="3">
        <v>0.10855456030944242</v>
      </c>
      <c r="K5279" s="3">
        <v>0.12177364477530377</v>
      </c>
      <c r="L5279" t="s">
        <v>54</v>
      </c>
    </row>
    <row r="5280" spans="1:12" x14ac:dyDescent="0.25">
      <c r="A5280" t="s">
        <v>487</v>
      </c>
      <c r="B5280" t="s">
        <v>465</v>
      </c>
      <c r="C5280" t="s">
        <v>478</v>
      </c>
      <c r="D5280" t="s">
        <v>320</v>
      </c>
      <c r="E5280" t="s">
        <v>324</v>
      </c>
      <c r="F5280">
        <v>2</v>
      </c>
      <c r="G5280" t="s">
        <v>498</v>
      </c>
      <c r="H5280" s="4">
        <v>15550637</v>
      </c>
      <c r="I5280" s="4">
        <v>9032028</v>
      </c>
      <c r="J5280" s="3">
        <v>0.41918597932676327</v>
      </c>
      <c r="K5280" s="3">
        <v>0.7217215225639247</v>
      </c>
      <c r="L5280" t="s">
        <v>54</v>
      </c>
    </row>
    <row r="5281" spans="1:12" x14ac:dyDescent="0.25">
      <c r="A5281" t="s">
        <v>487</v>
      </c>
      <c r="B5281" t="s">
        <v>465</v>
      </c>
      <c r="C5281" t="s">
        <v>478</v>
      </c>
      <c r="D5281" t="s">
        <v>320</v>
      </c>
      <c r="E5281" t="s">
        <v>324</v>
      </c>
      <c r="F5281">
        <v>2</v>
      </c>
      <c r="G5281" t="s">
        <v>499</v>
      </c>
      <c r="H5281" s="4">
        <v>15550637</v>
      </c>
      <c r="I5281" s="4">
        <v>12783364</v>
      </c>
      <c r="J5281" s="3">
        <v>0.17795238870279076</v>
      </c>
      <c r="K5281" s="3">
        <v>0.21647455239481564</v>
      </c>
      <c r="L5281" t="s">
        <v>54</v>
      </c>
    </row>
    <row r="5282" spans="1:12" x14ac:dyDescent="0.25">
      <c r="A5282" t="s">
        <v>487</v>
      </c>
      <c r="B5282" t="s">
        <v>465</v>
      </c>
      <c r="C5282" t="s">
        <v>478</v>
      </c>
      <c r="D5282" t="s">
        <v>320</v>
      </c>
      <c r="E5282" t="s">
        <v>326</v>
      </c>
      <c r="F5282">
        <v>3</v>
      </c>
      <c r="G5282" t="s">
        <v>488</v>
      </c>
      <c r="H5282" s="4">
        <v>20302084</v>
      </c>
      <c r="I5282" s="4">
        <v>18038603.0509768</v>
      </c>
      <c r="J5282" s="3">
        <v>0.11149007899992919</v>
      </c>
      <c r="K5282" s="3">
        <v>0.12547983580694347</v>
      </c>
      <c r="L5282" t="s">
        <v>54</v>
      </c>
    </row>
    <row r="5283" spans="1:12" x14ac:dyDescent="0.25">
      <c r="A5283" t="s">
        <v>487</v>
      </c>
      <c r="B5283" t="s">
        <v>465</v>
      </c>
      <c r="C5283" t="s">
        <v>478</v>
      </c>
      <c r="D5283" t="s">
        <v>320</v>
      </c>
      <c r="E5283" t="s">
        <v>326</v>
      </c>
      <c r="F5283">
        <v>3</v>
      </c>
      <c r="G5283" t="s">
        <v>498</v>
      </c>
      <c r="H5283" s="4">
        <v>20302084</v>
      </c>
      <c r="I5283" s="4">
        <v>11752905</v>
      </c>
      <c r="J5283" s="3">
        <v>0.4210985926370909</v>
      </c>
      <c r="K5283" s="3">
        <v>0.7274098616469715</v>
      </c>
      <c r="L5283" t="s">
        <v>54</v>
      </c>
    </row>
    <row r="5284" spans="1:12" x14ac:dyDescent="0.25">
      <c r="A5284" t="s">
        <v>487</v>
      </c>
      <c r="B5284" t="s">
        <v>465</v>
      </c>
      <c r="C5284" t="s">
        <v>478</v>
      </c>
      <c r="D5284" t="s">
        <v>320</v>
      </c>
      <c r="E5284" t="s">
        <v>326</v>
      </c>
      <c r="F5284">
        <v>3</v>
      </c>
      <c r="G5284" t="s">
        <v>499</v>
      </c>
      <c r="H5284" s="4">
        <v>20302084</v>
      </c>
      <c r="I5284" s="4">
        <v>12783364</v>
      </c>
      <c r="J5284" s="3">
        <v>0.37034227619194166</v>
      </c>
      <c r="K5284" s="3">
        <v>0.5881644299575605</v>
      </c>
      <c r="L5284" t="s">
        <v>54</v>
      </c>
    </row>
    <row r="5285" spans="1:12" x14ac:dyDescent="0.25">
      <c r="A5285" t="s">
        <v>487</v>
      </c>
      <c r="B5285" t="s">
        <v>465</v>
      </c>
      <c r="C5285" t="s">
        <v>478</v>
      </c>
      <c r="D5285" t="s">
        <v>322</v>
      </c>
      <c r="E5285" t="s">
        <v>324</v>
      </c>
      <c r="F5285">
        <v>1</v>
      </c>
      <c r="G5285" t="s">
        <v>488</v>
      </c>
      <c r="H5285" s="4">
        <v>15550637</v>
      </c>
      <c r="I5285" s="4">
        <v>14225847.068953704</v>
      </c>
      <c r="J5285" s="3">
        <v>0.0851920040990151</v>
      </c>
      <c r="K5285" s="3">
        <v>0.09312555692641315</v>
      </c>
      <c r="L5285" t="s">
        <v>54</v>
      </c>
    </row>
    <row r="5286" spans="1:12" x14ac:dyDescent="0.25">
      <c r="A5286" t="s">
        <v>487</v>
      </c>
      <c r="B5286" t="s">
        <v>465</v>
      </c>
      <c r="C5286" t="s">
        <v>478</v>
      </c>
      <c r="D5286" t="s">
        <v>322</v>
      </c>
      <c r="E5286" t="s">
        <v>324</v>
      </c>
      <c r="F5286">
        <v>1</v>
      </c>
      <c r="G5286" t="s">
        <v>498</v>
      </c>
      <c r="H5286" s="4">
        <v>15550637</v>
      </c>
      <c r="I5286" s="4">
        <v>9032028</v>
      </c>
      <c r="J5286" s="3">
        <v>0.41918597932676327</v>
      </c>
      <c r="K5286" s="3">
        <v>0.7217215225639247</v>
      </c>
      <c r="L5286" t="s">
        <v>54</v>
      </c>
    </row>
    <row r="5287" spans="1:12" x14ac:dyDescent="0.25">
      <c r="A5287" t="s">
        <v>487</v>
      </c>
      <c r="B5287" t="s">
        <v>465</v>
      </c>
      <c r="C5287" t="s">
        <v>478</v>
      </c>
      <c r="D5287" t="s">
        <v>322</v>
      </c>
      <c r="E5287" t="s">
        <v>324</v>
      </c>
      <c r="F5287">
        <v>1</v>
      </c>
      <c r="G5287" t="s">
        <v>499</v>
      </c>
      <c r="H5287" s="4">
        <v>15550637</v>
      </c>
      <c r="I5287" s="4">
        <v>14140895</v>
      </c>
      <c r="J5287" s="3">
        <v>0.09065493587175882</v>
      </c>
      <c r="K5287" s="3">
        <v>0.09969255835645481</v>
      </c>
      <c r="L5287" t="s">
        <v>54</v>
      </c>
    </row>
    <row r="5288" spans="1:12" x14ac:dyDescent="0.25">
      <c r="A5288" t="s">
        <v>487</v>
      </c>
      <c r="B5288" t="s">
        <v>465</v>
      </c>
      <c r="C5288" t="s">
        <v>478</v>
      </c>
      <c r="D5288" t="s">
        <v>322</v>
      </c>
      <c r="E5288" t="s">
        <v>326</v>
      </c>
      <c r="F5288">
        <v>2</v>
      </c>
      <c r="G5288" t="s">
        <v>488</v>
      </c>
      <c r="H5288" s="4">
        <v>20302084</v>
      </c>
      <c r="I5288" s="4">
        <v>18511349.737394672</v>
      </c>
      <c r="J5288" s="3">
        <v>0.08820445539508792</v>
      </c>
      <c r="K5288" s="3">
        <v>0.09673709848330919</v>
      </c>
      <c r="L5288" t="s">
        <v>54</v>
      </c>
    </row>
    <row r="5289" spans="1:12" x14ac:dyDescent="0.25">
      <c r="A5289" t="s">
        <v>487</v>
      </c>
      <c r="B5289" t="s">
        <v>465</v>
      </c>
      <c r="C5289" t="s">
        <v>478</v>
      </c>
      <c r="D5289" t="s">
        <v>322</v>
      </c>
      <c r="E5289" t="s">
        <v>326</v>
      </c>
      <c r="F5289">
        <v>2</v>
      </c>
      <c r="G5289" t="s">
        <v>498</v>
      </c>
      <c r="H5289" s="4">
        <v>20302084</v>
      </c>
      <c r="I5289" s="4">
        <v>11752905</v>
      </c>
      <c r="J5289" s="3">
        <v>0.4210985926370909</v>
      </c>
      <c r="K5289" s="3">
        <v>0.7274098616469715</v>
      </c>
      <c r="L5289" t="s">
        <v>54</v>
      </c>
    </row>
    <row r="5290" spans="1:12" x14ac:dyDescent="0.25">
      <c r="A5290" t="s">
        <v>487</v>
      </c>
      <c r="B5290" t="s">
        <v>465</v>
      </c>
      <c r="C5290" t="s">
        <v>478</v>
      </c>
      <c r="D5290" t="s">
        <v>322</v>
      </c>
      <c r="E5290" t="s">
        <v>326</v>
      </c>
      <c r="F5290">
        <v>2</v>
      </c>
      <c r="G5290" t="s">
        <v>499</v>
      </c>
      <c r="H5290" s="4">
        <v>20302084</v>
      </c>
      <c r="I5290" s="4">
        <v>14140895</v>
      </c>
      <c r="J5290" s="3">
        <v>0.3034756924461548</v>
      </c>
      <c r="K5290" s="3">
        <v>0.4357000741466506</v>
      </c>
      <c r="L5290" t="s">
        <v>54</v>
      </c>
    </row>
    <row r="5291" spans="1:12" x14ac:dyDescent="0.25">
      <c r="A5291" t="s">
        <v>487</v>
      </c>
      <c r="B5291" t="s">
        <v>465</v>
      </c>
      <c r="C5291" t="s">
        <v>478</v>
      </c>
      <c r="D5291" t="s">
        <v>322</v>
      </c>
      <c r="E5291" t="s">
        <v>328</v>
      </c>
      <c r="F5291">
        <v>3</v>
      </c>
      <c r="G5291" t="s">
        <v>488</v>
      </c>
      <c r="H5291" s="4">
        <v>17626692</v>
      </c>
      <c r="I5291" s="4">
        <v>15368828.595659828</v>
      </c>
      <c r="J5291" s="3">
        <v>0.12809342809984836</v>
      </c>
      <c r="K5291" s="3">
        <v>0.14691187362046546</v>
      </c>
      <c r="L5291" t="s">
        <v>54</v>
      </c>
    </row>
    <row r="5292" spans="1:12" x14ac:dyDescent="0.25">
      <c r="A5292" t="s">
        <v>487</v>
      </c>
      <c r="B5292" t="s">
        <v>465</v>
      </c>
      <c r="C5292" t="s">
        <v>478</v>
      </c>
      <c r="D5292" t="s">
        <v>322</v>
      </c>
      <c r="E5292" t="s">
        <v>328</v>
      </c>
      <c r="F5292">
        <v>3</v>
      </c>
      <c r="G5292" t="s">
        <v>498</v>
      </c>
      <c r="H5292" s="4">
        <v>17626692</v>
      </c>
      <c r="I5292" s="4">
        <v>9757710</v>
      </c>
      <c r="J5292" s="3">
        <v>0.4464242071059051</v>
      </c>
      <c r="K5292" s="3">
        <v>0.8064373710634974</v>
      </c>
      <c r="L5292" t="s">
        <v>54</v>
      </c>
    </row>
    <row r="5293" spans="1:12" x14ac:dyDescent="0.25">
      <c r="A5293" t="s">
        <v>487</v>
      </c>
      <c r="B5293" t="s">
        <v>465</v>
      </c>
      <c r="C5293" t="s">
        <v>478</v>
      </c>
      <c r="D5293" t="s">
        <v>322</v>
      </c>
      <c r="E5293" t="s">
        <v>328</v>
      </c>
      <c r="F5293">
        <v>3</v>
      </c>
      <c r="G5293" t="s">
        <v>499</v>
      </c>
      <c r="H5293" s="4">
        <v>17626692</v>
      </c>
      <c r="I5293" s="4">
        <v>14140895</v>
      </c>
      <c r="J5293" s="3">
        <v>0.1977567316658168</v>
      </c>
      <c r="K5293" s="3">
        <v>0.24650469436340486</v>
      </c>
      <c r="L5293" t="s">
        <v>54</v>
      </c>
    </row>
    <row r="5294" spans="1:12" x14ac:dyDescent="0.25">
      <c r="A5294" t="s">
        <v>487</v>
      </c>
      <c r="B5294" t="s">
        <v>465</v>
      </c>
      <c r="C5294" t="s">
        <v>478</v>
      </c>
      <c r="D5294" t="s">
        <v>324</v>
      </c>
      <c r="E5294" t="s">
        <v>326</v>
      </c>
      <c r="F5294">
        <v>1</v>
      </c>
      <c r="G5294" t="s">
        <v>488</v>
      </c>
      <c r="H5294" s="4">
        <v>20302084</v>
      </c>
      <c r="I5294" s="4">
        <v>19354005.80109324</v>
      </c>
      <c r="J5294" s="3">
        <v>0.0466985654727249</v>
      </c>
      <c r="K5294" s="3">
        <v>0.04898614832766078</v>
      </c>
      <c r="L5294" t="s">
        <v>54</v>
      </c>
    </row>
    <row r="5295" spans="1:12" x14ac:dyDescent="0.25">
      <c r="A5295" t="s">
        <v>487</v>
      </c>
      <c r="B5295" t="s">
        <v>465</v>
      </c>
      <c r="C5295" t="s">
        <v>478</v>
      </c>
      <c r="D5295" t="s">
        <v>324</v>
      </c>
      <c r="E5295" t="s">
        <v>326</v>
      </c>
      <c r="F5295">
        <v>1</v>
      </c>
      <c r="G5295" t="s">
        <v>498</v>
      </c>
      <c r="H5295" s="4">
        <v>20302084</v>
      </c>
      <c r="I5295" s="4">
        <v>11752905</v>
      </c>
      <c r="J5295" s="3">
        <v>0.4210985926370909</v>
      </c>
      <c r="K5295" s="3">
        <v>0.7274098616469715</v>
      </c>
      <c r="L5295" t="s">
        <v>54</v>
      </c>
    </row>
    <row r="5296" spans="1:12" x14ac:dyDescent="0.25">
      <c r="A5296" t="s">
        <v>487</v>
      </c>
      <c r="B5296" t="s">
        <v>465</v>
      </c>
      <c r="C5296" t="s">
        <v>478</v>
      </c>
      <c r="D5296" t="s">
        <v>324</v>
      </c>
      <c r="E5296" t="s">
        <v>326</v>
      </c>
      <c r="F5296">
        <v>1</v>
      </c>
      <c r="G5296" t="s">
        <v>499</v>
      </c>
      <c r="H5296" s="4">
        <v>20302084</v>
      </c>
      <c r="I5296" s="4">
        <v>15550637</v>
      </c>
      <c r="J5296" s="3">
        <v>0.2340374022686538</v>
      </c>
      <c r="K5296" s="3">
        <v>0.30554677599380653</v>
      </c>
      <c r="L5296" t="s">
        <v>54</v>
      </c>
    </row>
    <row r="5297" spans="1:12" x14ac:dyDescent="0.25">
      <c r="A5297" t="s">
        <v>487</v>
      </c>
      <c r="B5297" t="s">
        <v>465</v>
      </c>
      <c r="C5297" t="s">
        <v>478</v>
      </c>
      <c r="D5297" t="s">
        <v>324</v>
      </c>
      <c r="E5297" t="s">
        <v>328</v>
      </c>
      <c r="F5297">
        <v>2</v>
      </c>
      <c r="G5297" t="s">
        <v>488</v>
      </c>
      <c r="H5297" s="4">
        <v>17626692</v>
      </c>
      <c r="I5297" s="4">
        <v>16068433.799591295</v>
      </c>
      <c r="J5297" s="3">
        <v>0.08840332606984365</v>
      </c>
      <c r="K5297" s="3">
        <v>0.09697635873188458</v>
      </c>
      <c r="L5297" t="s">
        <v>54</v>
      </c>
    </row>
    <row r="5298" spans="1:12" x14ac:dyDescent="0.25">
      <c r="A5298" t="s">
        <v>487</v>
      </c>
      <c r="B5298" t="s">
        <v>465</v>
      </c>
      <c r="C5298" t="s">
        <v>478</v>
      </c>
      <c r="D5298" t="s">
        <v>324</v>
      </c>
      <c r="E5298" t="s">
        <v>328</v>
      </c>
      <c r="F5298">
        <v>2</v>
      </c>
      <c r="G5298" t="s">
        <v>498</v>
      </c>
      <c r="H5298" s="4">
        <v>17626692</v>
      </c>
      <c r="I5298" s="4">
        <v>9757710</v>
      </c>
      <c r="J5298" s="3">
        <v>0.4464242071059051</v>
      </c>
      <c r="K5298" s="3">
        <v>0.8064373710634974</v>
      </c>
      <c r="L5298" t="s">
        <v>54</v>
      </c>
    </row>
    <row r="5299" spans="1:12" x14ac:dyDescent="0.25">
      <c r="A5299" t="s">
        <v>487</v>
      </c>
      <c r="B5299" t="s">
        <v>465</v>
      </c>
      <c r="C5299" t="s">
        <v>478</v>
      </c>
      <c r="D5299" t="s">
        <v>324</v>
      </c>
      <c r="E5299" t="s">
        <v>328</v>
      </c>
      <c r="F5299">
        <v>2</v>
      </c>
      <c r="G5299" t="s">
        <v>499</v>
      </c>
      <c r="H5299" s="4">
        <v>17626692</v>
      </c>
      <c r="I5299" s="4">
        <v>15550637</v>
      </c>
      <c r="J5299" s="3">
        <v>0.11777904782133823</v>
      </c>
      <c r="K5299" s="3">
        <v>0.13350289123204406</v>
      </c>
      <c r="L5299" t="s">
        <v>54</v>
      </c>
    </row>
    <row r="5300" spans="1:12" x14ac:dyDescent="0.25">
      <c r="A5300" t="s">
        <v>487</v>
      </c>
      <c r="B5300" t="s">
        <v>465</v>
      </c>
      <c r="C5300" t="s">
        <v>478</v>
      </c>
      <c r="D5300" t="s">
        <v>324</v>
      </c>
      <c r="E5300" t="s">
        <v>330</v>
      </c>
      <c r="F5300">
        <v>3</v>
      </c>
      <c r="G5300" t="s">
        <v>488</v>
      </c>
      <c r="H5300" s="4">
        <v>12935627</v>
      </c>
      <c r="I5300" s="4">
        <v>16857500.01357824</v>
      </c>
      <c r="J5300" s="3">
        <v>0.3031838358958742</v>
      </c>
      <c r="K5300" s="3">
        <v>-0.23264855467413803</v>
      </c>
      <c r="L5300" t="s">
        <v>54</v>
      </c>
    </row>
    <row r="5301" spans="1:12" x14ac:dyDescent="0.25">
      <c r="A5301" t="s">
        <v>487</v>
      </c>
      <c r="B5301" t="s">
        <v>465</v>
      </c>
      <c r="C5301" t="s">
        <v>478</v>
      </c>
      <c r="D5301" t="s">
        <v>324</v>
      </c>
      <c r="E5301" t="s">
        <v>330</v>
      </c>
      <c r="F5301">
        <v>3</v>
      </c>
      <c r="G5301" t="s">
        <v>498</v>
      </c>
      <c r="H5301" s="4">
        <v>12935627</v>
      </c>
      <c r="I5301" s="4">
        <v>10236878</v>
      </c>
      <c r="J5301" s="3">
        <v>0.20862916038008827</v>
      </c>
      <c r="K5301" s="3">
        <v>0.2636300833125099</v>
      </c>
      <c r="L5301" t="s">
        <v>54</v>
      </c>
    </row>
    <row r="5302" spans="1:12" x14ac:dyDescent="0.25">
      <c r="A5302" t="s">
        <v>487</v>
      </c>
      <c r="B5302" t="s">
        <v>465</v>
      </c>
      <c r="C5302" t="s">
        <v>478</v>
      </c>
      <c r="D5302" t="s">
        <v>324</v>
      </c>
      <c r="E5302" t="s">
        <v>330</v>
      </c>
      <c r="F5302">
        <v>3</v>
      </c>
      <c r="G5302" t="s">
        <v>499</v>
      </c>
      <c r="H5302" s="4">
        <v>12935627</v>
      </c>
      <c r="I5302" s="4">
        <v>15550637</v>
      </c>
      <c r="J5302" s="3">
        <v>0.20215564347982515</v>
      </c>
      <c r="K5302" s="3">
        <v>-0.16816095700774186</v>
      </c>
      <c r="L5302" t="s">
        <v>54</v>
      </c>
    </row>
    <row r="5303" spans="1:12" x14ac:dyDescent="0.25">
      <c r="A5303" t="s">
        <v>487</v>
      </c>
      <c r="B5303" t="s">
        <v>465</v>
      </c>
      <c r="C5303" t="s">
        <v>478</v>
      </c>
      <c r="D5303" t="s">
        <v>326</v>
      </c>
      <c r="E5303" t="s">
        <v>328</v>
      </c>
      <c r="F5303">
        <v>1</v>
      </c>
      <c r="G5303" t="s">
        <v>488</v>
      </c>
      <c r="H5303" s="4">
        <v>17626692</v>
      </c>
      <c r="I5303" s="4">
        <v>16584889.790484572</v>
      </c>
      <c r="J5303" s="3">
        <v>0.05910367126829176</v>
      </c>
      <c r="K5303" s="3">
        <v>0.06281634805394683</v>
      </c>
      <c r="L5303" t="s">
        <v>54</v>
      </c>
    </row>
    <row r="5304" spans="1:12" x14ac:dyDescent="0.25">
      <c r="A5304" t="s">
        <v>487</v>
      </c>
      <c r="B5304" t="s">
        <v>465</v>
      </c>
      <c r="C5304" t="s">
        <v>478</v>
      </c>
      <c r="D5304" t="s">
        <v>326</v>
      </c>
      <c r="E5304" t="s">
        <v>328</v>
      </c>
      <c r="F5304">
        <v>1</v>
      </c>
      <c r="G5304" t="s">
        <v>498</v>
      </c>
      <c r="H5304" s="4">
        <v>17626692</v>
      </c>
      <c r="I5304" s="4">
        <v>9757710</v>
      </c>
      <c r="J5304" s="3">
        <v>0.4464242071059051</v>
      </c>
      <c r="K5304" s="3">
        <v>0.8064373710634974</v>
      </c>
      <c r="L5304" t="s">
        <v>54</v>
      </c>
    </row>
    <row r="5305" spans="1:12" x14ac:dyDescent="0.25">
      <c r="A5305" t="s">
        <v>487</v>
      </c>
      <c r="B5305" t="s">
        <v>465</v>
      </c>
      <c r="C5305" t="s">
        <v>478</v>
      </c>
      <c r="D5305" t="s">
        <v>326</v>
      </c>
      <c r="E5305" t="s">
        <v>328</v>
      </c>
      <c r="F5305">
        <v>1</v>
      </c>
      <c r="G5305" t="s">
        <v>499</v>
      </c>
      <c r="H5305" s="4">
        <v>17626692</v>
      </c>
      <c r="I5305" s="4">
        <v>20302084</v>
      </c>
      <c r="J5305" s="3">
        <v>0.15178071983103805</v>
      </c>
      <c r="K5305" s="3">
        <v>-0.13177918089591198</v>
      </c>
      <c r="L5305" t="s">
        <v>54</v>
      </c>
    </row>
    <row r="5306" spans="1:12" x14ac:dyDescent="0.25">
      <c r="A5306" t="s">
        <v>487</v>
      </c>
      <c r="B5306" t="s">
        <v>465</v>
      </c>
      <c r="C5306" t="s">
        <v>478</v>
      </c>
      <c r="D5306" t="s">
        <v>326</v>
      </c>
      <c r="E5306" t="s">
        <v>330</v>
      </c>
      <c r="F5306">
        <v>2</v>
      </c>
      <c r="G5306" t="s">
        <v>488</v>
      </c>
      <c r="H5306" s="4">
        <v>12935627</v>
      </c>
      <c r="I5306" s="4">
        <v>17399317.404251214</v>
      </c>
      <c r="J5306" s="3">
        <v>0.34506950488377675</v>
      </c>
      <c r="K5306" s="3">
        <v>-0.25654399540757794</v>
      </c>
      <c r="L5306" t="s">
        <v>54</v>
      </c>
    </row>
    <row r="5307" spans="1:12" x14ac:dyDescent="0.25">
      <c r="A5307" t="s">
        <v>487</v>
      </c>
      <c r="B5307" t="s">
        <v>465</v>
      </c>
      <c r="C5307" t="s">
        <v>478</v>
      </c>
      <c r="D5307" t="s">
        <v>326</v>
      </c>
      <c r="E5307" t="s">
        <v>330</v>
      </c>
      <c r="F5307">
        <v>2</v>
      </c>
      <c r="G5307" t="s">
        <v>498</v>
      </c>
      <c r="H5307" s="4">
        <v>12935627</v>
      </c>
      <c r="I5307" s="4">
        <v>10236878</v>
      </c>
      <c r="J5307" s="3">
        <v>0.20862916038008827</v>
      </c>
      <c r="K5307" s="3">
        <v>0.2636300833125099</v>
      </c>
      <c r="L5307" t="s">
        <v>54</v>
      </c>
    </row>
    <row r="5308" spans="1:12" x14ac:dyDescent="0.25">
      <c r="A5308" t="s">
        <v>487</v>
      </c>
      <c r="B5308" t="s">
        <v>465</v>
      </c>
      <c r="C5308" t="s">
        <v>478</v>
      </c>
      <c r="D5308" t="s">
        <v>326</v>
      </c>
      <c r="E5308" t="s">
        <v>330</v>
      </c>
      <c r="F5308">
        <v>2</v>
      </c>
      <c r="G5308" t="s">
        <v>499</v>
      </c>
      <c r="H5308" s="4">
        <v>12935627</v>
      </c>
      <c r="I5308" s="4">
        <v>20302084</v>
      </c>
      <c r="J5308" s="3">
        <v>0.5694704245878457</v>
      </c>
      <c r="K5308" s="3">
        <v>-0.36284240573529297</v>
      </c>
      <c r="L5308" t="s">
        <v>54</v>
      </c>
    </row>
    <row r="5309" spans="1:12" x14ac:dyDescent="0.25">
      <c r="A5309" t="s">
        <v>487</v>
      </c>
      <c r="B5309" t="s">
        <v>465</v>
      </c>
      <c r="C5309" t="s">
        <v>478</v>
      </c>
      <c r="D5309" t="s">
        <v>326</v>
      </c>
      <c r="E5309" t="s">
        <v>332</v>
      </c>
      <c r="F5309">
        <v>3</v>
      </c>
      <c r="G5309" t="s">
        <v>488</v>
      </c>
      <c r="H5309" s="4">
        <v>16469490</v>
      </c>
      <c r="I5309" s="4">
        <v>18165318.012100436</v>
      </c>
      <c r="J5309" s="3">
        <v>0.10296785219824267</v>
      </c>
      <c r="K5309" s="3">
        <v>-0.09335526143670023</v>
      </c>
      <c r="L5309" t="s">
        <v>54</v>
      </c>
    </row>
    <row r="5310" spans="1:12" x14ac:dyDescent="0.25">
      <c r="A5310" t="s">
        <v>487</v>
      </c>
      <c r="B5310" t="s">
        <v>465</v>
      </c>
      <c r="C5310" t="s">
        <v>478</v>
      </c>
      <c r="D5310" t="s">
        <v>326</v>
      </c>
      <c r="E5310" t="s">
        <v>332</v>
      </c>
      <c r="F5310">
        <v>3</v>
      </c>
      <c r="G5310" t="s">
        <v>498</v>
      </c>
      <c r="H5310" s="4">
        <v>16469490</v>
      </c>
      <c r="I5310" s="4">
        <v>10687554</v>
      </c>
      <c r="J5310" s="3">
        <v>0.3510695230999867</v>
      </c>
      <c r="K5310" s="3">
        <v>0.5409971261899589</v>
      </c>
      <c r="L5310" t="s">
        <v>54</v>
      </c>
    </row>
    <row r="5311" spans="1:12" x14ac:dyDescent="0.25">
      <c r="A5311" t="s">
        <v>487</v>
      </c>
      <c r="B5311" t="s">
        <v>465</v>
      </c>
      <c r="C5311" t="s">
        <v>478</v>
      </c>
      <c r="D5311" t="s">
        <v>326</v>
      </c>
      <c r="E5311" t="s">
        <v>332</v>
      </c>
      <c r="F5311">
        <v>3</v>
      </c>
      <c r="G5311" t="s">
        <v>499</v>
      </c>
      <c r="H5311" s="4">
        <v>16469490</v>
      </c>
      <c r="I5311" s="4">
        <v>20302084</v>
      </c>
      <c r="J5311" s="3">
        <v>0.23270872382812097</v>
      </c>
      <c r="K5311" s="3">
        <v>-0.18877835398572876</v>
      </c>
      <c r="L5311" t="s">
        <v>54</v>
      </c>
    </row>
    <row r="5312" spans="1:12" x14ac:dyDescent="0.25">
      <c r="A5312" t="s">
        <v>487</v>
      </c>
      <c r="B5312" t="s">
        <v>465</v>
      </c>
      <c r="C5312" t="s">
        <v>478</v>
      </c>
      <c r="D5312" t="s">
        <v>328</v>
      </c>
      <c r="E5312" t="s">
        <v>330</v>
      </c>
      <c r="F5312">
        <v>1</v>
      </c>
      <c r="G5312" t="s">
        <v>488</v>
      </c>
      <c r="H5312" s="4">
        <v>12935627</v>
      </c>
      <c r="I5312" s="4">
        <v>18056501.299545173</v>
      </c>
      <c r="J5312" s="3">
        <v>0.3958736827789772</v>
      </c>
      <c r="K5312" s="3">
        <v>-0.2836027984930925</v>
      </c>
      <c r="L5312" t="s">
        <v>54</v>
      </c>
    </row>
    <row r="5313" spans="1:12" x14ac:dyDescent="0.25">
      <c r="A5313" t="s">
        <v>487</v>
      </c>
      <c r="B5313" t="s">
        <v>465</v>
      </c>
      <c r="C5313" t="s">
        <v>478</v>
      </c>
      <c r="D5313" t="s">
        <v>328</v>
      </c>
      <c r="E5313" t="s">
        <v>330</v>
      </c>
      <c r="F5313">
        <v>1</v>
      </c>
      <c r="G5313" t="s">
        <v>498</v>
      </c>
      <c r="H5313" s="4">
        <v>12935627</v>
      </c>
      <c r="I5313" s="4">
        <v>10236878</v>
      </c>
      <c r="J5313" s="3">
        <v>0.20862916038008827</v>
      </c>
      <c r="K5313" s="3">
        <v>0.2636300833125099</v>
      </c>
      <c r="L5313" t="s">
        <v>54</v>
      </c>
    </row>
    <row r="5314" spans="1:12" x14ac:dyDescent="0.25">
      <c r="A5314" t="s">
        <v>487</v>
      </c>
      <c r="B5314" t="s">
        <v>465</v>
      </c>
      <c r="C5314" t="s">
        <v>478</v>
      </c>
      <c r="D5314" t="s">
        <v>328</v>
      </c>
      <c r="E5314" t="s">
        <v>330</v>
      </c>
      <c r="F5314">
        <v>1</v>
      </c>
      <c r="G5314" t="s">
        <v>499</v>
      </c>
      <c r="H5314" s="4">
        <v>12935627</v>
      </c>
      <c r="I5314" s="4">
        <v>17626692</v>
      </c>
      <c r="J5314" s="3">
        <v>0.36264689759530017</v>
      </c>
      <c r="K5314" s="3">
        <v>-0.26613416743198326</v>
      </c>
      <c r="L5314" t="s">
        <v>54</v>
      </c>
    </row>
    <row r="5315" spans="1:12" x14ac:dyDescent="0.25">
      <c r="A5315" t="s">
        <v>487</v>
      </c>
      <c r="B5315" t="s">
        <v>465</v>
      </c>
      <c r="C5315" t="s">
        <v>478</v>
      </c>
      <c r="D5315" t="s">
        <v>328</v>
      </c>
      <c r="E5315" t="s">
        <v>332</v>
      </c>
      <c r="F5315">
        <v>2</v>
      </c>
      <c r="G5315" t="s">
        <v>488</v>
      </c>
      <c r="H5315" s="4">
        <v>16469490</v>
      </c>
      <c r="I5315" s="4">
        <v>18851434.26442703</v>
      </c>
      <c r="J5315" s="3">
        <v>0.1446276881935645</v>
      </c>
      <c r="K5315" s="3">
        <v>-0.1263534769299648</v>
      </c>
      <c r="L5315" t="s">
        <v>54</v>
      </c>
    </row>
    <row r="5316" spans="1:12" x14ac:dyDescent="0.25">
      <c r="A5316" t="s">
        <v>487</v>
      </c>
      <c r="B5316" t="s">
        <v>465</v>
      </c>
      <c r="C5316" t="s">
        <v>478</v>
      </c>
      <c r="D5316" t="s">
        <v>328</v>
      </c>
      <c r="E5316" t="s">
        <v>332</v>
      </c>
      <c r="F5316">
        <v>2</v>
      </c>
      <c r="G5316" t="s">
        <v>498</v>
      </c>
      <c r="H5316" s="4">
        <v>16469490</v>
      </c>
      <c r="I5316" s="4">
        <v>10687554</v>
      </c>
      <c r="J5316" s="3">
        <v>0.3510695230999867</v>
      </c>
      <c r="K5316" s="3">
        <v>0.5409971261899589</v>
      </c>
      <c r="L5316" t="s">
        <v>54</v>
      </c>
    </row>
    <row r="5317" spans="1:12" x14ac:dyDescent="0.25">
      <c r="A5317" t="s">
        <v>487</v>
      </c>
      <c r="B5317" t="s">
        <v>465</v>
      </c>
      <c r="C5317" t="s">
        <v>478</v>
      </c>
      <c r="D5317" t="s">
        <v>328</v>
      </c>
      <c r="E5317" t="s">
        <v>332</v>
      </c>
      <c r="F5317">
        <v>2</v>
      </c>
      <c r="G5317" t="s">
        <v>499</v>
      </c>
      <c r="H5317" s="4">
        <v>16469490</v>
      </c>
      <c r="I5317" s="4">
        <v>17626692</v>
      </c>
      <c r="J5317" s="3">
        <v>0.07026337791880623</v>
      </c>
      <c r="K5317" s="3">
        <v>-0.06565054861116311</v>
      </c>
      <c r="L5317" t="s">
        <v>54</v>
      </c>
    </row>
    <row r="5318" spans="1:12" x14ac:dyDescent="0.25">
      <c r="A5318" t="s">
        <v>487</v>
      </c>
      <c r="B5318" t="s">
        <v>465</v>
      </c>
      <c r="C5318" t="s">
        <v>478</v>
      </c>
      <c r="D5318" t="s">
        <v>328</v>
      </c>
      <c r="E5318" t="s">
        <v>334</v>
      </c>
      <c r="F5318">
        <v>3</v>
      </c>
      <c r="G5318" t="s">
        <v>488</v>
      </c>
      <c r="H5318" s="4">
        <v>13897325</v>
      </c>
      <c r="I5318" s="4">
        <v>19800144.767372433</v>
      </c>
      <c r="J5318" s="3">
        <v>0.4247450331176995</v>
      </c>
      <c r="K5318" s="3">
        <v>-0.29812003077368227</v>
      </c>
      <c r="L5318" t="s">
        <v>54</v>
      </c>
    </row>
    <row r="5319" spans="1:12" x14ac:dyDescent="0.25">
      <c r="A5319" t="s">
        <v>487</v>
      </c>
      <c r="B5319" t="s">
        <v>465</v>
      </c>
      <c r="C5319" t="s">
        <v>478</v>
      </c>
      <c r="D5319" t="s">
        <v>328</v>
      </c>
      <c r="E5319" t="s">
        <v>334</v>
      </c>
      <c r="F5319">
        <v>3</v>
      </c>
      <c r="G5319" t="s">
        <v>498</v>
      </c>
      <c r="H5319" s="4">
        <v>13897325</v>
      </c>
      <c r="I5319" s="4">
        <v>11225412</v>
      </c>
      <c r="J5319" s="3">
        <v>0.1922609566949035</v>
      </c>
      <c r="K5319" s="3">
        <v>0.2380236021626645</v>
      </c>
      <c r="L5319" t="s">
        <v>54</v>
      </c>
    </row>
    <row r="5320" spans="1:12" x14ac:dyDescent="0.25">
      <c r="A5320" t="s">
        <v>487</v>
      </c>
      <c r="B5320" t="s">
        <v>465</v>
      </c>
      <c r="C5320" t="s">
        <v>478</v>
      </c>
      <c r="D5320" t="s">
        <v>328</v>
      </c>
      <c r="E5320" t="s">
        <v>334</v>
      </c>
      <c r="F5320">
        <v>3</v>
      </c>
      <c r="G5320" t="s">
        <v>499</v>
      </c>
      <c r="H5320" s="4">
        <v>13897325</v>
      </c>
      <c r="I5320" s="4">
        <v>17626692</v>
      </c>
      <c r="J5320" s="3">
        <v>0.26835142734303186</v>
      </c>
      <c r="K5320" s="3">
        <v>-0.21157497958210197</v>
      </c>
      <c r="L5320" t="s">
        <v>54</v>
      </c>
    </row>
    <row r="5321" spans="1:12" x14ac:dyDescent="0.25">
      <c r="A5321" t="s">
        <v>487</v>
      </c>
      <c r="B5321" t="s">
        <v>465</v>
      </c>
      <c r="C5321" t="s">
        <v>478</v>
      </c>
      <c r="D5321" t="s">
        <v>330</v>
      </c>
      <c r="E5321" t="s">
        <v>332</v>
      </c>
      <c r="F5321">
        <v>1</v>
      </c>
      <c r="G5321" t="s">
        <v>488</v>
      </c>
      <c r="H5321" s="4">
        <v>16469490</v>
      </c>
      <c r="I5321" s="4">
        <v>18731129.728679527</v>
      </c>
      <c r="J5321" s="3">
        <v>0.13732299717110405</v>
      </c>
      <c r="K5321" s="3">
        <v>-0.12074230232983195</v>
      </c>
      <c r="L5321" t="s">
        <v>54</v>
      </c>
    </row>
    <row r="5322" spans="1:12" x14ac:dyDescent="0.25">
      <c r="A5322" t="s">
        <v>487</v>
      </c>
      <c r="B5322" t="s">
        <v>465</v>
      </c>
      <c r="C5322" t="s">
        <v>478</v>
      </c>
      <c r="D5322" t="s">
        <v>330</v>
      </c>
      <c r="E5322" t="s">
        <v>332</v>
      </c>
      <c r="F5322">
        <v>1</v>
      </c>
      <c r="G5322" t="s">
        <v>498</v>
      </c>
      <c r="H5322" s="4">
        <v>16469490</v>
      </c>
      <c r="I5322" s="4">
        <v>10687554</v>
      </c>
      <c r="J5322" s="3">
        <v>0.3510695230999867</v>
      </c>
      <c r="K5322" s="3">
        <v>0.5409971261899589</v>
      </c>
      <c r="L5322" t="s">
        <v>54</v>
      </c>
    </row>
    <row r="5323" spans="1:12" x14ac:dyDescent="0.25">
      <c r="A5323" t="s">
        <v>487</v>
      </c>
      <c r="B5323" t="s">
        <v>465</v>
      </c>
      <c r="C5323" t="s">
        <v>478</v>
      </c>
      <c r="D5323" t="s">
        <v>330</v>
      </c>
      <c r="E5323" t="s">
        <v>332</v>
      </c>
      <c r="F5323">
        <v>1</v>
      </c>
      <c r="G5323" t="s">
        <v>499</v>
      </c>
      <c r="H5323" s="4">
        <v>16469490</v>
      </c>
      <c r="I5323" s="4">
        <v>12935627</v>
      </c>
      <c r="J5323" s="3">
        <v>0.21457027509655732</v>
      </c>
      <c r="K5323" s="3">
        <v>0.2731883812048693</v>
      </c>
      <c r="L5323" t="s">
        <v>54</v>
      </c>
    </row>
    <row r="5324" spans="1:12" x14ac:dyDescent="0.25">
      <c r="A5324" t="s">
        <v>487</v>
      </c>
      <c r="B5324" t="s">
        <v>465</v>
      </c>
      <c r="C5324" t="s">
        <v>478</v>
      </c>
      <c r="D5324" t="s">
        <v>330</v>
      </c>
      <c r="E5324" t="s">
        <v>334</v>
      </c>
      <c r="F5324">
        <v>2</v>
      </c>
      <c r="G5324" t="s">
        <v>488</v>
      </c>
      <c r="H5324" s="4">
        <v>13897325</v>
      </c>
      <c r="I5324" s="4">
        <v>19673785.828813206</v>
      </c>
      <c r="J5324" s="3">
        <v>0.41565271221715017</v>
      </c>
      <c r="K5324" s="3">
        <v>-0.2936120622169883</v>
      </c>
      <c r="L5324" t="s">
        <v>54</v>
      </c>
    </row>
    <row r="5325" spans="1:12" x14ac:dyDescent="0.25">
      <c r="A5325" t="s">
        <v>487</v>
      </c>
      <c r="B5325" t="s">
        <v>465</v>
      </c>
      <c r="C5325" t="s">
        <v>478</v>
      </c>
      <c r="D5325" t="s">
        <v>330</v>
      </c>
      <c r="E5325" t="s">
        <v>334</v>
      </c>
      <c r="F5325">
        <v>2</v>
      </c>
      <c r="G5325" t="s">
        <v>498</v>
      </c>
      <c r="H5325" s="4">
        <v>13897325</v>
      </c>
      <c r="I5325" s="4">
        <v>11225412</v>
      </c>
      <c r="J5325" s="3">
        <v>0.1922609566949035</v>
      </c>
      <c r="K5325" s="3">
        <v>0.2380236021626645</v>
      </c>
      <c r="L5325" t="s">
        <v>54</v>
      </c>
    </row>
    <row r="5326" spans="1:12" x14ac:dyDescent="0.25">
      <c r="A5326" t="s">
        <v>487</v>
      </c>
      <c r="B5326" t="s">
        <v>465</v>
      </c>
      <c r="C5326" t="s">
        <v>478</v>
      </c>
      <c r="D5326" t="s">
        <v>330</v>
      </c>
      <c r="E5326" t="s">
        <v>334</v>
      </c>
      <c r="F5326">
        <v>2</v>
      </c>
      <c r="G5326" t="s">
        <v>499</v>
      </c>
      <c r="H5326" s="4">
        <v>13897325</v>
      </c>
      <c r="I5326" s="4">
        <v>12935627</v>
      </c>
      <c r="J5326" s="3">
        <v>0.06920022378407355</v>
      </c>
      <c r="K5326" s="3">
        <v>0.07434490805895995</v>
      </c>
      <c r="L5326" t="s">
        <v>54</v>
      </c>
    </row>
    <row r="5327" spans="1:12" x14ac:dyDescent="0.25">
      <c r="A5327" t="s">
        <v>487</v>
      </c>
      <c r="B5327" t="s">
        <v>465</v>
      </c>
      <c r="C5327" t="s">
        <v>478</v>
      </c>
      <c r="D5327" t="s">
        <v>330</v>
      </c>
      <c r="E5327" t="s">
        <v>336</v>
      </c>
      <c r="F5327">
        <v>3</v>
      </c>
      <c r="G5327" t="s">
        <v>488</v>
      </c>
      <c r="H5327" s="4">
        <v>16537248</v>
      </c>
      <c r="I5327" s="4">
        <v>25300946.30188623</v>
      </c>
      <c r="J5327" s="3">
        <v>0.5299369219041905</v>
      </c>
      <c r="K5327" s="3">
        <v>-0.34637828155988304</v>
      </c>
      <c r="L5327" t="s">
        <v>54</v>
      </c>
    </row>
    <row r="5328" spans="1:12" x14ac:dyDescent="0.25">
      <c r="A5328" t="s">
        <v>487</v>
      </c>
      <c r="B5328" t="s">
        <v>465</v>
      </c>
      <c r="C5328" t="s">
        <v>478</v>
      </c>
      <c r="D5328" t="s">
        <v>330</v>
      </c>
      <c r="E5328" t="s">
        <v>336</v>
      </c>
      <c r="F5328">
        <v>3</v>
      </c>
      <c r="G5328" t="s">
        <v>498</v>
      </c>
      <c r="H5328" s="4">
        <v>16537248</v>
      </c>
      <c r="I5328" s="4">
        <v>14436141</v>
      </c>
      <c r="J5328" s="3">
        <v>0.12705300180537898</v>
      </c>
      <c r="K5328" s="3">
        <v>0.1455449209037235</v>
      </c>
      <c r="L5328" t="s">
        <v>54</v>
      </c>
    </row>
    <row r="5329" spans="1:12" x14ac:dyDescent="0.25">
      <c r="A5329" t="s">
        <v>487</v>
      </c>
      <c r="B5329" t="s">
        <v>465</v>
      </c>
      <c r="C5329" t="s">
        <v>478</v>
      </c>
      <c r="D5329" t="s">
        <v>330</v>
      </c>
      <c r="E5329" t="s">
        <v>336</v>
      </c>
      <c r="F5329">
        <v>3</v>
      </c>
      <c r="G5329" t="s">
        <v>499</v>
      </c>
      <c r="H5329" s="4">
        <v>16537248</v>
      </c>
      <c r="I5329" s="4">
        <v>12935627</v>
      </c>
      <c r="J5329" s="3">
        <v>0.21778841316281886</v>
      </c>
      <c r="K5329" s="3">
        <v>0.27842647287216926</v>
      </c>
      <c r="L5329" t="s">
        <v>54</v>
      </c>
    </row>
    <row r="5330" spans="1:12" x14ac:dyDescent="0.25">
      <c r="A5330" t="s">
        <v>487</v>
      </c>
      <c r="B5330" t="s">
        <v>465</v>
      </c>
      <c r="C5330" t="s">
        <v>478</v>
      </c>
      <c r="D5330" t="s">
        <v>332</v>
      </c>
      <c r="E5330" t="s">
        <v>334</v>
      </c>
      <c r="F5330">
        <v>1</v>
      </c>
      <c r="G5330" t="s">
        <v>488</v>
      </c>
      <c r="H5330" s="4">
        <v>13897325</v>
      </c>
      <c r="I5330" s="4">
        <v>19988809.060406074</v>
      </c>
      <c r="J5330" s="3">
        <v>0.4383206164068318</v>
      </c>
      <c r="K5330" s="3">
        <v>-0.30474472200908226</v>
      </c>
      <c r="L5330" t="s">
        <v>54</v>
      </c>
    </row>
    <row r="5331" spans="1:12" x14ac:dyDescent="0.25">
      <c r="A5331" t="s">
        <v>487</v>
      </c>
      <c r="B5331" t="s">
        <v>465</v>
      </c>
      <c r="C5331" t="s">
        <v>478</v>
      </c>
      <c r="D5331" t="s">
        <v>332</v>
      </c>
      <c r="E5331" t="s">
        <v>334</v>
      </c>
      <c r="F5331">
        <v>1</v>
      </c>
      <c r="G5331" t="s">
        <v>498</v>
      </c>
      <c r="H5331" s="4">
        <v>13897325</v>
      </c>
      <c r="I5331" s="4">
        <v>11225412</v>
      </c>
      <c r="J5331" s="3">
        <v>0.1922609566949035</v>
      </c>
      <c r="K5331" s="3">
        <v>0.2380236021626645</v>
      </c>
      <c r="L5331" t="s">
        <v>54</v>
      </c>
    </row>
    <row r="5332" spans="1:12" x14ac:dyDescent="0.25">
      <c r="A5332" t="s">
        <v>487</v>
      </c>
      <c r="B5332" t="s">
        <v>465</v>
      </c>
      <c r="C5332" t="s">
        <v>478</v>
      </c>
      <c r="D5332" t="s">
        <v>332</v>
      </c>
      <c r="E5332" t="s">
        <v>334</v>
      </c>
      <c r="F5332">
        <v>1</v>
      </c>
      <c r="G5332" t="s">
        <v>499</v>
      </c>
      <c r="H5332" s="4">
        <v>13897325</v>
      </c>
      <c r="I5332" s="4">
        <v>16469490</v>
      </c>
      <c r="J5332" s="3">
        <v>0.18508346030621</v>
      </c>
      <c r="K5332" s="3">
        <v>-0.15617757441183666</v>
      </c>
      <c r="L5332" t="s">
        <v>54</v>
      </c>
    </row>
    <row r="5333" spans="1:12" x14ac:dyDescent="0.25">
      <c r="A5333" t="s">
        <v>487</v>
      </c>
      <c r="B5333" t="s">
        <v>465</v>
      </c>
      <c r="C5333" t="s">
        <v>478</v>
      </c>
      <c r="D5333" t="s">
        <v>332</v>
      </c>
      <c r="E5333" t="s">
        <v>336</v>
      </c>
      <c r="F5333">
        <v>2</v>
      </c>
      <c r="G5333" t="s">
        <v>488</v>
      </c>
      <c r="H5333" s="4">
        <v>16537248</v>
      </c>
      <c r="I5333" s="4">
        <v>25706073.506976813</v>
      </c>
      <c r="J5333" s="3">
        <v>0.5544347830410968</v>
      </c>
      <c r="K5333" s="3">
        <v>-0.35667934678893404</v>
      </c>
      <c r="L5333" t="s">
        <v>54</v>
      </c>
    </row>
    <row r="5334" spans="1:12" x14ac:dyDescent="0.25">
      <c r="A5334" t="s">
        <v>487</v>
      </c>
      <c r="B5334" t="s">
        <v>465</v>
      </c>
      <c r="C5334" t="s">
        <v>478</v>
      </c>
      <c r="D5334" t="s">
        <v>332</v>
      </c>
      <c r="E5334" t="s">
        <v>336</v>
      </c>
      <c r="F5334">
        <v>2</v>
      </c>
      <c r="G5334" t="s">
        <v>498</v>
      </c>
      <c r="H5334" s="4">
        <v>16537248</v>
      </c>
      <c r="I5334" s="4">
        <v>14436141</v>
      </c>
      <c r="J5334" s="3">
        <v>0.12705300180537898</v>
      </c>
      <c r="K5334" s="3">
        <v>0.1455449209037235</v>
      </c>
      <c r="L5334" t="s">
        <v>54</v>
      </c>
    </row>
    <row r="5335" spans="1:12" x14ac:dyDescent="0.25">
      <c r="A5335" t="s">
        <v>487</v>
      </c>
      <c r="B5335" t="s">
        <v>465</v>
      </c>
      <c r="C5335" t="s">
        <v>478</v>
      </c>
      <c r="D5335" t="s">
        <v>332</v>
      </c>
      <c r="E5335" t="s">
        <v>336</v>
      </c>
      <c r="F5335">
        <v>2</v>
      </c>
      <c r="G5335" t="s">
        <v>499</v>
      </c>
      <c r="H5335" s="4">
        <v>16537248</v>
      </c>
      <c r="I5335" s="4">
        <v>16469490</v>
      </c>
      <c r="J5335" s="3">
        <v>0.004097295995077295</v>
      </c>
      <c r="K5335" s="3">
        <v>0.0041141528972663995</v>
      </c>
      <c r="L5335" t="s">
        <v>54</v>
      </c>
    </row>
    <row r="5336" spans="1:12" x14ac:dyDescent="0.25">
      <c r="A5336" t="s">
        <v>487</v>
      </c>
      <c r="B5336" t="s">
        <v>465</v>
      </c>
      <c r="C5336" t="s">
        <v>478</v>
      </c>
      <c r="D5336" t="s">
        <v>332</v>
      </c>
      <c r="E5336" t="s">
        <v>338</v>
      </c>
      <c r="F5336">
        <v>3</v>
      </c>
      <c r="G5336" t="s">
        <v>488</v>
      </c>
      <c r="H5336" s="4">
        <v>14513852</v>
      </c>
      <c r="I5336" s="4">
        <v>28323113.557532478</v>
      </c>
      <c r="J5336" s="3">
        <v>0.9514539322526149</v>
      </c>
      <c r="K5336" s="3">
        <v>-0.48756156449685</v>
      </c>
      <c r="L5336" t="s">
        <v>54</v>
      </c>
    </row>
    <row r="5337" spans="1:12" x14ac:dyDescent="0.25">
      <c r="A5337" t="s">
        <v>487</v>
      </c>
      <c r="B5337" t="s">
        <v>465</v>
      </c>
      <c r="C5337" t="s">
        <v>478</v>
      </c>
      <c r="D5337" t="s">
        <v>332</v>
      </c>
      <c r="E5337" t="s">
        <v>338</v>
      </c>
      <c r="F5337">
        <v>3</v>
      </c>
      <c r="G5337" t="s">
        <v>498</v>
      </c>
      <c r="H5337" s="4">
        <v>14513852</v>
      </c>
      <c r="I5337" s="4">
        <v>15905831</v>
      </c>
      <c r="J5337" s="3">
        <v>0.0959069308409649</v>
      </c>
      <c r="K5337" s="3">
        <v>-0.08751375517569626</v>
      </c>
      <c r="L5337" t="s">
        <v>54</v>
      </c>
    </row>
    <row r="5338" spans="1:12" x14ac:dyDescent="0.25">
      <c r="A5338" t="s">
        <v>487</v>
      </c>
      <c r="B5338" t="s">
        <v>465</v>
      </c>
      <c r="C5338" t="s">
        <v>478</v>
      </c>
      <c r="D5338" t="s">
        <v>332</v>
      </c>
      <c r="E5338" t="s">
        <v>338</v>
      </c>
      <c r="F5338">
        <v>3</v>
      </c>
      <c r="G5338" t="s">
        <v>499</v>
      </c>
      <c r="H5338" s="4">
        <v>14513852</v>
      </c>
      <c r="I5338" s="4">
        <v>16469490</v>
      </c>
      <c r="J5338" s="3">
        <v>0.13474286495411417</v>
      </c>
      <c r="K5338" s="3">
        <v>-0.11874308190478272</v>
      </c>
      <c r="L5338" t="s">
        <v>54</v>
      </c>
    </row>
    <row r="5339" spans="1:12" x14ac:dyDescent="0.25">
      <c r="A5339" t="s">
        <v>487</v>
      </c>
      <c r="B5339" t="s">
        <v>465</v>
      </c>
      <c r="C5339" t="s">
        <v>478</v>
      </c>
      <c r="D5339" t="s">
        <v>334</v>
      </c>
      <c r="E5339" t="s">
        <v>336</v>
      </c>
      <c r="F5339">
        <v>1</v>
      </c>
      <c r="G5339" t="s">
        <v>488</v>
      </c>
      <c r="H5339" s="4">
        <v>16537248</v>
      </c>
      <c r="I5339" s="4">
        <v>26244579.17941016</v>
      </c>
      <c r="J5339" s="3">
        <v>0.5869979805231293</v>
      </c>
      <c r="K5339" s="3">
        <v>-0.3698794754166193</v>
      </c>
      <c r="L5339" t="s">
        <v>54</v>
      </c>
    </row>
    <row r="5340" spans="1:12" x14ac:dyDescent="0.25">
      <c r="A5340" t="s">
        <v>487</v>
      </c>
      <c r="B5340" t="s">
        <v>465</v>
      </c>
      <c r="C5340" t="s">
        <v>478</v>
      </c>
      <c r="D5340" t="s">
        <v>334</v>
      </c>
      <c r="E5340" t="s">
        <v>336</v>
      </c>
      <c r="F5340">
        <v>1</v>
      </c>
      <c r="G5340" t="s">
        <v>498</v>
      </c>
      <c r="H5340" s="4">
        <v>16537248</v>
      </c>
      <c r="I5340" s="4">
        <v>14436141</v>
      </c>
      <c r="J5340" s="3">
        <v>0.12705300180537898</v>
      </c>
      <c r="K5340" s="3">
        <v>0.1455449209037235</v>
      </c>
      <c r="L5340" t="s">
        <v>54</v>
      </c>
    </row>
    <row r="5341" spans="1:12" x14ac:dyDescent="0.25">
      <c r="A5341" t="s">
        <v>487</v>
      </c>
      <c r="B5341" t="s">
        <v>465</v>
      </c>
      <c r="C5341" t="s">
        <v>478</v>
      </c>
      <c r="D5341" t="s">
        <v>334</v>
      </c>
      <c r="E5341" t="s">
        <v>336</v>
      </c>
      <c r="F5341">
        <v>1</v>
      </c>
      <c r="G5341" t="s">
        <v>499</v>
      </c>
      <c r="H5341" s="4">
        <v>16537248</v>
      </c>
      <c r="I5341" s="4">
        <v>13897325</v>
      </c>
      <c r="J5341" s="3">
        <v>0.15963496465675547</v>
      </c>
      <c r="K5341" s="3">
        <v>0.1899590748579313</v>
      </c>
      <c r="L5341" t="s">
        <v>54</v>
      </c>
    </row>
    <row r="5342" spans="1:12" x14ac:dyDescent="0.25">
      <c r="A5342" t="s">
        <v>487</v>
      </c>
      <c r="B5342" t="s">
        <v>465</v>
      </c>
      <c r="C5342" t="s">
        <v>478</v>
      </c>
      <c r="D5342" t="s">
        <v>334</v>
      </c>
      <c r="E5342" t="s">
        <v>338</v>
      </c>
      <c r="F5342">
        <v>2</v>
      </c>
      <c r="G5342" t="s">
        <v>488</v>
      </c>
      <c r="H5342" s="4">
        <v>14513852</v>
      </c>
      <c r="I5342" s="4">
        <v>28916442.4962195</v>
      </c>
      <c r="J5342" s="3">
        <v>0.9923341161408771</v>
      </c>
      <c r="K5342" s="3">
        <v>-0.4980761550492415</v>
      </c>
      <c r="L5342" t="s">
        <v>54</v>
      </c>
    </row>
    <row r="5343" spans="1:12" x14ac:dyDescent="0.25">
      <c r="A5343" t="s">
        <v>487</v>
      </c>
      <c r="B5343" t="s">
        <v>465</v>
      </c>
      <c r="C5343" t="s">
        <v>478</v>
      </c>
      <c r="D5343" t="s">
        <v>334</v>
      </c>
      <c r="E5343" t="s">
        <v>338</v>
      </c>
      <c r="F5343">
        <v>2</v>
      </c>
      <c r="G5343" t="s">
        <v>498</v>
      </c>
      <c r="H5343" s="4">
        <v>14513852</v>
      </c>
      <c r="I5343" s="4">
        <v>15905831</v>
      </c>
      <c r="J5343" s="3">
        <v>0.0959069308409649</v>
      </c>
      <c r="K5343" s="3">
        <v>-0.08751375517569626</v>
      </c>
      <c r="L5343" t="s">
        <v>54</v>
      </c>
    </row>
    <row r="5344" spans="1:12" x14ac:dyDescent="0.25">
      <c r="A5344" t="s">
        <v>487</v>
      </c>
      <c r="B5344" t="s">
        <v>465</v>
      </c>
      <c r="C5344" t="s">
        <v>478</v>
      </c>
      <c r="D5344" t="s">
        <v>334</v>
      </c>
      <c r="E5344" t="s">
        <v>338</v>
      </c>
      <c r="F5344">
        <v>2</v>
      </c>
      <c r="G5344" t="s">
        <v>499</v>
      </c>
      <c r="H5344" s="4">
        <v>14513852</v>
      </c>
      <c r="I5344" s="4">
        <v>13897325</v>
      </c>
      <c r="J5344" s="3">
        <v>0.04247852327555772</v>
      </c>
      <c r="K5344" s="3">
        <v>0.04436299791506639</v>
      </c>
      <c r="L5344" t="s">
        <v>54</v>
      </c>
    </row>
    <row r="5345" spans="1:12" x14ac:dyDescent="0.25">
      <c r="A5345" t="s">
        <v>487</v>
      </c>
      <c r="B5345" t="s">
        <v>465</v>
      </c>
      <c r="C5345" t="s">
        <v>478</v>
      </c>
      <c r="D5345" t="s">
        <v>334</v>
      </c>
      <c r="E5345" t="s">
        <v>340</v>
      </c>
      <c r="F5345">
        <v>3</v>
      </c>
      <c r="G5345" t="s">
        <v>488</v>
      </c>
      <c r="H5345" s="4">
        <v>15961584</v>
      </c>
      <c r="I5345" s="4">
        <v>23696661.930964507</v>
      </c>
      <c r="J5345" s="3">
        <v>0.4846059094739286</v>
      </c>
      <c r="K5345" s="3">
        <v>-0.32642057153446813</v>
      </c>
      <c r="L5345" t="s">
        <v>54</v>
      </c>
    </row>
    <row r="5346" spans="1:12" x14ac:dyDescent="0.25">
      <c r="A5346" t="s">
        <v>487</v>
      </c>
      <c r="B5346" t="s">
        <v>465</v>
      </c>
      <c r="C5346" t="s">
        <v>478</v>
      </c>
      <c r="D5346" t="s">
        <v>334</v>
      </c>
      <c r="E5346" t="s">
        <v>340</v>
      </c>
      <c r="F5346">
        <v>3</v>
      </c>
      <c r="G5346" t="s">
        <v>498</v>
      </c>
      <c r="H5346" s="4">
        <v>15961584</v>
      </c>
      <c r="I5346" s="4">
        <v>13034629</v>
      </c>
      <c r="J5346" s="3">
        <v>0.18337497080490256</v>
      </c>
      <c r="K5346" s="3">
        <v>0.22455222929628454</v>
      </c>
      <c r="L5346" t="s">
        <v>54</v>
      </c>
    </row>
    <row r="5347" spans="1:12" x14ac:dyDescent="0.25">
      <c r="A5347" t="s">
        <v>487</v>
      </c>
      <c r="B5347" t="s">
        <v>465</v>
      </c>
      <c r="C5347" t="s">
        <v>478</v>
      </c>
      <c r="D5347" t="s">
        <v>334</v>
      </c>
      <c r="E5347" t="s">
        <v>340</v>
      </c>
      <c r="F5347">
        <v>3</v>
      </c>
      <c r="G5347" t="s">
        <v>499</v>
      </c>
      <c r="H5347" s="4">
        <v>15961584</v>
      </c>
      <c r="I5347" s="4">
        <v>13897325</v>
      </c>
      <c r="J5347" s="3">
        <v>0.12932670090888224</v>
      </c>
      <c r="K5347" s="3">
        <v>0.14853642697425584</v>
      </c>
      <c r="L5347" t="s">
        <v>54</v>
      </c>
    </row>
    <row r="5348" spans="1:12" x14ac:dyDescent="0.25">
      <c r="A5348" t="s">
        <v>487</v>
      </c>
      <c r="B5348" t="s">
        <v>465</v>
      </c>
      <c r="C5348" t="s">
        <v>478</v>
      </c>
      <c r="D5348" t="s">
        <v>336</v>
      </c>
      <c r="E5348" t="s">
        <v>338</v>
      </c>
      <c r="F5348">
        <v>1</v>
      </c>
      <c r="G5348" t="s">
        <v>488</v>
      </c>
      <c r="H5348" s="4">
        <v>14513852</v>
      </c>
      <c r="I5348" s="4">
        <v>28805044.768015172</v>
      </c>
      <c r="J5348" s="3">
        <v>0.9846588464602761</v>
      </c>
      <c r="K5348" s="3">
        <v>-0.4961350653370262</v>
      </c>
      <c r="L5348" t="s">
        <v>54</v>
      </c>
    </row>
    <row r="5349" spans="1:12" x14ac:dyDescent="0.25">
      <c r="A5349" t="s">
        <v>487</v>
      </c>
      <c r="B5349" t="s">
        <v>465</v>
      </c>
      <c r="C5349" t="s">
        <v>478</v>
      </c>
      <c r="D5349" t="s">
        <v>336</v>
      </c>
      <c r="E5349" t="s">
        <v>338</v>
      </c>
      <c r="F5349">
        <v>1</v>
      </c>
      <c r="G5349" t="s">
        <v>498</v>
      </c>
      <c r="H5349" s="4">
        <v>14513852</v>
      </c>
      <c r="I5349" s="4">
        <v>15905831</v>
      </c>
      <c r="J5349" s="3">
        <v>0.0959069308409649</v>
      </c>
      <c r="K5349" s="3">
        <v>-0.08751375517569626</v>
      </c>
      <c r="L5349" t="s">
        <v>54</v>
      </c>
    </row>
    <row r="5350" spans="1:12" x14ac:dyDescent="0.25">
      <c r="A5350" t="s">
        <v>487</v>
      </c>
      <c r="B5350" t="s">
        <v>465</v>
      </c>
      <c r="C5350" t="s">
        <v>478</v>
      </c>
      <c r="D5350" t="s">
        <v>336</v>
      </c>
      <c r="E5350" t="s">
        <v>338</v>
      </c>
      <c r="F5350">
        <v>1</v>
      </c>
      <c r="G5350" t="s">
        <v>499</v>
      </c>
      <c r="H5350" s="4">
        <v>14513852</v>
      </c>
      <c r="I5350" s="4">
        <v>16537248</v>
      </c>
      <c r="J5350" s="3">
        <v>0.13941137059961753</v>
      </c>
      <c r="K5350" s="3">
        <v>-0.12235385234592841</v>
      </c>
      <c r="L5350" t="s">
        <v>54</v>
      </c>
    </row>
    <row r="5351" spans="1:12" x14ac:dyDescent="0.25">
      <c r="A5351" t="s">
        <v>487</v>
      </c>
      <c r="B5351" t="s">
        <v>465</v>
      </c>
      <c r="C5351" t="s">
        <v>478</v>
      </c>
      <c r="D5351" t="s">
        <v>336</v>
      </c>
      <c r="E5351" t="s">
        <v>340</v>
      </c>
      <c r="F5351">
        <v>2</v>
      </c>
      <c r="G5351" t="s">
        <v>488</v>
      </c>
      <c r="H5351" s="4">
        <v>15961584</v>
      </c>
      <c r="I5351" s="4">
        <v>23605372.88994639</v>
      </c>
      <c r="J5351" s="3">
        <v>0.47888661237796887</v>
      </c>
      <c r="K5351" s="3">
        <v>-0.3238156383118144</v>
      </c>
      <c r="L5351" t="s">
        <v>54</v>
      </c>
    </row>
    <row r="5352" spans="1:12" x14ac:dyDescent="0.25">
      <c r="A5352" t="s">
        <v>487</v>
      </c>
      <c r="B5352" t="s">
        <v>465</v>
      </c>
      <c r="C5352" t="s">
        <v>478</v>
      </c>
      <c r="D5352" t="s">
        <v>336</v>
      </c>
      <c r="E5352" t="s">
        <v>340</v>
      </c>
      <c r="F5352">
        <v>2</v>
      </c>
      <c r="G5352" t="s">
        <v>498</v>
      </c>
      <c r="H5352" s="4">
        <v>15961584</v>
      </c>
      <c r="I5352" s="4">
        <v>13034629</v>
      </c>
      <c r="J5352" s="3">
        <v>0.18337497080490256</v>
      </c>
      <c r="K5352" s="3">
        <v>0.22455222929628454</v>
      </c>
      <c r="L5352" t="s">
        <v>54</v>
      </c>
    </row>
    <row r="5353" spans="1:12" x14ac:dyDescent="0.25">
      <c r="A5353" t="s">
        <v>487</v>
      </c>
      <c r="B5353" t="s">
        <v>465</v>
      </c>
      <c r="C5353" t="s">
        <v>478</v>
      </c>
      <c r="D5353" t="s">
        <v>336</v>
      </c>
      <c r="E5353" t="s">
        <v>340</v>
      </c>
      <c r="F5353">
        <v>2</v>
      </c>
      <c r="G5353" t="s">
        <v>499</v>
      </c>
      <c r="H5353" s="4">
        <v>15961584</v>
      </c>
      <c r="I5353" s="4">
        <v>16537248</v>
      </c>
      <c r="J5353" s="3">
        <v>0.03606559348996942</v>
      </c>
      <c r="K5353" s="3">
        <v>-0.0348101449527757</v>
      </c>
      <c r="L5353" t="s">
        <v>54</v>
      </c>
    </row>
    <row r="5354" spans="1:12" x14ac:dyDescent="0.25">
      <c r="A5354" t="s">
        <v>487</v>
      </c>
      <c r="B5354" t="s">
        <v>465</v>
      </c>
      <c r="C5354" t="s">
        <v>478</v>
      </c>
      <c r="D5354" t="s">
        <v>336</v>
      </c>
      <c r="E5354" t="s">
        <v>342</v>
      </c>
      <c r="F5354">
        <v>3</v>
      </c>
      <c r="G5354" t="s">
        <v>488</v>
      </c>
      <c r="H5354" s="4">
        <v>18807951</v>
      </c>
      <c r="I5354" s="4">
        <v>25018082.841269746</v>
      </c>
      <c r="J5354" s="3">
        <v>0.330186517461139</v>
      </c>
      <c r="K5354" s="3">
        <v>-0.2482257285928214</v>
      </c>
      <c r="L5354" t="s">
        <v>54</v>
      </c>
    </row>
    <row r="5355" spans="1:12" x14ac:dyDescent="0.25">
      <c r="A5355" t="s">
        <v>487</v>
      </c>
      <c r="B5355" t="s">
        <v>465</v>
      </c>
      <c r="C5355" t="s">
        <v>478</v>
      </c>
      <c r="D5355" t="s">
        <v>336</v>
      </c>
      <c r="E5355" t="s">
        <v>342</v>
      </c>
      <c r="F5355">
        <v>3</v>
      </c>
      <c r="G5355" t="s">
        <v>498</v>
      </c>
      <c r="H5355" s="4">
        <v>18807951</v>
      </c>
      <c r="I5355" s="4">
        <v>13814712</v>
      </c>
      <c r="J5355" s="3">
        <v>0.265485538536335</v>
      </c>
      <c r="K5355" s="3">
        <v>0.3614435827543853</v>
      </c>
      <c r="L5355" t="s">
        <v>54</v>
      </c>
    </row>
    <row r="5356" spans="1:12" x14ac:dyDescent="0.25">
      <c r="A5356" t="s">
        <v>487</v>
      </c>
      <c r="B5356" t="s">
        <v>465</v>
      </c>
      <c r="C5356" t="s">
        <v>478</v>
      </c>
      <c r="D5356" t="s">
        <v>336</v>
      </c>
      <c r="E5356" t="s">
        <v>342</v>
      </c>
      <c r="F5356">
        <v>3</v>
      </c>
      <c r="G5356" t="s">
        <v>499</v>
      </c>
      <c r="H5356" s="4">
        <v>18807951</v>
      </c>
      <c r="I5356" s="4">
        <v>16537248</v>
      </c>
      <c r="J5356" s="3">
        <v>0.12073101423966917</v>
      </c>
      <c r="K5356" s="3">
        <v>0.13730839617329316</v>
      </c>
      <c r="L5356" t="s">
        <v>54</v>
      </c>
    </row>
    <row r="5357" spans="1:12" x14ac:dyDescent="0.25">
      <c r="A5357" t="s">
        <v>487</v>
      </c>
      <c r="B5357" t="s">
        <v>465</v>
      </c>
      <c r="C5357" t="s">
        <v>478</v>
      </c>
      <c r="D5357" t="s">
        <v>338</v>
      </c>
      <c r="E5357" t="s">
        <v>340</v>
      </c>
      <c r="F5357">
        <v>1</v>
      </c>
      <c r="G5357" t="s">
        <v>488</v>
      </c>
      <c r="H5357" s="4">
        <v>15961584</v>
      </c>
      <c r="I5357" s="4">
        <v>22614867.689423304</v>
      </c>
      <c r="J5357" s="3">
        <v>0.4168310419206079</v>
      </c>
      <c r="K5357" s="3">
        <v>-0.29419954079744465</v>
      </c>
      <c r="L5357" t="s">
        <v>54</v>
      </c>
    </row>
    <row r="5358" spans="1:12" x14ac:dyDescent="0.25">
      <c r="A5358" t="s">
        <v>487</v>
      </c>
      <c r="B5358" t="s">
        <v>465</v>
      </c>
      <c r="C5358" t="s">
        <v>478</v>
      </c>
      <c r="D5358" t="s">
        <v>338</v>
      </c>
      <c r="E5358" t="s">
        <v>340</v>
      </c>
      <c r="F5358">
        <v>1</v>
      </c>
      <c r="G5358" t="s">
        <v>498</v>
      </c>
      <c r="H5358" s="4">
        <v>15961584</v>
      </c>
      <c r="I5358" s="4">
        <v>13034629</v>
      </c>
      <c r="J5358" s="3">
        <v>0.18337497080490256</v>
      </c>
      <c r="K5358" s="3">
        <v>0.22455222929628454</v>
      </c>
      <c r="L5358" t="s">
        <v>54</v>
      </c>
    </row>
    <row r="5359" spans="1:12" x14ac:dyDescent="0.25">
      <c r="A5359" t="s">
        <v>487</v>
      </c>
      <c r="B5359" t="s">
        <v>465</v>
      </c>
      <c r="C5359" t="s">
        <v>478</v>
      </c>
      <c r="D5359" t="s">
        <v>338</v>
      </c>
      <c r="E5359" t="s">
        <v>340</v>
      </c>
      <c r="F5359">
        <v>1</v>
      </c>
      <c r="G5359" t="s">
        <v>499</v>
      </c>
      <c r="H5359" s="4">
        <v>15961584</v>
      </c>
      <c r="I5359" s="4">
        <v>14513852</v>
      </c>
      <c r="J5359" s="3">
        <v>0.09070102315659899</v>
      </c>
      <c r="K5359" s="3">
        <v>0.099748295628204</v>
      </c>
      <c r="L5359" t="s">
        <v>54</v>
      </c>
    </row>
    <row r="5360" spans="1:12" x14ac:dyDescent="0.25">
      <c r="A5360" t="s">
        <v>487</v>
      </c>
      <c r="B5360" t="s">
        <v>465</v>
      </c>
      <c r="C5360" t="s">
        <v>478</v>
      </c>
      <c r="D5360" t="s">
        <v>338</v>
      </c>
      <c r="E5360" t="s">
        <v>342</v>
      </c>
      <c r="F5360">
        <v>2</v>
      </c>
      <c r="G5360" t="s">
        <v>488</v>
      </c>
      <c r="H5360" s="4">
        <v>18807951</v>
      </c>
      <c r="I5360" s="4">
        <v>23968298.909580655</v>
      </c>
      <c r="J5360" s="3">
        <v>0.2743705526232313</v>
      </c>
      <c r="K5360" s="3">
        <v>-0.21529887995171618</v>
      </c>
      <c r="L5360" t="s">
        <v>54</v>
      </c>
    </row>
    <row r="5361" spans="1:12" x14ac:dyDescent="0.25">
      <c r="A5361" t="s">
        <v>487</v>
      </c>
      <c r="B5361" t="s">
        <v>465</v>
      </c>
      <c r="C5361" t="s">
        <v>478</v>
      </c>
      <c r="D5361" t="s">
        <v>338</v>
      </c>
      <c r="E5361" t="s">
        <v>342</v>
      </c>
      <c r="F5361">
        <v>2</v>
      </c>
      <c r="G5361" t="s">
        <v>498</v>
      </c>
      <c r="H5361" s="4">
        <v>18807951</v>
      </c>
      <c r="I5361" s="4">
        <v>13814712</v>
      </c>
      <c r="J5361" s="3">
        <v>0.265485538536335</v>
      </c>
      <c r="K5361" s="3">
        <v>0.3614435827543853</v>
      </c>
      <c r="L5361" t="s">
        <v>54</v>
      </c>
    </row>
    <row r="5362" spans="1:12" x14ac:dyDescent="0.25">
      <c r="A5362" t="s">
        <v>487</v>
      </c>
      <c r="B5362" t="s">
        <v>465</v>
      </c>
      <c r="C5362" t="s">
        <v>478</v>
      </c>
      <c r="D5362" t="s">
        <v>338</v>
      </c>
      <c r="E5362" t="s">
        <v>342</v>
      </c>
      <c r="F5362">
        <v>2</v>
      </c>
      <c r="G5362" t="s">
        <v>499</v>
      </c>
      <c r="H5362" s="4">
        <v>18807951</v>
      </c>
      <c r="I5362" s="4">
        <v>14513852</v>
      </c>
      <c r="J5362" s="3">
        <v>0.22831296189574293</v>
      </c>
      <c r="K5362" s="3">
        <v>0.29586211847826477</v>
      </c>
      <c r="L5362" t="s">
        <v>54</v>
      </c>
    </row>
    <row r="5363" spans="1:12" x14ac:dyDescent="0.25">
      <c r="A5363" t="s">
        <v>487</v>
      </c>
      <c r="B5363" t="s">
        <v>465</v>
      </c>
      <c r="C5363" t="s">
        <v>478</v>
      </c>
      <c r="D5363" t="s">
        <v>338</v>
      </c>
      <c r="E5363" t="s">
        <v>344</v>
      </c>
      <c r="F5363">
        <v>3</v>
      </c>
      <c r="G5363" t="s">
        <v>488</v>
      </c>
      <c r="H5363" s="4">
        <v>12953261</v>
      </c>
      <c r="I5363" s="4">
        <v>22178927.032425474</v>
      </c>
      <c r="J5363" s="3">
        <v>0.7122272941482052</v>
      </c>
      <c r="K5363" s="3">
        <v>-0.4159653899820131</v>
      </c>
      <c r="L5363" t="s">
        <v>54</v>
      </c>
    </row>
    <row r="5364" spans="1:12" x14ac:dyDescent="0.25">
      <c r="A5364" t="s">
        <v>487</v>
      </c>
      <c r="B5364" t="s">
        <v>465</v>
      </c>
      <c r="C5364" t="s">
        <v>478</v>
      </c>
      <c r="D5364" t="s">
        <v>338</v>
      </c>
      <c r="E5364" t="s">
        <v>344</v>
      </c>
      <c r="F5364">
        <v>3</v>
      </c>
      <c r="G5364" t="s">
        <v>498</v>
      </c>
      <c r="H5364" s="4">
        <v>12953261</v>
      </c>
      <c r="I5364" s="4">
        <v>12783364</v>
      </c>
      <c r="J5364" s="3">
        <v>0.01311615661878503</v>
      </c>
      <c r="K5364" s="3">
        <v>0.013290476591294748</v>
      </c>
      <c r="L5364" t="s">
        <v>54</v>
      </c>
    </row>
    <row r="5365" spans="1:12" x14ac:dyDescent="0.25">
      <c r="A5365" t="s">
        <v>487</v>
      </c>
      <c r="B5365" t="s">
        <v>465</v>
      </c>
      <c r="C5365" t="s">
        <v>478</v>
      </c>
      <c r="D5365" t="s">
        <v>338</v>
      </c>
      <c r="E5365" t="s">
        <v>344</v>
      </c>
      <c r="F5365">
        <v>3</v>
      </c>
      <c r="G5365" t="s">
        <v>499</v>
      </c>
      <c r="H5365" s="4">
        <v>12953261</v>
      </c>
      <c r="I5365" s="4">
        <v>14513852</v>
      </c>
      <c r="J5365" s="3">
        <v>0.12047861924499166</v>
      </c>
      <c r="K5365" s="3">
        <v>-0.10752424649224754</v>
      </c>
      <c r="L5365" t="s">
        <v>54</v>
      </c>
    </row>
    <row r="5366" spans="1:12" x14ac:dyDescent="0.25">
      <c r="A5366" t="s">
        <v>487</v>
      </c>
      <c r="B5366" t="s">
        <v>465</v>
      </c>
      <c r="C5366" t="s">
        <v>478</v>
      </c>
      <c r="D5366" t="s">
        <v>340</v>
      </c>
      <c r="E5366" t="s">
        <v>342</v>
      </c>
      <c r="F5366">
        <v>1</v>
      </c>
      <c r="G5366" t="s">
        <v>488</v>
      </c>
      <c r="H5366" s="4">
        <v>18807951</v>
      </c>
      <c r="I5366" s="4">
        <v>20777891.067997932</v>
      </c>
      <c r="J5366" s="3">
        <v>0.10473974905602064</v>
      </c>
      <c r="K5366" s="3">
        <v>-0.09480943285105727</v>
      </c>
      <c r="L5366" t="s">
        <v>54</v>
      </c>
    </row>
    <row r="5367" spans="1:12" x14ac:dyDescent="0.25">
      <c r="A5367" t="s">
        <v>487</v>
      </c>
      <c r="B5367" t="s">
        <v>465</v>
      </c>
      <c r="C5367" t="s">
        <v>478</v>
      </c>
      <c r="D5367" t="s">
        <v>340</v>
      </c>
      <c r="E5367" t="s">
        <v>342</v>
      </c>
      <c r="F5367">
        <v>1</v>
      </c>
      <c r="G5367" t="s">
        <v>498</v>
      </c>
      <c r="H5367" s="4">
        <v>18807951</v>
      </c>
      <c r="I5367" s="4">
        <v>13814712</v>
      </c>
      <c r="J5367" s="3">
        <v>0.265485538536335</v>
      </c>
      <c r="K5367" s="3">
        <v>0.3614435827543853</v>
      </c>
      <c r="L5367" t="s">
        <v>54</v>
      </c>
    </row>
    <row r="5368" spans="1:12" x14ac:dyDescent="0.25">
      <c r="A5368" t="s">
        <v>487</v>
      </c>
      <c r="B5368" t="s">
        <v>465</v>
      </c>
      <c r="C5368" t="s">
        <v>478</v>
      </c>
      <c r="D5368" t="s">
        <v>340</v>
      </c>
      <c r="E5368" t="s">
        <v>342</v>
      </c>
      <c r="F5368">
        <v>1</v>
      </c>
      <c r="G5368" t="s">
        <v>499</v>
      </c>
      <c r="H5368" s="4">
        <v>18807951</v>
      </c>
      <c r="I5368" s="4">
        <v>15961584</v>
      </c>
      <c r="J5368" s="3">
        <v>0.15133849508646635</v>
      </c>
      <c r="K5368" s="3">
        <v>0.17832609846240824</v>
      </c>
      <c r="L5368" t="s">
        <v>54</v>
      </c>
    </row>
    <row r="5369" spans="1:12" x14ac:dyDescent="0.25">
      <c r="A5369" t="s">
        <v>487</v>
      </c>
      <c r="B5369" t="s">
        <v>465</v>
      </c>
      <c r="C5369" t="s">
        <v>478</v>
      </c>
      <c r="D5369" t="s">
        <v>340</v>
      </c>
      <c r="E5369" t="s">
        <v>344</v>
      </c>
      <c r="F5369">
        <v>2</v>
      </c>
      <c r="G5369" t="s">
        <v>488</v>
      </c>
      <c r="H5369" s="4">
        <v>12953261</v>
      </c>
      <c r="I5369" s="4">
        <v>19226701.55371797</v>
      </c>
      <c r="J5369" s="3">
        <v>0.4843136067217337</v>
      </c>
      <c r="K5369" s="3">
        <v>-0.32628792495636577</v>
      </c>
      <c r="L5369" t="s">
        <v>54</v>
      </c>
    </row>
    <row r="5370" spans="1:12" x14ac:dyDescent="0.25">
      <c r="A5370" t="s">
        <v>487</v>
      </c>
      <c r="B5370" t="s">
        <v>465</v>
      </c>
      <c r="C5370" t="s">
        <v>478</v>
      </c>
      <c r="D5370" t="s">
        <v>340</v>
      </c>
      <c r="E5370" t="s">
        <v>344</v>
      </c>
      <c r="F5370">
        <v>2</v>
      </c>
      <c r="G5370" t="s">
        <v>498</v>
      </c>
      <c r="H5370" s="4">
        <v>12953261</v>
      </c>
      <c r="I5370" s="4">
        <v>12783364</v>
      </c>
      <c r="J5370" s="3">
        <v>0.01311615661878503</v>
      </c>
      <c r="K5370" s="3">
        <v>0.013290476591294748</v>
      </c>
      <c r="L5370" t="s">
        <v>54</v>
      </c>
    </row>
    <row r="5371" spans="1:12" x14ac:dyDescent="0.25">
      <c r="A5371" t="s">
        <v>487</v>
      </c>
      <c r="B5371" t="s">
        <v>465</v>
      </c>
      <c r="C5371" t="s">
        <v>478</v>
      </c>
      <c r="D5371" t="s">
        <v>340</v>
      </c>
      <c r="E5371" t="s">
        <v>344</v>
      </c>
      <c r="F5371">
        <v>2</v>
      </c>
      <c r="G5371" t="s">
        <v>499</v>
      </c>
      <c r="H5371" s="4">
        <v>12953261</v>
      </c>
      <c r="I5371" s="4">
        <v>15961584</v>
      </c>
      <c r="J5371" s="3">
        <v>0.23224445180252293</v>
      </c>
      <c r="K5371" s="3">
        <v>-0.18847271047785732</v>
      </c>
      <c r="L5371" t="s">
        <v>54</v>
      </c>
    </row>
    <row r="5372" spans="1:12" x14ac:dyDescent="0.25">
      <c r="A5372" t="s">
        <v>487</v>
      </c>
      <c r="B5372" t="s">
        <v>465</v>
      </c>
      <c r="C5372" t="s">
        <v>478</v>
      </c>
      <c r="D5372" t="s">
        <v>340</v>
      </c>
      <c r="E5372" t="s">
        <v>346</v>
      </c>
      <c r="F5372">
        <v>3</v>
      </c>
      <c r="G5372" t="s">
        <v>488</v>
      </c>
      <c r="H5372" s="4">
        <v>19284362</v>
      </c>
      <c r="I5372" s="4">
        <v>21268483.62195293</v>
      </c>
      <c r="J5372" s="3">
        <v>0.10288759472327519</v>
      </c>
      <c r="K5372" s="3">
        <v>-0.09328928461570977</v>
      </c>
      <c r="L5372" t="s">
        <v>54</v>
      </c>
    </row>
    <row r="5373" spans="1:12" x14ac:dyDescent="0.25">
      <c r="A5373" t="s">
        <v>487</v>
      </c>
      <c r="B5373" t="s">
        <v>465</v>
      </c>
      <c r="C5373" t="s">
        <v>478</v>
      </c>
      <c r="D5373" t="s">
        <v>340</v>
      </c>
      <c r="E5373" t="s">
        <v>346</v>
      </c>
      <c r="F5373">
        <v>3</v>
      </c>
      <c r="G5373" t="s">
        <v>498</v>
      </c>
      <c r="H5373" s="4">
        <v>19284362</v>
      </c>
      <c r="I5373" s="4">
        <v>14140895</v>
      </c>
      <c r="J5373" s="3">
        <v>0.26671699068913973</v>
      </c>
      <c r="K5373" s="3">
        <v>0.36372994778619033</v>
      </c>
      <c r="L5373" t="s">
        <v>54</v>
      </c>
    </row>
    <row r="5374" spans="1:12" x14ac:dyDescent="0.25">
      <c r="A5374" t="s">
        <v>487</v>
      </c>
      <c r="B5374" t="s">
        <v>465</v>
      </c>
      <c r="C5374" t="s">
        <v>478</v>
      </c>
      <c r="D5374" t="s">
        <v>340</v>
      </c>
      <c r="E5374" t="s">
        <v>346</v>
      </c>
      <c r="F5374">
        <v>3</v>
      </c>
      <c r="G5374" t="s">
        <v>499</v>
      </c>
      <c r="H5374" s="4">
        <v>19284362</v>
      </c>
      <c r="I5374" s="4">
        <v>15961584</v>
      </c>
      <c r="J5374" s="3">
        <v>0.17230427431304182</v>
      </c>
      <c r="K5374" s="3">
        <v>0.20817344945213456</v>
      </c>
      <c r="L5374" t="s">
        <v>54</v>
      </c>
    </row>
    <row r="5375" spans="1:12" x14ac:dyDescent="0.25">
      <c r="A5375" t="s">
        <v>487</v>
      </c>
      <c r="B5375" t="s">
        <v>465</v>
      </c>
      <c r="C5375" t="s">
        <v>478</v>
      </c>
      <c r="D5375" t="s">
        <v>342</v>
      </c>
      <c r="E5375" t="s">
        <v>344</v>
      </c>
      <c r="F5375">
        <v>1</v>
      </c>
      <c r="G5375" t="s">
        <v>488</v>
      </c>
      <c r="H5375" s="4">
        <v>12953261</v>
      </c>
      <c r="I5375" s="4">
        <v>18043573.788657125</v>
      </c>
      <c r="J5375" s="3">
        <v>0.39297538964567497</v>
      </c>
      <c r="K5375" s="3">
        <v>-0.2821122272272408</v>
      </c>
      <c r="L5375" t="s">
        <v>54</v>
      </c>
    </row>
    <row r="5376" spans="1:12" x14ac:dyDescent="0.25">
      <c r="A5376" t="s">
        <v>487</v>
      </c>
      <c r="B5376" t="s">
        <v>465</v>
      </c>
      <c r="C5376" t="s">
        <v>478</v>
      </c>
      <c r="D5376" t="s">
        <v>342</v>
      </c>
      <c r="E5376" t="s">
        <v>344</v>
      </c>
      <c r="F5376">
        <v>1</v>
      </c>
      <c r="G5376" t="s">
        <v>498</v>
      </c>
      <c r="H5376" s="4">
        <v>12953261</v>
      </c>
      <c r="I5376" s="4">
        <v>12783364</v>
      </c>
      <c r="J5376" s="3">
        <v>0.01311615661878503</v>
      </c>
      <c r="K5376" s="3">
        <v>0.013290476591294748</v>
      </c>
      <c r="L5376" t="s">
        <v>54</v>
      </c>
    </row>
    <row r="5377" spans="1:12" x14ac:dyDescent="0.25">
      <c r="A5377" t="s">
        <v>487</v>
      </c>
      <c r="B5377" t="s">
        <v>465</v>
      </c>
      <c r="C5377" t="s">
        <v>478</v>
      </c>
      <c r="D5377" t="s">
        <v>342</v>
      </c>
      <c r="E5377" t="s">
        <v>344</v>
      </c>
      <c r="F5377">
        <v>1</v>
      </c>
      <c r="G5377" t="s">
        <v>499</v>
      </c>
      <c r="H5377" s="4">
        <v>12953261</v>
      </c>
      <c r="I5377" s="4">
        <v>18807951</v>
      </c>
      <c r="J5377" s="3">
        <v>0.4519857972444159</v>
      </c>
      <c r="K5377" s="3">
        <v>-0.3112880291957375</v>
      </c>
      <c r="L5377" t="s">
        <v>54</v>
      </c>
    </row>
    <row r="5378" spans="1:12" x14ac:dyDescent="0.25">
      <c r="A5378" t="s">
        <v>487</v>
      </c>
      <c r="B5378" t="s">
        <v>465</v>
      </c>
      <c r="C5378" t="s">
        <v>478</v>
      </c>
      <c r="D5378" t="s">
        <v>342</v>
      </c>
      <c r="E5378" t="s">
        <v>346</v>
      </c>
      <c r="F5378">
        <v>2</v>
      </c>
      <c r="G5378" t="s">
        <v>488</v>
      </c>
      <c r="H5378" s="4">
        <v>19284362</v>
      </c>
      <c r="I5378" s="4">
        <v>19959713.450243037</v>
      </c>
      <c r="J5378" s="3">
        <v>0.03502067894406033</v>
      </c>
      <c r="K5378" s="3">
        <v>-0.03383572875064566</v>
      </c>
      <c r="L5378" t="s">
        <v>54</v>
      </c>
    </row>
    <row r="5379" spans="1:12" x14ac:dyDescent="0.25">
      <c r="A5379" t="s">
        <v>487</v>
      </c>
      <c r="B5379" t="s">
        <v>465</v>
      </c>
      <c r="C5379" t="s">
        <v>478</v>
      </c>
      <c r="D5379" t="s">
        <v>342</v>
      </c>
      <c r="E5379" t="s">
        <v>346</v>
      </c>
      <c r="F5379">
        <v>2</v>
      </c>
      <c r="G5379" t="s">
        <v>498</v>
      </c>
      <c r="H5379" s="4">
        <v>19284362</v>
      </c>
      <c r="I5379" s="4">
        <v>14140895</v>
      </c>
      <c r="J5379" s="3">
        <v>0.26671699068913973</v>
      </c>
      <c r="K5379" s="3">
        <v>0.36372994778619033</v>
      </c>
      <c r="L5379" t="s">
        <v>54</v>
      </c>
    </row>
    <row r="5380" spans="1:12" x14ac:dyDescent="0.25">
      <c r="A5380" t="s">
        <v>487</v>
      </c>
      <c r="B5380" t="s">
        <v>465</v>
      </c>
      <c r="C5380" t="s">
        <v>478</v>
      </c>
      <c r="D5380" t="s">
        <v>342</v>
      </c>
      <c r="E5380" t="s">
        <v>346</v>
      </c>
      <c r="F5380">
        <v>2</v>
      </c>
      <c r="G5380" t="s">
        <v>499</v>
      </c>
      <c r="H5380" s="4">
        <v>19284362</v>
      </c>
      <c r="I5380" s="4">
        <v>18807951</v>
      </c>
      <c r="J5380" s="3">
        <v>0.024704524837274887</v>
      </c>
      <c r="K5380" s="3">
        <v>0.025330297808623597</v>
      </c>
      <c r="L5380" t="s">
        <v>54</v>
      </c>
    </row>
    <row r="5381" spans="1:12" x14ac:dyDescent="0.25">
      <c r="A5381" t="s">
        <v>487</v>
      </c>
      <c r="B5381" t="s">
        <v>465</v>
      </c>
      <c r="C5381" t="s">
        <v>478</v>
      </c>
      <c r="D5381" t="s">
        <v>342</v>
      </c>
      <c r="E5381" t="s">
        <v>348</v>
      </c>
      <c r="F5381">
        <v>3</v>
      </c>
      <c r="G5381" t="s">
        <v>488</v>
      </c>
      <c r="H5381" s="4">
        <v>17219291</v>
      </c>
      <c r="I5381" s="4">
        <v>21949548.348159507</v>
      </c>
      <c r="J5381" s="3">
        <v>0.27470685919411586</v>
      </c>
      <c r="K5381" s="3">
        <v>-0.2155059080546477</v>
      </c>
      <c r="L5381" t="s">
        <v>54</v>
      </c>
    </row>
    <row r="5382" spans="1:12" x14ac:dyDescent="0.25">
      <c r="A5382" t="s">
        <v>487</v>
      </c>
      <c r="B5382" t="s">
        <v>465</v>
      </c>
      <c r="C5382" t="s">
        <v>478</v>
      </c>
      <c r="D5382" t="s">
        <v>342</v>
      </c>
      <c r="E5382" t="s">
        <v>348</v>
      </c>
      <c r="F5382">
        <v>3</v>
      </c>
      <c r="G5382" t="s">
        <v>498</v>
      </c>
      <c r="H5382" s="4">
        <v>17219291</v>
      </c>
      <c r="I5382" s="4">
        <v>15550637</v>
      </c>
      <c r="J5382" s="3">
        <v>0.09690608051167728</v>
      </c>
      <c r="K5382" s="3">
        <v>0.1073045432158181</v>
      </c>
      <c r="L5382" t="s">
        <v>54</v>
      </c>
    </row>
    <row r="5383" spans="1:12" x14ac:dyDescent="0.25">
      <c r="A5383" t="s">
        <v>487</v>
      </c>
      <c r="B5383" t="s">
        <v>465</v>
      </c>
      <c r="C5383" t="s">
        <v>478</v>
      </c>
      <c r="D5383" t="s">
        <v>342</v>
      </c>
      <c r="E5383" t="s">
        <v>348</v>
      </c>
      <c r="F5383">
        <v>3</v>
      </c>
      <c r="G5383" t="s">
        <v>499</v>
      </c>
      <c r="H5383" s="4">
        <v>17219291</v>
      </c>
      <c r="I5383" s="4">
        <v>18807951</v>
      </c>
      <c r="J5383" s="3">
        <v>0.09226047692672132</v>
      </c>
      <c r="K5383" s="3">
        <v>-0.08446746804051117</v>
      </c>
      <c r="L5383" t="s">
        <v>54</v>
      </c>
    </row>
    <row r="5384" spans="1:12" x14ac:dyDescent="0.25">
      <c r="A5384" t="s">
        <v>487</v>
      </c>
      <c r="B5384" t="s">
        <v>465</v>
      </c>
      <c r="C5384" t="s">
        <v>478</v>
      </c>
      <c r="D5384" t="s">
        <v>344</v>
      </c>
      <c r="E5384" t="s">
        <v>346</v>
      </c>
      <c r="F5384">
        <v>1</v>
      </c>
      <c r="G5384" t="s">
        <v>488</v>
      </c>
      <c r="H5384" s="4">
        <v>19284362</v>
      </c>
      <c r="I5384" s="4">
        <v>19307792.676958703</v>
      </c>
      <c r="J5384" s="3">
        <v>0.0012150091850952863</v>
      </c>
      <c r="K5384" s="3">
        <v>-0.001213534729252812</v>
      </c>
      <c r="L5384" t="s">
        <v>54</v>
      </c>
    </row>
    <row r="5385" spans="1:12" x14ac:dyDescent="0.25">
      <c r="A5385" t="s">
        <v>487</v>
      </c>
      <c r="B5385" t="s">
        <v>465</v>
      </c>
      <c r="C5385" t="s">
        <v>478</v>
      </c>
      <c r="D5385" t="s">
        <v>344</v>
      </c>
      <c r="E5385" t="s">
        <v>346</v>
      </c>
      <c r="F5385">
        <v>1</v>
      </c>
      <c r="G5385" t="s">
        <v>498</v>
      </c>
      <c r="H5385" s="4">
        <v>19284362</v>
      </c>
      <c r="I5385" s="4">
        <v>14140895</v>
      </c>
      <c r="J5385" s="3">
        <v>0.26671699068913973</v>
      </c>
      <c r="K5385" s="3">
        <v>0.36372994778619033</v>
      </c>
      <c r="L5385" t="s">
        <v>54</v>
      </c>
    </row>
    <row r="5386" spans="1:12" x14ac:dyDescent="0.25">
      <c r="A5386" t="s">
        <v>487</v>
      </c>
      <c r="B5386" t="s">
        <v>465</v>
      </c>
      <c r="C5386" t="s">
        <v>478</v>
      </c>
      <c r="D5386" t="s">
        <v>344</v>
      </c>
      <c r="E5386" t="s">
        <v>346</v>
      </c>
      <c r="F5386">
        <v>1</v>
      </c>
      <c r="G5386" t="s">
        <v>499</v>
      </c>
      <c r="H5386" s="4">
        <v>19284362</v>
      </c>
      <c r="I5386" s="4">
        <v>12953261</v>
      </c>
      <c r="J5386" s="3">
        <v>0.32830233118419994</v>
      </c>
      <c r="K5386" s="3">
        <v>0.4887650299025087</v>
      </c>
      <c r="L5386" t="s">
        <v>54</v>
      </c>
    </row>
    <row r="5387" spans="1:12" x14ac:dyDescent="0.25">
      <c r="A5387" t="s">
        <v>487</v>
      </c>
      <c r="B5387" t="s">
        <v>465</v>
      </c>
      <c r="C5387" t="s">
        <v>478</v>
      </c>
      <c r="D5387" t="s">
        <v>344</v>
      </c>
      <c r="E5387" t="s">
        <v>348</v>
      </c>
      <c r="F5387">
        <v>2</v>
      </c>
      <c r="G5387" t="s">
        <v>488</v>
      </c>
      <c r="H5387" s="4">
        <v>17219291</v>
      </c>
      <c r="I5387" s="4">
        <v>21232635.92514074</v>
      </c>
      <c r="J5387" s="3">
        <v>0.23307260009374012</v>
      </c>
      <c r="K5387" s="3">
        <v>-0.18901774321805673</v>
      </c>
      <c r="L5387" t="s">
        <v>54</v>
      </c>
    </row>
    <row r="5388" spans="1:12" x14ac:dyDescent="0.25">
      <c r="A5388" t="s">
        <v>487</v>
      </c>
      <c r="B5388" t="s">
        <v>465</v>
      </c>
      <c r="C5388" t="s">
        <v>478</v>
      </c>
      <c r="D5388" t="s">
        <v>344</v>
      </c>
      <c r="E5388" t="s">
        <v>348</v>
      </c>
      <c r="F5388">
        <v>2</v>
      </c>
      <c r="G5388" t="s">
        <v>498</v>
      </c>
      <c r="H5388" s="4">
        <v>17219291</v>
      </c>
      <c r="I5388" s="4">
        <v>15550637</v>
      </c>
      <c r="J5388" s="3">
        <v>0.09690608051167728</v>
      </c>
      <c r="K5388" s="3">
        <v>0.1073045432158181</v>
      </c>
      <c r="L5388" t="s">
        <v>54</v>
      </c>
    </row>
    <row r="5389" spans="1:12" x14ac:dyDescent="0.25">
      <c r="A5389" t="s">
        <v>487</v>
      </c>
      <c r="B5389" t="s">
        <v>465</v>
      </c>
      <c r="C5389" t="s">
        <v>478</v>
      </c>
      <c r="D5389" t="s">
        <v>344</v>
      </c>
      <c r="E5389" t="s">
        <v>348</v>
      </c>
      <c r="F5389">
        <v>2</v>
      </c>
      <c r="G5389" t="s">
        <v>499</v>
      </c>
      <c r="H5389" s="4">
        <v>17219291</v>
      </c>
      <c r="I5389" s="4">
        <v>12953261</v>
      </c>
      <c r="J5389" s="3">
        <v>0.24774713430419407</v>
      </c>
      <c r="K5389" s="3">
        <v>0.3293402333203971</v>
      </c>
      <c r="L5389" t="s">
        <v>54</v>
      </c>
    </row>
    <row r="5390" spans="1:12" x14ac:dyDescent="0.25">
      <c r="A5390" t="s">
        <v>487</v>
      </c>
      <c r="B5390" t="s">
        <v>465</v>
      </c>
      <c r="C5390" t="s">
        <v>478</v>
      </c>
      <c r="D5390" t="s">
        <v>344</v>
      </c>
      <c r="E5390" t="s">
        <v>350</v>
      </c>
      <c r="F5390">
        <v>3</v>
      </c>
      <c r="G5390" t="s">
        <v>488</v>
      </c>
      <c r="H5390" s="4">
        <v>18207450</v>
      </c>
      <c r="I5390" s="4">
        <v>27720199.377917763</v>
      </c>
      <c r="J5390" s="3">
        <v>0.5224646712152313</v>
      </c>
      <c r="K5390" s="3">
        <v>-0.34317030870621124</v>
      </c>
      <c r="L5390" t="s">
        <v>54</v>
      </c>
    </row>
    <row r="5391" spans="1:12" x14ac:dyDescent="0.25">
      <c r="A5391" t="s">
        <v>487</v>
      </c>
      <c r="B5391" t="s">
        <v>465</v>
      </c>
      <c r="C5391" t="s">
        <v>478</v>
      </c>
      <c r="D5391" t="s">
        <v>344</v>
      </c>
      <c r="E5391" t="s">
        <v>350</v>
      </c>
      <c r="F5391">
        <v>3</v>
      </c>
      <c r="G5391" t="s">
        <v>498</v>
      </c>
      <c r="H5391" s="4">
        <v>18207450</v>
      </c>
      <c r="I5391" s="4">
        <v>20302084</v>
      </c>
      <c r="J5391" s="3">
        <v>0.11504268856978873</v>
      </c>
      <c r="K5391" s="3">
        <v>-0.10317334910051598</v>
      </c>
      <c r="L5391" t="s">
        <v>54</v>
      </c>
    </row>
    <row r="5392" spans="1:12" x14ac:dyDescent="0.25">
      <c r="A5392" t="s">
        <v>487</v>
      </c>
      <c r="B5392" t="s">
        <v>465</v>
      </c>
      <c r="C5392" t="s">
        <v>478</v>
      </c>
      <c r="D5392" t="s">
        <v>344</v>
      </c>
      <c r="E5392" t="s">
        <v>350</v>
      </c>
      <c r="F5392">
        <v>3</v>
      </c>
      <c r="G5392" t="s">
        <v>499</v>
      </c>
      <c r="H5392" s="4">
        <v>18207450</v>
      </c>
      <c r="I5392" s="4">
        <v>12953261</v>
      </c>
      <c r="J5392" s="3">
        <v>0.28857357839785364</v>
      </c>
      <c r="K5392" s="3">
        <v>0.40562673754508616</v>
      </c>
      <c r="L5392" t="s">
        <v>54</v>
      </c>
    </row>
    <row r="5393" spans="1:12" x14ac:dyDescent="0.25">
      <c r="A5393" t="s">
        <v>487</v>
      </c>
      <c r="B5393" t="s">
        <v>465</v>
      </c>
      <c r="C5393" t="s">
        <v>478</v>
      </c>
      <c r="D5393" t="s">
        <v>346</v>
      </c>
      <c r="E5393" t="s">
        <v>348</v>
      </c>
      <c r="F5393">
        <v>1</v>
      </c>
      <c r="G5393" t="s">
        <v>488</v>
      </c>
      <c r="H5393" s="4">
        <v>17219291</v>
      </c>
      <c r="I5393" s="4">
        <v>21147916.395208135</v>
      </c>
      <c r="J5393" s="3">
        <v>0.2281525641914139</v>
      </c>
      <c r="K5393" s="3">
        <v>-0.18576891083692362</v>
      </c>
      <c r="L5393" t="s">
        <v>54</v>
      </c>
    </row>
    <row r="5394" spans="1:12" x14ac:dyDescent="0.25">
      <c r="A5394" t="s">
        <v>487</v>
      </c>
      <c r="B5394" t="s">
        <v>465</v>
      </c>
      <c r="C5394" t="s">
        <v>478</v>
      </c>
      <c r="D5394" t="s">
        <v>346</v>
      </c>
      <c r="E5394" t="s">
        <v>348</v>
      </c>
      <c r="F5394">
        <v>1</v>
      </c>
      <c r="G5394" t="s">
        <v>498</v>
      </c>
      <c r="H5394" s="4">
        <v>17219291</v>
      </c>
      <c r="I5394" s="4">
        <v>15550637</v>
      </c>
      <c r="J5394" s="3">
        <v>0.09690608051167728</v>
      </c>
      <c r="K5394" s="3">
        <v>0.1073045432158181</v>
      </c>
      <c r="L5394" t="s">
        <v>54</v>
      </c>
    </row>
    <row r="5395" spans="1:12" x14ac:dyDescent="0.25">
      <c r="A5395" t="s">
        <v>487</v>
      </c>
      <c r="B5395" t="s">
        <v>465</v>
      </c>
      <c r="C5395" t="s">
        <v>478</v>
      </c>
      <c r="D5395" t="s">
        <v>346</v>
      </c>
      <c r="E5395" t="s">
        <v>348</v>
      </c>
      <c r="F5395">
        <v>1</v>
      </c>
      <c r="G5395" t="s">
        <v>499</v>
      </c>
      <c r="H5395" s="4">
        <v>17219291</v>
      </c>
      <c r="I5395" s="4">
        <v>19284362</v>
      </c>
      <c r="J5395" s="3">
        <v>0.11992776009186441</v>
      </c>
      <c r="K5395" s="3">
        <v>-0.10708526421563752</v>
      </c>
      <c r="L5395" t="s">
        <v>54</v>
      </c>
    </row>
    <row r="5396" spans="1:12" x14ac:dyDescent="0.25">
      <c r="A5396" t="s">
        <v>487</v>
      </c>
      <c r="B5396" t="s">
        <v>465</v>
      </c>
      <c r="C5396" t="s">
        <v>478</v>
      </c>
      <c r="D5396" t="s">
        <v>346</v>
      </c>
      <c r="E5396" t="s">
        <v>350</v>
      </c>
      <c r="F5396">
        <v>2</v>
      </c>
      <c r="G5396" t="s">
        <v>488</v>
      </c>
      <c r="H5396" s="4">
        <v>18207450</v>
      </c>
      <c r="I5396" s="4">
        <v>27609594.06875054</v>
      </c>
      <c r="J5396" s="3">
        <v>0.5163899430590523</v>
      </c>
      <c r="K5396" s="3">
        <v>-0.34053901862295766</v>
      </c>
      <c r="L5396" t="s">
        <v>54</v>
      </c>
    </row>
    <row r="5397" spans="1:12" x14ac:dyDescent="0.25">
      <c r="A5397" t="s">
        <v>487</v>
      </c>
      <c r="B5397" t="s">
        <v>465</v>
      </c>
      <c r="C5397" t="s">
        <v>478</v>
      </c>
      <c r="D5397" t="s">
        <v>346</v>
      </c>
      <c r="E5397" t="s">
        <v>350</v>
      </c>
      <c r="F5397">
        <v>2</v>
      </c>
      <c r="G5397" t="s">
        <v>498</v>
      </c>
      <c r="H5397" s="4">
        <v>18207450</v>
      </c>
      <c r="I5397" s="4">
        <v>20302084</v>
      </c>
      <c r="J5397" s="3">
        <v>0.11504268856978873</v>
      </c>
      <c r="K5397" s="3">
        <v>-0.10317334910051598</v>
      </c>
      <c r="L5397" t="s">
        <v>54</v>
      </c>
    </row>
    <row r="5398" spans="1:12" x14ac:dyDescent="0.25">
      <c r="A5398" t="s">
        <v>487</v>
      </c>
      <c r="B5398" t="s">
        <v>465</v>
      </c>
      <c r="C5398" t="s">
        <v>478</v>
      </c>
      <c r="D5398" t="s">
        <v>346</v>
      </c>
      <c r="E5398" t="s">
        <v>350</v>
      </c>
      <c r="F5398">
        <v>2</v>
      </c>
      <c r="G5398" t="s">
        <v>499</v>
      </c>
      <c r="H5398" s="4">
        <v>18207450</v>
      </c>
      <c r="I5398" s="4">
        <v>19284362</v>
      </c>
      <c r="J5398" s="3">
        <v>0.05914677782995422</v>
      </c>
      <c r="K5398" s="3">
        <v>-0.055843797165807195</v>
      </c>
      <c r="L5398" t="s">
        <v>54</v>
      </c>
    </row>
    <row r="5399" spans="1:12" x14ac:dyDescent="0.25">
      <c r="A5399" t="s">
        <v>487</v>
      </c>
      <c r="B5399" t="s">
        <v>465</v>
      </c>
      <c r="C5399" t="s">
        <v>478</v>
      </c>
      <c r="D5399" t="s">
        <v>346</v>
      </c>
      <c r="E5399" t="s">
        <v>352</v>
      </c>
      <c r="F5399">
        <v>3</v>
      </c>
      <c r="G5399" t="s">
        <v>488</v>
      </c>
      <c r="H5399" s="4">
        <v>12810221</v>
      </c>
      <c r="I5399" s="4">
        <v>23971224.37750197</v>
      </c>
      <c r="J5399" s="3">
        <v>0.8712576759996543</v>
      </c>
      <c r="K5399" s="3">
        <v>-0.4656000545377671</v>
      </c>
      <c r="L5399" t="s">
        <v>54</v>
      </c>
    </row>
    <row r="5400" spans="1:12" x14ac:dyDescent="0.25">
      <c r="A5400" t="s">
        <v>487</v>
      </c>
      <c r="B5400" t="s">
        <v>465</v>
      </c>
      <c r="C5400" t="s">
        <v>478</v>
      </c>
      <c r="D5400" t="s">
        <v>346</v>
      </c>
      <c r="E5400" t="s">
        <v>352</v>
      </c>
      <c r="F5400">
        <v>3</v>
      </c>
      <c r="G5400" t="s">
        <v>498</v>
      </c>
      <c r="H5400" s="4">
        <v>12810221</v>
      </c>
      <c r="I5400" s="4">
        <v>17626692</v>
      </c>
      <c r="J5400" s="3">
        <v>0.3759865657274765</v>
      </c>
      <c r="K5400" s="3">
        <v>-0.2732487184776361</v>
      </c>
      <c r="L5400" t="s">
        <v>54</v>
      </c>
    </row>
    <row r="5401" spans="1:12" x14ac:dyDescent="0.25">
      <c r="A5401" t="s">
        <v>487</v>
      </c>
      <c r="B5401" t="s">
        <v>465</v>
      </c>
      <c r="C5401" t="s">
        <v>478</v>
      </c>
      <c r="D5401" t="s">
        <v>346</v>
      </c>
      <c r="E5401" t="s">
        <v>352</v>
      </c>
      <c r="F5401">
        <v>3</v>
      </c>
      <c r="G5401" t="s">
        <v>499</v>
      </c>
      <c r="H5401" s="4">
        <v>12810221</v>
      </c>
      <c r="I5401" s="4">
        <v>19284362</v>
      </c>
      <c r="J5401" s="3">
        <v>0.5053887048474808</v>
      </c>
      <c r="K5401" s="3">
        <v>-0.3357197401708182</v>
      </c>
      <c r="L5401" t="s">
        <v>54</v>
      </c>
    </row>
    <row r="5402" spans="1:12" x14ac:dyDescent="0.25">
      <c r="A5402" t="s">
        <v>487</v>
      </c>
      <c r="B5402" t="s">
        <v>465</v>
      </c>
      <c r="C5402" t="s">
        <v>478</v>
      </c>
      <c r="D5402" t="s">
        <v>348</v>
      </c>
      <c r="E5402" t="s">
        <v>350</v>
      </c>
      <c r="F5402">
        <v>1</v>
      </c>
      <c r="G5402" t="s">
        <v>488</v>
      </c>
      <c r="H5402" s="4">
        <v>18207450</v>
      </c>
      <c r="I5402" s="4">
        <v>26570098.64160458</v>
      </c>
      <c r="J5402" s="3">
        <v>0.4592981796794488</v>
      </c>
      <c r="K5402" s="3">
        <v>-0.3147390890190371</v>
      </c>
      <c r="L5402" t="s">
        <v>54</v>
      </c>
    </row>
    <row r="5403" spans="1:12" x14ac:dyDescent="0.25">
      <c r="A5403" t="s">
        <v>487</v>
      </c>
      <c r="B5403" t="s">
        <v>465</v>
      </c>
      <c r="C5403" t="s">
        <v>478</v>
      </c>
      <c r="D5403" t="s">
        <v>348</v>
      </c>
      <c r="E5403" t="s">
        <v>350</v>
      </c>
      <c r="F5403">
        <v>1</v>
      </c>
      <c r="G5403" t="s">
        <v>498</v>
      </c>
      <c r="H5403" s="4">
        <v>18207450</v>
      </c>
      <c r="I5403" s="4">
        <v>20302084</v>
      </c>
      <c r="J5403" s="3">
        <v>0.11504268856978873</v>
      </c>
      <c r="K5403" s="3">
        <v>-0.10317334910051598</v>
      </c>
      <c r="L5403" t="s">
        <v>54</v>
      </c>
    </row>
    <row r="5404" spans="1:12" x14ac:dyDescent="0.25">
      <c r="A5404" t="s">
        <v>487</v>
      </c>
      <c r="B5404" t="s">
        <v>465</v>
      </c>
      <c r="C5404" t="s">
        <v>478</v>
      </c>
      <c r="D5404" t="s">
        <v>348</v>
      </c>
      <c r="E5404" t="s">
        <v>350</v>
      </c>
      <c r="F5404">
        <v>1</v>
      </c>
      <c r="G5404" t="s">
        <v>499</v>
      </c>
      <c r="H5404" s="4">
        <v>18207450</v>
      </c>
      <c r="I5404" s="4">
        <v>17219291</v>
      </c>
      <c r="J5404" s="3">
        <v>0.054272234717107556</v>
      </c>
      <c r="K5404" s="3">
        <v>0.05738674141693755</v>
      </c>
      <c r="L5404" t="s">
        <v>54</v>
      </c>
    </row>
    <row r="5405" spans="1:12" x14ac:dyDescent="0.25">
      <c r="A5405" t="s">
        <v>487</v>
      </c>
      <c r="B5405" t="s">
        <v>465</v>
      </c>
      <c r="C5405" t="s">
        <v>478</v>
      </c>
      <c r="D5405" t="s">
        <v>348</v>
      </c>
      <c r="E5405" t="s">
        <v>352</v>
      </c>
      <c r="F5405">
        <v>2</v>
      </c>
      <c r="G5405" t="s">
        <v>488</v>
      </c>
      <c r="H5405" s="4">
        <v>12810221</v>
      </c>
      <c r="I5405" s="4">
        <v>23068712.806290347</v>
      </c>
      <c r="J5405" s="3">
        <v>0.8008052168881666</v>
      </c>
      <c r="K5405" s="3">
        <v>-0.4446928570497906</v>
      </c>
      <c r="L5405" t="s">
        <v>54</v>
      </c>
    </row>
    <row r="5406" spans="1:12" x14ac:dyDescent="0.25">
      <c r="A5406" t="s">
        <v>487</v>
      </c>
      <c r="B5406" t="s">
        <v>465</v>
      </c>
      <c r="C5406" t="s">
        <v>478</v>
      </c>
      <c r="D5406" t="s">
        <v>348</v>
      </c>
      <c r="E5406" t="s">
        <v>352</v>
      </c>
      <c r="F5406">
        <v>2</v>
      </c>
      <c r="G5406" t="s">
        <v>498</v>
      </c>
      <c r="H5406" s="4">
        <v>12810221</v>
      </c>
      <c r="I5406" s="4">
        <v>17626692</v>
      </c>
      <c r="J5406" s="3">
        <v>0.3759865657274765</v>
      </c>
      <c r="K5406" s="3">
        <v>-0.2732487184776361</v>
      </c>
      <c r="L5406" t="s">
        <v>54</v>
      </c>
    </row>
    <row r="5407" spans="1:12" x14ac:dyDescent="0.25">
      <c r="A5407" t="s">
        <v>487</v>
      </c>
      <c r="B5407" t="s">
        <v>465</v>
      </c>
      <c r="C5407" t="s">
        <v>478</v>
      </c>
      <c r="D5407" t="s">
        <v>348</v>
      </c>
      <c r="E5407" t="s">
        <v>352</v>
      </c>
      <c r="F5407">
        <v>2</v>
      </c>
      <c r="G5407" t="s">
        <v>499</v>
      </c>
      <c r="H5407" s="4">
        <v>12810221</v>
      </c>
      <c r="I5407" s="4">
        <v>17219291</v>
      </c>
      <c r="J5407" s="3">
        <v>0.34418375764165193</v>
      </c>
      <c r="K5407" s="3">
        <v>-0.2560540965362627</v>
      </c>
      <c r="L5407" t="s">
        <v>54</v>
      </c>
    </row>
    <row r="5408" spans="1:12" x14ac:dyDescent="0.25">
      <c r="A5408" t="s">
        <v>487</v>
      </c>
      <c r="B5408" t="s">
        <v>465</v>
      </c>
      <c r="C5408" t="s">
        <v>478</v>
      </c>
      <c r="D5408" t="s">
        <v>348</v>
      </c>
      <c r="E5408" t="s">
        <v>354</v>
      </c>
      <c r="F5408">
        <v>3</v>
      </c>
      <c r="G5408" t="s">
        <v>488</v>
      </c>
      <c r="H5408" s="4">
        <v>11944516</v>
      </c>
      <c r="I5408" s="4">
        <v>16929340.129860733</v>
      </c>
      <c r="J5408" s="3">
        <v>0.41733161309011874</v>
      </c>
      <c r="K5408" s="3">
        <v>-0.29444881440288834</v>
      </c>
      <c r="L5408" t="s">
        <v>54</v>
      </c>
    </row>
    <row r="5409" spans="1:12" x14ac:dyDescent="0.25">
      <c r="A5409" t="s">
        <v>487</v>
      </c>
      <c r="B5409" t="s">
        <v>465</v>
      </c>
      <c r="C5409" t="s">
        <v>478</v>
      </c>
      <c r="D5409" t="s">
        <v>348</v>
      </c>
      <c r="E5409" t="s">
        <v>354</v>
      </c>
      <c r="F5409">
        <v>3</v>
      </c>
      <c r="G5409" t="s">
        <v>498</v>
      </c>
      <c r="H5409" s="4">
        <v>11944516</v>
      </c>
      <c r="I5409" s="4">
        <v>12935627</v>
      </c>
      <c r="J5409" s="3">
        <v>0.08297623779816612</v>
      </c>
      <c r="K5409" s="3">
        <v>-0.07661870584239945</v>
      </c>
      <c r="L5409" t="s">
        <v>54</v>
      </c>
    </row>
    <row r="5410" spans="1:12" x14ac:dyDescent="0.25">
      <c r="A5410" t="s">
        <v>487</v>
      </c>
      <c r="B5410" t="s">
        <v>465</v>
      </c>
      <c r="C5410" t="s">
        <v>478</v>
      </c>
      <c r="D5410" t="s">
        <v>348</v>
      </c>
      <c r="E5410" t="s">
        <v>354</v>
      </c>
      <c r="F5410">
        <v>3</v>
      </c>
      <c r="G5410" t="s">
        <v>499</v>
      </c>
      <c r="H5410" s="4">
        <v>11944516</v>
      </c>
      <c r="I5410" s="4">
        <v>17219291</v>
      </c>
      <c r="J5410" s="3">
        <v>0.4416064242368632</v>
      </c>
      <c r="K5410" s="3">
        <v>-0.3063293953276009</v>
      </c>
      <c r="L5410" t="s">
        <v>54</v>
      </c>
    </row>
    <row r="5411" spans="1:12" x14ac:dyDescent="0.25">
      <c r="A5411" t="s">
        <v>487</v>
      </c>
      <c r="B5411" t="s">
        <v>465</v>
      </c>
      <c r="C5411" t="s">
        <v>478</v>
      </c>
      <c r="D5411" t="s">
        <v>350</v>
      </c>
      <c r="E5411" t="s">
        <v>352</v>
      </c>
      <c r="F5411">
        <v>1</v>
      </c>
      <c r="G5411" t="s">
        <v>488</v>
      </c>
      <c r="H5411" s="4">
        <v>12810221</v>
      </c>
      <c r="I5411" s="4">
        <v>21848676.60327226</v>
      </c>
      <c r="J5411" s="3">
        <v>0.705565938579222</v>
      </c>
      <c r="K5411" s="3">
        <v>-0.4136843511116173</v>
      </c>
      <c r="L5411" t="s">
        <v>54</v>
      </c>
    </row>
    <row r="5412" spans="1:12" x14ac:dyDescent="0.25">
      <c r="A5412" t="s">
        <v>487</v>
      </c>
      <c r="B5412" t="s">
        <v>465</v>
      </c>
      <c r="C5412" t="s">
        <v>478</v>
      </c>
      <c r="D5412" t="s">
        <v>350</v>
      </c>
      <c r="E5412" t="s">
        <v>352</v>
      </c>
      <c r="F5412">
        <v>1</v>
      </c>
      <c r="G5412" t="s">
        <v>498</v>
      </c>
      <c r="H5412" s="4">
        <v>12810221</v>
      </c>
      <c r="I5412" s="4">
        <v>17626692</v>
      </c>
      <c r="J5412" s="3">
        <v>0.3759865657274765</v>
      </c>
      <c r="K5412" s="3">
        <v>-0.2732487184776361</v>
      </c>
      <c r="L5412" t="s">
        <v>54</v>
      </c>
    </row>
    <row r="5413" spans="1:12" x14ac:dyDescent="0.25">
      <c r="A5413" t="s">
        <v>487</v>
      </c>
      <c r="B5413" t="s">
        <v>465</v>
      </c>
      <c r="C5413" t="s">
        <v>478</v>
      </c>
      <c r="D5413" t="s">
        <v>350</v>
      </c>
      <c r="E5413" t="s">
        <v>352</v>
      </c>
      <c r="F5413">
        <v>1</v>
      </c>
      <c r="G5413" t="s">
        <v>499</v>
      </c>
      <c r="H5413" s="4">
        <v>12810221</v>
      </c>
      <c r="I5413" s="4">
        <v>18207450</v>
      </c>
      <c r="J5413" s="3">
        <v>0.42132208335828086</v>
      </c>
      <c r="K5413" s="3">
        <v>-0.2964297032258773</v>
      </c>
      <c r="L5413" t="s">
        <v>54</v>
      </c>
    </row>
    <row r="5414" spans="1:12" x14ac:dyDescent="0.25">
      <c r="A5414" t="s">
        <v>487</v>
      </c>
      <c r="B5414" t="s">
        <v>465</v>
      </c>
      <c r="C5414" t="s">
        <v>478</v>
      </c>
      <c r="D5414" t="s">
        <v>350</v>
      </c>
      <c r="E5414" t="s">
        <v>354</v>
      </c>
      <c r="F5414">
        <v>2</v>
      </c>
      <c r="G5414" t="s">
        <v>488</v>
      </c>
      <c r="H5414" s="4">
        <v>11944516</v>
      </c>
      <c r="I5414" s="4">
        <v>16033997.245969744</v>
      </c>
      <c r="J5414" s="3">
        <v>0.342373123027316</v>
      </c>
      <c r="K5414" s="3">
        <v>-0.25505063916595494</v>
      </c>
      <c r="L5414" t="s">
        <v>54</v>
      </c>
    </row>
    <row r="5415" spans="1:12" x14ac:dyDescent="0.25">
      <c r="A5415" t="s">
        <v>487</v>
      </c>
      <c r="B5415" t="s">
        <v>465</v>
      </c>
      <c r="C5415" t="s">
        <v>478</v>
      </c>
      <c r="D5415" t="s">
        <v>350</v>
      </c>
      <c r="E5415" t="s">
        <v>354</v>
      </c>
      <c r="F5415">
        <v>2</v>
      </c>
      <c r="G5415" t="s">
        <v>498</v>
      </c>
      <c r="H5415" s="4">
        <v>11944516</v>
      </c>
      <c r="I5415" s="4">
        <v>12935627</v>
      </c>
      <c r="J5415" s="3">
        <v>0.08297623779816612</v>
      </c>
      <c r="K5415" s="3">
        <v>-0.07661870584239945</v>
      </c>
      <c r="L5415" t="s">
        <v>54</v>
      </c>
    </row>
    <row r="5416" spans="1:12" x14ac:dyDescent="0.25">
      <c r="A5416" t="s">
        <v>487</v>
      </c>
      <c r="B5416" t="s">
        <v>465</v>
      </c>
      <c r="C5416" t="s">
        <v>478</v>
      </c>
      <c r="D5416" t="s">
        <v>350</v>
      </c>
      <c r="E5416" t="s">
        <v>354</v>
      </c>
      <c r="F5416">
        <v>2</v>
      </c>
      <c r="G5416" t="s">
        <v>499</v>
      </c>
      <c r="H5416" s="4">
        <v>11944516</v>
      </c>
      <c r="I5416" s="4">
        <v>18207450</v>
      </c>
      <c r="J5416" s="3">
        <v>0.52433551932954</v>
      </c>
      <c r="K5416" s="3">
        <v>-0.3439764492007393</v>
      </c>
      <c r="L5416" t="s">
        <v>54</v>
      </c>
    </row>
    <row r="5417" spans="1:12" x14ac:dyDescent="0.25">
      <c r="A5417" t="s">
        <v>487</v>
      </c>
      <c r="B5417" t="s">
        <v>465</v>
      </c>
      <c r="C5417" t="s">
        <v>478</v>
      </c>
      <c r="D5417" t="s">
        <v>350</v>
      </c>
      <c r="E5417" t="s">
        <v>356</v>
      </c>
      <c r="F5417">
        <v>3</v>
      </c>
      <c r="G5417" t="s">
        <v>488</v>
      </c>
      <c r="H5417" s="4">
        <v>14180368</v>
      </c>
      <c r="I5417" s="4">
        <v>20414298.99783955</v>
      </c>
      <c r="J5417" s="3">
        <v>0.4396170111974211</v>
      </c>
      <c r="K5417" s="3">
        <v>-0.30537080888740237</v>
      </c>
      <c r="L5417" t="s">
        <v>54</v>
      </c>
    </row>
    <row r="5418" spans="1:12" x14ac:dyDescent="0.25">
      <c r="A5418" t="s">
        <v>487</v>
      </c>
      <c r="B5418" t="s">
        <v>465</v>
      </c>
      <c r="C5418" t="s">
        <v>478</v>
      </c>
      <c r="D5418" t="s">
        <v>350</v>
      </c>
      <c r="E5418" t="s">
        <v>356</v>
      </c>
      <c r="F5418">
        <v>3</v>
      </c>
      <c r="G5418" t="s">
        <v>498</v>
      </c>
      <c r="H5418" s="4">
        <v>14180368</v>
      </c>
      <c r="I5418" s="4">
        <v>16469490</v>
      </c>
      <c r="J5418" s="3">
        <v>0.16142895586348677</v>
      </c>
      <c r="K5418" s="3">
        <v>-0.13899167490918055</v>
      </c>
      <c r="L5418" t="s">
        <v>54</v>
      </c>
    </row>
    <row r="5419" spans="1:12" x14ac:dyDescent="0.25">
      <c r="A5419" t="s">
        <v>487</v>
      </c>
      <c r="B5419" t="s">
        <v>465</v>
      </c>
      <c r="C5419" t="s">
        <v>478</v>
      </c>
      <c r="D5419" t="s">
        <v>350</v>
      </c>
      <c r="E5419" t="s">
        <v>356</v>
      </c>
      <c r="F5419">
        <v>3</v>
      </c>
      <c r="G5419" t="s">
        <v>499</v>
      </c>
      <c r="H5419" s="4">
        <v>14180368</v>
      </c>
      <c r="I5419" s="4">
        <v>18207450</v>
      </c>
      <c r="J5419" s="3">
        <v>0.2839899500492512</v>
      </c>
      <c r="K5419" s="3">
        <v>-0.22117770473075582</v>
      </c>
      <c r="L5419" t="s">
        <v>54</v>
      </c>
    </row>
    <row r="5420" spans="1:12" x14ac:dyDescent="0.25">
      <c r="A5420" t="s">
        <v>487</v>
      </c>
      <c r="B5420" t="s">
        <v>465</v>
      </c>
      <c r="C5420" t="s">
        <v>478</v>
      </c>
      <c r="D5420" t="s">
        <v>352</v>
      </c>
      <c r="E5420" t="s">
        <v>354</v>
      </c>
      <c r="F5420">
        <v>1</v>
      </c>
      <c r="G5420" t="s">
        <v>488</v>
      </c>
      <c r="H5420" s="4">
        <v>11944516</v>
      </c>
      <c r="I5420" s="4">
        <v>14870129.201687017</v>
      </c>
      <c r="J5420" s="3">
        <v>0.2449335914227933</v>
      </c>
      <c r="K5420" s="3">
        <v>-0.19674430275663687</v>
      </c>
      <c r="L5420" t="s">
        <v>54</v>
      </c>
    </row>
    <row r="5421" spans="1:12" x14ac:dyDescent="0.25">
      <c r="A5421" t="s">
        <v>487</v>
      </c>
      <c r="B5421" t="s">
        <v>465</v>
      </c>
      <c r="C5421" t="s">
        <v>478</v>
      </c>
      <c r="D5421" t="s">
        <v>352</v>
      </c>
      <c r="E5421" t="s">
        <v>354</v>
      </c>
      <c r="F5421">
        <v>1</v>
      </c>
      <c r="G5421" t="s">
        <v>498</v>
      </c>
      <c r="H5421" s="4">
        <v>11944516</v>
      </c>
      <c r="I5421" s="4">
        <v>12935627</v>
      </c>
      <c r="J5421" s="3">
        <v>0.08297623779816612</v>
      </c>
      <c r="K5421" s="3">
        <v>-0.07661870584239945</v>
      </c>
      <c r="L5421" t="s">
        <v>54</v>
      </c>
    </row>
    <row r="5422" spans="1:12" x14ac:dyDescent="0.25">
      <c r="A5422" t="s">
        <v>487</v>
      </c>
      <c r="B5422" t="s">
        <v>465</v>
      </c>
      <c r="C5422" t="s">
        <v>478</v>
      </c>
      <c r="D5422" t="s">
        <v>352</v>
      </c>
      <c r="E5422" t="s">
        <v>354</v>
      </c>
      <c r="F5422">
        <v>1</v>
      </c>
      <c r="G5422" t="s">
        <v>499</v>
      </c>
      <c r="H5422" s="4">
        <v>11944516</v>
      </c>
      <c r="I5422" s="4">
        <v>12810221</v>
      </c>
      <c r="J5422" s="3">
        <v>0.07247719371802089</v>
      </c>
      <c r="K5422" s="3">
        <v>-0.06757924004589773</v>
      </c>
      <c r="L5422" t="s">
        <v>54</v>
      </c>
    </row>
    <row r="5423" spans="1:12" x14ac:dyDescent="0.25">
      <c r="A5423" t="s">
        <v>487</v>
      </c>
      <c r="B5423" t="s">
        <v>465</v>
      </c>
      <c r="C5423" t="s">
        <v>478</v>
      </c>
      <c r="D5423" t="s">
        <v>352</v>
      </c>
      <c r="E5423" t="s">
        <v>356</v>
      </c>
      <c r="F5423">
        <v>2</v>
      </c>
      <c r="G5423" t="s">
        <v>488</v>
      </c>
      <c r="H5423" s="4">
        <v>14180368</v>
      </c>
      <c r="I5423" s="4">
        <v>18932475.72660315</v>
      </c>
      <c r="J5423" s="3">
        <v>0.33511878722774685</v>
      </c>
      <c r="K5423" s="3">
        <v>-0.25100297474173866</v>
      </c>
      <c r="L5423" t="s">
        <v>54</v>
      </c>
    </row>
    <row r="5424" spans="1:12" x14ac:dyDescent="0.25">
      <c r="A5424" t="s">
        <v>487</v>
      </c>
      <c r="B5424" t="s">
        <v>465</v>
      </c>
      <c r="C5424" t="s">
        <v>478</v>
      </c>
      <c r="D5424" t="s">
        <v>352</v>
      </c>
      <c r="E5424" t="s">
        <v>356</v>
      </c>
      <c r="F5424">
        <v>2</v>
      </c>
      <c r="G5424" t="s">
        <v>498</v>
      </c>
      <c r="H5424" s="4">
        <v>14180368</v>
      </c>
      <c r="I5424" s="4">
        <v>16469490</v>
      </c>
      <c r="J5424" s="3">
        <v>0.16142895586348677</v>
      </c>
      <c r="K5424" s="3">
        <v>-0.13899167490918055</v>
      </c>
      <c r="L5424" t="s">
        <v>54</v>
      </c>
    </row>
    <row r="5425" spans="1:12" x14ac:dyDescent="0.25">
      <c r="A5425" t="s">
        <v>487</v>
      </c>
      <c r="B5425" t="s">
        <v>465</v>
      </c>
      <c r="C5425" t="s">
        <v>478</v>
      </c>
      <c r="D5425" t="s">
        <v>352</v>
      </c>
      <c r="E5425" t="s">
        <v>356</v>
      </c>
      <c r="F5425">
        <v>2</v>
      </c>
      <c r="G5425" t="s">
        <v>499</v>
      </c>
      <c r="H5425" s="4">
        <v>14180368</v>
      </c>
      <c r="I5425" s="4">
        <v>12810221</v>
      </c>
      <c r="J5425" s="3">
        <v>0.09662280978885739</v>
      </c>
      <c r="K5425" s="3">
        <v>0.10695732727796031</v>
      </c>
      <c r="L5425" t="s">
        <v>54</v>
      </c>
    </row>
    <row r="5426" spans="1:12" x14ac:dyDescent="0.25">
      <c r="A5426" t="s">
        <v>487</v>
      </c>
      <c r="B5426" t="s">
        <v>465</v>
      </c>
      <c r="C5426" t="s">
        <v>478</v>
      </c>
      <c r="D5426" t="s">
        <v>352</v>
      </c>
      <c r="E5426" t="s">
        <v>358</v>
      </c>
      <c r="F5426">
        <v>3</v>
      </c>
      <c r="G5426" t="s">
        <v>488</v>
      </c>
      <c r="H5426" s="4">
        <v>12789441</v>
      </c>
      <c r="I5426" s="4">
        <v>15975647.590011295</v>
      </c>
      <c r="J5426" s="3">
        <v>0.24912790089975745</v>
      </c>
      <c r="K5426" s="3">
        <v>-0.19944146689887282</v>
      </c>
      <c r="L5426" t="s">
        <v>54</v>
      </c>
    </row>
    <row r="5427" spans="1:12" x14ac:dyDescent="0.25">
      <c r="A5427" t="s">
        <v>487</v>
      </c>
      <c r="B5427" t="s">
        <v>465</v>
      </c>
      <c r="C5427" t="s">
        <v>478</v>
      </c>
      <c r="D5427" t="s">
        <v>352</v>
      </c>
      <c r="E5427" t="s">
        <v>358</v>
      </c>
      <c r="F5427">
        <v>3</v>
      </c>
      <c r="G5427" t="s">
        <v>498</v>
      </c>
      <c r="H5427" s="4">
        <v>12789441</v>
      </c>
      <c r="I5427" s="4">
        <v>13897325</v>
      </c>
      <c r="J5427" s="3">
        <v>0.08662489627185425</v>
      </c>
      <c r="K5427" s="3">
        <v>-0.07971922654179851</v>
      </c>
      <c r="L5427" t="s">
        <v>54</v>
      </c>
    </row>
    <row r="5428" spans="1:12" x14ac:dyDescent="0.25">
      <c r="A5428" t="s">
        <v>487</v>
      </c>
      <c r="B5428" t="s">
        <v>465</v>
      </c>
      <c r="C5428" t="s">
        <v>478</v>
      </c>
      <c r="D5428" t="s">
        <v>352</v>
      </c>
      <c r="E5428" t="s">
        <v>358</v>
      </c>
      <c r="F5428">
        <v>3</v>
      </c>
      <c r="G5428" t="s">
        <v>499</v>
      </c>
      <c r="H5428" s="4">
        <v>12789441</v>
      </c>
      <c r="I5428" s="4">
        <v>12810221</v>
      </c>
      <c r="J5428" s="3">
        <v>0.0016247778147614113</v>
      </c>
      <c r="K5428" s="3">
        <v>-0.0016221421941120299</v>
      </c>
      <c r="L5428" t="s">
        <v>54</v>
      </c>
    </row>
    <row r="5429" spans="1:12" x14ac:dyDescent="0.25">
      <c r="A5429" t="s">
        <v>487</v>
      </c>
      <c r="B5429" t="s">
        <v>465</v>
      </c>
      <c r="C5429" t="s">
        <v>478</v>
      </c>
      <c r="D5429" t="s">
        <v>354</v>
      </c>
      <c r="E5429" t="s">
        <v>356</v>
      </c>
      <c r="F5429">
        <v>1</v>
      </c>
      <c r="G5429" t="s">
        <v>488</v>
      </c>
      <c r="H5429" s="4">
        <v>14180368</v>
      </c>
      <c r="I5429" s="4">
        <v>18465498.724061575</v>
      </c>
      <c r="J5429" s="3">
        <v>0.3021875542342466</v>
      </c>
      <c r="K5429" s="3">
        <v>-0.23206146706873454</v>
      </c>
      <c r="L5429" t="s">
        <v>54</v>
      </c>
    </row>
    <row r="5430" spans="1:12" x14ac:dyDescent="0.25">
      <c r="A5430" t="s">
        <v>487</v>
      </c>
      <c r="B5430" t="s">
        <v>465</v>
      </c>
      <c r="C5430" t="s">
        <v>478</v>
      </c>
      <c r="D5430" t="s">
        <v>354</v>
      </c>
      <c r="E5430" t="s">
        <v>356</v>
      </c>
      <c r="F5430">
        <v>1</v>
      </c>
      <c r="G5430" t="s">
        <v>498</v>
      </c>
      <c r="H5430" s="4">
        <v>14180368</v>
      </c>
      <c r="I5430" s="4">
        <v>16469490</v>
      </c>
      <c r="J5430" s="3">
        <v>0.16142895586348677</v>
      </c>
      <c r="K5430" s="3">
        <v>-0.13899167490918055</v>
      </c>
      <c r="L5430" t="s">
        <v>54</v>
      </c>
    </row>
    <row r="5431" spans="1:12" x14ac:dyDescent="0.25">
      <c r="A5431" t="s">
        <v>487</v>
      </c>
      <c r="B5431" t="s">
        <v>465</v>
      </c>
      <c r="C5431" t="s">
        <v>478</v>
      </c>
      <c r="D5431" t="s">
        <v>354</v>
      </c>
      <c r="E5431" t="s">
        <v>356</v>
      </c>
      <c r="F5431">
        <v>1</v>
      </c>
      <c r="G5431" t="s">
        <v>499</v>
      </c>
      <c r="H5431" s="4">
        <v>14180368</v>
      </c>
      <c r="I5431" s="4">
        <v>11944516</v>
      </c>
      <c r="J5431" s="3">
        <v>0.1576723537781248</v>
      </c>
      <c r="K5431" s="3">
        <v>0.1871864879246677</v>
      </c>
      <c r="L5431" t="s">
        <v>54</v>
      </c>
    </row>
    <row r="5432" spans="1:12" x14ac:dyDescent="0.25">
      <c r="A5432" t="s">
        <v>487</v>
      </c>
      <c r="B5432" t="s">
        <v>465</v>
      </c>
      <c r="C5432" t="s">
        <v>478</v>
      </c>
      <c r="D5432" t="s">
        <v>354</v>
      </c>
      <c r="E5432" t="s">
        <v>358</v>
      </c>
      <c r="F5432">
        <v>2</v>
      </c>
      <c r="G5432" t="s">
        <v>488</v>
      </c>
      <c r="H5432" s="4">
        <v>12789441</v>
      </c>
      <c r="I5432" s="4">
        <v>15581601.923032774</v>
      </c>
      <c r="J5432" s="3">
        <v>0.21831766713125098</v>
      </c>
      <c r="K5432" s="3">
        <v>-0.1791960118622587</v>
      </c>
      <c r="L5432" t="s">
        <v>54</v>
      </c>
    </row>
    <row r="5433" spans="1:12" x14ac:dyDescent="0.25">
      <c r="A5433" t="s">
        <v>487</v>
      </c>
      <c r="B5433" t="s">
        <v>465</v>
      </c>
      <c r="C5433" t="s">
        <v>478</v>
      </c>
      <c r="D5433" t="s">
        <v>354</v>
      </c>
      <c r="E5433" t="s">
        <v>358</v>
      </c>
      <c r="F5433">
        <v>2</v>
      </c>
      <c r="G5433" t="s">
        <v>498</v>
      </c>
      <c r="H5433" s="4">
        <v>12789441</v>
      </c>
      <c r="I5433" s="4">
        <v>13897325</v>
      </c>
      <c r="J5433" s="3">
        <v>0.08662489627185425</v>
      </c>
      <c r="K5433" s="3">
        <v>-0.07971922654179851</v>
      </c>
      <c r="L5433" t="s">
        <v>54</v>
      </c>
    </row>
    <row r="5434" spans="1:12" x14ac:dyDescent="0.25">
      <c r="A5434" t="s">
        <v>487</v>
      </c>
      <c r="B5434" t="s">
        <v>465</v>
      </c>
      <c r="C5434" t="s">
        <v>478</v>
      </c>
      <c r="D5434" t="s">
        <v>354</v>
      </c>
      <c r="E5434" t="s">
        <v>358</v>
      </c>
      <c r="F5434">
        <v>2</v>
      </c>
      <c r="G5434" t="s">
        <v>499</v>
      </c>
      <c r="H5434" s="4">
        <v>12789441</v>
      </c>
      <c r="I5434" s="4">
        <v>11944516</v>
      </c>
      <c r="J5434" s="3">
        <v>0.06606426348110132</v>
      </c>
      <c r="K5434" s="3">
        <v>0.07073748320986803</v>
      </c>
      <c r="L5434" t="s">
        <v>54</v>
      </c>
    </row>
    <row r="5435" spans="1:12" x14ac:dyDescent="0.25">
      <c r="A5435" t="s">
        <v>487</v>
      </c>
      <c r="B5435" t="s">
        <v>465</v>
      </c>
      <c r="C5435" t="s">
        <v>478</v>
      </c>
      <c r="D5435" t="s">
        <v>354</v>
      </c>
      <c r="E5435" t="s">
        <v>360</v>
      </c>
      <c r="F5435">
        <v>3</v>
      </c>
      <c r="G5435" t="s">
        <v>488</v>
      </c>
      <c r="H5435" s="4">
        <v>12650449</v>
      </c>
      <c r="I5435" s="4">
        <v>18541468.60913664</v>
      </c>
      <c r="J5435" s="3">
        <v>0.4656767209714565</v>
      </c>
      <c r="K5435" s="3">
        <v>-0.31772130532495874</v>
      </c>
      <c r="L5435" t="s">
        <v>54</v>
      </c>
    </row>
    <row r="5436" spans="1:12" x14ac:dyDescent="0.25">
      <c r="A5436" t="s">
        <v>487</v>
      </c>
      <c r="B5436" t="s">
        <v>465</v>
      </c>
      <c r="C5436" t="s">
        <v>478</v>
      </c>
      <c r="D5436" t="s">
        <v>354</v>
      </c>
      <c r="E5436" t="s">
        <v>360</v>
      </c>
      <c r="F5436">
        <v>3</v>
      </c>
      <c r="G5436" t="s">
        <v>498</v>
      </c>
      <c r="H5436" s="4">
        <v>12650449</v>
      </c>
      <c r="I5436" s="4">
        <v>16537248</v>
      </c>
      <c r="J5436" s="3">
        <v>0.3072459325356752</v>
      </c>
      <c r="K5436" s="3">
        <v>-0.23503299944464762</v>
      </c>
      <c r="L5436" t="s">
        <v>54</v>
      </c>
    </row>
    <row r="5437" spans="1:12" x14ac:dyDescent="0.25">
      <c r="A5437" t="s">
        <v>487</v>
      </c>
      <c r="B5437" t="s">
        <v>465</v>
      </c>
      <c r="C5437" t="s">
        <v>478</v>
      </c>
      <c r="D5437" t="s">
        <v>354</v>
      </c>
      <c r="E5437" t="s">
        <v>360</v>
      </c>
      <c r="F5437">
        <v>3</v>
      </c>
      <c r="G5437" t="s">
        <v>499</v>
      </c>
      <c r="H5437" s="4">
        <v>12650449</v>
      </c>
      <c r="I5437" s="4">
        <v>11944516</v>
      </c>
      <c r="J5437" s="3">
        <v>0.05580299956151754</v>
      </c>
      <c r="K5437" s="3">
        <v>0.05910101338555702</v>
      </c>
      <c r="L5437" t="s">
        <v>54</v>
      </c>
    </row>
    <row r="5438" spans="1:12" x14ac:dyDescent="0.25">
      <c r="A5438" t="s">
        <v>487</v>
      </c>
      <c r="B5438" t="s">
        <v>465</v>
      </c>
      <c r="C5438" t="s">
        <v>478</v>
      </c>
      <c r="D5438" t="s">
        <v>356</v>
      </c>
      <c r="E5438" t="s">
        <v>358</v>
      </c>
      <c r="F5438">
        <v>1</v>
      </c>
      <c r="G5438" t="s">
        <v>488</v>
      </c>
      <c r="H5438" s="4">
        <v>12789441</v>
      </c>
      <c r="I5438" s="4">
        <v>14794099.809263183</v>
      </c>
      <c r="J5438" s="3">
        <v>0.1567432704262198</v>
      </c>
      <c r="K5438" s="3">
        <v>-0.13550393975360264</v>
      </c>
      <c r="L5438" t="s">
        <v>54</v>
      </c>
    </row>
    <row r="5439" spans="1:12" x14ac:dyDescent="0.25">
      <c r="A5439" t="s">
        <v>487</v>
      </c>
      <c r="B5439" t="s">
        <v>465</v>
      </c>
      <c r="C5439" t="s">
        <v>478</v>
      </c>
      <c r="D5439" t="s">
        <v>356</v>
      </c>
      <c r="E5439" t="s">
        <v>358</v>
      </c>
      <c r="F5439">
        <v>1</v>
      </c>
      <c r="G5439" t="s">
        <v>498</v>
      </c>
      <c r="H5439" s="4">
        <v>12789441</v>
      </c>
      <c r="I5439" s="4">
        <v>13897325</v>
      </c>
      <c r="J5439" s="3">
        <v>0.08662489627185425</v>
      </c>
      <c r="K5439" s="3">
        <v>-0.07971922654179851</v>
      </c>
      <c r="L5439" t="s">
        <v>54</v>
      </c>
    </row>
    <row r="5440" spans="1:12" x14ac:dyDescent="0.25">
      <c r="A5440" t="s">
        <v>487</v>
      </c>
      <c r="B5440" t="s">
        <v>465</v>
      </c>
      <c r="C5440" t="s">
        <v>478</v>
      </c>
      <c r="D5440" t="s">
        <v>356</v>
      </c>
      <c r="E5440" t="s">
        <v>358</v>
      </c>
      <c r="F5440">
        <v>1</v>
      </c>
      <c r="G5440" t="s">
        <v>499</v>
      </c>
      <c r="H5440" s="4">
        <v>12789441</v>
      </c>
      <c r="I5440" s="4">
        <v>14180368</v>
      </c>
      <c r="J5440" s="3">
        <v>0.10875588698520913</v>
      </c>
      <c r="K5440" s="3">
        <v>-0.09808821604629725</v>
      </c>
      <c r="L5440" t="s">
        <v>54</v>
      </c>
    </row>
    <row r="5441" spans="1:12" x14ac:dyDescent="0.25">
      <c r="A5441" t="s">
        <v>487</v>
      </c>
      <c r="B5441" t="s">
        <v>465</v>
      </c>
      <c r="C5441" t="s">
        <v>478</v>
      </c>
      <c r="D5441" t="s">
        <v>356</v>
      </c>
      <c r="E5441" t="s">
        <v>360</v>
      </c>
      <c r="F5441">
        <v>2</v>
      </c>
      <c r="G5441" t="s">
        <v>488</v>
      </c>
      <c r="H5441" s="4">
        <v>12650449</v>
      </c>
      <c r="I5441" s="4">
        <v>17604373.322386716</v>
      </c>
      <c r="J5441" s="3">
        <v>0.3916006714375684</v>
      </c>
      <c r="K5441" s="3">
        <v>-0.28140304864399945</v>
      </c>
      <c r="L5441" t="s">
        <v>54</v>
      </c>
    </row>
    <row r="5442" spans="1:12" x14ac:dyDescent="0.25">
      <c r="A5442" t="s">
        <v>487</v>
      </c>
      <c r="B5442" t="s">
        <v>465</v>
      </c>
      <c r="C5442" t="s">
        <v>478</v>
      </c>
      <c r="D5442" t="s">
        <v>356</v>
      </c>
      <c r="E5442" t="s">
        <v>360</v>
      </c>
      <c r="F5442">
        <v>2</v>
      </c>
      <c r="G5442" t="s">
        <v>498</v>
      </c>
      <c r="H5442" s="4">
        <v>12650449</v>
      </c>
      <c r="I5442" s="4">
        <v>16537248</v>
      </c>
      <c r="J5442" s="3">
        <v>0.3072459325356752</v>
      </c>
      <c r="K5442" s="3">
        <v>-0.23503299944464762</v>
      </c>
      <c r="L5442" t="s">
        <v>54</v>
      </c>
    </row>
    <row r="5443" spans="1:12" x14ac:dyDescent="0.25">
      <c r="A5443" t="s">
        <v>487</v>
      </c>
      <c r="B5443" t="s">
        <v>465</v>
      </c>
      <c r="C5443" t="s">
        <v>478</v>
      </c>
      <c r="D5443" t="s">
        <v>356</v>
      </c>
      <c r="E5443" t="s">
        <v>360</v>
      </c>
      <c r="F5443">
        <v>2</v>
      </c>
      <c r="G5443" t="s">
        <v>499</v>
      </c>
      <c r="H5443" s="4">
        <v>12650449</v>
      </c>
      <c r="I5443" s="4">
        <v>14180368</v>
      </c>
      <c r="J5443" s="3">
        <v>0.12093792085956791</v>
      </c>
      <c r="K5443" s="3">
        <v>-0.10788993628374101</v>
      </c>
      <c r="L5443" t="s">
        <v>54</v>
      </c>
    </row>
    <row r="5444" spans="1:12" x14ac:dyDescent="0.25">
      <c r="A5444" t="s">
        <v>487</v>
      </c>
      <c r="B5444" t="s">
        <v>465</v>
      </c>
      <c r="C5444" t="s">
        <v>478</v>
      </c>
      <c r="D5444" t="s">
        <v>356</v>
      </c>
      <c r="E5444" t="s">
        <v>362</v>
      </c>
      <c r="F5444">
        <v>3</v>
      </c>
      <c r="G5444" t="s">
        <v>488</v>
      </c>
      <c r="H5444" s="4">
        <v>12929505</v>
      </c>
      <c r="I5444" s="4">
        <v>15450410.428256808</v>
      </c>
      <c r="J5444" s="3">
        <v>0.19497308120123763</v>
      </c>
      <c r="K5444" s="3">
        <v>-0.16316106552395507</v>
      </c>
      <c r="L5444" t="s">
        <v>54</v>
      </c>
    </row>
    <row r="5445" spans="1:12" x14ac:dyDescent="0.25">
      <c r="A5445" t="s">
        <v>487</v>
      </c>
      <c r="B5445" t="s">
        <v>465</v>
      </c>
      <c r="C5445" t="s">
        <v>478</v>
      </c>
      <c r="D5445" t="s">
        <v>356</v>
      </c>
      <c r="E5445" t="s">
        <v>362</v>
      </c>
      <c r="F5445">
        <v>3</v>
      </c>
      <c r="G5445" t="s">
        <v>498</v>
      </c>
      <c r="H5445" s="4">
        <v>12929505</v>
      </c>
      <c r="I5445" s="4">
        <v>14513852</v>
      </c>
      <c r="J5445" s="3">
        <v>0.12253732838186768</v>
      </c>
      <c r="K5445" s="3">
        <v>-0.1091610276858273</v>
      </c>
      <c r="L5445" t="s">
        <v>54</v>
      </c>
    </row>
    <row r="5446" spans="1:12" x14ac:dyDescent="0.25">
      <c r="A5446" t="s">
        <v>487</v>
      </c>
      <c r="B5446" t="s">
        <v>465</v>
      </c>
      <c r="C5446" t="s">
        <v>478</v>
      </c>
      <c r="D5446" t="s">
        <v>356</v>
      </c>
      <c r="E5446" t="s">
        <v>362</v>
      </c>
      <c r="F5446">
        <v>3</v>
      </c>
      <c r="G5446" t="s">
        <v>499</v>
      </c>
      <c r="H5446" s="4">
        <v>12929505</v>
      </c>
      <c r="I5446" s="4">
        <v>14180368</v>
      </c>
      <c r="J5446" s="3">
        <v>0.09674484831399191</v>
      </c>
      <c r="K5446" s="3">
        <v>-0.08821089833493743</v>
      </c>
      <c r="L5446" t="s">
        <v>54</v>
      </c>
    </row>
    <row r="5447" spans="1:12" x14ac:dyDescent="0.25">
      <c r="A5447" t="s">
        <v>487</v>
      </c>
      <c r="B5447" t="s">
        <v>465</v>
      </c>
      <c r="C5447" t="s">
        <v>478</v>
      </c>
      <c r="D5447" t="s">
        <v>358</v>
      </c>
      <c r="E5447" t="s">
        <v>360</v>
      </c>
      <c r="F5447">
        <v>1</v>
      </c>
      <c r="G5447" t="s">
        <v>488</v>
      </c>
      <c r="H5447" s="4">
        <v>12650449</v>
      </c>
      <c r="I5447" s="4">
        <v>17166490.65917778</v>
      </c>
      <c r="J5447" s="3">
        <v>0.35698666973621096</v>
      </c>
      <c r="K5447" s="3">
        <v>-0.2630730851656831</v>
      </c>
      <c r="L5447" t="s">
        <v>54</v>
      </c>
    </row>
    <row r="5448" spans="1:12" x14ac:dyDescent="0.25">
      <c r="A5448" t="s">
        <v>487</v>
      </c>
      <c r="B5448" t="s">
        <v>465</v>
      </c>
      <c r="C5448" t="s">
        <v>478</v>
      </c>
      <c r="D5448" t="s">
        <v>358</v>
      </c>
      <c r="E5448" t="s">
        <v>360</v>
      </c>
      <c r="F5448">
        <v>1</v>
      </c>
      <c r="G5448" t="s">
        <v>498</v>
      </c>
      <c r="H5448" s="4">
        <v>12650449</v>
      </c>
      <c r="I5448" s="4">
        <v>16537248</v>
      </c>
      <c r="J5448" s="3">
        <v>0.3072459325356752</v>
      </c>
      <c r="K5448" s="3">
        <v>-0.23503299944464762</v>
      </c>
      <c r="L5448" t="s">
        <v>54</v>
      </c>
    </row>
    <row r="5449" spans="1:12" x14ac:dyDescent="0.25">
      <c r="A5449" t="s">
        <v>487</v>
      </c>
      <c r="B5449" t="s">
        <v>465</v>
      </c>
      <c r="C5449" t="s">
        <v>478</v>
      </c>
      <c r="D5449" t="s">
        <v>358</v>
      </c>
      <c r="E5449" t="s">
        <v>360</v>
      </c>
      <c r="F5449">
        <v>1</v>
      </c>
      <c r="G5449" t="s">
        <v>499</v>
      </c>
      <c r="H5449" s="4">
        <v>12650449</v>
      </c>
      <c r="I5449" s="4">
        <v>12789441</v>
      </c>
      <c r="J5449" s="3">
        <v>0.010987119903807368</v>
      </c>
      <c r="K5449" s="3">
        <v>-0.010867715015847839</v>
      </c>
      <c r="L5449" t="s">
        <v>54</v>
      </c>
    </row>
    <row r="5450" spans="1:12" x14ac:dyDescent="0.25">
      <c r="A5450" t="s">
        <v>487</v>
      </c>
      <c r="B5450" t="s">
        <v>465</v>
      </c>
      <c r="C5450" t="s">
        <v>478</v>
      </c>
      <c r="D5450" t="s">
        <v>358</v>
      </c>
      <c r="E5450" t="s">
        <v>362</v>
      </c>
      <c r="F5450">
        <v>2</v>
      </c>
      <c r="G5450" t="s">
        <v>488</v>
      </c>
      <c r="H5450" s="4">
        <v>12929505</v>
      </c>
      <c r="I5450" s="4">
        <v>15066104.395766981</v>
      </c>
      <c r="J5450" s="3">
        <v>0.1652498990307039</v>
      </c>
      <c r="K5450" s="3">
        <v>-0.14181498678366297</v>
      </c>
      <c r="L5450" t="s">
        <v>54</v>
      </c>
    </row>
    <row r="5451" spans="1:12" x14ac:dyDescent="0.25">
      <c r="A5451" t="s">
        <v>487</v>
      </c>
      <c r="B5451" t="s">
        <v>465</v>
      </c>
      <c r="C5451" t="s">
        <v>478</v>
      </c>
      <c r="D5451" t="s">
        <v>358</v>
      </c>
      <c r="E5451" t="s">
        <v>362</v>
      </c>
      <c r="F5451">
        <v>2</v>
      </c>
      <c r="G5451" t="s">
        <v>498</v>
      </c>
      <c r="H5451" s="4">
        <v>12929505</v>
      </c>
      <c r="I5451" s="4">
        <v>14513852</v>
      </c>
      <c r="J5451" s="3">
        <v>0.12253732838186768</v>
      </c>
      <c r="K5451" s="3">
        <v>-0.1091610276858273</v>
      </c>
      <c r="L5451" t="s">
        <v>54</v>
      </c>
    </row>
    <row r="5452" spans="1:12" x14ac:dyDescent="0.25">
      <c r="A5452" t="s">
        <v>487</v>
      </c>
      <c r="B5452" t="s">
        <v>465</v>
      </c>
      <c r="C5452" t="s">
        <v>478</v>
      </c>
      <c r="D5452" t="s">
        <v>358</v>
      </c>
      <c r="E5452" t="s">
        <v>362</v>
      </c>
      <c r="F5452">
        <v>2</v>
      </c>
      <c r="G5452" t="s">
        <v>499</v>
      </c>
      <c r="H5452" s="4">
        <v>12929505</v>
      </c>
      <c r="I5452" s="4">
        <v>12789441</v>
      </c>
      <c r="J5452" s="3">
        <v>0.010832897315094429</v>
      </c>
      <c r="K5452" s="3">
        <v>0.01095153416009347</v>
      </c>
      <c r="L5452" t="s">
        <v>54</v>
      </c>
    </row>
    <row r="5453" spans="1:12" x14ac:dyDescent="0.25">
      <c r="A5453" t="s">
        <v>487</v>
      </c>
      <c r="B5453" t="s">
        <v>465</v>
      </c>
      <c r="C5453" t="s">
        <v>478</v>
      </c>
      <c r="D5453" t="s">
        <v>358</v>
      </c>
      <c r="E5453" t="s">
        <v>364</v>
      </c>
      <c r="F5453">
        <v>3</v>
      </c>
      <c r="G5453" t="s">
        <v>488</v>
      </c>
      <c r="H5453" s="4">
        <v>13790813</v>
      </c>
      <c r="I5453" s="4">
        <v>16568922.631001329</v>
      </c>
      <c r="J5453" s="3">
        <v>0.20144639993315325</v>
      </c>
      <c r="K5453" s="3">
        <v>-0.16766990183195973</v>
      </c>
      <c r="L5453" t="s">
        <v>54</v>
      </c>
    </row>
    <row r="5454" spans="1:12" x14ac:dyDescent="0.25">
      <c r="A5454" t="s">
        <v>487</v>
      </c>
      <c r="B5454" t="s">
        <v>465</v>
      </c>
      <c r="C5454" t="s">
        <v>478</v>
      </c>
      <c r="D5454" t="s">
        <v>358</v>
      </c>
      <c r="E5454" t="s">
        <v>364</v>
      </c>
      <c r="F5454">
        <v>3</v>
      </c>
      <c r="G5454" t="s">
        <v>498</v>
      </c>
      <c r="H5454" s="4">
        <v>13790813</v>
      </c>
      <c r="I5454" s="4">
        <v>15961584</v>
      </c>
      <c r="J5454" s="3">
        <v>0.1574070361189003</v>
      </c>
      <c r="K5454" s="3">
        <v>-0.1359997228345257</v>
      </c>
      <c r="L5454" t="s">
        <v>54</v>
      </c>
    </row>
    <row r="5455" spans="1:12" x14ac:dyDescent="0.25">
      <c r="A5455" t="s">
        <v>487</v>
      </c>
      <c r="B5455" t="s">
        <v>465</v>
      </c>
      <c r="C5455" t="s">
        <v>478</v>
      </c>
      <c r="D5455" t="s">
        <v>358</v>
      </c>
      <c r="E5455" t="s">
        <v>364</v>
      </c>
      <c r="F5455">
        <v>3</v>
      </c>
      <c r="G5455" t="s">
        <v>499</v>
      </c>
      <c r="H5455" s="4">
        <v>13790813</v>
      </c>
      <c r="I5455" s="4">
        <v>12789441</v>
      </c>
      <c r="J5455" s="3">
        <v>0.07261152768875917</v>
      </c>
      <c r="K5455" s="3">
        <v>0.0782967762234487</v>
      </c>
      <c r="L5455" t="s">
        <v>54</v>
      </c>
    </row>
    <row r="5456" spans="1:12" x14ac:dyDescent="0.25">
      <c r="A5456" t="s">
        <v>487</v>
      </c>
      <c r="B5456" t="s">
        <v>465</v>
      </c>
      <c r="C5456" t="s">
        <v>478</v>
      </c>
      <c r="D5456" t="s">
        <v>360</v>
      </c>
      <c r="E5456" t="s">
        <v>362</v>
      </c>
      <c r="F5456">
        <v>1</v>
      </c>
      <c r="G5456" t="s">
        <v>488</v>
      </c>
      <c r="H5456" s="4">
        <v>12929505</v>
      </c>
      <c r="I5456" s="4">
        <v>14605800.094899978</v>
      </c>
      <c r="J5456" s="3">
        <v>0.1296488222016217</v>
      </c>
      <c r="K5456" s="3">
        <v>-0.11476913856196783</v>
      </c>
      <c r="L5456" t="s">
        <v>54</v>
      </c>
    </row>
    <row r="5457" spans="1:12" x14ac:dyDescent="0.25">
      <c r="A5457" t="s">
        <v>487</v>
      </c>
      <c r="B5457" t="s">
        <v>465</v>
      </c>
      <c r="C5457" t="s">
        <v>478</v>
      </c>
      <c r="D5457" t="s">
        <v>360</v>
      </c>
      <c r="E5457" t="s">
        <v>362</v>
      </c>
      <c r="F5457">
        <v>1</v>
      </c>
      <c r="G5457" t="s">
        <v>498</v>
      </c>
      <c r="H5457" s="4">
        <v>12929505</v>
      </c>
      <c r="I5457" s="4">
        <v>14513852</v>
      </c>
      <c r="J5457" s="3">
        <v>0.12253732838186768</v>
      </c>
      <c r="K5457" s="3">
        <v>-0.1091610276858273</v>
      </c>
      <c r="L5457" t="s">
        <v>54</v>
      </c>
    </row>
    <row r="5458" spans="1:12" x14ac:dyDescent="0.25">
      <c r="A5458" t="s">
        <v>487</v>
      </c>
      <c r="B5458" t="s">
        <v>465</v>
      </c>
      <c r="C5458" t="s">
        <v>478</v>
      </c>
      <c r="D5458" t="s">
        <v>360</v>
      </c>
      <c r="E5458" t="s">
        <v>362</v>
      </c>
      <c r="F5458">
        <v>1</v>
      </c>
      <c r="G5458" t="s">
        <v>499</v>
      </c>
      <c r="H5458" s="4">
        <v>12929505</v>
      </c>
      <c r="I5458" s="4">
        <v>12650449</v>
      </c>
      <c r="J5458" s="3">
        <v>0.021582883490125878</v>
      </c>
      <c r="K5458" s="3">
        <v>0.022058979882848426</v>
      </c>
      <c r="L5458" t="s">
        <v>54</v>
      </c>
    </row>
    <row r="5459" spans="1:12" x14ac:dyDescent="0.25">
      <c r="A5459" t="s">
        <v>487</v>
      </c>
      <c r="B5459" t="s">
        <v>465</v>
      </c>
      <c r="C5459" t="s">
        <v>478</v>
      </c>
      <c r="D5459" t="s">
        <v>360</v>
      </c>
      <c r="E5459" t="s">
        <v>364</v>
      </c>
      <c r="F5459">
        <v>2</v>
      </c>
      <c r="G5459" t="s">
        <v>488</v>
      </c>
      <c r="H5459" s="4">
        <v>13790813</v>
      </c>
      <c r="I5459" s="4">
        <v>16062703.760652512</v>
      </c>
      <c r="J5459" s="3">
        <v>0.16473943636626154</v>
      </c>
      <c r="K5459" s="3">
        <v>-0.14143887570271804</v>
      </c>
      <c r="L5459" t="s">
        <v>54</v>
      </c>
    </row>
    <row r="5460" spans="1:12" x14ac:dyDescent="0.25">
      <c r="A5460" t="s">
        <v>487</v>
      </c>
      <c r="B5460" t="s">
        <v>465</v>
      </c>
      <c r="C5460" t="s">
        <v>478</v>
      </c>
      <c r="D5460" t="s">
        <v>360</v>
      </c>
      <c r="E5460" t="s">
        <v>364</v>
      </c>
      <c r="F5460">
        <v>2</v>
      </c>
      <c r="G5460" t="s">
        <v>498</v>
      </c>
      <c r="H5460" s="4">
        <v>13790813</v>
      </c>
      <c r="I5460" s="4">
        <v>15961584</v>
      </c>
      <c r="J5460" s="3">
        <v>0.1574070361189003</v>
      </c>
      <c r="K5460" s="3">
        <v>-0.1359997228345257</v>
      </c>
      <c r="L5460" t="s">
        <v>54</v>
      </c>
    </row>
    <row r="5461" spans="1:12" x14ac:dyDescent="0.25">
      <c r="A5461" t="s">
        <v>487</v>
      </c>
      <c r="B5461" t="s">
        <v>465</v>
      </c>
      <c r="C5461" t="s">
        <v>478</v>
      </c>
      <c r="D5461" t="s">
        <v>360</v>
      </c>
      <c r="E5461" t="s">
        <v>364</v>
      </c>
      <c r="F5461">
        <v>2</v>
      </c>
      <c r="G5461" t="s">
        <v>499</v>
      </c>
      <c r="H5461" s="4">
        <v>13790813</v>
      </c>
      <c r="I5461" s="4">
        <v>12650449</v>
      </c>
      <c r="J5461" s="3">
        <v>0.08269012131482023</v>
      </c>
      <c r="K5461" s="3">
        <v>0.09014415219570468</v>
      </c>
      <c r="L5461" t="s">
        <v>54</v>
      </c>
    </row>
    <row r="5462" spans="1:12" x14ac:dyDescent="0.25">
      <c r="A5462" t="s">
        <v>487</v>
      </c>
      <c r="B5462" t="s">
        <v>465</v>
      </c>
      <c r="C5462" t="s">
        <v>478</v>
      </c>
      <c r="D5462" t="s">
        <v>360</v>
      </c>
      <c r="E5462" t="s">
        <v>366</v>
      </c>
      <c r="F5462">
        <v>3</v>
      </c>
      <c r="G5462" t="s">
        <v>488</v>
      </c>
      <c r="H5462" s="4">
        <v>14791156</v>
      </c>
      <c r="I5462" s="4">
        <v>18927103.053047128</v>
      </c>
      <c r="J5462" s="3">
        <v>0.2796229755839995</v>
      </c>
      <c r="K5462" s="3">
        <v>-0.21851981475745547</v>
      </c>
      <c r="L5462" t="s">
        <v>54</v>
      </c>
    </row>
    <row r="5463" spans="1:12" x14ac:dyDescent="0.25">
      <c r="A5463" t="s">
        <v>487</v>
      </c>
      <c r="B5463" t="s">
        <v>465</v>
      </c>
      <c r="C5463" t="s">
        <v>478</v>
      </c>
      <c r="D5463" t="s">
        <v>360</v>
      </c>
      <c r="E5463" t="s">
        <v>366</v>
      </c>
      <c r="F5463">
        <v>3</v>
      </c>
      <c r="G5463" t="s">
        <v>498</v>
      </c>
      <c r="H5463" s="4">
        <v>14791156</v>
      </c>
      <c r="I5463" s="4">
        <v>18807951</v>
      </c>
      <c r="J5463" s="3">
        <v>0.27156734740678823</v>
      </c>
      <c r="K5463" s="3">
        <v>-0.21356898473416908</v>
      </c>
      <c r="L5463" t="s">
        <v>54</v>
      </c>
    </row>
    <row r="5464" spans="1:12" x14ac:dyDescent="0.25">
      <c r="A5464" t="s">
        <v>487</v>
      </c>
      <c r="B5464" t="s">
        <v>465</v>
      </c>
      <c r="C5464" t="s">
        <v>478</v>
      </c>
      <c r="D5464" t="s">
        <v>360</v>
      </c>
      <c r="E5464" t="s">
        <v>366</v>
      </c>
      <c r="F5464">
        <v>3</v>
      </c>
      <c r="G5464" t="s">
        <v>499</v>
      </c>
      <c r="H5464" s="4">
        <v>14791156</v>
      </c>
      <c r="I5464" s="4">
        <v>12650449</v>
      </c>
      <c r="J5464" s="3">
        <v>0.14472885013179498</v>
      </c>
      <c r="K5464" s="3">
        <v>0.16921984350120695</v>
      </c>
      <c r="L5464" t="s">
        <v>54</v>
      </c>
    </row>
    <row r="5465" spans="1:12" x14ac:dyDescent="0.25">
      <c r="A5465" t="s">
        <v>487</v>
      </c>
      <c r="B5465" t="s">
        <v>465</v>
      </c>
      <c r="C5465" t="s">
        <v>478</v>
      </c>
      <c r="D5465" t="s">
        <v>362</v>
      </c>
      <c r="E5465" t="s">
        <v>364</v>
      </c>
      <c r="F5465">
        <v>1</v>
      </c>
      <c r="G5465" t="s">
        <v>488</v>
      </c>
      <c r="H5465" s="4">
        <v>13790813</v>
      </c>
      <c r="I5465" s="4">
        <v>16033910.030774066</v>
      </c>
      <c r="J5465" s="3">
        <v>0.16265154423992742</v>
      </c>
      <c r="K5465" s="3">
        <v>-0.13989706980199243</v>
      </c>
      <c r="L5465" t="s">
        <v>54</v>
      </c>
    </row>
    <row r="5466" spans="1:12" x14ac:dyDescent="0.25">
      <c r="A5466" t="s">
        <v>487</v>
      </c>
      <c r="B5466" t="s">
        <v>465</v>
      </c>
      <c r="C5466" t="s">
        <v>478</v>
      </c>
      <c r="D5466" t="s">
        <v>362</v>
      </c>
      <c r="E5466" t="s">
        <v>364</v>
      </c>
      <c r="F5466">
        <v>1</v>
      </c>
      <c r="G5466" t="s">
        <v>498</v>
      </c>
      <c r="H5466" s="4">
        <v>13790813</v>
      </c>
      <c r="I5466" s="4">
        <v>15961584</v>
      </c>
      <c r="J5466" s="3">
        <v>0.1574070361189003</v>
      </c>
      <c r="K5466" s="3">
        <v>-0.1359997228345257</v>
      </c>
      <c r="L5466" t="s">
        <v>54</v>
      </c>
    </row>
    <row r="5467" spans="1:12" x14ac:dyDescent="0.25">
      <c r="A5467" t="s">
        <v>487</v>
      </c>
      <c r="B5467" t="s">
        <v>465</v>
      </c>
      <c r="C5467" t="s">
        <v>478</v>
      </c>
      <c r="D5467" t="s">
        <v>362</v>
      </c>
      <c r="E5467" t="s">
        <v>364</v>
      </c>
      <c r="F5467">
        <v>1</v>
      </c>
      <c r="G5467" t="s">
        <v>499</v>
      </c>
      <c r="H5467" s="4">
        <v>13790813</v>
      </c>
      <c r="I5467" s="4">
        <v>12929505</v>
      </c>
      <c r="J5467" s="3">
        <v>0.06245520115456572</v>
      </c>
      <c r="K5467" s="3">
        <v>0.06661569797142272</v>
      </c>
      <c r="L5467" t="s">
        <v>54</v>
      </c>
    </row>
    <row r="5468" spans="1:12" x14ac:dyDescent="0.25">
      <c r="A5468" t="s">
        <v>487</v>
      </c>
      <c r="B5468" t="s">
        <v>465</v>
      </c>
      <c r="C5468" t="s">
        <v>478</v>
      </c>
      <c r="D5468" t="s">
        <v>362</v>
      </c>
      <c r="E5468" t="s">
        <v>366</v>
      </c>
      <c r="F5468">
        <v>2</v>
      </c>
      <c r="G5468" t="s">
        <v>488</v>
      </c>
      <c r="H5468" s="4">
        <v>14791156</v>
      </c>
      <c r="I5468" s="4">
        <v>18893174.64965928</v>
      </c>
      <c r="J5468" s="3">
        <v>0.27732914517697466</v>
      </c>
      <c r="K5468" s="3">
        <v>-0.21711643097171368</v>
      </c>
      <c r="L5468" t="s">
        <v>54</v>
      </c>
    </row>
    <row r="5469" spans="1:12" x14ac:dyDescent="0.25">
      <c r="A5469" t="s">
        <v>487</v>
      </c>
      <c r="B5469" t="s">
        <v>465</v>
      </c>
      <c r="C5469" t="s">
        <v>478</v>
      </c>
      <c r="D5469" t="s">
        <v>362</v>
      </c>
      <c r="E5469" t="s">
        <v>366</v>
      </c>
      <c r="F5469">
        <v>2</v>
      </c>
      <c r="G5469" t="s">
        <v>498</v>
      </c>
      <c r="H5469" s="4">
        <v>14791156</v>
      </c>
      <c r="I5469" s="4">
        <v>18807951</v>
      </c>
      <c r="J5469" s="3">
        <v>0.27156734740678823</v>
      </c>
      <c r="K5469" s="3">
        <v>-0.21356898473416908</v>
      </c>
      <c r="L5469" t="s">
        <v>54</v>
      </c>
    </row>
    <row r="5470" spans="1:12" x14ac:dyDescent="0.25">
      <c r="A5470" t="s">
        <v>487</v>
      </c>
      <c r="B5470" t="s">
        <v>465</v>
      </c>
      <c r="C5470" t="s">
        <v>478</v>
      </c>
      <c r="D5470" t="s">
        <v>362</v>
      </c>
      <c r="E5470" t="s">
        <v>366</v>
      </c>
      <c r="F5470">
        <v>2</v>
      </c>
      <c r="G5470" t="s">
        <v>499</v>
      </c>
      <c r="H5470" s="4">
        <v>14791156</v>
      </c>
      <c r="I5470" s="4">
        <v>12929505</v>
      </c>
      <c r="J5470" s="3">
        <v>0.1258624410424716</v>
      </c>
      <c r="K5470" s="3">
        <v>0.1439847078445772</v>
      </c>
      <c r="L5470" t="s">
        <v>54</v>
      </c>
    </row>
    <row r="5471" spans="1:12" x14ac:dyDescent="0.25">
      <c r="A5471" t="s">
        <v>487</v>
      </c>
      <c r="B5471" t="s">
        <v>465</v>
      </c>
      <c r="C5471" t="s">
        <v>478</v>
      </c>
      <c r="D5471" t="s">
        <v>362</v>
      </c>
      <c r="E5471" t="s">
        <v>368</v>
      </c>
      <c r="F5471">
        <v>3</v>
      </c>
      <c r="G5471" t="s">
        <v>488</v>
      </c>
      <c r="H5471" s="4">
        <v>12233059</v>
      </c>
      <c r="I5471" s="4">
        <v>13011955.547715973</v>
      </c>
      <c r="J5471" s="3">
        <v>0.06367144536096597</v>
      </c>
      <c r="K5471" s="3">
        <v>-0.059860068293323916</v>
      </c>
      <c r="L5471" t="s">
        <v>54</v>
      </c>
    </row>
    <row r="5472" spans="1:12" x14ac:dyDescent="0.25">
      <c r="A5472" t="s">
        <v>487</v>
      </c>
      <c r="B5472" t="s">
        <v>465</v>
      </c>
      <c r="C5472" t="s">
        <v>478</v>
      </c>
      <c r="D5472" t="s">
        <v>362</v>
      </c>
      <c r="E5472" t="s">
        <v>368</v>
      </c>
      <c r="F5472">
        <v>3</v>
      </c>
      <c r="G5472" t="s">
        <v>498</v>
      </c>
      <c r="H5472" s="4">
        <v>12233059</v>
      </c>
      <c r="I5472" s="4">
        <v>12953261</v>
      </c>
      <c r="J5472" s="3">
        <v>0.05887341833305962</v>
      </c>
      <c r="K5472" s="3">
        <v>-0.05560005314491849</v>
      </c>
      <c r="L5472" t="s">
        <v>54</v>
      </c>
    </row>
    <row r="5473" spans="1:12" x14ac:dyDescent="0.25">
      <c r="A5473" t="s">
        <v>487</v>
      </c>
      <c r="B5473" t="s">
        <v>465</v>
      </c>
      <c r="C5473" t="s">
        <v>478</v>
      </c>
      <c r="D5473" t="s">
        <v>362</v>
      </c>
      <c r="E5473" t="s">
        <v>368</v>
      </c>
      <c r="F5473">
        <v>3</v>
      </c>
      <c r="G5473" t="s">
        <v>499</v>
      </c>
      <c r="H5473" s="4">
        <v>12233059</v>
      </c>
      <c r="I5473" s="4">
        <v>12929505</v>
      </c>
      <c r="J5473" s="3">
        <v>0.05693146742773005</v>
      </c>
      <c r="K5473" s="3">
        <v>-0.05386486180252067</v>
      </c>
      <c r="L5473" t="s">
        <v>54</v>
      </c>
    </row>
    <row r="5474" spans="1:12" x14ac:dyDescent="0.25">
      <c r="A5474" t="s">
        <v>487</v>
      </c>
      <c r="B5474" t="s">
        <v>465</v>
      </c>
      <c r="C5474" t="s">
        <v>478</v>
      </c>
      <c r="D5474" t="s">
        <v>364</v>
      </c>
      <c r="E5474" t="s">
        <v>366</v>
      </c>
      <c r="F5474">
        <v>1</v>
      </c>
      <c r="G5474" t="s">
        <v>488</v>
      </c>
      <c r="H5474" s="4">
        <v>14791156</v>
      </c>
      <c r="I5474" s="4">
        <v>18328071.02894006</v>
      </c>
      <c r="J5474" s="3">
        <v>0.2391236377291984</v>
      </c>
      <c r="K5474" s="3">
        <v>-0.19297802934936598</v>
      </c>
      <c r="L5474" t="s">
        <v>54</v>
      </c>
    </row>
    <row r="5475" spans="1:12" x14ac:dyDescent="0.25">
      <c r="A5475" t="s">
        <v>487</v>
      </c>
      <c r="B5475" t="s">
        <v>465</v>
      </c>
      <c r="C5475" t="s">
        <v>478</v>
      </c>
      <c r="D5475" t="s">
        <v>364</v>
      </c>
      <c r="E5475" t="s">
        <v>366</v>
      </c>
      <c r="F5475">
        <v>1</v>
      </c>
      <c r="G5475" t="s">
        <v>498</v>
      </c>
      <c r="H5475" s="4">
        <v>14791156</v>
      </c>
      <c r="I5475" s="4">
        <v>18807951</v>
      </c>
      <c r="J5475" s="3">
        <v>0.27156734740678823</v>
      </c>
      <c r="K5475" s="3">
        <v>-0.21356898473416908</v>
      </c>
      <c r="L5475" t="s">
        <v>54</v>
      </c>
    </row>
    <row r="5476" spans="1:12" x14ac:dyDescent="0.25">
      <c r="A5476" t="s">
        <v>487</v>
      </c>
      <c r="B5476" t="s">
        <v>465</v>
      </c>
      <c r="C5476" t="s">
        <v>478</v>
      </c>
      <c r="D5476" t="s">
        <v>364</v>
      </c>
      <c r="E5476" t="s">
        <v>366</v>
      </c>
      <c r="F5476">
        <v>1</v>
      </c>
      <c r="G5476" t="s">
        <v>499</v>
      </c>
      <c r="H5476" s="4">
        <v>14791156</v>
      </c>
      <c r="I5476" s="4">
        <v>13790813</v>
      </c>
      <c r="J5476" s="3">
        <v>0.06763115742948016</v>
      </c>
      <c r="K5476" s="3">
        <v>0.07253691279839702</v>
      </c>
      <c r="L5476" t="s">
        <v>54</v>
      </c>
    </row>
    <row r="5477" spans="1:12" x14ac:dyDescent="0.25">
      <c r="A5477" t="s">
        <v>487</v>
      </c>
      <c r="B5477" t="s">
        <v>465</v>
      </c>
      <c r="C5477" t="s">
        <v>478</v>
      </c>
      <c r="D5477" t="s">
        <v>364</v>
      </c>
      <c r="E5477" t="s">
        <v>368</v>
      </c>
      <c r="F5477">
        <v>2</v>
      </c>
      <c r="G5477" t="s">
        <v>488</v>
      </c>
      <c r="H5477" s="4">
        <v>12233059</v>
      </c>
      <c r="I5477" s="4">
        <v>12622761.919381814</v>
      </c>
      <c r="J5477" s="3">
        <v>0.031856538857681804</v>
      </c>
      <c r="K5477" s="3">
        <v>-0.030873030947643775</v>
      </c>
      <c r="L5477" t="s">
        <v>54</v>
      </c>
    </row>
    <row r="5478" spans="1:12" x14ac:dyDescent="0.25">
      <c r="A5478" t="s">
        <v>487</v>
      </c>
      <c r="B5478" t="s">
        <v>465</v>
      </c>
      <c r="C5478" t="s">
        <v>478</v>
      </c>
      <c r="D5478" t="s">
        <v>364</v>
      </c>
      <c r="E5478" t="s">
        <v>368</v>
      </c>
      <c r="F5478">
        <v>2</v>
      </c>
      <c r="G5478" t="s">
        <v>498</v>
      </c>
      <c r="H5478" s="4">
        <v>12233059</v>
      </c>
      <c r="I5478" s="4">
        <v>12953261</v>
      </c>
      <c r="J5478" s="3">
        <v>0.05887341833305962</v>
      </c>
      <c r="K5478" s="3">
        <v>-0.05560005314491849</v>
      </c>
      <c r="L5478" t="s">
        <v>54</v>
      </c>
    </row>
    <row r="5479" spans="1:12" x14ac:dyDescent="0.25">
      <c r="A5479" t="s">
        <v>487</v>
      </c>
      <c r="B5479" t="s">
        <v>465</v>
      </c>
      <c r="C5479" t="s">
        <v>478</v>
      </c>
      <c r="D5479" t="s">
        <v>364</v>
      </c>
      <c r="E5479" t="s">
        <v>368</v>
      </c>
      <c r="F5479">
        <v>2</v>
      </c>
      <c r="G5479" t="s">
        <v>499</v>
      </c>
      <c r="H5479" s="4">
        <v>12233059</v>
      </c>
      <c r="I5479" s="4">
        <v>13790813</v>
      </c>
      <c r="J5479" s="3">
        <v>0.12733969483838833</v>
      </c>
      <c r="K5479" s="3">
        <v>-0.11295592217804708</v>
      </c>
      <c r="L5479" t="s">
        <v>54</v>
      </c>
    </row>
    <row r="5480" spans="1:12" x14ac:dyDescent="0.25">
      <c r="A5480" t="s">
        <v>487</v>
      </c>
      <c r="B5480" t="s">
        <v>465</v>
      </c>
      <c r="C5480" t="s">
        <v>478</v>
      </c>
      <c r="D5480" t="s">
        <v>364</v>
      </c>
      <c r="E5480" t="s">
        <v>370</v>
      </c>
      <c r="F5480">
        <v>3</v>
      </c>
      <c r="G5480" t="s">
        <v>488</v>
      </c>
      <c r="H5480" s="4">
        <v>12374566</v>
      </c>
      <c r="I5480" s="4">
        <v>18792326.526360717</v>
      </c>
      <c r="J5480" s="3">
        <v>0.5186250997700216</v>
      </c>
      <c r="K5480" s="3">
        <v>-0.3415096325278447</v>
      </c>
      <c r="L5480" t="s">
        <v>54</v>
      </c>
    </row>
    <row r="5481" spans="1:12" x14ac:dyDescent="0.25">
      <c r="A5481" t="s">
        <v>487</v>
      </c>
      <c r="B5481" t="s">
        <v>465</v>
      </c>
      <c r="C5481" t="s">
        <v>478</v>
      </c>
      <c r="D5481" t="s">
        <v>364</v>
      </c>
      <c r="E5481" t="s">
        <v>370</v>
      </c>
      <c r="F5481">
        <v>3</v>
      </c>
      <c r="G5481" t="s">
        <v>498</v>
      </c>
      <c r="H5481" s="4">
        <v>12374566</v>
      </c>
      <c r="I5481" s="4">
        <v>19284362</v>
      </c>
      <c r="J5481" s="3">
        <v>0.5583869365600378</v>
      </c>
      <c r="K5481" s="3">
        <v>-0.35831084274398084</v>
      </c>
      <c r="L5481" t="s">
        <v>54</v>
      </c>
    </row>
    <row r="5482" spans="1:12" x14ac:dyDescent="0.25">
      <c r="A5482" t="s">
        <v>487</v>
      </c>
      <c r="B5482" t="s">
        <v>465</v>
      </c>
      <c r="C5482" t="s">
        <v>478</v>
      </c>
      <c r="D5482" t="s">
        <v>364</v>
      </c>
      <c r="E5482" t="s">
        <v>370</v>
      </c>
      <c r="F5482">
        <v>3</v>
      </c>
      <c r="G5482" t="s">
        <v>499</v>
      </c>
      <c r="H5482" s="4">
        <v>12374566</v>
      </c>
      <c r="I5482" s="4">
        <v>13790813</v>
      </c>
      <c r="J5482" s="3">
        <v>0.11444821580005311</v>
      </c>
      <c r="K5482" s="3">
        <v>-0.10269496076844781</v>
      </c>
      <c r="L5482" t="s">
        <v>54</v>
      </c>
    </row>
    <row r="5483" spans="1:12" x14ac:dyDescent="0.25">
      <c r="A5483" t="s">
        <v>487</v>
      </c>
      <c r="B5483" t="s">
        <v>465</v>
      </c>
      <c r="C5483" t="s">
        <v>478</v>
      </c>
      <c r="D5483" t="s">
        <v>366</v>
      </c>
      <c r="E5483" t="s">
        <v>368</v>
      </c>
      <c r="F5483">
        <v>1</v>
      </c>
      <c r="G5483" t="s">
        <v>488</v>
      </c>
      <c r="H5483" s="4">
        <v>12233059</v>
      </c>
      <c r="I5483" s="4">
        <v>12002071.263968535</v>
      </c>
      <c r="J5483" s="3">
        <v>0.018882254719074374</v>
      </c>
      <c r="K5483" s="3">
        <v>0.019245656099786245</v>
      </c>
      <c r="L5483" t="s">
        <v>54</v>
      </c>
    </row>
    <row r="5484" spans="1:12" x14ac:dyDescent="0.25">
      <c r="A5484" t="s">
        <v>487</v>
      </c>
      <c r="B5484" t="s">
        <v>465</v>
      </c>
      <c r="C5484" t="s">
        <v>478</v>
      </c>
      <c r="D5484" t="s">
        <v>366</v>
      </c>
      <c r="E5484" t="s">
        <v>368</v>
      </c>
      <c r="F5484">
        <v>1</v>
      </c>
      <c r="G5484" t="s">
        <v>498</v>
      </c>
      <c r="H5484" s="4">
        <v>12233059</v>
      </c>
      <c r="I5484" s="4">
        <v>12953261</v>
      </c>
      <c r="J5484" s="3">
        <v>0.05887341833305962</v>
      </c>
      <c r="K5484" s="3">
        <v>-0.05560005314491849</v>
      </c>
      <c r="L5484" t="s">
        <v>54</v>
      </c>
    </row>
    <row r="5485" spans="1:12" x14ac:dyDescent="0.25">
      <c r="A5485" t="s">
        <v>487</v>
      </c>
      <c r="B5485" t="s">
        <v>465</v>
      </c>
      <c r="C5485" t="s">
        <v>478</v>
      </c>
      <c r="D5485" t="s">
        <v>366</v>
      </c>
      <c r="E5485" t="s">
        <v>368</v>
      </c>
      <c r="F5485">
        <v>1</v>
      </c>
      <c r="G5485" t="s">
        <v>499</v>
      </c>
      <c r="H5485" s="4">
        <v>12233059</v>
      </c>
      <c r="I5485" s="4">
        <v>14791156</v>
      </c>
      <c r="J5485" s="3">
        <v>0.209113435977052</v>
      </c>
      <c r="K5485" s="3">
        <v>-0.17294773985211162</v>
      </c>
      <c r="L5485" t="s">
        <v>54</v>
      </c>
    </row>
    <row r="5486" spans="1:12" x14ac:dyDescent="0.25">
      <c r="A5486" t="s">
        <v>487</v>
      </c>
      <c r="B5486" t="s">
        <v>465</v>
      </c>
      <c r="C5486" t="s">
        <v>478</v>
      </c>
      <c r="D5486" t="s">
        <v>366</v>
      </c>
      <c r="E5486" t="s">
        <v>370</v>
      </c>
      <c r="F5486">
        <v>2</v>
      </c>
      <c r="G5486" t="s">
        <v>488</v>
      </c>
      <c r="H5486" s="4">
        <v>12374566</v>
      </c>
      <c r="I5486" s="4">
        <v>17868263.984194156</v>
      </c>
      <c r="J5486" s="3">
        <v>0.4439507603090206</v>
      </c>
      <c r="K5486" s="3">
        <v>-0.30745560895304386</v>
      </c>
      <c r="L5486" t="s">
        <v>54</v>
      </c>
    </row>
    <row r="5487" spans="1:12" x14ac:dyDescent="0.25">
      <c r="A5487" t="s">
        <v>487</v>
      </c>
      <c r="B5487" t="s">
        <v>465</v>
      </c>
      <c r="C5487" t="s">
        <v>478</v>
      </c>
      <c r="D5487" t="s">
        <v>366</v>
      </c>
      <c r="E5487" t="s">
        <v>370</v>
      </c>
      <c r="F5487">
        <v>2</v>
      </c>
      <c r="G5487" t="s">
        <v>498</v>
      </c>
      <c r="H5487" s="4">
        <v>12374566</v>
      </c>
      <c r="I5487" s="4">
        <v>19284362</v>
      </c>
      <c r="J5487" s="3">
        <v>0.5583869365600378</v>
      </c>
      <c r="K5487" s="3">
        <v>-0.35831084274398084</v>
      </c>
      <c r="L5487" t="s">
        <v>54</v>
      </c>
    </row>
    <row r="5488" spans="1:12" x14ac:dyDescent="0.25">
      <c r="A5488" t="s">
        <v>487</v>
      </c>
      <c r="B5488" t="s">
        <v>465</v>
      </c>
      <c r="C5488" t="s">
        <v>478</v>
      </c>
      <c r="D5488" t="s">
        <v>366</v>
      </c>
      <c r="E5488" t="s">
        <v>370</v>
      </c>
      <c r="F5488">
        <v>2</v>
      </c>
      <c r="G5488" t="s">
        <v>499</v>
      </c>
      <c r="H5488" s="4">
        <v>12374566</v>
      </c>
      <c r="I5488" s="4">
        <v>14791156</v>
      </c>
      <c r="J5488" s="3">
        <v>0.1952868488478707</v>
      </c>
      <c r="K5488" s="3">
        <v>-0.1633807391389828</v>
      </c>
      <c r="L5488" t="s">
        <v>54</v>
      </c>
    </row>
    <row r="5489" spans="1:12" x14ac:dyDescent="0.25">
      <c r="A5489" t="s">
        <v>487</v>
      </c>
      <c r="B5489" t="s">
        <v>465</v>
      </c>
      <c r="C5489" t="s">
        <v>478</v>
      </c>
      <c r="D5489" t="s">
        <v>366</v>
      </c>
      <c r="E5489" t="s">
        <v>372</v>
      </c>
      <c r="F5489">
        <v>3</v>
      </c>
      <c r="G5489" t="s">
        <v>488</v>
      </c>
      <c r="H5489" s="4">
        <v>13839413</v>
      </c>
      <c r="I5489" s="4">
        <v>15954836.214371964</v>
      </c>
      <c r="J5489" s="3">
        <v>0.1528549812316436</v>
      </c>
      <c r="K5489" s="3">
        <v>-0.13258821249862857</v>
      </c>
      <c r="L5489" t="s">
        <v>54</v>
      </c>
    </row>
    <row r="5490" spans="1:12" x14ac:dyDescent="0.25">
      <c r="A5490" t="s">
        <v>487</v>
      </c>
      <c r="B5490" t="s">
        <v>465</v>
      </c>
      <c r="C5490" t="s">
        <v>478</v>
      </c>
      <c r="D5490" t="s">
        <v>366</v>
      </c>
      <c r="E5490" t="s">
        <v>372</v>
      </c>
      <c r="F5490">
        <v>3</v>
      </c>
      <c r="G5490" t="s">
        <v>498</v>
      </c>
      <c r="H5490" s="4">
        <v>13839413</v>
      </c>
      <c r="I5490" s="4">
        <v>17219291</v>
      </c>
      <c r="J5490" s="3">
        <v>0.24422119637588674</v>
      </c>
      <c r="K5490" s="3">
        <v>-0.19628438824804112</v>
      </c>
      <c r="L5490" t="s">
        <v>54</v>
      </c>
    </row>
    <row r="5491" spans="1:12" x14ac:dyDescent="0.25">
      <c r="A5491" t="s">
        <v>487</v>
      </c>
      <c r="B5491" t="s">
        <v>465</v>
      </c>
      <c r="C5491" t="s">
        <v>478</v>
      </c>
      <c r="D5491" t="s">
        <v>366</v>
      </c>
      <c r="E5491" t="s">
        <v>372</v>
      </c>
      <c r="F5491">
        <v>3</v>
      </c>
      <c r="G5491" t="s">
        <v>499</v>
      </c>
      <c r="H5491" s="4">
        <v>13839413</v>
      </c>
      <c r="I5491" s="4">
        <v>14791156</v>
      </c>
      <c r="J5491" s="3">
        <v>0.06877047458588019</v>
      </c>
      <c r="K5491" s="3">
        <v>-0.06434541018971066</v>
      </c>
      <c r="L5491" t="s">
        <v>54</v>
      </c>
    </row>
    <row r="5492" spans="1:12" x14ac:dyDescent="0.25">
      <c r="A5492" t="s">
        <v>487</v>
      </c>
      <c r="B5492" t="s">
        <v>465</v>
      </c>
      <c r="C5492" t="s">
        <v>478</v>
      </c>
      <c r="D5492" t="s">
        <v>368</v>
      </c>
      <c r="E5492" t="s">
        <v>370</v>
      </c>
      <c r="F5492">
        <v>1</v>
      </c>
      <c r="G5492" t="s">
        <v>488</v>
      </c>
      <c r="H5492" s="4">
        <v>12374566</v>
      </c>
      <c r="I5492" s="4">
        <v>17757554.824710414</v>
      </c>
      <c r="J5492" s="3">
        <v>0.43500425184288594</v>
      </c>
      <c r="K5492" s="3">
        <v>-0.3031379532738229</v>
      </c>
      <c r="L5492" t="s">
        <v>54</v>
      </c>
    </row>
    <row r="5493" spans="1:12" x14ac:dyDescent="0.25">
      <c r="A5493" t="s">
        <v>487</v>
      </c>
      <c r="B5493" t="s">
        <v>465</v>
      </c>
      <c r="C5493" t="s">
        <v>478</v>
      </c>
      <c r="D5493" t="s">
        <v>368</v>
      </c>
      <c r="E5493" t="s">
        <v>370</v>
      </c>
      <c r="F5493">
        <v>1</v>
      </c>
      <c r="G5493" t="s">
        <v>498</v>
      </c>
      <c r="H5493" s="4">
        <v>12374566</v>
      </c>
      <c r="I5493" s="4">
        <v>19284362</v>
      </c>
      <c r="J5493" s="3">
        <v>0.5583869365600378</v>
      </c>
      <c r="K5493" s="3">
        <v>-0.35831084274398084</v>
      </c>
      <c r="L5493" t="s">
        <v>54</v>
      </c>
    </row>
    <row r="5494" spans="1:12" x14ac:dyDescent="0.25">
      <c r="A5494" t="s">
        <v>487</v>
      </c>
      <c r="B5494" t="s">
        <v>465</v>
      </c>
      <c r="C5494" t="s">
        <v>478</v>
      </c>
      <c r="D5494" t="s">
        <v>368</v>
      </c>
      <c r="E5494" t="s">
        <v>370</v>
      </c>
      <c r="F5494">
        <v>1</v>
      </c>
      <c r="G5494" t="s">
        <v>499</v>
      </c>
      <c r="H5494" s="4">
        <v>12374566</v>
      </c>
      <c r="I5494" s="4">
        <v>12233059</v>
      </c>
      <c r="J5494" s="3">
        <v>0.011435310135321109</v>
      </c>
      <c r="K5494" s="3">
        <v>0.011567589104246125</v>
      </c>
      <c r="L5494" t="s">
        <v>54</v>
      </c>
    </row>
    <row r="5495" spans="1:12" x14ac:dyDescent="0.25">
      <c r="A5495" t="s">
        <v>487</v>
      </c>
      <c r="B5495" t="s">
        <v>465</v>
      </c>
      <c r="C5495" t="s">
        <v>478</v>
      </c>
      <c r="D5495" t="s">
        <v>368</v>
      </c>
      <c r="E5495" t="s">
        <v>372</v>
      </c>
      <c r="F5495">
        <v>2</v>
      </c>
      <c r="G5495" t="s">
        <v>488</v>
      </c>
      <c r="H5495" s="4">
        <v>13839413</v>
      </c>
      <c r="I5495" s="4">
        <v>15855982.374482632</v>
      </c>
      <c r="J5495" s="3">
        <v>0.14571205978769705</v>
      </c>
      <c r="K5495" s="3">
        <v>-0.12718034914871876</v>
      </c>
      <c r="L5495" t="s">
        <v>54</v>
      </c>
    </row>
    <row r="5496" spans="1:12" x14ac:dyDescent="0.25">
      <c r="A5496" t="s">
        <v>487</v>
      </c>
      <c r="B5496" t="s">
        <v>465</v>
      </c>
      <c r="C5496" t="s">
        <v>478</v>
      </c>
      <c r="D5496" t="s">
        <v>368</v>
      </c>
      <c r="E5496" t="s">
        <v>372</v>
      </c>
      <c r="F5496">
        <v>2</v>
      </c>
      <c r="G5496" t="s">
        <v>498</v>
      </c>
      <c r="H5496" s="4">
        <v>13839413</v>
      </c>
      <c r="I5496" s="4">
        <v>17219291</v>
      </c>
      <c r="J5496" s="3">
        <v>0.24422119637588674</v>
      </c>
      <c r="K5496" s="3">
        <v>-0.19628438824804112</v>
      </c>
      <c r="L5496" t="s">
        <v>54</v>
      </c>
    </row>
    <row r="5497" spans="1:12" x14ac:dyDescent="0.25">
      <c r="A5497" t="s">
        <v>487</v>
      </c>
      <c r="B5497" t="s">
        <v>465</v>
      </c>
      <c r="C5497" t="s">
        <v>478</v>
      </c>
      <c r="D5497" t="s">
        <v>368</v>
      </c>
      <c r="E5497" t="s">
        <v>372</v>
      </c>
      <c r="F5497">
        <v>2</v>
      </c>
      <c r="G5497" t="s">
        <v>499</v>
      </c>
      <c r="H5497" s="4">
        <v>13839413</v>
      </c>
      <c r="I5497" s="4">
        <v>12233059</v>
      </c>
      <c r="J5497" s="3">
        <v>0.11607096341441649</v>
      </c>
      <c r="K5497" s="3">
        <v>0.13131253597321815</v>
      </c>
      <c r="L5497" t="s">
        <v>54</v>
      </c>
    </row>
    <row r="5498" spans="1:12" x14ac:dyDescent="0.25">
      <c r="A5498" t="s">
        <v>487</v>
      </c>
      <c r="B5498" t="s">
        <v>465</v>
      </c>
      <c r="C5498" t="s">
        <v>478</v>
      </c>
      <c r="D5498" t="s">
        <v>368</v>
      </c>
      <c r="E5498" t="s">
        <v>374</v>
      </c>
      <c r="F5498">
        <v>3</v>
      </c>
      <c r="G5498" t="s">
        <v>488</v>
      </c>
      <c r="H5498" s="4">
        <v>12726545</v>
      </c>
      <c r="I5498" s="4">
        <v>16765905.534918586</v>
      </c>
      <c r="J5498" s="3">
        <v>0.3173964760206785</v>
      </c>
      <c r="K5498" s="3">
        <v>-0.2409270722959612</v>
      </c>
      <c r="L5498" t="s">
        <v>54</v>
      </c>
    </row>
    <row r="5499" spans="1:12" x14ac:dyDescent="0.25">
      <c r="A5499" t="s">
        <v>487</v>
      </c>
      <c r="B5499" t="s">
        <v>465</v>
      </c>
      <c r="C5499" t="s">
        <v>478</v>
      </c>
      <c r="D5499" t="s">
        <v>368</v>
      </c>
      <c r="E5499" t="s">
        <v>374</v>
      </c>
      <c r="F5499">
        <v>3</v>
      </c>
      <c r="G5499" t="s">
        <v>498</v>
      </c>
      <c r="H5499" s="4">
        <v>12726545</v>
      </c>
      <c r="I5499" s="4">
        <v>18207450</v>
      </c>
      <c r="J5499" s="3">
        <v>0.4306671606472927</v>
      </c>
      <c r="K5499" s="3">
        <v>-0.3010254044360962</v>
      </c>
      <c r="L5499" t="s">
        <v>54</v>
      </c>
    </row>
    <row r="5500" spans="1:12" x14ac:dyDescent="0.25">
      <c r="A5500" t="s">
        <v>487</v>
      </c>
      <c r="B5500" t="s">
        <v>465</v>
      </c>
      <c r="C5500" t="s">
        <v>478</v>
      </c>
      <c r="D5500" t="s">
        <v>368</v>
      </c>
      <c r="E5500" t="s">
        <v>374</v>
      </c>
      <c r="F5500">
        <v>3</v>
      </c>
      <c r="G5500" t="s">
        <v>499</v>
      </c>
      <c r="H5500" s="4">
        <v>12726545</v>
      </c>
      <c r="I5500" s="4">
        <v>12233059</v>
      </c>
      <c r="J5500" s="3">
        <v>0.03877611716298492</v>
      </c>
      <c r="K5500" s="3">
        <v>0.040340359676185655</v>
      </c>
      <c r="L5500" t="s">
        <v>54</v>
      </c>
    </row>
    <row r="5501" spans="1:12" x14ac:dyDescent="0.25">
      <c r="A5501" t="s">
        <v>487</v>
      </c>
      <c r="B5501" t="s">
        <v>465</v>
      </c>
      <c r="C5501" t="s">
        <v>478</v>
      </c>
      <c r="D5501" t="s">
        <v>370</v>
      </c>
      <c r="E5501" t="s">
        <v>372</v>
      </c>
      <c r="F5501">
        <v>1</v>
      </c>
      <c r="G5501" t="s">
        <v>488</v>
      </c>
      <c r="H5501" s="4">
        <v>13839413</v>
      </c>
      <c r="I5501" s="4">
        <v>14819896.500648541</v>
      </c>
      <c r="J5501" s="3">
        <v>0.07084718843556019</v>
      </c>
      <c r="K5501" s="3">
        <v>-0.06615994252089641</v>
      </c>
      <c r="L5501" t="s">
        <v>54</v>
      </c>
    </row>
    <row r="5502" spans="1:12" x14ac:dyDescent="0.25">
      <c r="A5502" t="s">
        <v>487</v>
      </c>
      <c r="B5502" t="s">
        <v>465</v>
      </c>
      <c r="C5502" t="s">
        <v>478</v>
      </c>
      <c r="D5502" t="s">
        <v>370</v>
      </c>
      <c r="E5502" t="s">
        <v>372</v>
      </c>
      <c r="F5502">
        <v>1</v>
      </c>
      <c r="G5502" t="s">
        <v>498</v>
      </c>
      <c r="H5502" s="4">
        <v>13839413</v>
      </c>
      <c r="I5502" s="4">
        <v>17219291</v>
      </c>
      <c r="J5502" s="3">
        <v>0.24422119637588674</v>
      </c>
      <c r="K5502" s="3">
        <v>-0.19628438824804112</v>
      </c>
      <c r="L5502" t="s">
        <v>54</v>
      </c>
    </row>
    <row r="5503" spans="1:12" x14ac:dyDescent="0.25">
      <c r="A5503" t="s">
        <v>487</v>
      </c>
      <c r="B5503" t="s">
        <v>465</v>
      </c>
      <c r="C5503" t="s">
        <v>478</v>
      </c>
      <c r="D5503" t="s">
        <v>370</v>
      </c>
      <c r="E5503" t="s">
        <v>372</v>
      </c>
      <c r="F5503">
        <v>1</v>
      </c>
      <c r="G5503" t="s">
        <v>499</v>
      </c>
      <c r="H5503" s="4">
        <v>13839413</v>
      </c>
      <c r="I5503" s="4">
        <v>12374566</v>
      </c>
      <c r="J5503" s="3">
        <v>0.10584603552188232</v>
      </c>
      <c r="K5503" s="3">
        <v>0.11837562626438777</v>
      </c>
      <c r="L5503" t="s">
        <v>54</v>
      </c>
    </row>
    <row r="5504" spans="1:12" x14ac:dyDescent="0.25">
      <c r="A5504" t="s">
        <v>487</v>
      </c>
      <c r="B5504" t="s">
        <v>465</v>
      </c>
      <c r="C5504" t="s">
        <v>478</v>
      </c>
      <c r="D5504" t="s">
        <v>370</v>
      </c>
      <c r="E5504" t="s">
        <v>374</v>
      </c>
      <c r="F5504">
        <v>2</v>
      </c>
      <c r="G5504" t="s">
        <v>488</v>
      </c>
      <c r="H5504" s="4">
        <v>12726545</v>
      </c>
      <c r="I5504" s="4">
        <v>15670362.068957038</v>
      </c>
      <c r="J5504" s="3">
        <v>0.23131313871573458</v>
      </c>
      <c r="K5504" s="3">
        <v>-0.18785890562086852</v>
      </c>
      <c r="L5504" t="s">
        <v>54</v>
      </c>
    </row>
    <row r="5505" spans="1:12" x14ac:dyDescent="0.25">
      <c r="A5505" t="s">
        <v>487</v>
      </c>
      <c r="B5505" t="s">
        <v>465</v>
      </c>
      <c r="C5505" t="s">
        <v>478</v>
      </c>
      <c r="D5505" t="s">
        <v>370</v>
      </c>
      <c r="E5505" t="s">
        <v>374</v>
      </c>
      <c r="F5505">
        <v>2</v>
      </c>
      <c r="G5505" t="s">
        <v>498</v>
      </c>
      <c r="H5505" s="4">
        <v>12726545</v>
      </c>
      <c r="I5505" s="4">
        <v>18207450</v>
      </c>
      <c r="J5505" s="3">
        <v>0.4306671606472927</v>
      </c>
      <c r="K5505" s="3">
        <v>-0.3010254044360962</v>
      </c>
      <c r="L5505" t="s">
        <v>54</v>
      </c>
    </row>
    <row r="5506" spans="1:12" x14ac:dyDescent="0.25">
      <c r="A5506" t="s">
        <v>487</v>
      </c>
      <c r="B5506" t="s">
        <v>465</v>
      </c>
      <c r="C5506" t="s">
        <v>478</v>
      </c>
      <c r="D5506" t="s">
        <v>370</v>
      </c>
      <c r="E5506" t="s">
        <v>374</v>
      </c>
      <c r="F5506">
        <v>2</v>
      </c>
      <c r="G5506" t="s">
        <v>499</v>
      </c>
      <c r="H5506" s="4">
        <v>12726545</v>
      </c>
      <c r="I5506" s="4">
        <v>12374566</v>
      </c>
      <c r="J5506" s="3">
        <v>0.027657074249138318</v>
      </c>
      <c r="K5506" s="3">
        <v>0.02844374501699696</v>
      </c>
      <c r="L5506" t="s">
        <v>54</v>
      </c>
    </row>
    <row r="5507" spans="1:12" x14ac:dyDescent="0.25">
      <c r="A5507" t="s">
        <v>487</v>
      </c>
      <c r="B5507" t="s">
        <v>465</v>
      </c>
      <c r="C5507" t="s">
        <v>478</v>
      </c>
      <c r="D5507" t="s">
        <v>370</v>
      </c>
      <c r="E5507" t="s">
        <v>376</v>
      </c>
      <c r="F5507">
        <v>3</v>
      </c>
      <c r="G5507" t="s">
        <v>488</v>
      </c>
      <c r="H5507" s="4">
        <v>10982257</v>
      </c>
      <c r="I5507" s="4">
        <v>11025201.291414058</v>
      </c>
      <c r="J5507" s="3">
        <v>0.0039103338607043925</v>
      </c>
      <c r="K5507" s="3">
        <v>-0.0038951027086916736</v>
      </c>
      <c r="L5507" t="s">
        <v>377</v>
      </c>
    </row>
    <row r="5508" spans="1:12" x14ac:dyDescent="0.25">
      <c r="A5508" t="s">
        <v>487</v>
      </c>
      <c r="B5508" t="s">
        <v>465</v>
      </c>
      <c r="C5508" t="s">
        <v>478</v>
      </c>
      <c r="D5508" t="s">
        <v>370</v>
      </c>
      <c r="E5508" t="s">
        <v>376</v>
      </c>
      <c r="F5508">
        <v>3</v>
      </c>
      <c r="G5508" t="s">
        <v>498</v>
      </c>
      <c r="H5508" s="4">
        <v>10982257</v>
      </c>
      <c r="I5508" s="4">
        <v>12810221</v>
      </c>
      <c r="J5508" s="3">
        <v>0.16644702450507215</v>
      </c>
      <c r="K5508" s="3">
        <v>-0.14269574271981725</v>
      </c>
      <c r="L5508" t="s">
        <v>377</v>
      </c>
    </row>
    <row r="5509" spans="1:12" x14ac:dyDescent="0.25">
      <c r="A5509" t="s">
        <v>487</v>
      </c>
      <c r="B5509" t="s">
        <v>465</v>
      </c>
      <c r="C5509" t="s">
        <v>478</v>
      </c>
      <c r="D5509" t="s">
        <v>370</v>
      </c>
      <c r="E5509" t="s">
        <v>376</v>
      </c>
      <c r="F5509">
        <v>3</v>
      </c>
      <c r="G5509" t="s">
        <v>499</v>
      </c>
      <c r="H5509" s="4">
        <v>10982257</v>
      </c>
      <c r="I5509" s="4">
        <v>12374566</v>
      </c>
      <c r="J5509" s="3">
        <v>0.1267780384305339</v>
      </c>
      <c r="K5509" s="3">
        <v>-0.11251376411908103</v>
      </c>
      <c r="L5509" t="s">
        <v>377</v>
      </c>
    </row>
    <row r="5510" spans="1:12" x14ac:dyDescent="0.25">
      <c r="A5510" t="s">
        <v>487</v>
      </c>
      <c r="B5510" t="s">
        <v>465</v>
      </c>
      <c r="C5510" t="s">
        <v>478</v>
      </c>
      <c r="D5510" t="s">
        <v>372</v>
      </c>
      <c r="E5510" t="s">
        <v>374</v>
      </c>
      <c r="F5510">
        <v>1</v>
      </c>
      <c r="G5510" t="s">
        <v>488</v>
      </c>
      <c r="H5510" s="4">
        <v>12726545</v>
      </c>
      <c r="I5510" s="4">
        <v>15209730.378108568</v>
      </c>
      <c r="J5510" s="3">
        <v>0.1951185791672892</v>
      </c>
      <c r="K5510" s="3">
        <v>-0.1632629452579007</v>
      </c>
      <c r="L5510" t="s">
        <v>54</v>
      </c>
    </row>
    <row r="5511" spans="1:12" x14ac:dyDescent="0.25">
      <c r="A5511" t="s">
        <v>487</v>
      </c>
      <c r="B5511" t="s">
        <v>465</v>
      </c>
      <c r="C5511" t="s">
        <v>478</v>
      </c>
      <c r="D5511" t="s">
        <v>372</v>
      </c>
      <c r="E5511" t="s">
        <v>374</v>
      </c>
      <c r="F5511">
        <v>1</v>
      </c>
      <c r="G5511" t="s">
        <v>498</v>
      </c>
      <c r="H5511" s="4">
        <v>12726545</v>
      </c>
      <c r="I5511" s="4">
        <v>18207450</v>
      </c>
      <c r="J5511" s="3">
        <v>0.4306671606472927</v>
      </c>
      <c r="K5511" s="3">
        <v>-0.3010254044360962</v>
      </c>
      <c r="L5511" t="s">
        <v>54</v>
      </c>
    </row>
    <row r="5512" spans="1:12" x14ac:dyDescent="0.25">
      <c r="A5512" t="s">
        <v>487</v>
      </c>
      <c r="B5512" t="s">
        <v>465</v>
      </c>
      <c r="C5512" t="s">
        <v>478</v>
      </c>
      <c r="D5512" t="s">
        <v>372</v>
      </c>
      <c r="E5512" t="s">
        <v>374</v>
      </c>
      <c r="F5512">
        <v>1</v>
      </c>
      <c r="G5512" t="s">
        <v>499</v>
      </c>
      <c r="H5512" s="4">
        <v>12726545</v>
      </c>
      <c r="I5512" s="4">
        <v>13839413</v>
      </c>
      <c r="J5512" s="3">
        <v>0.08744462853036704</v>
      </c>
      <c r="K5512" s="3">
        <v>-0.08041294815032979</v>
      </c>
      <c r="L5512" t="s">
        <v>54</v>
      </c>
    </row>
    <row r="5513" spans="1:12" x14ac:dyDescent="0.25">
      <c r="A5513" t="s">
        <v>487</v>
      </c>
      <c r="B5513" t="s">
        <v>465</v>
      </c>
      <c r="C5513" t="s">
        <v>478</v>
      </c>
      <c r="D5513" t="s">
        <v>372</v>
      </c>
      <c r="E5513" t="s">
        <v>376</v>
      </c>
      <c r="F5513">
        <v>2</v>
      </c>
      <c r="G5513" t="s">
        <v>488</v>
      </c>
      <c r="H5513" s="4">
        <v>10982257</v>
      </c>
      <c r="I5513" s="4">
        <v>10701114.515980234</v>
      </c>
      <c r="J5513" s="3">
        <v>0.025599699954186615</v>
      </c>
      <c r="K5513" s="3">
        <v>0.026272261977939654</v>
      </c>
      <c r="L5513" t="s">
        <v>377</v>
      </c>
    </row>
    <row r="5514" spans="1:12" x14ac:dyDescent="0.25">
      <c r="A5514" t="s">
        <v>487</v>
      </c>
      <c r="B5514" t="s">
        <v>465</v>
      </c>
      <c r="C5514" t="s">
        <v>478</v>
      </c>
      <c r="D5514" t="s">
        <v>372</v>
      </c>
      <c r="E5514" t="s">
        <v>376</v>
      </c>
      <c r="F5514">
        <v>2</v>
      </c>
      <c r="G5514" t="s">
        <v>498</v>
      </c>
      <c r="H5514" s="4">
        <v>10982257</v>
      </c>
      <c r="I5514" s="4">
        <v>12810221</v>
      </c>
      <c r="J5514" s="3">
        <v>0.16644702450507215</v>
      </c>
      <c r="K5514" s="3">
        <v>-0.14269574271981725</v>
      </c>
      <c r="L5514" t="s">
        <v>377</v>
      </c>
    </row>
    <row r="5515" spans="1:12" x14ac:dyDescent="0.25">
      <c r="A5515" t="s">
        <v>487</v>
      </c>
      <c r="B5515" t="s">
        <v>465</v>
      </c>
      <c r="C5515" t="s">
        <v>478</v>
      </c>
      <c r="D5515" t="s">
        <v>372</v>
      </c>
      <c r="E5515" t="s">
        <v>376</v>
      </c>
      <c r="F5515">
        <v>2</v>
      </c>
      <c r="G5515" t="s">
        <v>499</v>
      </c>
      <c r="H5515" s="4">
        <v>10982257</v>
      </c>
      <c r="I5515" s="4">
        <v>13839413</v>
      </c>
      <c r="J5515" s="3">
        <v>0.2601610943907068</v>
      </c>
      <c r="K5515" s="3">
        <v>-0.2064506637673144</v>
      </c>
      <c r="L5515" t="s">
        <v>377</v>
      </c>
    </row>
    <row r="5516" spans="1:12" x14ac:dyDescent="0.25">
      <c r="A5516" t="s">
        <v>487</v>
      </c>
      <c r="B5516" t="s">
        <v>465</v>
      </c>
      <c r="C5516" t="s">
        <v>478</v>
      </c>
      <c r="D5516" t="s">
        <v>372</v>
      </c>
      <c r="E5516" t="s">
        <v>379</v>
      </c>
      <c r="F5516">
        <v>3</v>
      </c>
      <c r="G5516" t="s">
        <v>488</v>
      </c>
      <c r="H5516" s="4">
        <v>10551442</v>
      </c>
      <c r="I5516" s="4">
        <v>9977941.329346165</v>
      </c>
      <c r="J5516" s="3">
        <v>0.05435282406460036</v>
      </c>
      <c r="K5516" s="3">
        <v>0.05747685336323934</v>
      </c>
      <c r="L5516" t="s">
        <v>377</v>
      </c>
    </row>
    <row r="5517" spans="1:12" x14ac:dyDescent="0.25">
      <c r="A5517" t="s">
        <v>487</v>
      </c>
      <c r="B5517" t="s">
        <v>465</v>
      </c>
      <c r="C5517" t="s">
        <v>478</v>
      </c>
      <c r="D5517" t="s">
        <v>372</v>
      </c>
      <c r="E5517" t="s">
        <v>379</v>
      </c>
      <c r="F5517">
        <v>3</v>
      </c>
      <c r="G5517" t="s">
        <v>498</v>
      </c>
      <c r="H5517" s="4">
        <v>10551442</v>
      </c>
      <c r="I5517" s="4">
        <v>11944516</v>
      </c>
      <c r="J5517" s="3">
        <v>0.13202688315018932</v>
      </c>
      <c r="K5517" s="3">
        <v>-0.11662875247519447</v>
      </c>
      <c r="L5517" t="s">
        <v>377</v>
      </c>
    </row>
    <row r="5518" spans="1:12" x14ac:dyDescent="0.25">
      <c r="A5518" t="s">
        <v>487</v>
      </c>
      <c r="B5518" t="s">
        <v>465</v>
      </c>
      <c r="C5518" t="s">
        <v>478</v>
      </c>
      <c r="D5518" t="s">
        <v>372</v>
      </c>
      <c r="E5518" t="s">
        <v>379</v>
      </c>
      <c r="F5518">
        <v>3</v>
      </c>
      <c r="G5518" t="s">
        <v>499</v>
      </c>
      <c r="H5518" s="4">
        <v>10551442</v>
      </c>
      <c r="I5518" s="4">
        <v>13839413</v>
      </c>
      <c r="J5518" s="3">
        <v>0.31161342686620463</v>
      </c>
      <c r="K5518" s="3">
        <v>-0.2375802355201048</v>
      </c>
      <c r="L5518" t="s">
        <v>377</v>
      </c>
    </row>
    <row r="5519" spans="1:12" x14ac:dyDescent="0.25">
      <c r="A5519" t="s">
        <v>487</v>
      </c>
      <c r="B5519" t="s">
        <v>465</v>
      </c>
      <c r="C5519" t="s">
        <v>478</v>
      </c>
      <c r="D5519" t="s">
        <v>374</v>
      </c>
      <c r="E5519" t="s">
        <v>376</v>
      </c>
      <c r="F5519">
        <v>1</v>
      </c>
      <c r="G5519" t="s">
        <v>488</v>
      </c>
      <c r="H5519" s="4">
        <v>10982257</v>
      </c>
      <c r="I5519" s="4">
        <v>10489903.80313415</v>
      </c>
      <c r="J5519" s="3">
        <v>0.04483169505738658</v>
      </c>
      <c r="K5519" s="3">
        <v>0.04693591153035598</v>
      </c>
      <c r="L5519" t="s">
        <v>377</v>
      </c>
    </row>
    <row r="5520" spans="1:12" x14ac:dyDescent="0.25">
      <c r="A5520" t="s">
        <v>487</v>
      </c>
      <c r="B5520" t="s">
        <v>465</v>
      </c>
      <c r="C5520" t="s">
        <v>478</v>
      </c>
      <c r="D5520" t="s">
        <v>374</v>
      </c>
      <c r="E5520" t="s">
        <v>376</v>
      </c>
      <c r="F5520">
        <v>1</v>
      </c>
      <c r="G5520" t="s">
        <v>498</v>
      </c>
      <c r="H5520" s="4">
        <v>10982257</v>
      </c>
      <c r="I5520" s="4">
        <v>12810221</v>
      </c>
      <c r="J5520" s="3">
        <v>0.16644702450507215</v>
      </c>
      <c r="K5520" s="3">
        <v>-0.14269574271981725</v>
      </c>
      <c r="L5520" t="s">
        <v>377</v>
      </c>
    </row>
    <row r="5521" spans="1:12" x14ac:dyDescent="0.25">
      <c r="A5521" t="s">
        <v>487</v>
      </c>
      <c r="B5521" t="s">
        <v>465</v>
      </c>
      <c r="C5521" t="s">
        <v>478</v>
      </c>
      <c r="D5521" t="s">
        <v>374</v>
      </c>
      <c r="E5521" t="s">
        <v>376</v>
      </c>
      <c r="F5521">
        <v>1</v>
      </c>
      <c r="G5521" t="s">
        <v>499</v>
      </c>
      <c r="H5521" s="4">
        <v>10982257</v>
      </c>
      <c r="I5521" s="4">
        <v>12726545</v>
      </c>
      <c r="J5521" s="3">
        <v>0.15882782564640402</v>
      </c>
      <c r="K5521" s="3">
        <v>-0.13705903683992787</v>
      </c>
      <c r="L5521" t="s">
        <v>377</v>
      </c>
    </row>
    <row r="5522" spans="1:12" x14ac:dyDescent="0.25">
      <c r="A5522" t="s">
        <v>487</v>
      </c>
      <c r="B5522" t="s">
        <v>465</v>
      </c>
      <c r="C5522" t="s">
        <v>478</v>
      </c>
      <c r="D5522" t="s">
        <v>374</v>
      </c>
      <c r="E5522" t="s">
        <v>379</v>
      </c>
      <c r="F5522">
        <v>2</v>
      </c>
      <c r="G5522" t="s">
        <v>488</v>
      </c>
      <c r="H5522" s="4">
        <v>10551442</v>
      </c>
      <c r="I5522" s="4">
        <v>9781004.075963771</v>
      </c>
      <c r="J5522" s="3">
        <v>0.07301731119180005</v>
      </c>
      <c r="K5522" s="3">
        <v>0.07876879695097294</v>
      </c>
      <c r="L5522" t="s">
        <v>377</v>
      </c>
    </row>
    <row r="5523" spans="1:12" x14ac:dyDescent="0.25">
      <c r="A5523" t="s">
        <v>487</v>
      </c>
      <c r="B5523" t="s">
        <v>465</v>
      </c>
      <c r="C5523" t="s">
        <v>478</v>
      </c>
      <c r="D5523" t="s">
        <v>374</v>
      </c>
      <c r="E5523" t="s">
        <v>379</v>
      </c>
      <c r="F5523">
        <v>2</v>
      </c>
      <c r="G5523" t="s">
        <v>498</v>
      </c>
      <c r="H5523" s="4">
        <v>10551442</v>
      </c>
      <c r="I5523" s="4">
        <v>11944516</v>
      </c>
      <c r="J5523" s="3">
        <v>0.13202688315018932</v>
      </c>
      <c r="K5523" s="3">
        <v>-0.11662875247519447</v>
      </c>
      <c r="L5523" t="s">
        <v>377</v>
      </c>
    </row>
    <row r="5524" spans="1:12" x14ac:dyDescent="0.25">
      <c r="A5524" t="s">
        <v>487</v>
      </c>
      <c r="B5524" t="s">
        <v>465</v>
      </c>
      <c r="C5524" t="s">
        <v>478</v>
      </c>
      <c r="D5524" t="s">
        <v>374</v>
      </c>
      <c r="E5524" t="s">
        <v>379</v>
      </c>
      <c r="F5524">
        <v>2</v>
      </c>
      <c r="G5524" t="s">
        <v>499</v>
      </c>
      <c r="H5524" s="4">
        <v>10551442</v>
      </c>
      <c r="I5524" s="4">
        <v>12726545</v>
      </c>
      <c r="J5524" s="3">
        <v>0.20614272437833617</v>
      </c>
      <c r="K5524" s="3">
        <v>-0.17091072243095043</v>
      </c>
      <c r="L5524" t="s">
        <v>377</v>
      </c>
    </row>
    <row r="5525" spans="1:12" x14ac:dyDescent="0.25">
      <c r="A5525" t="s">
        <v>487</v>
      </c>
      <c r="B5525" t="s">
        <v>465</v>
      </c>
      <c r="C5525" t="s">
        <v>478</v>
      </c>
      <c r="D5525" t="s">
        <v>374</v>
      </c>
      <c r="E5525" t="s">
        <v>381</v>
      </c>
      <c r="F5525">
        <v>3</v>
      </c>
      <c r="G5525" t="s">
        <v>488</v>
      </c>
      <c r="H5525" s="4">
        <v>11108586</v>
      </c>
      <c r="I5525" s="4">
        <v>11611875.87732029</v>
      </c>
      <c r="J5525" s="3">
        <v>0.0453063852879466</v>
      </c>
      <c r="K5525" s="3">
        <v>-0.04334268490617344</v>
      </c>
      <c r="L5525" t="s">
        <v>377</v>
      </c>
    </row>
    <row r="5526" spans="1:12" x14ac:dyDescent="0.25">
      <c r="A5526" t="s">
        <v>487</v>
      </c>
      <c r="B5526" t="s">
        <v>465</v>
      </c>
      <c r="C5526" t="s">
        <v>478</v>
      </c>
      <c r="D5526" t="s">
        <v>374</v>
      </c>
      <c r="E5526" t="s">
        <v>381</v>
      </c>
      <c r="F5526">
        <v>3</v>
      </c>
      <c r="G5526" t="s">
        <v>498</v>
      </c>
      <c r="H5526" s="4">
        <v>11108586</v>
      </c>
      <c r="I5526" s="4">
        <v>14180368</v>
      </c>
      <c r="J5526" s="3">
        <v>0.27652322266758345</v>
      </c>
      <c r="K5526" s="3">
        <v>-0.2166221638253676</v>
      </c>
      <c r="L5526" t="s">
        <v>377</v>
      </c>
    </row>
    <row r="5527" spans="1:12" x14ac:dyDescent="0.25">
      <c r="A5527" t="s">
        <v>487</v>
      </c>
      <c r="B5527" t="s">
        <v>465</v>
      </c>
      <c r="C5527" t="s">
        <v>478</v>
      </c>
      <c r="D5527" t="s">
        <v>374</v>
      </c>
      <c r="E5527" t="s">
        <v>381</v>
      </c>
      <c r="F5527">
        <v>3</v>
      </c>
      <c r="G5527" t="s">
        <v>499</v>
      </c>
      <c r="H5527" s="4">
        <v>11108586</v>
      </c>
      <c r="I5527" s="4">
        <v>12726545</v>
      </c>
      <c r="J5527" s="3">
        <v>0.14564941028498135</v>
      </c>
      <c r="K5527" s="3">
        <v>-0.12713261926155134</v>
      </c>
      <c r="L5527" t="s">
        <v>377</v>
      </c>
    </row>
    <row r="5528" spans="1:12" x14ac:dyDescent="0.25">
      <c r="A5528" t="s">
        <v>487</v>
      </c>
      <c r="B5528" t="s">
        <v>465</v>
      </c>
      <c r="C5528" t="s">
        <v>478</v>
      </c>
      <c r="D5528" t="s">
        <v>376</v>
      </c>
      <c r="E5528" t="s">
        <v>379</v>
      </c>
      <c r="F5528">
        <v>1</v>
      </c>
      <c r="G5528" t="s">
        <v>488</v>
      </c>
      <c r="H5528" s="4">
        <v>10551442</v>
      </c>
      <c r="I5528" s="4">
        <v>9910953.418279344</v>
      </c>
      <c r="J5528" s="3">
        <v>0.06070152133904122</v>
      </c>
      <c r="K5528" s="3">
        <v>0.06462431561219587</v>
      </c>
      <c r="L5528" t="s">
        <v>377</v>
      </c>
    </row>
    <row r="5529" spans="1:12" x14ac:dyDescent="0.25">
      <c r="A5529" t="s">
        <v>487</v>
      </c>
      <c r="B5529" t="s">
        <v>465</v>
      </c>
      <c r="C5529" t="s">
        <v>478</v>
      </c>
      <c r="D5529" t="s">
        <v>376</v>
      </c>
      <c r="E5529" t="s">
        <v>379</v>
      </c>
      <c r="F5529">
        <v>1</v>
      </c>
      <c r="G5529" t="s">
        <v>498</v>
      </c>
      <c r="H5529" s="4">
        <v>10551442</v>
      </c>
      <c r="I5529" s="4">
        <v>11944516</v>
      </c>
      <c r="J5529" s="3">
        <v>0.13202688315018932</v>
      </c>
      <c r="K5529" s="3">
        <v>-0.11662875247519447</v>
      </c>
      <c r="L5529" t="s">
        <v>377</v>
      </c>
    </row>
    <row r="5530" spans="1:12" x14ac:dyDescent="0.25">
      <c r="A5530" t="s">
        <v>487</v>
      </c>
      <c r="B5530" t="s">
        <v>465</v>
      </c>
      <c r="C5530" t="s">
        <v>478</v>
      </c>
      <c r="D5530" t="s">
        <v>376</v>
      </c>
      <c r="E5530" t="s">
        <v>379</v>
      </c>
      <c r="F5530">
        <v>1</v>
      </c>
      <c r="G5530" t="s">
        <v>499</v>
      </c>
      <c r="H5530" s="4">
        <v>10551442</v>
      </c>
      <c r="I5530" s="4">
        <v>10982257</v>
      </c>
      <c r="J5530" s="3">
        <v>0.040829964283554794</v>
      </c>
      <c r="K5530" s="3">
        <v>-0.03922827520791036</v>
      </c>
      <c r="L5530" t="s">
        <v>377</v>
      </c>
    </row>
    <row r="5531" spans="1:12" x14ac:dyDescent="0.25">
      <c r="A5531" t="s">
        <v>487</v>
      </c>
      <c r="B5531" t="s">
        <v>465</v>
      </c>
      <c r="C5531" t="s">
        <v>478</v>
      </c>
      <c r="D5531" t="s">
        <v>376</v>
      </c>
      <c r="E5531" t="s">
        <v>381</v>
      </c>
      <c r="F5531">
        <v>2</v>
      </c>
      <c r="G5531" t="s">
        <v>488</v>
      </c>
      <c r="H5531" s="4">
        <v>11108586</v>
      </c>
      <c r="I5531" s="4">
        <v>11766149.980632035</v>
      </c>
      <c r="J5531" s="3">
        <v>0.05919421073321439</v>
      </c>
      <c r="K5531" s="3">
        <v>-0.055886078429599716</v>
      </c>
      <c r="L5531" t="s">
        <v>377</v>
      </c>
    </row>
    <row r="5532" spans="1:12" x14ac:dyDescent="0.25">
      <c r="A5532" t="s">
        <v>487</v>
      </c>
      <c r="B5532" t="s">
        <v>465</v>
      </c>
      <c r="C5532" t="s">
        <v>478</v>
      </c>
      <c r="D5532" t="s">
        <v>376</v>
      </c>
      <c r="E5532" t="s">
        <v>381</v>
      </c>
      <c r="F5532">
        <v>2</v>
      </c>
      <c r="G5532" t="s">
        <v>498</v>
      </c>
      <c r="H5532" s="4">
        <v>11108586</v>
      </c>
      <c r="I5532" s="4">
        <v>14180368</v>
      </c>
      <c r="J5532" s="3">
        <v>0.27652322266758345</v>
      </c>
      <c r="K5532" s="3">
        <v>-0.2166221638253676</v>
      </c>
      <c r="L5532" t="s">
        <v>377</v>
      </c>
    </row>
    <row r="5533" spans="1:12" x14ac:dyDescent="0.25">
      <c r="A5533" t="s">
        <v>487</v>
      </c>
      <c r="B5533" t="s">
        <v>465</v>
      </c>
      <c r="C5533" t="s">
        <v>478</v>
      </c>
      <c r="D5533" t="s">
        <v>376</v>
      </c>
      <c r="E5533" t="s">
        <v>381</v>
      </c>
      <c r="F5533">
        <v>2</v>
      </c>
      <c r="G5533" t="s">
        <v>499</v>
      </c>
      <c r="H5533" s="4">
        <v>11108586</v>
      </c>
      <c r="I5533" s="4">
        <v>10982257</v>
      </c>
      <c r="J5533" s="3">
        <v>0.01137219444490955</v>
      </c>
      <c r="K5533" s="3">
        <v>0.011503008898808323</v>
      </c>
      <c r="L5533" t="s">
        <v>377</v>
      </c>
    </row>
    <row r="5534" spans="1:12" x14ac:dyDescent="0.25">
      <c r="A5534" t="s">
        <v>487</v>
      </c>
      <c r="B5534" t="s">
        <v>465</v>
      </c>
      <c r="C5534" t="s">
        <v>478</v>
      </c>
      <c r="D5534" t="s">
        <v>376</v>
      </c>
      <c r="E5534" t="s">
        <v>383</v>
      </c>
      <c r="F5534">
        <v>3</v>
      </c>
      <c r="G5534" t="s">
        <v>488</v>
      </c>
      <c r="H5534" s="4">
        <v>12850940</v>
      </c>
      <c r="I5534" s="4">
        <v>10612029.319298664</v>
      </c>
      <c r="J5534" s="3">
        <v>0.1742215496065919</v>
      </c>
      <c r="K5534" s="3">
        <v>0.2109785615301431</v>
      </c>
      <c r="L5534" t="s">
        <v>377</v>
      </c>
    </row>
    <row r="5535" spans="1:12" x14ac:dyDescent="0.25">
      <c r="A5535" t="s">
        <v>487</v>
      </c>
      <c r="B5535" t="s">
        <v>465</v>
      </c>
      <c r="C5535" t="s">
        <v>478</v>
      </c>
      <c r="D5535" t="s">
        <v>376</v>
      </c>
      <c r="E5535" t="s">
        <v>383</v>
      </c>
      <c r="F5535">
        <v>3</v>
      </c>
      <c r="G5535" t="s">
        <v>498</v>
      </c>
      <c r="H5535" s="4">
        <v>12850940</v>
      </c>
      <c r="I5535" s="4">
        <v>12789441</v>
      </c>
      <c r="J5535" s="3">
        <v>0.004785564324477431</v>
      </c>
      <c r="K5535" s="3">
        <v>0.004808576074591532</v>
      </c>
      <c r="L5535" t="s">
        <v>377</v>
      </c>
    </row>
    <row r="5536" spans="1:12" x14ac:dyDescent="0.25">
      <c r="A5536" t="s">
        <v>487</v>
      </c>
      <c r="B5536" t="s">
        <v>465</v>
      </c>
      <c r="C5536" t="s">
        <v>478</v>
      </c>
      <c r="D5536" t="s">
        <v>376</v>
      </c>
      <c r="E5536" t="s">
        <v>383</v>
      </c>
      <c r="F5536">
        <v>3</v>
      </c>
      <c r="G5536" t="s">
        <v>499</v>
      </c>
      <c r="H5536" s="4">
        <v>12850940</v>
      </c>
      <c r="I5536" s="4">
        <v>10982257</v>
      </c>
      <c r="J5536" s="3">
        <v>0.1454121644019815</v>
      </c>
      <c r="K5536" s="3">
        <v>0.17015473231048955</v>
      </c>
      <c r="L5536" t="s">
        <v>377</v>
      </c>
    </row>
    <row r="5537" spans="1:12" x14ac:dyDescent="0.25">
      <c r="A5537" t="s">
        <v>487</v>
      </c>
      <c r="B5537" t="s">
        <v>465</v>
      </c>
      <c r="C5537" t="s">
        <v>478</v>
      </c>
      <c r="D5537" t="s">
        <v>379</v>
      </c>
      <c r="E5537" t="s">
        <v>381</v>
      </c>
      <c r="F5537">
        <v>1</v>
      </c>
      <c r="G5537" t="s">
        <v>488</v>
      </c>
      <c r="H5537" s="4">
        <v>11108586</v>
      </c>
      <c r="I5537" s="4">
        <v>11718870.21521952</v>
      </c>
      <c r="J5537" s="3">
        <v>0.05493806459431651</v>
      </c>
      <c r="K5537" s="3">
        <v>-0.052077052139969285</v>
      </c>
      <c r="L5537" t="s">
        <v>377</v>
      </c>
    </row>
    <row r="5538" spans="1:12" x14ac:dyDescent="0.25">
      <c r="A5538" t="s">
        <v>487</v>
      </c>
      <c r="B5538" t="s">
        <v>465</v>
      </c>
      <c r="C5538" t="s">
        <v>478</v>
      </c>
      <c r="D5538" t="s">
        <v>379</v>
      </c>
      <c r="E5538" t="s">
        <v>381</v>
      </c>
      <c r="F5538">
        <v>1</v>
      </c>
      <c r="G5538" t="s">
        <v>498</v>
      </c>
      <c r="H5538" s="4">
        <v>11108586</v>
      </c>
      <c r="I5538" s="4">
        <v>14180368</v>
      </c>
      <c r="J5538" s="3">
        <v>0.27652322266758345</v>
      </c>
      <c r="K5538" s="3">
        <v>-0.2166221638253676</v>
      </c>
      <c r="L5538" t="s">
        <v>377</v>
      </c>
    </row>
    <row r="5539" spans="1:12" x14ac:dyDescent="0.25">
      <c r="A5539" t="s">
        <v>487</v>
      </c>
      <c r="B5539" t="s">
        <v>465</v>
      </c>
      <c r="C5539" t="s">
        <v>478</v>
      </c>
      <c r="D5539" t="s">
        <v>379</v>
      </c>
      <c r="E5539" t="s">
        <v>381</v>
      </c>
      <c r="F5539">
        <v>1</v>
      </c>
      <c r="G5539" t="s">
        <v>499</v>
      </c>
      <c r="H5539" s="4">
        <v>11108586</v>
      </c>
      <c r="I5539" s="4">
        <v>10551442</v>
      </c>
      <c r="J5539" s="3">
        <v>0.05015435807941713</v>
      </c>
      <c r="K5539" s="3">
        <v>0.05280264062485488</v>
      </c>
      <c r="L5539" t="s">
        <v>377</v>
      </c>
    </row>
    <row r="5540" spans="1:12" x14ac:dyDescent="0.25">
      <c r="A5540" t="s">
        <v>487</v>
      </c>
      <c r="B5540" t="s">
        <v>465</v>
      </c>
      <c r="C5540" t="s">
        <v>478</v>
      </c>
      <c r="D5540" t="s">
        <v>379</v>
      </c>
      <c r="E5540" t="s">
        <v>383</v>
      </c>
      <c r="F5540">
        <v>2</v>
      </c>
      <c r="G5540" t="s">
        <v>488</v>
      </c>
      <c r="H5540" s="4">
        <v>12850940</v>
      </c>
      <c r="I5540" s="4">
        <v>10569387.141730549</v>
      </c>
      <c r="J5540" s="3">
        <v>0.17753976427167595</v>
      </c>
      <c r="K5540" s="3">
        <v>0.21586425283461494</v>
      </c>
      <c r="L5540" t="s">
        <v>377</v>
      </c>
    </row>
    <row r="5541" spans="1:12" x14ac:dyDescent="0.25">
      <c r="A5541" t="s">
        <v>487</v>
      </c>
      <c r="B5541" t="s">
        <v>465</v>
      </c>
      <c r="C5541" t="s">
        <v>478</v>
      </c>
      <c r="D5541" t="s">
        <v>379</v>
      </c>
      <c r="E5541" t="s">
        <v>383</v>
      </c>
      <c r="F5541">
        <v>2</v>
      </c>
      <c r="G5541" t="s">
        <v>498</v>
      </c>
      <c r="H5541" s="4">
        <v>12850940</v>
      </c>
      <c r="I5541" s="4">
        <v>12789441</v>
      </c>
      <c r="J5541" s="3">
        <v>0.004785564324477431</v>
      </c>
      <c r="K5541" s="3">
        <v>0.004808576074591532</v>
      </c>
      <c r="L5541" t="s">
        <v>377</v>
      </c>
    </row>
    <row r="5542" spans="1:12" x14ac:dyDescent="0.25">
      <c r="A5542" t="s">
        <v>487</v>
      </c>
      <c r="B5542" t="s">
        <v>465</v>
      </c>
      <c r="C5542" t="s">
        <v>478</v>
      </c>
      <c r="D5542" t="s">
        <v>379</v>
      </c>
      <c r="E5542" t="s">
        <v>383</v>
      </c>
      <c r="F5542">
        <v>2</v>
      </c>
      <c r="G5542" t="s">
        <v>499</v>
      </c>
      <c r="H5542" s="4">
        <v>12850940</v>
      </c>
      <c r="I5542" s="4">
        <v>10551442</v>
      </c>
      <c r="J5542" s="3">
        <v>0.17893617120615302</v>
      </c>
      <c r="K5542" s="3">
        <v>0.21793210823695947</v>
      </c>
      <c r="L5542" t="s">
        <v>377</v>
      </c>
    </row>
    <row r="5543" spans="1:12" x14ac:dyDescent="0.25">
      <c r="A5543" t="s">
        <v>487</v>
      </c>
      <c r="B5543" t="s">
        <v>465</v>
      </c>
      <c r="C5543" t="s">
        <v>478</v>
      </c>
      <c r="D5543" t="s">
        <v>379</v>
      </c>
      <c r="E5543" t="s">
        <v>385</v>
      </c>
      <c r="F5543">
        <v>3</v>
      </c>
      <c r="G5543" t="s">
        <v>488</v>
      </c>
      <c r="H5543" s="4">
        <v>12889279</v>
      </c>
      <c r="I5543" s="4">
        <v>10454522.054382056</v>
      </c>
      <c r="J5543" s="3">
        <v>0.18889783870904991</v>
      </c>
      <c r="K5543" s="3">
        <v>0.23289031607115943</v>
      </c>
      <c r="L5543" t="s">
        <v>377</v>
      </c>
    </row>
    <row r="5544" spans="1:12" x14ac:dyDescent="0.25">
      <c r="A5544" t="s">
        <v>487</v>
      </c>
      <c r="B5544" t="s">
        <v>465</v>
      </c>
      <c r="C5544" t="s">
        <v>478</v>
      </c>
      <c r="D5544" t="s">
        <v>379</v>
      </c>
      <c r="E5544" t="s">
        <v>385</v>
      </c>
      <c r="F5544">
        <v>3</v>
      </c>
      <c r="G5544" t="s">
        <v>498</v>
      </c>
      <c r="H5544" s="4">
        <v>12889279</v>
      </c>
      <c r="I5544" s="4">
        <v>12650449</v>
      </c>
      <c r="J5544" s="3">
        <v>0.018529352960704785</v>
      </c>
      <c r="K5544" s="3">
        <v>0.0188791717985662</v>
      </c>
      <c r="L5544" t="s">
        <v>377</v>
      </c>
    </row>
    <row r="5545" spans="1:12" x14ac:dyDescent="0.25">
      <c r="A5545" t="s">
        <v>487</v>
      </c>
      <c r="B5545" t="s">
        <v>465</v>
      </c>
      <c r="C5545" t="s">
        <v>478</v>
      </c>
      <c r="D5545" t="s">
        <v>379</v>
      </c>
      <c r="E5545" t="s">
        <v>385</v>
      </c>
      <c r="F5545">
        <v>3</v>
      </c>
      <c r="G5545" t="s">
        <v>499</v>
      </c>
      <c r="H5545" s="4">
        <v>12889279</v>
      </c>
      <c r="I5545" s="4">
        <v>10551442</v>
      </c>
      <c r="J5545" s="3">
        <v>0.18137841534813545</v>
      </c>
      <c r="K5545" s="3">
        <v>0.22156564003289786</v>
      </c>
      <c r="L5545" t="s">
        <v>377</v>
      </c>
    </row>
    <row r="5546" spans="1:12" x14ac:dyDescent="0.25">
      <c r="A5546" t="s">
        <v>487</v>
      </c>
      <c r="B5546" t="s">
        <v>465</v>
      </c>
      <c r="C5546" t="s">
        <v>478</v>
      </c>
      <c r="D5546" t="s">
        <v>381</v>
      </c>
      <c r="E5546" t="s">
        <v>383</v>
      </c>
      <c r="F5546">
        <v>1</v>
      </c>
      <c r="G5546" t="s">
        <v>488</v>
      </c>
      <c r="H5546" s="4">
        <v>12850940</v>
      </c>
      <c r="I5546" s="4">
        <v>10486649.595247656</v>
      </c>
      <c r="J5546" s="3">
        <v>0.18397801287317067</v>
      </c>
      <c r="K5546" s="3">
        <v>0.2254571761245645</v>
      </c>
      <c r="L5546" t="s">
        <v>377</v>
      </c>
    </row>
    <row r="5547" spans="1:12" x14ac:dyDescent="0.25">
      <c r="A5547" t="s">
        <v>487</v>
      </c>
      <c r="B5547" t="s">
        <v>465</v>
      </c>
      <c r="C5547" t="s">
        <v>478</v>
      </c>
      <c r="D5547" t="s">
        <v>381</v>
      </c>
      <c r="E5547" t="s">
        <v>383</v>
      </c>
      <c r="F5547">
        <v>1</v>
      </c>
      <c r="G5547" t="s">
        <v>498</v>
      </c>
      <c r="H5547" s="4">
        <v>12850940</v>
      </c>
      <c r="I5547" s="4">
        <v>12789441</v>
      </c>
      <c r="J5547" s="3">
        <v>0.004785564324477431</v>
      </c>
      <c r="K5547" s="3">
        <v>0.004808576074591532</v>
      </c>
      <c r="L5547" t="s">
        <v>377</v>
      </c>
    </row>
    <row r="5548" spans="1:12" x14ac:dyDescent="0.25">
      <c r="A5548" t="s">
        <v>487</v>
      </c>
      <c r="B5548" t="s">
        <v>465</v>
      </c>
      <c r="C5548" t="s">
        <v>478</v>
      </c>
      <c r="D5548" t="s">
        <v>381</v>
      </c>
      <c r="E5548" t="s">
        <v>383</v>
      </c>
      <c r="F5548">
        <v>1</v>
      </c>
      <c r="G5548" t="s">
        <v>499</v>
      </c>
      <c r="H5548" s="4">
        <v>12850940</v>
      </c>
      <c r="I5548" s="4">
        <v>11108586</v>
      </c>
      <c r="J5548" s="3">
        <v>0.13558183292428413</v>
      </c>
      <c r="K5548" s="3">
        <v>0.15684750516402357</v>
      </c>
      <c r="L5548" t="s">
        <v>377</v>
      </c>
    </row>
    <row r="5549" spans="1:12" x14ac:dyDescent="0.25">
      <c r="A5549" t="s">
        <v>487</v>
      </c>
      <c r="B5549" t="s">
        <v>465</v>
      </c>
      <c r="C5549" t="s">
        <v>478</v>
      </c>
      <c r="D5549" t="s">
        <v>381</v>
      </c>
      <c r="E5549" t="s">
        <v>385</v>
      </c>
      <c r="F5549">
        <v>2</v>
      </c>
      <c r="G5549" t="s">
        <v>488</v>
      </c>
      <c r="H5549" s="4">
        <v>12889279</v>
      </c>
      <c r="I5549" s="4">
        <v>10372683.675975448</v>
      </c>
      <c r="J5549" s="3">
        <v>0.19524717589126223</v>
      </c>
      <c r="K5549" s="3">
        <v>0.24261757155993594</v>
      </c>
      <c r="L5549" t="s">
        <v>377</v>
      </c>
    </row>
    <row r="5550" spans="1:12" x14ac:dyDescent="0.25">
      <c r="A5550" t="s">
        <v>487</v>
      </c>
      <c r="B5550" t="s">
        <v>465</v>
      </c>
      <c r="C5550" t="s">
        <v>478</v>
      </c>
      <c r="D5550" t="s">
        <v>381</v>
      </c>
      <c r="E5550" t="s">
        <v>385</v>
      </c>
      <c r="F5550">
        <v>2</v>
      </c>
      <c r="G5550" t="s">
        <v>498</v>
      </c>
      <c r="H5550" s="4">
        <v>12889279</v>
      </c>
      <c r="I5550" s="4">
        <v>12650449</v>
      </c>
      <c r="J5550" s="3">
        <v>0.018529352960704785</v>
      </c>
      <c r="K5550" s="3">
        <v>0.0188791717985662</v>
      </c>
      <c r="L5550" t="s">
        <v>377</v>
      </c>
    </row>
    <row r="5551" spans="1:12" x14ac:dyDescent="0.25">
      <c r="A5551" t="s">
        <v>487</v>
      </c>
      <c r="B5551" t="s">
        <v>465</v>
      </c>
      <c r="C5551" t="s">
        <v>478</v>
      </c>
      <c r="D5551" t="s">
        <v>381</v>
      </c>
      <c r="E5551" t="s">
        <v>385</v>
      </c>
      <c r="F5551">
        <v>2</v>
      </c>
      <c r="G5551" t="s">
        <v>499</v>
      </c>
      <c r="H5551" s="4">
        <v>12889279</v>
      </c>
      <c r="I5551" s="4">
        <v>11108586</v>
      </c>
      <c r="J5551" s="3">
        <v>0.13815303400601384</v>
      </c>
      <c r="K5551" s="3">
        <v>0.16029879950517556</v>
      </c>
      <c r="L5551" t="s">
        <v>377</v>
      </c>
    </row>
    <row r="5552" spans="1:12" x14ac:dyDescent="0.25">
      <c r="A5552" t="s">
        <v>487</v>
      </c>
      <c r="B5552" t="s">
        <v>465</v>
      </c>
      <c r="C5552" t="s">
        <v>478</v>
      </c>
      <c r="D5552" t="s">
        <v>381</v>
      </c>
      <c r="E5552" t="s">
        <v>387</v>
      </c>
      <c r="F5552">
        <v>3</v>
      </c>
      <c r="G5552" t="s">
        <v>488</v>
      </c>
      <c r="H5552" s="4">
        <v>13367258</v>
      </c>
      <c r="I5552" s="4">
        <v>10601494.49651494</v>
      </c>
      <c r="J5552" s="3">
        <v>0.20690582193334334</v>
      </c>
      <c r="K5552" s="3">
        <v>0.2608843030946492</v>
      </c>
      <c r="L5552" t="s">
        <v>377</v>
      </c>
    </row>
    <row r="5553" spans="1:12" x14ac:dyDescent="0.25">
      <c r="A5553" t="s">
        <v>487</v>
      </c>
      <c r="B5553" t="s">
        <v>465</v>
      </c>
      <c r="C5553" t="s">
        <v>478</v>
      </c>
      <c r="D5553" t="s">
        <v>381</v>
      </c>
      <c r="E5553" t="s">
        <v>387</v>
      </c>
      <c r="F5553">
        <v>3</v>
      </c>
      <c r="G5553" t="s">
        <v>498</v>
      </c>
      <c r="H5553" s="4">
        <v>13367258</v>
      </c>
      <c r="I5553" s="4">
        <v>12929505</v>
      </c>
      <c r="J5553" s="3">
        <v>0.03274815223885108</v>
      </c>
      <c r="K5553" s="3">
        <v>0.0338569032611844</v>
      </c>
      <c r="L5553" t="s">
        <v>377</v>
      </c>
    </row>
    <row r="5554" spans="1:12" x14ac:dyDescent="0.25">
      <c r="A5554" t="s">
        <v>487</v>
      </c>
      <c r="B5554" t="s">
        <v>465</v>
      </c>
      <c r="C5554" t="s">
        <v>478</v>
      </c>
      <c r="D5554" t="s">
        <v>381</v>
      </c>
      <c r="E5554" t="s">
        <v>387</v>
      </c>
      <c r="F5554">
        <v>3</v>
      </c>
      <c r="G5554" t="s">
        <v>499</v>
      </c>
      <c r="H5554" s="4">
        <v>13367258</v>
      </c>
      <c r="I5554" s="4">
        <v>11108586</v>
      </c>
      <c r="J5554" s="3">
        <v>0.16897047995931552</v>
      </c>
      <c r="K5554" s="3">
        <v>0.20332668802312012</v>
      </c>
      <c r="L5554" t="s">
        <v>377</v>
      </c>
    </row>
    <row r="5555" spans="1:12" x14ac:dyDescent="0.25">
      <c r="A5555" t="s">
        <v>487</v>
      </c>
      <c r="B5555" t="s">
        <v>465</v>
      </c>
      <c r="C5555" t="s">
        <v>478</v>
      </c>
      <c r="D5555" t="s">
        <v>383</v>
      </c>
      <c r="E5555" t="s">
        <v>385</v>
      </c>
      <c r="F5555">
        <v>1</v>
      </c>
      <c r="G5555" t="s">
        <v>488</v>
      </c>
      <c r="H5555" s="4">
        <v>12889279</v>
      </c>
      <c r="I5555" s="4">
        <v>10461793.23064884</v>
      </c>
      <c r="J5555" s="3">
        <v>0.18833371279736905</v>
      </c>
      <c r="K5555" s="3">
        <v>0.23203343020005449</v>
      </c>
      <c r="L5555" t="s">
        <v>377</v>
      </c>
    </row>
    <row r="5556" spans="1:12" x14ac:dyDescent="0.25">
      <c r="A5556" t="s">
        <v>487</v>
      </c>
      <c r="B5556" t="s">
        <v>465</v>
      </c>
      <c r="C5556" t="s">
        <v>478</v>
      </c>
      <c r="D5556" t="s">
        <v>383</v>
      </c>
      <c r="E5556" t="s">
        <v>385</v>
      </c>
      <c r="F5556">
        <v>1</v>
      </c>
      <c r="G5556" t="s">
        <v>498</v>
      </c>
      <c r="H5556" s="4">
        <v>12889279</v>
      </c>
      <c r="I5556" s="4">
        <v>12650449</v>
      </c>
      <c r="J5556" s="3">
        <v>0.018529352960704785</v>
      </c>
      <c r="K5556" s="3">
        <v>0.0188791717985662</v>
      </c>
      <c r="L5556" t="s">
        <v>377</v>
      </c>
    </row>
    <row r="5557" spans="1:12" x14ac:dyDescent="0.25">
      <c r="A5557" t="s">
        <v>487</v>
      </c>
      <c r="B5557" t="s">
        <v>465</v>
      </c>
      <c r="C5557" t="s">
        <v>478</v>
      </c>
      <c r="D5557" t="s">
        <v>383</v>
      </c>
      <c r="E5557" t="s">
        <v>385</v>
      </c>
      <c r="F5557">
        <v>1</v>
      </c>
      <c r="G5557" t="s">
        <v>499</v>
      </c>
      <c r="H5557" s="4">
        <v>12889279</v>
      </c>
      <c r="I5557" s="4">
        <v>12850940</v>
      </c>
      <c r="J5557" s="3">
        <v>0.002974487556674039</v>
      </c>
      <c r="K5557" s="3">
        <v>0.0029833615284173766</v>
      </c>
      <c r="L5557" t="s">
        <v>377</v>
      </c>
    </row>
    <row r="5558" spans="1:12" x14ac:dyDescent="0.25">
      <c r="A5558" t="s">
        <v>487</v>
      </c>
      <c r="B5558" t="s">
        <v>465</v>
      </c>
      <c r="C5558" t="s">
        <v>478</v>
      </c>
      <c r="D5558" t="s">
        <v>383</v>
      </c>
      <c r="E5558" t="s">
        <v>387</v>
      </c>
      <c r="F5558">
        <v>2</v>
      </c>
      <c r="G5558" t="s">
        <v>488</v>
      </c>
      <c r="H5558" s="4">
        <v>13367258</v>
      </c>
      <c r="I5558" s="4">
        <v>10692569.717062242</v>
      </c>
      <c r="J5558" s="3">
        <v>0.20009251582768564</v>
      </c>
      <c r="K5558" s="3">
        <v>0.2501445726998376</v>
      </c>
      <c r="L5558" t="s">
        <v>377</v>
      </c>
    </row>
    <row r="5559" spans="1:12" x14ac:dyDescent="0.25">
      <c r="A5559" t="s">
        <v>487</v>
      </c>
      <c r="B5559" t="s">
        <v>465</v>
      </c>
      <c r="C5559" t="s">
        <v>478</v>
      </c>
      <c r="D5559" t="s">
        <v>383</v>
      </c>
      <c r="E5559" t="s">
        <v>387</v>
      </c>
      <c r="F5559">
        <v>2</v>
      </c>
      <c r="G5559" t="s">
        <v>498</v>
      </c>
      <c r="H5559" s="4">
        <v>13367258</v>
      </c>
      <c r="I5559" s="4">
        <v>12929505</v>
      </c>
      <c r="J5559" s="3">
        <v>0.03274815223885108</v>
      </c>
      <c r="K5559" s="3">
        <v>0.0338569032611844</v>
      </c>
      <c r="L5559" t="s">
        <v>377</v>
      </c>
    </row>
    <row r="5560" spans="1:12" x14ac:dyDescent="0.25">
      <c r="A5560" t="s">
        <v>487</v>
      </c>
      <c r="B5560" t="s">
        <v>465</v>
      </c>
      <c r="C5560" t="s">
        <v>478</v>
      </c>
      <c r="D5560" t="s">
        <v>383</v>
      </c>
      <c r="E5560" t="s">
        <v>387</v>
      </c>
      <c r="F5560">
        <v>2</v>
      </c>
      <c r="G5560" t="s">
        <v>499</v>
      </c>
      <c r="H5560" s="4">
        <v>13367258</v>
      </c>
      <c r="I5560" s="4">
        <v>12850940</v>
      </c>
      <c r="J5560" s="3">
        <v>0.03862557302327822</v>
      </c>
      <c r="K5560" s="3">
        <v>0.04017745005423728</v>
      </c>
      <c r="L5560" t="s">
        <v>377</v>
      </c>
    </row>
    <row r="5561" spans="1:12" x14ac:dyDescent="0.25">
      <c r="A5561" t="s">
        <v>487</v>
      </c>
      <c r="B5561" t="s">
        <v>465</v>
      </c>
      <c r="C5561" t="s">
        <v>478</v>
      </c>
      <c r="D5561" t="s">
        <v>383</v>
      </c>
      <c r="E5561" t="s">
        <v>389</v>
      </c>
      <c r="F5561">
        <v>3</v>
      </c>
      <c r="G5561" t="s">
        <v>488</v>
      </c>
      <c r="H5561" s="4">
        <v>16164195</v>
      </c>
      <c r="I5561" s="4">
        <v>11404862.711872442</v>
      </c>
      <c r="J5561" s="3">
        <v>0.29443670335129946</v>
      </c>
      <c r="K5561" s="3">
        <v>0.41730728447726967</v>
      </c>
      <c r="L5561" t="s">
        <v>377</v>
      </c>
    </row>
    <row r="5562" spans="1:12" x14ac:dyDescent="0.25">
      <c r="A5562" t="s">
        <v>487</v>
      </c>
      <c r="B5562" t="s">
        <v>465</v>
      </c>
      <c r="C5562" t="s">
        <v>478</v>
      </c>
      <c r="D5562" t="s">
        <v>383</v>
      </c>
      <c r="E5562" t="s">
        <v>389</v>
      </c>
      <c r="F5562">
        <v>3</v>
      </c>
      <c r="G5562" t="s">
        <v>498</v>
      </c>
      <c r="H5562" s="4">
        <v>16164195</v>
      </c>
      <c r="I5562" s="4">
        <v>13790813</v>
      </c>
      <c r="J5562" s="3">
        <v>0.14682958229593246</v>
      </c>
      <c r="K5562" s="3">
        <v>0.17209877329204595</v>
      </c>
      <c r="L5562" t="s">
        <v>377</v>
      </c>
    </row>
    <row r="5563" spans="1:12" x14ac:dyDescent="0.25">
      <c r="A5563" t="s">
        <v>487</v>
      </c>
      <c r="B5563" t="s">
        <v>465</v>
      </c>
      <c r="C5563" t="s">
        <v>478</v>
      </c>
      <c r="D5563" t="s">
        <v>383</v>
      </c>
      <c r="E5563" t="s">
        <v>389</v>
      </c>
      <c r="F5563">
        <v>3</v>
      </c>
      <c r="G5563" t="s">
        <v>499</v>
      </c>
      <c r="H5563" s="4">
        <v>16164195</v>
      </c>
      <c r="I5563" s="4">
        <v>12850940</v>
      </c>
      <c r="J5563" s="3">
        <v>0.2049749461696051</v>
      </c>
      <c r="K5563" s="3">
        <v>0.257821995900689</v>
      </c>
      <c r="L5563" t="s">
        <v>377</v>
      </c>
    </row>
    <row r="5564" spans="1:12" x14ac:dyDescent="0.25">
      <c r="A5564" t="s">
        <v>487</v>
      </c>
      <c r="B5564" t="s">
        <v>465</v>
      </c>
      <c r="C5564" t="s">
        <v>478</v>
      </c>
      <c r="D5564" t="s">
        <v>385</v>
      </c>
      <c r="E5564" t="s">
        <v>387</v>
      </c>
      <c r="F5564">
        <v>1</v>
      </c>
      <c r="G5564" t="s">
        <v>488</v>
      </c>
      <c r="H5564" s="4">
        <v>13367258</v>
      </c>
      <c r="I5564" s="4">
        <v>10966149.607699743</v>
      </c>
      <c r="J5564" s="3">
        <v>0.17962609776068192</v>
      </c>
      <c r="K5564" s="3">
        <v>0.21895637741567467</v>
      </c>
      <c r="L5564" t="s">
        <v>377</v>
      </c>
    </row>
    <row r="5565" spans="1:12" x14ac:dyDescent="0.25">
      <c r="A5565" t="s">
        <v>487</v>
      </c>
      <c r="B5565" t="s">
        <v>465</v>
      </c>
      <c r="C5565" t="s">
        <v>478</v>
      </c>
      <c r="D5565" t="s">
        <v>385</v>
      </c>
      <c r="E5565" t="s">
        <v>387</v>
      </c>
      <c r="F5565">
        <v>1</v>
      </c>
      <c r="G5565" t="s">
        <v>498</v>
      </c>
      <c r="H5565" s="4">
        <v>13367258</v>
      </c>
      <c r="I5565" s="4">
        <v>12929505</v>
      </c>
      <c r="J5565" s="3">
        <v>0.03274815223885108</v>
      </c>
      <c r="K5565" s="3">
        <v>0.0338569032611844</v>
      </c>
      <c r="L5565" t="s">
        <v>377</v>
      </c>
    </row>
    <row r="5566" spans="1:12" x14ac:dyDescent="0.25">
      <c r="A5566" t="s">
        <v>487</v>
      </c>
      <c r="B5566" t="s">
        <v>465</v>
      </c>
      <c r="C5566" t="s">
        <v>478</v>
      </c>
      <c r="D5566" t="s">
        <v>385</v>
      </c>
      <c r="E5566" t="s">
        <v>387</v>
      </c>
      <c r="F5566">
        <v>1</v>
      </c>
      <c r="G5566" t="s">
        <v>499</v>
      </c>
      <c r="H5566" s="4">
        <v>13367258</v>
      </c>
      <c r="I5566" s="4">
        <v>12889279</v>
      </c>
      <c r="J5566" s="3">
        <v>0.03575744554343157</v>
      </c>
      <c r="K5566" s="3">
        <v>0.037083455172318015</v>
      </c>
      <c r="L5566" t="s">
        <v>377</v>
      </c>
    </row>
    <row r="5567" spans="1:12" x14ac:dyDescent="0.25">
      <c r="A5567" t="s">
        <v>487</v>
      </c>
      <c r="B5567" t="s">
        <v>465</v>
      </c>
      <c r="C5567" t="s">
        <v>478</v>
      </c>
      <c r="D5567" t="s">
        <v>385</v>
      </c>
      <c r="E5567" t="s">
        <v>389</v>
      </c>
      <c r="F5567">
        <v>2</v>
      </c>
      <c r="G5567" t="s">
        <v>488</v>
      </c>
      <c r="H5567" s="4">
        <v>16164195</v>
      </c>
      <c r="I5567" s="4">
        <v>11696667.317875704</v>
      </c>
      <c r="J5567" s="3">
        <v>0.2763841739179895</v>
      </c>
      <c r="K5567" s="3">
        <v>0.3819487688853639</v>
      </c>
      <c r="L5567" t="s">
        <v>377</v>
      </c>
    </row>
    <row r="5568" spans="1:12" x14ac:dyDescent="0.25">
      <c r="A5568" t="s">
        <v>487</v>
      </c>
      <c r="B5568" t="s">
        <v>465</v>
      </c>
      <c r="C5568" t="s">
        <v>478</v>
      </c>
      <c r="D5568" t="s">
        <v>385</v>
      </c>
      <c r="E5568" t="s">
        <v>389</v>
      </c>
      <c r="F5568">
        <v>2</v>
      </c>
      <c r="G5568" t="s">
        <v>498</v>
      </c>
      <c r="H5568" s="4">
        <v>16164195</v>
      </c>
      <c r="I5568" s="4">
        <v>13790813</v>
      </c>
      <c r="J5568" s="3">
        <v>0.14682958229593246</v>
      </c>
      <c r="K5568" s="3">
        <v>0.17209877329204595</v>
      </c>
      <c r="L5568" t="s">
        <v>377</v>
      </c>
    </row>
    <row r="5569" spans="1:12" x14ac:dyDescent="0.25">
      <c r="A5569" t="s">
        <v>487</v>
      </c>
      <c r="B5569" t="s">
        <v>465</v>
      </c>
      <c r="C5569" t="s">
        <v>478</v>
      </c>
      <c r="D5569" t="s">
        <v>385</v>
      </c>
      <c r="E5569" t="s">
        <v>389</v>
      </c>
      <c r="F5569">
        <v>2</v>
      </c>
      <c r="G5569" t="s">
        <v>499</v>
      </c>
      <c r="H5569" s="4">
        <v>16164195</v>
      </c>
      <c r="I5569" s="4">
        <v>12889279</v>
      </c>
      <c r="J5569" s="3">
        <v>0.20260309900987955</v>
      </c>
      <c r="K5569" s="3">
        <v>0.25408062002537146</v>
      </c>
      <c r="L5569" t="s">
        <v>377</v>
      </c>
    </row>
    <row r="5570" spans="1:12" x14ac:dyDescent="0.25">
      <c r="A5570" t="s">
        <v>487</v>
      </c>
      <c r="B5570" t="s">
        <v>465</v>
      </c>
      <c r="C5570" t="s">
        <v>478</v>
      </c>
      <c r="D5570" t="s">
        <v>385</v>
      </c>
      <c r="E5570" t="s">
        <v>391</v>
      </c>
      <c r="F5570">
        <v>3</v>
      </c>
      <c r="G5570" t="s">
        <v>488</v>
      </c>
      <c r="H5570" s="4">
        <v>14291613</v>
      </c>
      <c r="I5570" s="4">
        <v>12545107.455144314</v>
      </c>
      <c r="J5570" s="3">
        <v>0.12220492850286989</v>
      </c>
      <c r="K5570" s="3">
        <v>0.13921806179025628</v>
      </c>
      <c r="L5570" t="s">
        <v>377</v>
      </c>
    </row>
    <row r="5571" spans="1:12" x14ac:dyDescent="0.25">
      <c r="A5571" t="s">
        <v>487</v>
      </c>
      <c r="B5571" t="s">
        <v>465</v>
      </c>
      <c r="C5571" t="s">
        <v>478</v>
      </c>
      <c r="D5571" t="s">
        <v>385</v>
      </c>
      <c r="E5571" t="s">
        <v>391</v>
      </c>
      <c r="F5571">
        <v>3</v>
      </c>
      <c r="G5571" t="s">
        <v>498</v>
      </c>
      <c r="H5571" s="4">
        <v>14291613</v>
      </c>
      <c r="I5571" s="4">
        <v>14791156</v>
      </c>
      <c r="J5571" s="3">
        <v>0.03495357731838947</v>
      </c>
      <c r="K5571" s="3">
        <v>-0.033773087106917135</v>
      </c>
      <c r="L5571" t="s">
        <v>377</v>
      </c>
    </row>
    <row r="5572" spans="1:12" x14ac:dyDescent="0.25">
      <c r="A5572" t="s">
        <v>487</v>
      </c>
      <c r="B5572" t="s">
        <v>465</v>
      </c>
      <c r="C5572" t="s">
        <v>478</v>
      </c>
      <c r="D5572" t="s">
        <v>385</v>
      </c>
      <c r="E5572" t="s">
        <v>391</v>
      </c>
      <c r="F5572">
        <v>3</v>
      </c>
      <c r="G5572" t="s">
        <v>499</v>
      </c>
      <c r="H5572" s="4">
        <v>14291613</v>
      </c>
      <c r="I5572" s="4">
        <v>12889279</v>
      </c>
      <c r="J5572" s="3">
        <v>0.09812286408818935</v>
      </c>
      <c r="K5572" s="3">
        <v>0.10879848283212738</v>
      </c>
      <c r="L5572" t="s">
        <v>377</v>
      </c>
    </row>
    <row r="5573" spans="1:12" x14ac:dyDescent="0.25">
      <c r="A5573" t="s">
        <v>487</v>
      </c>
      <c r="B5573" t="s">
        <v>465</v>
      </c>
      <c r="C5573" t="s">
        <v>478</v>
      </c>
      <c r="D5573" t="s">
        <v>387</v>
      </c>
      <c r="E5573" t="s">
        <v>389</v>
      </c>
      <c r="F5573">
        <v>1</v>
      </c>
      <c r="G5573" t="s">
        <v>488</v>
      </c>
      <c r="H5573" s="4">
        <v>16164195</v>
      </c>
      <c r="I5573" s="4">
        <v>11861028.446320467</v>
      </c>
      <c r="J5573" s="3">
        <v>0.26621595159422</v>
      </c>
      <c r="K5573" s="3">
        <v>0.3627987718901782</v>
      </c>
      <c r="L5573" t="s">
        <v>377</v>
      </c>
    </row>
    <row r="5574" spans="1:12" x14ac:dyDescent="0.25">
      <c r="A5574" t="s">
        <v>487</v>
      </c>
      <c r="B5574" t="s">
        <v>465</v>
      </c>
      <c r="C5574" t="s">
        <v>478</v>
      </c>
      <c r="D5574" t="s">
        <v>387</v>
      </c>
      <c r="E5574" t="s">
        <v>389</v>
      </c>
      <c r="F5574">
        <v>1</v>
      </c>
      <c r="G5574" t="s">
        <v>498</v>
      </c>
      <c r="H5574" s="4">
        <v>16164195</v>
      </c>
      <c r="I5574" s="4">
        <v>13790813</v>
      </c>
      <c r="J5574" s="3">
        <v>0.14682958229593246</v>
      </c>
      <c r="K5574" s="3">
        <v>0.17209877329204595</v>
      </c>
      <c r="L5574" t="s">
        <v>377</v>
      </c>
    </row>
    <row r="5575" spans="1:12" x14ac:dyDescent="0.25">
      <c r="A5575" t="s">
        <v>487</v>
      </c>
      <c r="B5575" t="s">
        <v>465</v>
      </c>
      <c r="C5575" t="s">
        <v>478</v>
      </c>
      <c r="D5575" t="s">
        <v>387</v>
      </c>
      <c r="E5575" t="s">
        <v>389</v>
      </c>
      <c r="F5575">
        <v>1</v>
      </c>
      <c r="G5575" t="s">
        <v>499</v>
      </c>
      <c r="H5575" s="4">
        <v>16164195</v>
      </c>
      <c r="I5575" s="4">
        <v>13367258</v>
      </c>
      <c r="J5575" s="3">
        <v>0.1730328667774671</v>
      </c>
      <c r="K5575" s="3">
        <v>0.20923790054774136</v>
      </c>
      <c r="L5575" t="s">
        <v>377</v>
      </c>
    </row>
    <row r="5576" spans="1:12" x14ac:dyDescent="0.25">
      <c r="A5576" t="s">
        <v>487</v>
      </c>
      <c r="B5576" t="s">
        <v>465</v>
      </c>
      <c r="C5576" t="s">
        <v>478</v>
      </c>
      <c r="D5576" t="s">
        <v>387</v>
      </c>
      <c r="E5576" t="s">
        <v>391</v>
      </c>
      <c r="F5576">
        <v>2</v>
      </c>
      <c r="G5576" t="s">
        <v>488</v>
      </c>
      <c r="H5576" s="4">
        <v>14291613</v>
      </c>
      <c r="I5576" s="4">
        <v>12721390.832430521</v>
      </c>
      <c r="J5576" s="3">
        <v>0.10987018523167952</v>
      </c>
      <c r="K5576" s="3">
        <v>0.12343164267593497</v>
      </c>
      <c r="L5576" t="s">
        <v>377</v>
      </c>
    </row>
    <row r="5577" spans="1:12" x14ac:dyDescent="0.25">
      <c r="A5577" t="s">
        <v>487</v>
      </c>
      <c r="B5577" t="s">
        <v>465</v>
      </c>
      <c r="C5577" t="s">
        <v>478</v>
      </c>
      <c r="D5577" t="s">
        <v>387</v>
      </c>
      <c r="E5577" t="s">
        <v>391</v>
      </c>
      <c r="F5577">
        <v>2</v>
      </c>
      <c r="G5577" t="s">
        <v>498</v>
      </c>
      <c r="H5577" s="4">
        <v>14291613</v>
      </c>
      <c r="I5577" s="4">
        <v>14791156</v>
      </c>
      <c r="J5577" s="3">
        <v>0.03495357731838947</v>
      </c>
      <c r="K5577" s="3">
        <v>-0.033773087106917135</v>
      </c>
      <c r="L5577" t="s">
        <v>377</v>
      </c>
    </row>
    <row r="5578" spans="1:12" x14ac:dyDescent="0.25">
      <c r="A5578" t="s">
        <v>487</v>
      </c>
      <c r="B5578" t="s">
        <v>465</v>
      </c>
      <c r="C5578" t="s">
        <v>478</v>
      </c>
      <c r="D5578" t="s">
        <v>387</v>
      </c>
      <c r="E5578" t="s">
        <v>391</v>
      </c>
      <c r="F5578">
        <v>2</v>
      </c>
      <c r="G5578" t="s">
        <v>499</v>
      </c>
      <c r="H5578" s="4">
        <v>14291613</v>
      </c>
      <c r="I5578" s="4">
        <v>13367258</v>
      </c>
      <c r="J5578" s="3">
        <v>0.06467814374766515</v>
      </c>
      <c r="K5578" s="3">
        <v>0.06915068146361804</v>
      </c>
      <c r="L5578" t="s">
        <v>377</v>
      </c>
    </row>
    <row r="5579" spans="1:12" x14ac:dyDescent="0.25">
      <c r="A5579" t="s">
        <v>487</v>
      </c>
      <c r="B5579" t="s">
        <v>465</v>
      </c>
      <c r="C5579" t="s">
        <v>478</v>
      </c>
      <c r="D5579" t="s">
        <v>387</v>
      </c>
      <c r="E5579" t="s">
        <v>393</v>
      </c>
      <c r="F5579">
        <v>3</v>
      </c>
      <c r="G5579" t="s">
        <v>488</v>
      </c>
      <c r="H5579" s="4">
        <v>15060872</v>
      </c>
      <c r="I5579" s="4">
        <v>10521255.04018629</v>
      </c>
      <c r="J5579" s="3">
        <v>0.30141793647895754</v>
      </c>
      <c r="K5579" s="3">
        <v>0.4314710500291543</v>
      </c>
      <c r="L5579" t="s">
        <v>377</v>
      </c>
    </row>
    <row r="5580" spans="1:12" x14ac:dyDescent="0.25">
      <c r="A5580" t="s">
        <v>487</v>
      </c>
      <c r="B5580" t="s">
        <v>465</v>
      </c>
      <c r="C5580" t="s">
        <v>478</v>
      </c>
      <c r="D5580" t="s">
        <v>387</v>
      </c>
      <c r="E5580" t="s">
        <v>393</v>
      </c>
      <c r="F5580">
        <v>3</v>
      </c>
      <c r="G5580" t="s">
        <v>498</v>
      </c>
      <c r="H5580" s="4">
        <v>15060872</v>
      </c>
      <c r="I5580" s="4">
        <v>12233059</v>
      </c>
      <c r="J5580" s="3">
        <v>0.18775891595121452</v>
      </c>
      <c r="K5580" s="3">
        <v>0.2311615598355244</v>
      </c>
      <c r="L5580" t="s">
        <v>377</v>
      </c>
    </row>
    <row r="5581" spans="1:12" x14ac:dyDescent="0.25">
      <c r="A5581" t="s">
        <v>487</v>
      </c>
      <c r="B5581" t="s">
        <v>465</v>
      </c>
      <c r="C5581" t="s">
        <v>478</v>
      </c>
      <c r="D5581" t="s">
        <v>387</v>
      </c>
      <c r="E5581" t="s">
        <v>393</v>
      </c>
      <c r="F5581">
        <v>3</v>
      </c>
      <c r="G5581" t="s">
        <v>499</v>
      </c>
      <c r="H5581" s="4">
        <v>15060872</v>
      </c>
      <c r="I5581" s="4">
        <v>13367258</v>
      </c>
      <c r="J5581" s="3">
        <v>0.11245125780233707</v>
      </c>
      <c r="K5581" s="3">
        <v>0.1266986842028485</v>
      </c>
      <c r="L5581" t="s">
        <v>377</v>
      </c>
    </row>
    <row r="5582" spans="1:12" x14ac:dyDescent="0.25">
      <c r="A5582" t="s">
        <v>487</v>
      </c>
      <c r="B5582" t="s">
        <v>465</v>
      </c>
      <c r="C5582" t="s">
        <v>478</v>
      </c>
      <c r="D5582" t="s">
        <v>389</v>
      </c>
      <c r="E5582" t="s">
        <v>391</v>
      </c>
      <c r="F5582">
        <v>1</v>
      </c>
      <c r="G5582" t="s">
        <v>488</v>
      </c>
      <c r="H5582" s="4">
        <v>14291613</v>
      </c>
      <c r="I5582" s="4">
        <v>13101151.909061648</v>
      </c>
      <c r="J5582" s="3">
        <v>0.08329788183729521</v>
      </c>
      <c r="K5582" s="3">
        <v>0.09086690233054608</v>
      </c>
      <c r="L5582" t="s">
        <v>377</v>
      </c>
    </row>
    <row r="5583" spans="1:12" x14ac:dyDescent="0.25">
      <c r="A5583" t="s">
        <v>487</v>
      </c>
      <c r="B5583" t="s">
        <v>465</v>
      </c>
      <c r="C5583" t="s">
        <v>478</v>
      </c>
      <c r="D5583" t="s">
        <v>389</v>
      </c>
      <c r="E5583" t="s">
        <v>391</v>
      </c>
      <c r="F5583">
        <v>1</v>
      </c>
      <c r="G5583" t="s">
        <v>498</v>
      </c>
      <c r="H5583" s="4">
        <v>14291613</v>
      </c>
      <c r="I5583" s="4">
        <v>14791156</v>
      </c>
      <c r="J5583" s="3">
        <v>0.03495357731838947</v>
      </c>
      <c r="K5583" s="3">
        <v>-0.033773087106917135</v>
      </c>
      <c r="L5583" t="s">
        <v>377</v>
      </c>
    </row>
    <row r="5584" spans="1:12" x14ac:dyDescent="0.25">
      <c r="A5584" t="s">
        <v>487</v>
      </c>
      <c r="B5584" t="s">
        <v>465</v>
      </c>
      <c r="C5584" t="s">
        <v>478</v>
      </c>
      <c r="D5584" t="s">
        <v>389</v>
      </c>
      <c r="E5584" t="s">
        <v>391</v>
      </c>
      <c r="F5584">
        <v>1</v>
      </c>
      <c r="G5584" t="s">
        <v>499</v>
      </c>
      <c r="H5584" s="4">
        <v>14291613</v>
      </c>
      <c r="I5584" s="4">
        <v>16164195</v>
      </c>
      <c r="J5584" s="3">
        <v>0.13102663779098972</v>
      </c>
      <c r="K5584" s="3">
        <v>-0.11584752596711435</v>
      </c>
      <c r="L5584" t="s">
        <v>377</v>
      </c>
    </row>
    <row r="5585" spans="1:12" x14ac:dyDescent="0.25">
      <c r="A5585" t="s">
        <v>487</v>
      </c>
      <c r="B5585" t="s">
        <v>465</v>
      </c>
      <c r="C5585" t="s">
        <v>478</v>
      </c>
      <c r="D5585" t="s">
        <v>389</v>
      </c>
      <c r="E5585" t="s">
        <v>393</v>
      </c>
      <c r="F5585">
        <v>2</v>
      </c>
      <c r="G5585" t="s">
        <v>488</v>
      </c>
      <c r="H5585" s="4">
        <v>15060872</v>
      </c>
      <c r="I5585" s="4">
        <v>10835337.29693026</v>
      </c>
      <c r="J5585" s="3">
        <v>0.2805637484383202</v>
      </c>
      <c r="K5585" s="3">
        <v>0.389977218731056</v>
      </c>
      <c r="L5585" t="s">
        <v>377</v>
      </c>
    </row>
    <row r="5586" spans="1:12" x14ac:dyDescent="0.25">
      <c r="A5586" t="s">
        <v>487</v>
      </c>
      <c r="B5586" t="s">
        <v>465</v>
      </c>
      <c r="C5586" t="s">
        <v>478</v>
      </c>
      <c r="D5586" t="s">
        <v>389</v>
      </c>
      <c r="E5586" t="s">
        <v>393</v>
      </c>
      <c r="F5586">
        <v>2</v>
      </c>
      <c r="G5586" t="s">
        <v>498</v>
      </c>
      <c r="H5586" s="4">
        <v>15060872</v>
      </c>
      <c r="I5586" s="4">
        <v>12233059</v>
      </c>
      <c r="J5586" s="3">
        <v>0.18775891595121452</v>
      </c>
      <c r="K5586" s="3">
        <v>0.2311615598355244</v>
      </c>
      <c r="L5586" t="s">
        <v>377</v>
      </c>
    </row>
    <row r="5587" spans="1:12" x14ac:dyDescent="0.25">
      <c r="A5587" t="s">
        <v>487</v>
      </c>
      <c r="B5587" t="s">
        <v>465</v>
      </c>
      <c r="C5587" t="s">
        <v>478</v>
      </c>
      <c r="D5587" t="s">
        <v>389</v>
      </c>
      <c r="E5587" t="s">
        <v>393</v>
      </c>
      <c r="F5587">
        <v>2</v>
      </c>
      <c r="G5587" t="s">
        <v>499</v>
      </c>
      <c r="H5587" s="4">
        <v>15060872</v>
      </c>
      <c r="I5587" s="4">
        <v>16164195</v>
      </c>
      <c r="J5587" s="3">
        <v>0.07325757764889045</v>
      </c>
      <c r="K5587" s="3">
        <v>-0.06825721911917049</v>
      </c>
      <c r="L5587" t="s">
        <v>377</v>
      </c>
    </row>
    <row r="5588" spans="1:12" x14ac:dyDescent="0.25">
      <c r="A5588" t="s">
        <v>487</v>
      </c>
      <c r="B5588" t="s">
        <v>465</v>
      </c>
      <c r="C5588" t="s">
        <v>478</v>
      </c>
      <c r="D5588" t="s">
        <v>389</v>
      </c>
      <c r="E5588" t="s">
        <v>395</v>
      </c>
      <c r="F5588">
        <v>3</v>
      </c>
      <c r="G5588" t="s">
        <v>488</v>
      </c>
      <c r="H5588" s="4">
        <v>12055856</v>
      </c>
      <c r="I5588" s="4">
        <v>10960676.026587062</v>
      </c>
      <c r="J5588" s="3">
        <v>0.09084215782047649</v>
      </c>
      <c r="K5588" s="3">
        <v>0.0999190169252686</v>
      </c>
      <c r="L5588" t="s">
        <v>377</v>
      </c>
    </row>
    <row r="5589" spans="1:12" x14ac:dyDescent="0.25">
      <c r="A5589" t="s">
        <v>487</v>
      </c>
      <c r="B5589" t="s">
        <v>465</v>
      </c>
      <c r="C5589" t="s">
        <v>478</v>
      </c>
      <c r="D5589" t="s">
        <v>389</v>
      </c>
      <c r="E5589" t="s">
        <v>395</v>
      </c>
      <c r="F5589">
        <v>3</v>
      </c>
      <c r="G5589" t="s">
        <v>498</v>
      </c>
      <c r="H5589" s="4">
        <v>12055856</v>
      </c>
      <c r="I5589" s="4">
        <v>12374566</v>
      </c>
      <c r="J5589" s="3">
        <v>0.026436115361696422</v>
      </c>
      <c r="K5589" s="3">
        <v>-0.0257552466890556</v>
      </c>
      <c r="L5589" t="s">
        <v>377</v>
      </c>
    </row>
    <row r="5590" spans="1:12" x14ac:dyDescent="0.25">
      <c r="A5590" t="s">
        <v>487</v>
      </c>
      <c r="B5590" t="s">
        <v>465</v>
      </c>
      <c r="C5590" t="s">
        <v>478</v>
      </c>
      <c r="D5590" t="s">
        <v>389</v>
      </c>
      <c r="E5590" t="s">
        <v>395</v>
      </c>
      <c r="F5590">
        <v>3</v>
      </c>
      <c r="G5590" t="s">
        <v>499</v>
      </c>
      <c r="H5590" s="4">
        <v>12055856</v>
      </c>
      <c r="I5590" s="4">
        <v>16164195</v>
      </c>
      <c r="J5590" s="3">
        <v>0.34077538749633374</v>
      </c>
      <c r="K5590" s="3">
        <v>-0.25416291995982476</v>
      </c>
      <c r="L5590" t="s">
        <v>377</v>
      </c>
    </row>
    <row r="5591" spans="1:12" x14ac:dyDescent="0.25">
      <c r="A5591" t="s">
        <v>487</v>
      </c>
      <c r="B5591" t="s">
        <v>465</v>
      </c>
      <c r="C5591" t="s">
        <v>478</v>
      </c>
      <c r="D5591" t="s">
        <v>391</v>
      </c>
      <c r="E5591" t="s">
        <v>393</v>
      </c>
      <c r="F5591">
        <v>1</v>
      </c>
      <c r="G5591" t="s">
        <v>488</v>
      </c>
      <c r="H5591" s="4">
        <v>15060872</v>
      </c>
      <c r="I5591" s="4">
        <v>11018625.115566269</v>
      </c>
      <c r="J5591" s="3">
        <v>0.2683939472052967</v>
      </c>
      <c r="K5591" s="3">
        <v>0.3668558320151173</v>
      </c>
      <c r="L5591" t="s">
        <v>377</v>
      </c>
    </row>
    <row r="5592" spans="1:12" x14ac:dyDescent="0.25">
      <c r="A5592" t="s">
        <v>487</v>
      </c>
      <c r="B5592" t="s">
        <v>465</v>
      </c>
      <c r="C5592" t="s">
        <v>478</v>
      </c>
      <c r="D5592" t="s">
        <v>391</v>
      </c>
      <c r="E5592" t="s">
        <v>393</v>
      </c>
      <c r="F5592">
        <v>1</v>
      </c>
      <c r="G5592" t="s">
        <v>498</v>
      </c>
      <c r="H5592" s="4">
        <v>15060872</v>
      </c>
      <c r="I5592" s="4">
        <v>12233059</v>
      </c>
      <c r="J5592" s="3">
        <v>0.18775891595121452</v>
      </c>
      <c r="K5592" s="3">
        <v>0.2311615598355244</v>
      </c>
      <c r="L5592" t="s">
        <v>377</v>
      </c>
    </row>
    <row r="5593" spans="1:12" x14ac:dyDescent="0.25">
      <c r="A5593" t="s">
        <v>487</v>
      </c>
      <c r="B5593" t="s">
        <v>465</v>
      </c>
      <c r="C5593" t="s">
        <v>478</v>
      </c>
      <c r="D5593" t="s">
        <v>391</v>
      </c>
      <c r="E5593" t="s">
        <v>393</v>
      </c>
      <c r="F5593">
        <v>1</v>
      </c>
      <c r="G5593" t="s">
        <v>499</v>
      </c>
      <c r="H5593" s="4">
        <v>15060872</v>
      </c>
      <c r="I5593" s="4">
        <v>14291613</v>
      </c>
      <c r="J5593" s="3">
        <v>0.051076657447191635</v>
      </c>
      <c r="K5593" s="3">
        <v>0.05382590474567146</v>
      </c>
      <c r="L5593" t="s">
        <v>377</v>
      </c>
    </row>
    <row r="5594" spans="1:12" x14ac:dyDescent="0.25">
      <c r="A5594" t="s">
        <v>487</v>
      </c>
      <c r="B5594" t="s">
        <v>465</v>
      </c>
      <c r="C5594" t="s">
        <v>478</v>
      </c>
      <c r="D5594" t="s">
        <v>391</v>
      </c>
      <c r="E5594" t="s">
        <v>395</v>
      </c>
      <c r="F5594">
        <v>2</v>
      </c>
      <c r="G5594" t="s">
        <v>488</v>
      </c>
      <c r="H5594" s="4">
        <v>12055856</v>
      </c>
      <c r="I5594" s="4">
        <v>11146084.043396866</v>
      </c>
      <c r="J5594" s="3">
        <v>0.07546307426060282</v>
      </c>
      <c r="K5594" s="3">
        <v>0.08162256385838924</v>
      </c>
      <c r="L5594" t="s">
        <v>377</v>
      </c>
    </row>
    <row r="5595" spans="1:12" x14ac:dyDescent="0.25">
      <c r="A5595" t="s">
        <v>487</v>
      </c>
      <c r="B5595" t="s">
        <v>465</v>
      </c>
      <c r="C5595" t="s">
        <v>478</v>
      </c>
      <c r="D5595" t="s">
        <v>391</v>
      </c>
      <c r="E5595" t="s">
        <v>395</v>
      </c>
      <c r="F5595">
        <v>2</v>
      </c>
      <c r="G5595" t="s">
        <v>498</v>
      </c>
      <c r="H5595" s="4">
        <v>12055856</v>
      </c>
      <c r="I5595" s="4">
        <v>12374566</v>
      </c>
      <c r="J5595" s="3">
        <v>0.026436115361696422</v>
      </c>
      <c r="K5595" s="3">
        <v>-0.0257552466890556</v>
      </c>
      <c r="L5595" t="s">
        <v>377</v>
      </c>
    </row>
    <row r="5596" spans="1:12" x14ac:dyDescent="0.25">
      <c r="A5596" t="s">
        <v>487</v>
      </c>
      <c r="B5596" t="s">
        <v>465</v>
      </c>
      <c r="C5596" t="s">
        <v>478</v>
      </c>
      <c r="D5596" t="s">
        <v>391</v>
      </c>
      <c r="E5596" t="s">
        <v>395</v>
      </c>
      <c r="F5596">
        <v>2</v>
      </c>
      <c r="G5596" t="s">
        <v>499</v>
      </c>
      <c r="H5596" s="4">
        <v>12055856</v>
      </c>
      <c r="I5596" s="4">
        <v>14291613</v>
      </c>
      <c r="J5596" s="3">
        <v>0.1854498759772844</v>
      </c>
      <c r="K5596" s="3">
        <v>-0.15643839502231133</v>
      </c>
      <c r="L5596" t="s">
        <v>377</v>
      </c>
    </row>
    <row r="5597" spans="1:12" x14ac:dyDescent="0.25">
      <c r="A5597" t="s">
        <v>487</v>
      </c>
      <c r="B5597" t="s">
        <v>465</v>
      </c>
      <c r="C5597" t="s">
        <v>478</v>
      </c>
      <c r="D5597" t="s">
        <v>391</v>
      </c>
      <c r="E5597" t="s">
        <v>397</v>
      </c>
      <c r="F5597">
        <v>3</v>
      </c>
      <c r="G5597" t="s">
        <v>488</v>
      </c>
      <c r="H5597" s="4">
        <v>16152459</v>
      </c>
      <c r="I5597" s="4">
        <v>12465508.72242947</v>
      </c>
      <c r="J5597" s="3">
        <v>0.22825938004674898</v>
      </c>
      <c r="K5597" s="3">
        <v>0.2957721469430701</v>
      </c>
      <c r="L5597" t="s">
        <v>377</v>
      </c>
    </row>
    <row r="5598" spans="1:12" x14ac:dyDescent="0.25">
      <c r="A5598" t="s">
        <v>487</v>
      </c>
      <c r="B5598" t="s">
        <v>465</v>
      </c>
      <c r="C5598" t="s">
        <v>478</v>
      </c>
      <c r="D5598" t="s">
        <v>391</v>
      </c>
      <c r="E5598" t="s">
        <v>397</v>
      </c>
      <c r="F5598">
        <v>3</v>
      </c>
      <c r="G5598" t="s">
        <v>498</v>
      </c>
      <c r="H5598" s="4">
        <v>16152459</v>
      </c>
      <c r="I5598" s="4">
        <v>13839413</v>
      </c>
      <c r="J5598" s="3">
        <v>0.1432008587670769</v>
      </c>
      <c r="K5598" s="3">
        <v>0.16713468988894253</v>
      </c>
      <c r="L5598" t="s">
        <v>377</v>
      </c>
    </row>
    <row r="5599" spans="1:12" x14ac:dyDescent="0.25">
      <c r="A5599" t="s">
        <v>487</v>
      </c>
      <c r="B5599" t="s">
        <v>465</v>
      </c>
      <c r="C5599" t="s">
        <v>478</v>
      </c>
      <c r="D5599" t="s">
        <v>391</v>
      </c>
      <c r="E5599" t="s">
        <v>397</v>
      </c>
      <c r="F5599">
        <v>3</v>
      </c>
      <c r="G5599" t="s">
        <v>499</v>
      </c>
      <c r="H5599" s="4">
        <v>16152459</v>
      </c>
      <c r="I5599" s="4">
        <v>14291613</v>
      </c>
      <c r="J5599" s="3">
        <v>0.11520512139978191</v>
      </c>
      <c r="K5599" s="3">
        <v>0.13020545686480595</v>
      </c>
      <c r="L5599" t="s">
        <v>377</v>
      </c>
    </row>
    <row r="5600" spans="1:12" x14ac:dyDescent="0.25">
      <c r="A5600" t="s">
        <v>487</v>
      </c>
      <c r="B5600" t="s">
        <v>465</v>
      </c>
      <c r="C5600" t="s">
        <v>478</v>
      </c>
      <c r="D5600" t="s">
        <v>393</v>
      </c>
      <c r="E5600" t="s">
        <v>395</v>
      </c>
      <c r="F5600">
        <v>1</v>
      </c>
      <c r="G5600" t="s">
        <v>488</v>
      </c>
      <c r="H5600" s="4">
        <v>12055856</v>
      </c>
      <c r="I5600" s="4">
        <v>11441796.585571278</v>
      </c>
      <c r="J5600" s="3">
        <v>0.05093453458872784</v>
      </c>
      <c r="K5600" s="3">
        <v>0.05366809397774858</v>
      </c>
      <c r="L5600" t="s">
        <v>377</v>
      </c>
    </row>
    <row r="5601" spans="1:12" x14ac:dyDescent="0.25">
      <c r="A5601" t="s">
        <v>487</v>
      </c>
      <c r="B5601" t="s">
        <v>465</v>
      </c>
      <c r="C5601" t="s">
        <v>478</v>
      </c>
      <c r="D5601" t="s">
        <v>393</v>
      </c>
      <c r="E5601" t="s">
        <v>395</v>
      </c>
      <c r="F5601">
        <v>1</v>
      </c>
      <c r="G5601" t="s">
        <v>498</v>
      </c>
      <c r="H5601" s="4">
        <v>12055856</v>
      </c>
      <c r="I5601" s="4">
        <v>12374566</v>
      </c>
      <c r="J5601" s="3">
        <v>0.026436115361696422</v>
      </c>
      <c r="K5601" s="3">
        <v>-0.0257552466890556</v>
      </c>
      <c r="L5601" t="s">
        <v>377</v>
      </c>
    </row>
    <row r="5602" spans="1:12" x14ac:dyDescent="0.25">
      <c r="A5602" t="s">
        <v>487</v>
      </c>
      <c r="B5602" t="s">
        <v>465</v>
      </c>
      <c r="C5602" t="s">
        <v>478</v>
      </c>
      <c r="D5602" t="s">
        <v>393</v>
      </c>
      <c r="E5602" t="s">
        <v>395</v>
      </c>
      <c r="F5602">
        <v>1</v>
      </c>
      <c r="G5602" t="s">
        <v>499</v>
      </c>
      <c r="H5602" s="4">
        <v>12055856</v>
      </c>
      <c r="I5602" s="4">
        <v>15060872</v>
      </c>
      <c r="J5602" s="3">
        <v>0.24925778808240576</v>
      </c>
      <c r="K5602" s="3">
        <v>-0.19952470215535992</v>
      </c>
      <c r="L5602" t="s">
        <v>377</v>
      </c>
    </row>
    <row r="5603" spans="1:12" x14ac:dyDescent="0.25">
      <c r="A5603" t="s">
        <v>487</v>
      </c>
      <c r="B5603" t="s">
        <v>465</v>
      </c>
      <c r="C5603" t="s">
        <v>478</v>
      </c>
      <c r="D5603" t="s">
        <v>393</v>
      </c>
      <c r="E5603" t="s">
        <v>397</v>
      </c>
      <c r="F5603">
        <v>2</v>
      </c>
      <c r="G5603" t="s">
        <v>488</v>
      </c>
      <c r="H5603" s="4">
        <v>16152459</v>
      </c>
      <c r="I5603" s="4">
        <v>12796226.421978012</v>
      </c>
      <c r="J5603" s="3">
        <v>0.20778462140173135</v>
      </c>
      <c r="K5603" s="3">
        <v>0.26228299401279187</v>
      </c>
      <c r="L5603" t="s">
        <v>377</v>
      </c>
    </row>
    <row r="5604" spans="1:12" x14ac:dyDescent="0.25">
      <c r="A5604" t="s">
        <v>487</v>
      </c>
      <c r="B5604" t="s">
        <v>465</v>
      </c>
      <c r="C5604" t="s">
        <v>478</v>
      </c>
      <c r="D5604" t="s">
        <v>393</v>
      </c>
      <c r="E5604" t="s">
        <v>397</v>
      </c>
      <c r="F5604">
        <v>2</v>
      </c>
      <c r="G5604" t="s">
        <v>498</v>
      </c>
      <c r="H5604" s="4">
        <v>16152459</v>
      </c>
      <c r="I5604" s="4">
        <v>13839413</v>
      </c>
      <c r="J5604" s="3">
        <v>0.1432008587670769</v>
      </c>
      <c r="K5604" s="3">
        <v>0.16713468988894253</v>
      </c>
      <c r="L5604" t="s">
        <v>377</v>
      </c>
    </row>
    <row r="5605" spans="1:12" x14ac:dyDescent="0.25">
      <c r="A5605" t="s">
        <v>487</v>
      </c>
      <c r="B5605" t="s">
        <v>465</v>
      </c>
      <c r="C5605" t="s">
        <v>478</v>
      </c>
      <c r="D5605" t="s">
        <v>393</v>
      </c>
      <c r="E5605" t="s">
        <v>397</v>
      </c>
      <c r="F5605">
        <v>2</v>
      </c>
      <c r="G5605" t="s">
        <v>499</v>
      </c>
      <c r="H5605" s="4">
        <v>16152459</v>
      </c>
      <c r="I5605" s="4">
        <v>15060872</v>
      </c>
      <c r="J5605" s="3">
        <v>0.06758023654478863</v>
      </c>
      <c r="K5605" s="3">
        <v>0.07247833989957554</v>
      </c>
      <c r="L5605" t="s">
        <v>377</v>
      </c>
    </row>
    <row r="5606" spans="1:12" x14ac:dyDescent="0.25">
      <c r="A5606" t="s">
        <v>487</v>
      </c>
      <c r="B5606" t="s">
        <v>465</v>
      </c>
      <c r="C5606" t="s">
        <v>478</v>
      </c>
      <c r="D5606" t="s">
        <v>393</v>
      </c>
      <c r="E5606" t="s">
        <v>399</v>
      </c>
      <c r="F5606">
        <v>3</v>
      </c>
      <c r="G5606" t="s">
        <v>488</v>
      </c>
      <c r="H5606" s="4">
        <v>17519943</v>
      </c>
      <c r="I5606" s="4">
        <v>11767244.130187614</v>
      </c>
      <c r="J5606" s="3">
        <v>0.3283514603793167</v>
      </c>
      <c r="K5606" s="3">
        <v>0.4888739288627869</v>
      </c>
      <c r="L5606" t="s">
        <v>377</v>
      </c>
    </row>
    <row r="5607" spans="1:12" x14ac:dyDescent="0.25">
      <c r="A5607" t="s">
        <v>487</v>
      </c>
      <c r="B5607" t="s">
        <v>465</v>
      </c>
      <c r="C5607" t="s">
        <v>478</v>
      </c>
      <c r="D5607" t="s">
        <v>393</v>
      </c>
      <c r="E5607" t="s">
        <v>399</v>
      </c>
      <c r="F5607">
        <v>3</v>
      </c>
      <c r="G5607" t="s">
        <v>498</v>
      </c>
      <c r="H5607" s="4">
        <v>17519943</v>
      </c>
      <c r="I5607" s="4">
        <v>12726545</v>
      </c>
      <c r="J5607" s="3">
        <v>0.2735966663818484</v>
      </c>
      <c r="K5607" s="3">
        <v>0.376645664632467</v>
      </c>
      <c r="L5607" t="s">
        <v>377</v>
      </c>
    </row>
    <row r="5608" spans="1:12" x14ac:dyDescent="0.25">
      <c r="A5608" t="s">
        <v>487</v>
      </c>
      <c r="B5608" t="s">
        <v>465</v>
      </c>
      <c r="C5608" t="s">
        <v>478</v>
      </c>
      <c r="D5608" t="s">
        <v>393</v>
      </c>
      <c r="E5608" t="s">
        <v>399</v>
      </c>
      <c r="F5608">
        <v>3</v>
      </c>
      <c r="G5608" t="s">
        <v>499</v>
      </c>
      <c r="H5608" s="4">
        <v>17519943</v>
      </c>
      <c r="I5608" s="4">
        <v>15060872</v>
      </c>
      <c r="J5608" s="3">
        <v>0.14035839043540269</v>
      </c>
      <c r="K5608" s="3">
        <v>0.16327547302705978</v>
      </c>
      <c r="L5608" t="s">
        <v>377</v>
      </c>
    </row>
    <row r="5609" spans="1:12" x14ac:dyDescent="0.25">
      <c r="A5609" t="s">
        <v>487</v>
      </c>
      <c r="B5609" t="s">
        <v>465</v>
      </c>
      <c r="C5609" t="s">
        <v>478</v>
      </c>
      <c r="D5609" t="s">
        <v>395</v>
      </c>
      <c r="E5609" t="s">
        <v>397</v>
      </c>
      <c r="F5609">
        <v>1</v>
      </c>
      <c r="G5609" t="s">
        <v>488</v>
      </c>
      <c r="H5609" s="4">
        <v>16152459</v>
      </c>
      <c r="I5609" s="4">
        <v>13179757.60858345</v>
      </c>
      <c r="J5609" s="3">
        <v>0.1840401756423929</v>
      </c>
      <c r="K5609" s="3">
        <v>0.2255505358824314</v>
      </c>
      <c r="L5609" t="s">
        <v>377</v>
      </c>
    </row>
    <row r="5610" spans="1:12" x14ac:dyDescent="0.25">
      <c r="A5610" t="s">
        <v>487</v>
      </c>
      <c r="B5610" t="s">
        <v>465</v>
      </c>
      <c r="C5610" t="s">
        <v>478</v>
      </c>
      <c r="D5610" t="s">
        <v>395</v>
      </c>
      <c r="E5610" t="s">
        <v>397</v>
      </c>
      <c r="F5610">
        <v>1</v>
      </c>
      <c r="G5610" t="s">
        <v>498</v>
      </c>
      <c r="H5610" s="4">
        <v>16152459</v>
      </c>
      <c r="I5610" s="4">
        <v>13839413</v>
      </c>
      <c r="J5610" s="3">
        <v>0.1432008587670769</v>
      </c>
      <c r="K5610" s="3">
        <v>0.16713468988894253</v>
      </c>
      <c r="L5610" t="s">
        <v>377</v>
      </c>
    </row>
    <row r="5611" spans="1:12" x14ac:dyDescent="0.25">
      <c r="A5611" t="s">
        <v>487</v>
      </c>
      <c r="B5611" t="s">
        <v>465</v>
      </c>
      <c r="C5611" t="s">
        <v>478</v>
      </c>
      <c r="D5611" t="s">
        <v>395</v>
      </c>
      <c r="E5611" t="s">
        <v>397</v>
      </c>
      <c r="F5611">
        <v>1</v>
      </c>
      <c r="G5611" t="s">
        <v>499</v>
      </c>
      <c r="H5611" s="4">
        <v>16152459</v>
      </c>
      <c r="I5611" s="4">
        <v>12055856</v>
      </c>
      <c r="J5611" s="3">
        <v>0.2536210121319608</v>
      </c>
      <c r="K5611" s="3">
        <v>0.33980191866923426</v>
      </c>
      <c r="L5611" t="s">
        <v>377</v>
      </c>
    </row>
    <row r="5612" spans="1:12" x14ac:dyDescent="0.25">
      <c r="A5612" t="s">
        <v>487</v>
      </c>
      <c r="B5612" t="s">
        <v>465</v>
      </c>
      <c r="C5612" t="s">
        <v>478</v>
      </c>
      <c r="D5612" t="s">
        <v>395</v>
      </c>
      <c r="E5612" t="s">
        <v>399</v>
      </c>
      <c r="F5612">
        <v>2</v>
      </c>
      <c r="G5612" t="s">
        <v>488</v>
      </c>
      <c r="H5612" s="4">
        <v>17519943</v>
      </c>
      <c r="I5612" s="4">
        <v>12119934.443370515</v>
      </c>
      <c r="J5612" s="3">
        <v>0.3082206692470109</v>
      </c>
      <c r="K5612" s="3">
        <v>0.4455476703987649</v>
      </c>
      <c r="L5612" t="s">
        <v>377</v>
      </c>
    </row>
    <row r="5613" spans="1:12" x14ac:dyDescent="0.25">
      <c r="A5613" t="s">
        <v>487</v>
      </c>
      <c r="B5613" t="s">
        <v>465</v>
      </c>
      <c r="C5613" t="s">
        <v>478</v>
      </c>
      <c r="D5613" t="s">
        <v>395</v>
      </c>
      <c r="E5613" t="s">
        <v>399</v>
      </c>
      <c r="F5613">
        <v>2</v>
      </c>
      <c r="G5613" t="s">
        <v>498</v>
      </c>
      <c r="H5613" s="4">
        <v>17519943</v>
      </c>
      <c r="I5613" s="4">
        <v>12726545</v>
      </c>
      <c r="J5613" s="3">
        <v>0.2735966663818484</v>
      </c>
      <c r="K5613" s="3">
        <v>0.376645664632467</v>
      </c>
      <c r="L5613" t="s">
        <v>377</v>
      </c>
    </row>
    <row r="5614" spans="1:12" x14ac:dyDescent="0.25">
      <c r="A5614" t="s">
        <v>487</v>
      </c>
      <c r="B5614" t="s">
        <v>465</v>
      </c>
      <c r="C5614" t="s">
        <v>478</v>
      </c>
      <c r="D5614" t="s">
        <v>395</v>
      </c>
      <c r="E5614" t="s">
        <v>399</v>
      </c>
      <c r="F5614">
        <v>2</v>
      </c>
      <c r="G5614" t="s">
        <v>499</v>
      </c>
      <c r="H5614" s="4">
        <v>17519943</v>
      </c>
      <c r="I5614" s="4">
        <v>12055856</v>
      </c>
      <c r="J5614" s="3">
        <v>0.31187812654413316</v>
      </c>
      <c r="K5614" s="3">
        <v>0.45323094436429895</v>
      </c>
      <c r="L5614" t="s">
        <v>377</v>
      </c>
    </row>
    <row r="5615" spans="1:12" x14ac:dyDescent="0.25">
      <c r="A5615" t="s">
        <v>487</v>
      </c>
      <c r="B5615" t="s">
        <v>465</v>
      </c>
      <c r="C5615" t="s">
        <v>478</v>
      </c>
      <c r="D5615" t="s">
        <v>395</v>
      </c>
      <c r="E5615" t="s">
        <v>401</v>
      </c>
      <c r="F5615">
        <v>3</v>
      </c>
      <c r="G5615" t="s">
        <v>488</v>
      </c>
      <c r="H5615" s="4">
        <v>15612151</v>
      </c>
      <c r="I5615" s="4">
        <v>10458787.901999086</v>
      </c>
      <c r="J5615" s="3">
        <v>0.3300866804324986</v>
      </c>
      <c r="K5615" s="3">
        <v>0.4927304336113273</v>
      </c>
      <c r="L5615" t="s">
        <v>377</v>
      </c>
    </row>
    <row r="5616" spans="1:12" x14ac:dyDescent="0.25">
      <c r="A5616" t="s">
        <v>487</v>
      </c>
      <c r="B5616" t="s">
        <v>465</v>
      </c>
      <c r="C5616" t="s">
        <v>478</v>
      </c>
      <c r="D5616" t="s">
        <v>395</v>
      </c>
      <c r="E5616" t="s">
        <v>401</v>
      </c>
      <c r="F5616">
        <v>3</v>
      </c>
      <c r="G5616" t="s">
        <v>498</v>
      </c>
      <c r="H5616" s="4">
        <v>15612151</v>
      </c>
      <c r="I5616" s="4">
        <v>10982257</v>
      </c>
      <c r="J5616" s="3">
        <v>0.29655708556751725</v>
      </c>
      <c r="K5616" s="3">
        <v>0.4215794622180122</v>
      </c>
      <c r="L5616" t="s">
        <v>377</v>
      </c>
    </row>
    <row r="5617" spans="1:12" x14ac:dyDescent="0.25">
      <c r="A5617" t="s">
        <v>487</v>
      </c>
      <c r="B5617" t="s">
        <v>465</v>
      </c>
      <c r="C5617" t="s">
        <v>478</v>
      </c>
      <c r="D5617" t="s">
        <v>395</v>
      </c>
      <c r="E5617" t="s">
        <v>401</v>
      </c>
      <c r="F5617">
        <v>3</v>
      </c>
      <c r="G5617" t="s">
        <v>499</v>
      </c>
      <c r="H5617" s="4">
        <v>15612151</v>
      </c>
      <c r="I5617" s="4">
        <v>12055856</v>
      </c>
      <c r="J5617" s="3">
        <v>0.22779020008197462</v>
      </c>
      <c r="K5617" s="3">
        <v>0.2949848604694681</v>
      </c>
      <c r="L5617" t="s">
        <v>377</v>
      </c>
    </row>
    <row r="5618" spans="1:12" x14ac:dyDescent="0.25">
      <c r="A5618" t="s">
        <v>487</v>
      </c>
      <c r="B5618" t="s">
        <v>465</v>
      </c>
      <c r="C5618" t="s">
        <v>478</v>
      </c>
      <c r="D5618" t="s">
        <v>397</v>
      </c>
      <c r="E5618" t="s">
        <v>399</v>
      </c>
      <c r="F5618">
        <v>1</v>
      </c>
      <c r="G5618" t="s">
        <v>488</v>
      </c>
      <c r="H5618" s="4">
        <v>17519943</v>
      </c>
      <c r="I5618" s="4">
        <v>12505356.881017918</v>
      </c>
      <c r="J5618" s="3">
        <v>0.28622160009208264</v>
      </c>
      <c r="K5618" s="3">
        <v>0.4009950428998794</v>
      </c>
      <c r="L5618" t="s">
        <v>377</v>
      </c>
    </row>
    <row r="5619" spans="1:12" x14ac:dyDescent="0.25">
      <c r="A5619" t="s">
        <v>487</v>
      </c>
      <c r="B5619" t="s">
        <v>465</v>
      </c>
      <c r="C5619" t="s">
        <v>478</v>
      </c>
      <c r="D5619" t="s">
        <v>397</v>
      </c>
      <c r="E5619" t="s">
        <v>399</v>
      </c>
      <c r="F5619">
        <v>1</v>
      </c>
      <c r="G5619" t="s">
        <v>498</v>
      </c>
      <c r="H5619" s="4">
        <v>17519943</v>
      </c>
      <c r="I5619" s="4">
        <v>12726545</v>
      </c>
      <c r="J5619" s="3">
        <v>0.2735966663818484</v>
      </c>
      <c r="K5619" s="3">
        <v>0.376645664632467</v>
      </c>
      <c r="L5619" t="s">
        <v>377</v>
      </c>
    </row>
    <row r="5620" spans="1:12" x14ac:dyDescent="0.25">
      <c r="A5620" t="s">
        <v>487</v>
      </c>
      <c r="B5620" t="s">
        <v>465</v>
      </c>
      <c r="C5620" t="s">
        <v>478</v>
      </c>
      <c r="D5620" t="s">
        <v>397</v>
      </c>
      <c r="E5620" t="s">
        <v>399</v>
      </c>
      <c r="F5620">
        <v>1</v>
      </c>
      <c r="G5620" t="s">
        <v>499</v>
      </c>
      <c r="H5620" s="4">
        <v>17519943</v>
      </c>
      <c r="I5620" s="4">
        <v>16152459</v>
      </c>
      <c r="J5620" s="3">
        <v>0.07805299366556158</v>
      </c>
      <c r="K5620" s="3">
        <v>0.08466104139314021</v>
      </c>
      <c r="L5620" t="s">
        <v>377</v>
      </c>
    </row>
    <row r="5621" spans="1:12" x14ac:dyDescent="0.25">
      <c r="A5621" t="s">
        <v>487</v>
      </c>
      <c r="B5621" t="s">
        <v>465</v>
      </c>
      <c r="C5621" t="s">
        <v>478</v>
      </c>
      <c r="D5621" t="s">
        <v>397</v>
      </c>
      <c r="E5621" t="s">
        <v>401</v>
      </c>
      <c r="F5621">
        <v>2</v>
      </c>
      <c r="G5621" t="s">
        <v>488</v>
      </c>
      <c r="H5621" s="4">
        <v>15612151</v>
      </c>
      <c r="I5621" s="4">
        <v>10791384.711566038</v>
      </c>
      <c r="J5621" s="3">
        <v>0.3087829658087448</v>
      </c>
      <c r="K5621" s="3">
        <v>0.44672360566175895</v>
      </c>
      <c r="L5621" t="s">
        <v>377</v>
      </c>
    </row>
    <row r="5622" spans="1:12" x14ac:dyDescent="0.25">
      <c r="A5622" t="s">
        <v>487</v>
      </c>
      <c r="B5622" t="s">
        <v>465</v>
      </c>
      <c r="C5622" t="s">
        <v>478</v>
      </c>
      <c r="D5622" t="s">
        <v>397</v>
      </c>
      <c r="E5622" t="s">
        <v>401</v>
      </c>
      <c r="F5622">
        <v>2</v>
      </c>
      <c r="G5622" t="s">
        <v>498</v>
      </c>
      <c r="H5622" s="4">
        <v>15612151</v>
      </c>
      <c r="I5622" s="4">
        <v>10982257</v>
      </c>
      <c r="J5622" s="3">
        <v>0.29655708556751725</v>
      </c>
      <c r="K5622" s="3">
        <v>0.4215794622180122</v>
      </c>
      <c r="L5622" t="s">
        <v>377</v>
      </c>
    </row>
    <row r="5623" spans="1:12" x14ac:dyDescent="0.25">
      <c r="A5623" t="s">
        <v>487</v>
      </c>
      <c r="B5623" t="s">
        <v>465</v>
      </c>
      <c r="C5623" t="s">
        <v>478</v>
      </c>
      <c r="D5623" t="s">
        <v>397</v>
      </c>
      <c r="E5623" t="s">
        <v>401</v>
      </c>
      <c r="F5623">
        <v>2</v>
      </c>
      <c r="G5623" t="s">
        <v>499</v>
      </c>
      <c r="H5623" s="4">
        <v>15612151</v>
      </c>
      <c r="I5623" s="4">
        <v>16152459</v>
      </c>
      <c r="J5623" s="3">
        <v>0.03460817154535592</v>
      </c>
      <c r="K5623" s="3">
        <v>-0.03345051053836447</v>
      </c>
      <c r="L5623" t="s">
        <v>377</v>
      </c>
    </row>
    <row r="5624" spans="1:12" x14ac:dyDescent="0.25">
      <c r="A5624" t="s">
        <v>487</v>
      </c>
      <c r="B5624" t="s">
        <v>465</v>
      </c>
      <c r="C5624" t="s">
        <v>478</v>
      </c>
      <c r="D5624" t="s">
        <v>397</v>
      </c>
      <c r="E5624" t="s">
        <v>403</v>
      </c>
      <c r="F5624">
        <v>3</v>
      </c>
      <c r="G5624" t="s">
        <v>488</v>
      </c>
      <c r="H5624" s="4">
        <v>13187699</v>
      </c>
      <c r="I5624" s="4">
        <v>10368057.30222629</v>
      </c>
      <c r="J5624" s="3">
        <v>0.21380846634228684</v>
      </c>
      <c r="K5624" s="3">
        <v>0.27195467922117483</v>
      </c>
      <c r="L5624" t="s">
        <v>377</v>
      </c>
    </row>
    <row r="5625" spans="1:12" x14ac:dyDescent="0.25">
      <c r="A5625" t="s">
        <v>487</v>
      </c>
      <c r="B5625" t="s">
        <v>465</v>
      </c>
      <c r="C5625" t="s">
        <v>478</v>
      </c>
      <c r="D5625" t="s">
        <v>397</v>
      </c>
      <c r="E5625" t="s">
        <v>403</v>
      </c>
      <c r="F5625">
        <v>3</v>
      </c>
      <c r="G5625" t="s">
        <v>498</v>
      </c>
      <c r="H5625" s="4">
        <v>13187699</v>
      </c>
      <c r="I5625" s="4">
        <v>10551442</v>
      </c>
      <c r="J5625" s="3">
        <v>0.19990272753419683</v>
      </c>
      <c r="K5625" s="3">
        <v>0.2498480302502729</v>
      </c>
      <c r="L5625" t="s">
        <v>377</v>
      </c>
    </row>
    <row r="5626" spans="1:12" x14ac:dyDescent="0.25">
      <c r="A5626" t="s">
        <v>487</v>
      </c>
      <c r="B5626" t="s">
        <v>465</v>
      </c>
      <c r="C5626" t="s">
        <v>478</v>
      </c>
      <c r="D5626" t="s">
        <v>397</v>
      </c>
      <c r="E5626" t="s">
        <v>403</v>
      </c>
      <c r="F5626">
        <v>3</v>
      </c>
      <c r="G5626" t="s">
        <v>499</v>
      </c>
      <c r="H5626" s="4">
        <v>13187699</v>
      </c>
      <c r="I5626" s="4">
        <v>16152459</v>
      </c>
      <c r="J5626" s="3">
        <v>0.22481253173885754</v>
      </c>
      <c r="K5626" s="3">
        <v>-0.1835485234786852</v>
      </c>
      <c r="L5626" t="s">
        <v>377</v>
      </c>
    </row>
    <row r="5627" spans="1:12" x14ac:dyDescent="0.25">
      <c r="A5627" t="s">
        <v>487</v>
      </c>
      <c r="B5627" t="s">
        <v>465</v>
      </c>
      <c r="C5627" t="s">
        <v>478</v>
      </c>
      <c r="D5627" t="s">
        <v>399</v>
      </c>
      <c r="E5627" t="s">
        <v>401</v>
      </c>
      <c r="F5627">
        <v>1</v>
      </c>
      <c r="G5627" t="s">
        <v>488</v>
      </c>
      <c r="H5627" s="4">
        <v>15612151</v>
      </c>
      <c r="I5627" s="4">
        <v>11411581.198397348</v>
      </c>
      <c r="J5627" s="3">
        <v>0.26905772315439763</v>
      </c>
      <c r="K5627" s="3">
        <v>0.36809708738632857</v>
      </c>
      <c r="L5627" t="s">
        <v>377</v>
      </c>
    </row>
    <row r="5628" spans="1:12" x14ac:dyDescent="0.25">
      <c r="A5628" t="s">
        <v>487</v>
      </c>
      <c r="B5628" t="s">
        <v>465</v>
      </c>
      <c r="C5628" t="s">
        <v>478</v>
      </c>
      <c r="D5628" t="s">
        <v>399</v>
      </c>
      <c r="E5628" t="s">
        <v>401</v>
      </c>
      <c r="F5628">
        <v>1</v>
      </c>
      <c r="G5628" t="s">
        <v>498</v>
      </c>
      <c r="H5628" s="4">
        <v>15612151</v>
      </c>
      <c r="I5628" s="4">
        <v>10982257</v>
      </c>
      <c r="J5628" s="3">
        <v>0.29655708556751725</v>
      </c>
      <c r="K5628" s="3">
        <v>0.4215794622180122</v>
      </c>
      <c r="L5628" t="s">
        <v>377</v>
      </c>
    </row>
    <row r="5629" spans="1:12" x14ac:dyDescent="0.25">
      <c r="A5629" t="s">
        <v>487</v>
      </c>
      <c r="B5629" t="s">
        <v>465</v>
      </c>
      <c r="C5629" t="s">
        <v>478</v>
      </c>
      <c r="D5629" t="s">
        <v>399</v>
      </c>
      <c r="E5629" t="s">
        <v>401</v>
      </c>
      <c r="F5629">
        <v>1</v>
      </c>
      <c r="G5629" t="s">
        <v>499</v>
      </c>
      <c r="H5629" s="4">
        <v>15612151</v>
      </c>
      <c r="I5629" s="4">
        <v>17519943</v>
      </c>
      <c r="J5629" s="3">
        <v>0.1221991767822384</v>
      </c>
      <c r="K5629" s="3">
        <v>-0.10889259171676528</v>
      </c>
      <c r="L5629" t="s">
        <v>377</v>
      </c>
    </row>
    <row r="5630" spans="1:12" x14ac:dyDescent="0.25">
      <c r="A5630" t="s">
        <v>487</v>
      </c>
      <c r="B5630" t="s">
        <v>465</v>
      </c>
      <c r="C5630" t="s">
        <v>478</v>
      </c>
      <c r="D5630" t="s">
        <v>399</v>
      </c>
      <c r="E5630" t="s">
        <v>403</v>
      </c>
      <c r="F5630">
        <v>2</v>
      </c>
      <c r="G5630" t="s">
        <v>488</v>
      </c>
      <c r="H5630" s="4">
        <v>13187699</v>
      </c>
      <c r="I5630" s="4">
        <v>10963924.5505892</v>
      </c>
      <c r="J5630" s="3">
        <v>0.16862490184305842</v>
      </c>
      <c r="K5630" s="3">
        <v>0.20282650059747945</v>
      </c>
      <c r="L5630" t="s">
        <v>377</v>
      </c>
    </row>
    <row r="5631" spans="1:12" x14ac:dyDescent="0.25">
      <c r="A5631" t="s">
        <v>487</v>
      </c>
      <c r="B5631" t="s">
        <v>465</v>
      </c>
      <c r="C5631" t="s">
        <v>478</v>
      </c>
      <c r="D5631" t="s">
        <v>399</v>
      </c>
      <c r="E5631" t="s">
        <v>403</v>
      </c>
      <c r="F5631">
        <v>2</v>
      </c>
      <c r="G5631" t="s">
        <v>498</v>
      </c>
      <c r="H5631" s="4">
        <v>13187699</v>
      </c>
      <c r="I5631" s="4">
        <v>10551442</v>
      </c>
      <c r="J5631" s="3">
        <v>0.19990272753419683</v>
      </c>
      <c r="K5631" s="3">
        <v>0.2498480302502729</v>
      </c>
      <c r="L5631" t="s">
        <v>377</v>
      </c>
    </row>
    <row r="5632" spans="1:12" x14ac:dyDescent="0.25">
      <c r="A5632" t="s">
        <v>487</v>
      </c>
      <c r="B5632" t="s">
        <v>465</v>
      </c>
      <c r="C5632" t="s">
        <v>478</v>
      </c>
      <c r="D5632" t="s">
        <v>399</v>
      </c>
      <c r="E5632" t="s">
        <v>403</v>
      </c>
      <c r="F5632">
        <v>2</v>
      </c>
      <c r="G5632" t="s">
        <v>499</v>
      </c>
      <c r="H5632" s="4">
        <v>13187699</v>
      </c>
      <c r="I5632" s="4">
        <v>17519943</v>
      </c>
      <c r="J5632" s="3">
        <v>0.3285064361872378</v>
      </c>
      <c r="K5632" s="3">
        <v>-0.24727500540384179</v>
      </c>
      <c r="L5632" t="s">
        <v>377</v>
      </c>
    </row>
    <row r="5633" spans="1:12" x14ac:dyDescent="0.25">
      <c r="A5633" t="s">
        <v>487</v>
      </c>
      <c r="B5633" t="s">
        <v>465</v>
      </c>
      <c r="C5633" t="s">
        <v>478</v>
      </c>
      <c r="D5633" t="s">
        <v>399</v>
      </c>
      <c r="E5633" t="s">
        <v>405</v>
      </c>
      <c r="F5633">
        <v>3</v>
      </c>
      <c r="G5633" t="s">
        <v>488</v>
      </c>
      <c r="H5633" s="4">
        <v>15696643</v>
      </c>
      <c r="I5633" s="4">
        <v>11542848.718471985</v>
      </c>
      <c r="J5633" s="3">
        <v>0.26462946768477913</v>
      </c>
      <c r="K5633" s="3">
        <v>0.3598586781164957</v>
      </c>
      <c r="L5633" t="s">
        <v>377</v>
      </c>
    </row>
    <row r="5634" spans="1:12" x14ac:dyDescent="0.25">
      <c r="A5634" t="s">
        <v>487</v>
      </c>
      <c r="B5634" t="s">
        <v>465</v>
      </c>
      <c r="C5634" t="s">
        <v>478</v>
      </c>
      <c r="D5634" t="s">
        <v>399</v>
      </c>
      <c r="E5634" t="s">
        <v>405</v>
      </c>
      <c r="F5634">
        <v>3</v>
      </c>
      <c r="G5634" t="s">
        <v>498</v>
      </c>
      <c r="H5634" s="4">
        <v>15696643</v>
      </c>
      <c r="I5634" s="4">
        <v>11108586</v>
      </c>
      <c r="J5634" s="3">
        <v>0.29229542902899686</v>
      </c>
      <c r="K5634" s="3">
        <v>0.4130189926962802</v>
      </c>
      <c r="L5634" t="s">
        <v>377</v>
      </c>
    </row>
    <row r="5635" spans="1:12" x14ac:dyDescent="0.25">
      <c r="A5635" t="s">
        <v>487</v>
      </c>
      <c r="B5635" t="s">
        <v>465</v>
      </c>
      <c r="C5635" t="s">
        <v>478</v>
      </c>
      <c r="D5635" t="s">
        <v>399</v>
      </c>
      <c r="E5635" t="s">
        <v>405</v>
      </c>
      <c r="F5635">
        <v>3</v>
      </c>
      <c r="G5635" t="s">
        <v>499</v>
      </c>
      <c r="H5635" s="4">
        <v>15696643</v>
      </c>
      <c r="I5635" s="4">
        <v>17519943</v>
      </c>
      <c r="J5635" s="3">
        <v>0.11615859518497045</v>
      </c>
      <c r="K5635" s="3">
        <v>-0.10406997328701355</v>
      </c>
      <c r="L5635" t="s">
        <v>377</v>
      </c>
    </row>
    <row r="5636" spans="1:12" x14ac:dyDescent="0.25">
      <c r="A5636" t="s">
        <v>487</v>
      </c>
      <c r="B5636" t="s">
        <v>465</v>
      </c>
      <c r="C5636" t="s">
        <v>478</v>
      </c>
      <c r="D5636" t="s">
        <v>401</v>
      </c>
      <c r="E5636" t="s">
        <v>403</v>
      </c>
      <c r="F5636">
        <v>1</v>
      </c>
      <c r="G5636" t="s">
        <v>488</v>
      </c>
      <c r="H5636" s="4">
        <v>13187699</v>
      </c>
      <c r="I5636" s="4">
        <v>11460084.308667503</v>
      </c>
      <c r="J5636" s="3">
        <v>0.13100198081048836</v>
      </c>
      <c r="K5636" s="3">
        <v>0.1507506092277057</v>
      </c>
      <c r="L5636" t="s">
        <v>377</v>
      </c>
    </row>
    <row r="5637" spans="1:12" x14ac:dyDescent="0.25">
      <c r="A5637" t="s">
        <v>487</v>
      </c>
      <c r="B5637" t="s">
        <v>465</v>
      </c>
      <c r="C5637" t="s">
        <v>478</v>
      </c>
      <c r="D5637" t="s">
        <v>401</v>
      </c>
      <c r="E5637" t="s">
        <v>403</v>
      </c>
      <c r="F5637">
        <v>1</v>
      </c>
      <c r="G5637" t="s">
        <v>498</v>
      </c>
      <c r="H5637" s="4">
        <v>13187699</v>
      </c>
      <c r="I5637" s="4">
        <v>10551442</v>
      </c>
      <c r="J5637" s="3">
        <v>0.19990272753419683</v>
      </c>
      <c r="K5637" s="3">
        <v>0.2498480302502729</v>
      </c>
      <c r="L5637" t="s">
        <v>377</v>
      </c>
    </row>
    <row r="5638" spans="1:12" x14ac:dyDescent="0.25">
      <c r="A5638" t="s">
        <v>487</v>
      </c>
      <c r="B5638" t="s">
        <v>465</v>
      </c>
      <c r="C5638" t="s">
        <v>478</v>
      </c>
      <c r="D5638" t="s">
        <v>401</v>
      </c>
      <c r="E5638" t="s">
        <v>403</v>
      </c>
      <c r="F5638">
        <v>1</v>
      </c>
      <c r="G5638" t="s">
        <v>499</v>
      </c>
      <c r="H5638" s="4">
        <v>13187699</v>
      </c>
      <c r="I5638" s="4">
        <v>15612151</v>
      </c>
      <c r="J5638" s="3">
        <v>0.18384192723840603</v>
      </c>
      <c r="K5638" s="3">
        <v>-0.1552926307207764</v>
      </c>
      <c r="L5638" t="s">
        <v>377</v>
      </c>
    </row>
    <row r="5639" spans="1:12" x14ac:dyDescent="0.25">
      <c r="A5639" t="s">
        <v>487</v>
      </c>
      <c r="B5639" t="s">
        <v>465</v>
      </c>
      <c r="C5639" t="s">
        <v>478</v>
      </c>
      <c r="D5639" t="s">
        <v>401</v>
      </c>
      <c r="E5639" t="s">
        <v>405</v>
      </c>
      <c r="F5639">
        <v>2</v>
      </c>
      <c r="G5639" t="s">
        <v>488</v>
      </c>
      <c r="H5639" s="4">
        <v>15696643</v>
      </c>
      <c r="I5639" s="4">
        <v>12065207.021948611</v>
      </c>
      <c r="J5639" s="3">
        <v>0.23135112253310397</v>
      </c>
      <c r="K5639" s="3">
        <v>0.3009841415439623</v>
      </c>
      <c r="L5639" t="s">
        <v>377</v>
      </c>
    </row>
    <row r="5640" spans="1:12" x14ac:dyDescent="0.25">
      <c r="A5640" t="s">
        <v>487</v>
      </c>
      <c r="B5640" t="s">
        <v>465</v>
      </c>
      <c r="C5640" t="s">
        <v>478</v>
      </c>
      <c r="D5640" t="s">
        <v>401</v>
      </c>
      <c r="E5640" t="s">
        <v>405</v>
      </c>
      <c r="F5640">
        <v>2</v>
      </c>
      <c r="G5640" t="s">
        <v>498</v>
      </c>
      <c r="H5640" s="4">
        <v>15696643</v>
      </c>
      <c r="I5640" s="4">
        <v>11108586</v>
      </c>
      <c r="J5640" s="3">
        <v>0.29229542902899686</v>
      </c>
      <c r="K5640" s="3">
        <v>0.4130189926962802</v>
      </c>
      <c r="L5640" t="s">
        <v>377</v>
      </c>
    </row>
    <row r="5641" spans="1:12" x14ac:dyDescent="0.25">
      <c r="A5641" t="s">
        <v>487</v>
      </c>
      <c r="B5641" t="s">
        <v>465</v>
      </c>
      <c r="C5641" t="s">
        <v>478</v>
      </c>
      <c r="D5641" t="s">
        <v>401</v>
      </c>
      <c r="E5641" t="s">
        <v>405</v>
      </c>
      <c r="F5641">
        <v>2</v>
      </c>
      <c r="G5641" t="s">
        <v>499</v>
      </c>
      <c r="H5641" s="4">
        <v>15696643</v>
      </c>
      <c r="I5641" s="4">
        <v>15612151</v>
      </c>
      <c r="J5641" s="3">
        <v>0.005382807011664851</v>
      </c>
      <c r="K5641" s="3">
        <v>0.005411938431802254</v>
      </c>
      <c r="L5641" t="s">
        <v>377</v>
      </c>
    </row>
    <row r="5642" spans="1:12" x14ac:dyDescent="0.25">
      <c r="A5642" t="s">
        <v>487</v>
      </c>
      <c r="B5642" t="s">
        <v>465</v>
      </c>
      <c r="C5642" t="s">
        <v>478</v>
      </c>
      <c r="D5642" t="s">
        <v>401</v>
      </c>
      <c r="E5642" t="s">
        <v>407</v>
      </c>
      <c r="F5642">
        <v>3</v>
      </c>
      <c r="G5642" t="s">
        <v>488</v>
      </c>
      <c r="H5642" s="4">
        <v>15855066</v>
      </c>
      <c r="I5642" s="4">
        <v>13957604.64262871</v>
      </c>
      <c r="J5642" s="3">
        <v>0.11967539948249281</v>
      </c>
      <c r="K5642" s="3">
        <v>0.13594462702978025</v>
      </c>
      <c r="L5642" t="s">
        <v>377</v>
      </c>
    </row>
    <row r="5643" spans="1:12" x14ac:dyDescent="0.25">
      <c r="A5643" t="s">
        <v>487</v>
      </c>
      <c r="B5643" t="s">
        <v>465</v>
      </c>
      <c r="C5643" t="s">
        <v>478</v>
      </c>
      <c r="D5643" t="s">
        <v>401</v>
      </c>
      <c r="E5643" t="s">
        <v>407</v>
      </c>
      <c r="F5643">
        <v>3</v>
      </c>
      <c r="G5643" t="s">
        <v>498</v>
      </c>
      <c r="H5643" s="4">
        <v>15855066</v>
      </c>
      <c r="I5643" s="4">
        <v>12850940</v>
      </c>
      <c r="J5643" s="3">
        <v>0.1894742033871067</v>
      </c>
      <c r="K5643" s="3">
        <v>0.23376702404649</v>
      </c>
      <c r="L5643" t="s">
        <v>377</v>
      </c>
    </row>
    <row r="5644" spans="1:12" x14ac:dyDescent="0.25">
      <c r="A5644" t="s">
        <v>487</v>
      </c>
      <c r="B5644" t="s">
        <v>465</v>
      </c>
      <c r="C5644" t="s">
        <v>478</v>
      </c>
      <c r="D5644" t="s">
        <v>401</v>
      </c>
      <c r="E5644" t="s">
        <v>407</v>
      </c>
      <c r="F5644">
        <v>3</v>
      </c>
      <c r="G5644" t="s">
        <v>499</v>
      </c>
      <c r="H5644" s="4">
        <v>15855066</v>
      </c>
      <c r="I5644" s="4">
        <v>15612151</v>
      </c>
      <c r="J5644" s="3">
        <v>0.015320970597031889</v>
      </c>
      <c r="K5644" s="3">
        <v>0.015559355017767892</v>
      </c>
      <c r="L5644" t="s">
        <v>377</v>
      </c>
    </row>
    <row r="5645" spans="1:12" x14ac:dyDescent="0.25">
      <c r="A5645" t="s">
        <v>487</v>
      </c>
      <c r="B5645" t="s">
        <v>465</v>
      </c>
      <c r="C5645" t="s">
        <v>478</v>
      </c>
      <c r="D5645" t="s">
        <v>403</v>
      </c>
      <c r="E5645" t="s">
        <v>405</v>
      </c>
      <c r="F5645">
        <v>1</v>
      </c>
      <c r="G5645" t="s">
        <v>488</v>
      </c>
      <c r="H5645" s="4">
        <v>15696643</v>
      </c>
      <c r="I5645" s="4">
        <v>12404460.26010771</v>
      </c>
      <c r="J5645" s="3">
        <v>0.20973801467564057</v>
      </c>
      <c r="K5645" s="3">
        <v>0.26540314297106743</v>
      </c>
      <c r="L5645" t="s">
        <v>377</v>
      </c>
    </row>
    <row r="5646" spans="1:12" x14ac:dyDescent="0.25">
      <c r="A5646" t="s">
        <v>487</v>
      </c>
      <c r="B5646" t="s">
        <v>465</v>
      </c>
      <c r="C5646" t="s">
        <v>478</v>
      </c>
      <c r="D5646" t="s">
        <v>403</v>
      </c>
      <c r="E5646" t="s">
        <v>405</v>
      </c>
      <c r="F5646">
        <v>1</v>
      </c>
      <c r="G5646" t="s">
        <v>498</v>
      </c>
      <c r="H5646" s="4">
        <v>15696643</v>
      </c>
      <c r="I5646" s="4">
        <v>11108586</v>
      </c>
      <c r="J5646" s="3">
        <v>0.29229542902899686</v>
      </c>
      <c r="K5646" s="3">
        <v>0.4130189926962802</v>
      </c>
      <c r="L5646" t="s">
        <v>377</v>
      </c>
    </row>
    <row r="5647" spans="1:12" x14ac:dyDescent="0.25">
      <c r="A5647" t="s">
        <v>487</v>
      </c>
      <c r="B5647" t="s">
        <v>465</v>
      </c>
      <c r="C5647" t="s">
        <v>478</v>
      </c>
      <c r="D5647" t="s">
        <v>403</v>
      </c>
      <c r="E5647" t="s">
        <v>405</v>
      </c>
      <c r="F5647">
        <v>1</v>
      </c>
      <c r="G5647" t="s">
        <v>499</v>
      </c>
      <c r="H5647" s="4">
        <v>15696643</v>
      </c>
      <c r="I5647" s="4">
        <v>13187699</v>
      </c>
      <c r="J5647" s="3">
        <v>0.15983952747093758</v>
      </c>
      <c r="K5647" s="3">
        <v>0.19024880686160642</v>
      </c>
      <c r="L5647" t="s">
        <v>377</v>
      </c>
    </row>
    <row r="5648" spans="1:12" x14ac:dyDescent="0.25">
      <c r="A5648" t="s">
        <v>487</v>
      </c>
      <c r="B5648" t="s">
        <v>465</v>
      </c>
      <c r="C5648" t="s">
        <v>478</v>
      </c>
      <c r="D5648" t="s">
        <v>403</v>
      </c>
      <c r="E5648" t="s">
        <v>407</v>
      </c>
      <c r="F5648">
        <v>2</v>
      </c>
      <c r="G5648" t="s">
        <v>488</v>
      </c>
      <c r="H5648" s="4">
        <v>15855066</v>
      </c>
      <c r="I5648" s="4">
        <v>14350068.90481188</v>
      </c>
      <c r="J5648" s="3">
        <v>0.09492215896093528</v>
      </c>
      <c r="K5648" s="3">
        <v>0.10487734276198933</v>
      </c>
      <c r="L5648" t="s">
        <v>377</v>
      </c>
    </row>
    <row r="5649" spans="1:12" x14ac:dyDescent="0.25">
      <c r="A5649" t="s">
        <v>487</v>
      </c>
      <c r="B5649" t="s">
        <v>465</v>
      </c>
      <c r="C5649" t="s">
        <v>478</v>
      </c>
      <c r="D5649" t="s">
        <v>403</v>
      </c>
      <c r="E5649" t="s">
        <v>407</v>
      </c>
      <c r="F5649">
        <v>2</v>
      </c>
      <c r="G5649" t="s">
        <v>498</v>
      </c>
      <c r="H5649" s="4">
        <v>15855066</v>
      </c>
      <c r="I5649" s="4">
        <v>12850940</v>
      </c>
      <c r="J5649" s="3">
        <v>0.1894742033871067</v>
      </c>
      <c r="K5649" s="3">
        <v>0.23376702404649</v>
      </c>
      <c r="L5649" t="s">
        <v>377</v>
      </c>
    </row>
    <row r="5650" spans="1:12" x14ac:dyDescent="0.25">
      <c r="A5650" t="s">
        <v>487</v>
      </c>
      <c r="B5650" t="s">
        <v>465</v>
      </c>
      <c r="C5650" t="s">
        <v>478</v>
      </c>
      <c r="D5650" t="s">
        <v>403</v>
      </c>
      <c r="E5650" t="s">
        <v>407</v>
      </c>
      <c r="F5650">
        <v>2</v>
      </c>
      <c r="G5650" t="s">
        <v>499</v>
      </c>
      <c r="H5650" s="4">
        <v>15855066</v>
      </c>
      <c r="I5650" s="4">
        <v>13187699</v>
      </c>
      <c r="J5650" s="3">
        <v>0.16823436748859955</v>
      </c>
      <c r="K5650" s="3">
        <v>0.20226174406922692</v>
      </c>
      <c r="L5650" t="s">
        <v>377</v>
      </c>
    </row>
    <row r="5651" spans="1:12" x14ac:dyDescent="0.25">
      <c r="A5651" t="s">
        <v>487</v>
      </c>
      <c r="B5651" t="s">
        <v>465</v>
      </c>
      <c r="C5651" t="s">
        <v>478</v>
      </c>
      <c r="D5651" t="s">
        <v>403</v>
      </c>
      <c r="E5651" t="s">
        <v>409</v>
      </c>
      <c r="F5651">
        <v>3</v>
      </c>
      <c r="G5651" t="s">
        <v>488</v>
      </c>
      <c r="H5651" s="4">
        <v>18590121</v>
      </c>
      <c r="I5651" s="4">
        <v>14392880.348312633</v>
      </c>
      <c r="J5651" s="3">
        <v>0.2257780168126591</v>
      </c>
      <c r="K5651" s="3">
        <v>0.29161922770930526</v>
      </c>
      <c r="L5651" t="s">
        <v>377</v>
      </c>
    </row>
    <row r="5652" spans="1:12" x14ac:dyDescent="0.25">
      <c r="A5652" t="s">
        <v>487</v>
      </c>
      <c r="B5652" t="s">
        <v>465</v>
      </c>
      <c r="C5652" t="s">
        <v>478</v>
      </c>
      <c r="D5652" t="s">
        <v>403</v>
      </c>
      <c r="E5652" t="s">
        <v>409</v>
      </c>
      <c r="F5652">
        <v>3</v>
      </c>
      <c r="G5652" t="s">
        <v>498</v>
      </c>
      <c r="H5652" s="4">
        <v>18590121</v>
      </c>
      <c r="I5652" s="4">
        <v>12889279</v>
      </c>
      <c r="J5652" s="3">
        <v>0.3066597576207277</v>
      </c>
      <c r="K5652" s="3">
        <v>0.4422933198978779</v>
      </c>
      <c r="L5652" t="s">
        <v>377</v>
      </c>
    </row>
    <row r="5653" spans="1:12" x14ac:dyDescent="0.25">
      <c r="A5653" t="s">
        <v>487</v>
      </c>
      <c r="B5653" t="s">
        <v>465</v>
      </c>
      <c r="C5653" t="s">
        <v>478</v>
      </c>
      <c r="D5653" t="s">
        <v>403</v>
      </c>
      <c r="E5653" t="s">
        <v>409</v>
      </c>
      <c r="F5653">
        <v>3</v>
      </c>
      <c r="G5653" t="s">
        <v>499</v>
      </c>
      <c r="H5653" s="4">
        <v>18590121</v>
      </c>
      <c r="I5653" s="4">
        <v>13187699</v>
      </c>
      <c r="J5653" s="3">
        <v>0.2906071455909297</v>
      </c>
      <c r="K5653" s="3">
        <v>0.4096561500228357</v>
      </c>
      <c r="L5653" t="s">
        <v>377</v>
      </c>
    </row>
    <row r="5654" spans="1:12" x14ac:dyDescent="0.25">
      <c r="A5654" t="s">
        <v>487</v>
      </c>
      <c r="B5654" t="s">
        <v>465</v>
      </c>
      <c r="C5654" t="s">
        <v>478</v>
      </c>
      <c r="D5654" t="s">
        <v>405</v>
      </c>
      <c r="E5654" t="s">
        <v>407</v>
      </c>
      <c r="F5654">
        <v>1</v>
      </c>
      <c r="G5654" t="s">
        <v>488</v>
      </c>
      <c r="H5654" s="4">
        <v>15855066</v>
      </c>
      <c r="I5654" s="4">
        <v>15024358.965144403</v>
      </c>
      <c r="J5654" s="3">
        <v>0.05239379229677106</v>
      </c>
      <c r="K5654" s="3">
        <v>0.05529068073937706</v>
      </c>
      <c r="L5654" t="s">
        <v>377</v>
      </c>
    </row>
    <row r="5655" spans="1:12" x14ac:dyDescent="0.25">
      <c r="A5655" t="s">
        <v>487</v>
      </c>
      <c r="B5655" t="s">
        <v>465</v>
      </c>
      <c r="C5655" t="s">
        <v>478</v>
      </c>
      <c r="D5655" t="s">
        <v>405</v>
      </c>
      <c r="E5655" t="s">
        <v>407</v>
      </c>
      <c r="F5655">
        <v>1</v>
      </c>
      <c r="G5655" t="s">
        <v>498</v>
      </c>
      <c r="H5655" s="4">
        <v>15855066</v>
      </c>
      <c r="I5655" s="4">
        <v>12850940</v>
      </c>
      <c r="J5655" s="3">
        <v>0.1894742033871067</v>
      </c>
      <c r="K5655" s="3">
        <v>0.23376702404649</v>
      </c>
      <c r="L5655" t="s">
        <v>377</v>
      </c>
    </row>
    <row r="5656" spans="1:12" x14ac:dyDescent="0.25">
      <c r="A5656" t="s">
        <v>487</v>
      </c>
      <c r="B5656" t="s">
        <v>465</v>
      </c>
      <c r="C5656" t="s">
        <v>478</v>
      </c>
      <c r="D5656" t="s">
        <v>405</v>
      </c>
      <c r="E5656" t="s">
        <v>407</v>
      </c>
      <c r="F5656">
        <v>1</v>
      </c>
      <c r="G5656" t="s">
        <v>499</v>
      </c>
      <c r="H5656" s="4">
        <v>15855066</v>
      </c>
      <c r="I5656" s="4">
        <v>15696643</v>
      </c>
      <c r="J5656" s="3">
        <v>0.009991948314816224</v>
      </c>
      <c r="K5656" s="3">
        <v>0.010092795000816416</v>
      </c>
      <c r="L5656" t="s">
        <v>377</v>
      </c>
    </row>
    <row r="5657" spans="1:12" x14ac:dyDescent="0.25">
      <c r="A5657" t="s">
        <v>487</v>
      </c>
      <c r="B5657" t="s">
        <v>465</v>
      </c>
      <c r="C5657" t="s">
        <v>478</v>
      </c>
      <c r="D5657" t="s">
        <v>405</v>
      </c>
      <c r="E5657" t="s">
        <v>409</v>
      </c>
      <c r="F5657">
        <v>2</v>
      </c>
      <c r="G5657" t="s">
        <v>488</v>
      </c>
      <c r="H5657" s="4">
        <v>18590121</v>
      </c>
      <c r="I5657" s="4">
        <v>15069182.059670147</v>
      </c>
      <c r="J5657" s="3">
        <v>0.18939838747310217</v>
      </c>
      <c r="K5657" s="3">
        <v>0.23365162929134617</v>
      </c>
      <c r="L5657" t="s">
        <v>377</v>
      </c>
    </row>
    <row r="5658" spans="1:12" x14ac:dyDescent="0.25">
      <c r="A5658" t="s">
        <v>487</v>
      </c>
      <c r="B5658" t="s">
        <v>465</v>
      </c>
      <c r="C5658" t="s">
        <v>478</v>
      </c>
      <c r="D5658" t="s">
        <v>405</v>
      </c>
      <c r="E5658" t="s">
        <v>409</v>
      </c>
      <c r="F5658">
        <v>2</v>
      </c>
      <c r="G5658" t="s">
        <v>498</v>
      </c>
      <c r="H5658" s="4">
        <v>18590121</v>
      </c>
      <c r="I5658" s="4">
        <v>12889279</v>
      </c>
      <c r="J5658" s="3">
        <v>0.3066597576207277</v>
      </c>
      <c r="K5658" s="3">
        <v>0.4422933198978779</v>
      </c>
      <c r="L5658" t="s">
        <v>377</v>
      </c>
    </row>
    <row r="5659" spans="1:12" x14ac:dyDescent="0.25">
      <c r="A5659" t="s">
        <v>487</v>
      </c>
      <c r="B5659" t="s">
        <v>465</v>
      </c>
      <c r="C5659" t="s">
        <v>478</v>
      </c>
      <c r="D5659" t="s">
        <v>405</v>
      </c>
      <c r="E5659" t="s">
        <v>409</v>
      </c>
      <c r="F5659">
        <v>2</v>
      </c>
      <c r="G5659" t="s">
        <v>499</v>
      </c>
      <c r="H5659" s="4">
        <v>18590121</v>
      </c>
      <c r="I5659" s="4">
        <v>15696643</v>
      </c>
      <c r="J5659" s="3">
        <v>0.15564600144345483</v>
      </c>
      <c r="K5659" s="3">
        <v>0.18433737710668452</v>
      </c>
      <c r="L5659" t="s">
        <v>377</v>
      </c>
    </row>
    <row r="5660" spans="1:12" x14ac:dyDescent="0.25">
      <c r="A5660" t="s">
        <v>487</v>
      </c>
      <c r="B5660" t="s">
        <v>465</v>
      </c>
      <c r="C5660" t="s">
        <v>478</v>
      </c>
      <c r="D5660" t="s">
        <v>405</v>
      </c>
      <c r="E5660" t="s">
        <v>411</v>
      </c>
      <c r="F5660">
        <v>3</v>
      </c>
      <c r="G5660" t="s">
        <v>488</v>
      </c>
      <c r="H5660" s="4">
        <v>16284646</v>
      </c>
      <c r="I5660" s="4">
        <v>15627999.397063425</v>
      </c>
      <c r="J5660" s="3">
        <v>0.04032305049410194</v>
      </c>
      <c r="K5660" s="3">
        <v>0.04201731688446073</v>
      </c>
      <c r="L5660" t="s">
        <v>377</v>
      </c>
    </row>
    <row r="5661" spans="1:12" x14ac:dyDescent="0.25">
      <c r="A5661" t="s">
        <v>487</v>
      </c>
      <c r="B5661" t="s">
        <v>465</v>
      </c>
      <c r="C5661" t="s">
        <v>478</v>
      </c>
      <c r="D5661" t="s">
        <v>405</v>
      </c>
      <c r="E5661" t="s">
        <v>411</v>
      </c>
      <c r="F5661">
        <v>3</v>
      </c>
      <c r="G5661" t="s">
        <v>498</v>
      </c>
      <c r="H5661" s="4">
        <v>16284646</v>
      </c>
      <c r="I5661" s="4">
        <v>13367258</v>
      </c>
      <c r="J5661" s="3">
        <v>0.1791496112350247</v>
      </c>
      <c r="K5661" s="3">
        <v>0.21824879866910626</v>
      </c>
      <c r="L5661" t="s">
        <v>377</v>
      </c>
    </row>
    <row r="5662" spans="1:12" x14ac:dyDescent="0.25">
      <c r="A5662" t="s">
        <v>487</v>
      </c>
      <c r="B5662" t="s">
        <v>465</v>
      </c>
      <c r="C5662" t="s">
        <v>478</v>
      </c>
      <c r="D5662" t="s">
        <v>405</v>
      </c>
      <c r="E5662" t="s">
        <v>411</v>
      </c>
      <c r="F5662">
        <v>3</v>
      </c>
      <c r="G5662" t="s">
        <v>499</v>
      </c>
      <c r="H5662" s="4">
        <v>16284646</v>
      </c>
      <c r="I5662" s="4">
        <v>15696643</v>
      </c>
      <c r="J5662" s="3">
        <v>0.03610781591445095</v>
      </c>
      <c r="K5662" s="3">
        <v>0.037460430233394494</v>
      </c>
      <c r="L5662" t="s">
        <v>377</v>
      </c>
    </row>
    <row r="5663" spans="1:12" x14ac:dyDescent="0.25">
      <c r="A5663" t="s">
        <v>487</v>
      </c>
      <c r="B5663" t="s">
        <v>465</v>
      </c>
      <c r="C5663" t="s">
        <v>478</v>
      </c>
      <c r="D5663" t="s">
        <v>407</v>
      </c>
      <c r="E5663" t="s">
        <v>409</v>
      </c>
      <c r="F5663">
        <v>1</v>
      </c>
      <c r="G5663" t="s">
        <v>488</v>
      </c>
      <c r="H5663" s="4">
        <v>18590121</v>
      </c>
      <c r="I5663" s="4">
        <v>15315107.835946547</v>
      </c>
      <c r="J5663" s="3">
        <v>0.17616954532213389</v>
      </c>
      <c r="K5663" s="3">
        <v>0.21384199178582158</v>
      </c>
      <c r="L5663" t="s">
        <v>377</v>
      </c>
    </row>
    <row r="5664" spans="1:12" x14ac:dyDescent="0.25">
      <c r="A5664" t="s">
        <v>487</v>
      </c>
      <c r="B5664" t="s">
        <v>465</v>
      </c>
      <c r="C5664" t="s">
        <v>478</v>
      </c>
      <c r="D5664" t="s">
        <v>407</v>
      </c>
      <c r="E5664" t="s">
        <v>409</v>
      </c>
      <c r="F5664">
        <v>1</v>
      </c>
      <c r="G5664" t="s">
        <v>498</v>
      </c>
      <c r="H5664" s="4">
        <v>18590121</v>
      </c>
      <c r="I5664" s="4">
        <v>12889279</v>
      </c>
      <c r="J5664" s="3">
        <v>0.3066597576207277</v>
      </c>
      <c r="K5664" s="3">
        <v>0.4422933198978779</v>
      </c>
      <c r="L5664" t="s">
        <v>377</v>
      </c>
    </row>
    <row r="5665" spans="1:12" x14ac:dyDescent="0.25">
      <c r="A5665" t="s">
        <v>487</v>
      </c>
      <c r="B5665" t="s">
        <v>465</v>
      </c>
      <c r="C5665" t="s">
        <v>478</v>
      </c>
      <c r="D5665" t="s">
        <v>407</v>
      </c>
      <c r="E5665" t="s">
        <v>409</v>
      </c>
      <c r="F5665">
        <v>1</v>
      </c>
      <c r="G5665" t="s">
        <v>499</v>
      </c>
      <c r="H5665" s="4">
        <v>18590121</v>
      </c>
      <c r="I5665" s="4">
        <v>15855066</v>
      </c>
      <c r="J5665" s="3">
        <v>0.14712410962790398</v>
      </c>
      <c r="K5665" s="3">
        <v>0.17250353924732953</v>
      </c>
      <c r="L5665" t="s">
        <v>377</v>
      </c>
    </row>
    <row r="5666" spans="1:12" x14ac:dyDescent="0.25">
      <c r="A5666" t="s">
        <v>487</v>
      </c>
      <c r="B5666" t="s">
        <v>465</v>
      </c>
      <c r="C5666" t="s">
        <v>478</v>
      </c>
      <c r="D5666" t="s">
        <v>407</v>
      </c>
      <c r="E5666" t="s">
        <v>411</v>
      </c>
      <c r="F5666">
        <v>2</v>
      </c>
      <c r="G5666" t="s">
        <v>488</v>
      </c>
      <c r="H5666" s="4">
        <v>16284646</v>
      </c>
      <c r="I5666" s="4">
        <v>15883044.950840088</v>
      </c>
      <c r="J5666" s="3">
        <v>0.02466133124170537</v>
      </c>
      <c r="K5666" s="3">
        <v>0.02528489029672304</v>
      </c>
      <c r="L5666" t="s">
        <v>377</v>
      </c>
    </row>
    <row r="5667" spans="1:12" x14ac:dyDescent="0.25">
      <c r="A5667" t="s">
        <v>487</v>
      </c>
      <c r="B5667" t="s">
        <v>465</v>
      </c>
      <c r="C5667" t="s">
        <v>478</v>
      </c>
      <c r="D5667" t="s">
        <v>407</v>
      </c>
      <c r="E5667" t="s">
        <v>411</v>
      </c>
      <c r="F5667">
        <v>2</v>
      </c>
      <c r="G5667" t="s">
        <v>498</v>
      </c>
      <c r="H5667" s="4">
        <v>16284646</v>
      </c>
      <c r="I5667" s="4">
        <v>13367258</v>
      </c>
      <c r="J5667" s="3">
        <v>0.1791496112350247</v>
      </c>
      <c r="K5667" s="3">
        <v>0.21824879866910626</v>
      </c>
      <c r="L5667" t="s">
        <v>377</v>
      </c>
    </row>
    <row r="5668" spans="1:12" x14ac:dyDescent="0.25">
      <c r="A5668" t="s">
        <v>487</v>
      </c>
      <c r="B5668" t="s">
        <v>465</v>
      </c>
      <c r="C5668" t="s">
        <v>478</v>
      </c>
      <c r="D5668" t="s">
        <v>407</v>
      </c>
      <c r="E5668" t="s">
        <v>411</v>
      </c>
      <c r="F5668">
        <v>2</v>
      </c>
      <c r="G5668" t="s">
        <v>499</v>
      </c>
      <c r="H5668" s="4">
        <v>16284646</v>
      </c>
      <c r="I5668" s="4">
        <v>15855066</v>
      </c>
      <c r="J5668" s="3">
        <v>0.026379449697586304</v>
      </c>
      <c r="K5668" s="3">
        <v>0.02709417923583541</v>
      </c>
      <c r="L5668" t="s">
        <v>377</v>
      </c>
    </row>
    <row r="5669" spans="1:12" x14ac:dyDescent="0.25">
      <c r="A5669" t="s">
        <v>487</v>
      </c>
      <c r="B5669" t="s">
        <v>465</v>
      </c>
      <c r="C5669" t="s">
        <v>478</v>
      </c>
      <c r="D5669" t="s">
        <v>407</v>
      </c>
      <c r="E5669" t="s">
        <v>413</v>
      </c>
      <c r="F5669">
        <v>3</v>
      </c>
      <c r="G5669" t="s">
        <v>488</v>
      </c>
      <c r="H5669" s="4">
        <v>19573302</v>
      </c>
      <c r="I5669" s="4">
        <v>19206379.93065927</v>
      </c>
      <c r="J5669" s="3">
        <v>0.018746048537989564</v>
      </c>
      <c r="K5669" s="3">
        <v>0.019104176355222886</v>
      </c>
      <c r="L5669" t="s">
        <v>377</v>
      </c>
    </row>
    <row r="5670" spans="1:12" x14ac:dyDescent="0.25">
      <c r="A5670" t="s">
        <v>487</v>
      </c>
      <c r="B5670" t="s">
        <v>465</v>
      </c>
      <c r="C5670" t="s">
        <v>478</v>
      </c>
      <c r="D5670" t="s">
        <v>407</v>
      </c>
      <c r="E5670" t="s">
        <v>413</v>
      </c>
      <c r="F5670">
        <v>3</v>
      </c>
      <c r="G5670" t="s">
        <v>498</v>
      </c>
      <c r="H5670" s="4">
        <v>19573302</v>
      </c>
      <c r="I5670" s="4">
        <v>16164195</v>
      </c>
      <c r="J5670" s="3">
        <v>0.17417127677282046</v>
      </c>
      <c r="K5670" s="3">
        <v>0.21090484246199703</v>
      </c>
      <c r="L5670" t="s">
        <v>377</v>
      </c>
    </row>
    <row r="5671" spans="1:12" x14ac:dyDescent="0.25">
      <c r="A5671" t="s">
        <v>487</v>
      </c>
      <c r="B5671" t="s">
        <v>465</v>
      </c>
      <c r="C5671" t="s">
        <v>478</v>
      </c>
      <c r="D5671" t="s">
        <v>407</v>
      </c>
      <c r="E5671" t="s">
        <v>413</v>
      </c>
      <c r="F5671">
        <v>3</v>
      </c>
      <c r="G5671" t="s">
        <v>499</v>
      </c>
      <c r="H5671" s="4">
        <v>19573302</v>
      </c>
      <c r="I5671" s="4">
        <v>15855066</v>
      </c>
      <c r="J5671" s="3">
        <v>0.18996467739577103</v>
      </c>
      <c r="K5671" s="3">
        <v>0.23451406635582595</v>
      </c>
      <c r="L5671" t="s">
        <v>377</v>
      </c>
    </row>
    <row r="5672" spans="1:12" x14ac:dyDescent="0.25">
      <c r="A5672" t="s">
        <v>487</v>
      </c>
      <c r="B5672" t="s">
        <v>465</v>
      </c>
      <c r="C5672" t="s">
        <v>478</v>
      </c>
      <c r="D5672" t="s">
        <v>409</v>
      </c>
      <c r="E5672" t="s">
        <v>411</v>
      </c>
      <c r="F5672">
        <v>1</v>
      </c>
      <c r="G5672" t="s">
        <v>488</v>
      </c>
      <c r="H5672" s="4">
        <v>16284646</v>
      </c>
      <c r="I5672" s="4">
        <v>16354702.130714562</v>
      </c>
      <c r="J5672" s="3">
        <v>0.0043019744312871025</v>
      </c>
      <c r="K5672" s="3">
        <v>-0.004283546722810349</v>
      </c>
      <c r="L5672" t="s">
        <v>377</v>
      </c>
    </row>
    <row r="5673" spans="1:12" x14ac:dyDescent="0.25">
      <c r="A5673" t="s">
        <v>487</v>
      </c>
      <c r="B5673" t="s">
        <v>465</v>
      </c>
      <c r="C5673" t="s">
        <v>478</v>
      </c>
      <c r="D5673" t="s">
        <v>409</v>
      </c>
      <c r="E5673" t="s">
        <v>411</v>
      </c>
      <c r="F5673">
        <v>1</v>
      </c>
      <c r="G5673" t="s">
        <v>498</v>
      </c>
      <c r="H5673" s="4">
        <v>16284646</v>
      </c>
      <c r="I5673" s="4">
        <v>13367258</v>
      </c>
      <c r="J5673" s="3">
        <v>0.1791496112350247</v>
      </c>
      <c r="K5673" s="3">
        <v>0.21824879866910626</v>
      </c>
      <c r="L5673" t="s">
        <v>377</v>
      </c>
    </row>
    <row r="5674" spans="1:12" x14ac:dyDescent="0.25">
      <c r="A5674" t="s">
        <v>487</v>
      </c>
      <c r="B5674" t="s">
        <v>465</v>
      </c>
      <c r="C5674" t="s">
        <v>478</v>
      </c>
      <c r="D5674" t="s">
        <v>409</v>
      </c>
      <c r="E5674" t="s">
        <v>411</v>
      </c>
      <c r="F5674">
        <v>1</v>
      </c>
      <c r="G5674" t="s">
        <v>499</v>
      </c>
      <c r="H5674" s="4">
        <v>16284646</v>
      </c>
      <c r="I5674" s="4">
        <v>18590121</v>
      </c>
      <c r="J5674" s="3">
        <v>0.1415735411135127</v>
      </c>
      <c r="K5674" s="3">
        <v>-0.1240161373882397</v>
      </c>
      <c r="L5674" t="s">
        <v>377</v>
      </c>
    </row>
    <row r="5675" spans="1:12" x14ac:dyDescent="0.25">
      <c r="A5675" t="s">
        <v>487</v>
      </c>
      <c r="B5675" t="s">
        <v>465</v>
      </c>
      <c r="C5675" t="s">
        <v>478</v>
      </c>
      <c r="D5675" t="s">
        <v>409</v>
      </c>
      <c r="E5675" t="s">
        <v>413</v>
      </c>
      <c r="F5675">
        <v>2</v>
      </c>
      <c r="G5675" t="s">
        <v>488</v>
      </c>
      <c r="H5675" s="4">
        <v>19573302</v>
      </c>
      <c r="I5675" s="4">
        <v>19776725.66862895</v>
      </c>
      <c r="J5675" s="3">
        <v>0.01039291523877523</v>
      </c>
      <c r="K5675" s="3">
        <v>-0.010286013571580897</v>
      </c>
      <c r="L5675" t="s">
        <v>377</v>
      </c>
    </row>
    <row r="5676" spans="1:12" x14ac:dyDescent="0.25">
      <c r="A5676" t="s">
        <v>487</v>
      </c>
      <c r="B5676" t="s">
        <v>465</v>
      </c>
      <c r="C5676" t="s">
        <v>478</v>
      </c>
      <c r="D5676" t="s">
        <v>409</v>
      </c>
      <c r="E5676" t="s">
        <v>413</v>
      </c>
      <c r="F5676">
        <v>2</v>
      </c>
      <c r="G5676" t="s">
        <v>498</v>
      </c>
      <c r="H5676" s="4">
        <v>19573302</v>
      </c>
      <c r="I5676" s="4">
        <v>16164195</v>
      </c>
      <c r="J5676" s="3">
        <v>0.17417127677282046</v>
      </c>
      <c r="K5676" s="3">
        <v>0.21090484246199703</v>
      </c>
      <c r="L5676" t="s">
        <v>377</v>
      </c>
    </row>
    <row r="5677" spans="1:12" x14ac:dyDescent="0.25">
      <c r="A5677" t="s">
        <v>487</v>
      </c>
      <c r="B5677" t="s">
        <v>465</v>
      </c>
      <c r="C5677" t="s">
        <v>478</v>
      </c>
      <c r="D5677" t="s">
        <v>409</v>
      </c>
      <c r="E5677" t="s">
        <v>413</v>
      </c>
      <c r="F5677">
        <v>2</v>
      </c>
      <c r="G5677" t="s">
        <v>499</v>
      </c>
      <c r="H5677" s="4">
        <v>19573302</v>
      </c>
      <c r="I5677" s="4">
        <v>18590121</v>
      </c>
      <c r="J5677" s="3">
        <v>0.05023071733118919</v>
      </c>
      <c r="K5677" s="3">
        <v>0.052887283520101885</v>
      </c>
      <c r="L5677" t="s">
        <v>377</v>
      </c>
    </row>
    <row r="5678" spans="1:12" x14ac:dyDescent="0.25">
      <c r="A5678" t="s">
        <v>487</v>
      </c>
      <c r="B5678" t="s">
        <v>465</v>
      </c>
      <c r="C5678" t="s">
        <v>478</v>
      </c>
      <c r="D5678" t="s">
        <v>409</v>
      </c>
      <c r="E5678" t="s">
        <v>415</v>
      </c>
      <c r="F5678">
        <v>3</v>
      </c>
      <c r="G5678" t="s">
        <v>488</v>
      </c>
      <c r="H5678" s="4">
        <v>12426492</v>
      </c>
      <c r="I5678" s="4">
        <v>17485640.92818796</v>
      </c>
      <c r="J5678" s="3">
        <v>0.4071260761434489</v>
      </c>
      <c r="K5678" s="3">
        <v>-0.28933162638792903</v>
      </c>
      <c r="L5678" t="s">
        <v>377</v>
      </c>
    </row>
    <row r="5679" spans="1:12" x14ac:dyDescent="0.25">
      <c r="A5679" t="s">
        <v>487</v>
      </c>
      <c r="B5679" t="s">
        <v>465</v>
      </c>
      <c r="C5679" t="s">
        <v>478</v>
      </c>
      <c r="D5679" t="s">
        <v>409</v>
      </c>
      <c r="E5679" t="s">
        <v>415</v>
      </c>
      <c r="F5679">
        <v>3</v>
      </c>
      <c r="G5679" t="s">
        <v>498</v>
      </c>
      <c r="H5679" s="4">
        <v>12426492</v>
      </c>
      <c r="I5679" s="4">
        <v>14291613</v>
      </c>
      <c r="J5679" s="3">
        <v>0.15009231889418187</v>
      </c>
      <c r="K5679" s="3">
        <v>-0.13050458335248794</v>
      </c>
      <c r="L5679" t="s">
        <v>377</v>
      </c>
    </row>
    <row r="5680" spans="1:12" x14ac:dyDescent="0.25">
      <c r="A5680" t="s">
        <v>487</v>
      </c>
      <c r="B5680" t="s">
        <v>465</v>
      </c>
      <c r="C5680" t="s">
        <v>478</v>
      </c>
      <c r="D5680" t="s">
        <v>409</v>
      </c>
      <c r="E5680" t="s">
        <v>415</v>
      </c>
      <c r="F5680">
        <v>3</v>
      </c>
      <c r="G5680" t="s">
        <v>499</v>
      </c>
      <c r="H5680" s="4">
        <v>12426492</v>
      </c>
      <c r="I5680" s="4">
        <v>18590121</v>
      </c>
      <c r="J5680" s="3">
        <v>0.49600715954269314</v>
      </c>
      <c r="K5680" s="3">
        <v>-0.33155400118159534</v>
      </c>
      <c r="L5680" t="s">
        <v>377</v>
      </c>
    </row>
    <row r="5681" spans="1:12" x14ac:dyDescent="0.25">
      <c r="A5681" t="s">
        <v>487</v>
      </c>
      <c r="B5681" t="s">
        <v>465</v>
      </c>
      <c r="C5681" t="s">
        <v>478</v>
      </c>
      <c r="D5681" t="s">
        <v>411</v>
      </c>
      <c r="E5681" t="s">
        <v>413</v>
      </c>
      <c r="F5681">
        <v>1</v>
      </c>
      <c r="G5681" t="s">
        <v>488</v>
      </c>
      <c r="H5681" s="4">
        <v>19573302</v>
      </c>
      <c r="I5681" s="4">
        <v>20025104.548111722</v>
      </c>
      <c r="J5681" s="3">
        <v>0.023082592201955597</v>
      </c>
      <c r="K5681" s="3">
        <v>-0.022561807206860494</v>
      </c>
      <c r="L5681" t="s">
        <v>377</v>
      </c>
    </row>
    <row r="5682" spans="1:12" x14ac:dyDescent="0.25">
      <c r="A5682" t="s">
        <v>487</v>
      </c>
      <c r="B5682" t="s">
        <v>465</v>
      </c>
      <c r="C5682" t="s">
        <v>478</v>
      </c>
      <c r="D5682" t="s">
        <v>411</v>
      </c>
      <c r="E5682" t="s">
        <v>413</v>
      </c>
      <c r="F5682">
        <v>1</v>
      </c>
      <c r="G5682" t="s">
        <v>498</v>
      </c>
      <c r="H5682" s="4">
        <v>19573302</v>
      </c>
      <c r="I5682" s="4">
        <v>16164195</v>
      </c>
      <c r="J5682" s="3">
        <v>0.17417127677282046</v>
      </c>
      <c r="K5682" s="3">
        <v>0.21090484246199703</v>
      </c>
      <c r="L5682" t="s">
        <v>377</v>
      </c>
    </row>
    <row r="5683" spans="1:12" x14ac:dyDescent="0.25">
      <c r="A5683" t="s">
        <v>487</v>
      </c>
      <c r="B5683" t="s">
        <v>465</v>
      </c>
      <c r="C5683" t="s">
        <v>478</v>
      </c>
      <c r="D5683" t="s">
        <v>411</v>
      </c>
      <c r="E5683" t="s">
        <v>413</v>
      </c>
      <c r="F5683">
        <v>1</v>
      </c>
      <c r="G5683" t="s">
        <v>499</v>
      </c>
      <c r="H5683" s="4">
        <v>19573302</v>
      </c>
      <c r="I5683" s="4">
        <v>16284646</v>
      </c>
      <c r="J5683" s="3">
        <v>0.1680174351777743</v>
      </c>
      <c r="K5683" s="3">
        <v>0.20194826464142973</v>
      </c>
      <c r="L5683" t="s">
        <v>377</v>
      </c>
    </row>
    <row r="5684" spans="1:12" x14ac:dyDescent="0.25">
      <c r="A5684" t="s">
        <v>487</v>
      </c>
      <c r="B5684" t="s">
        <v>465</v>
      </c>
      <c r="C5684" t="s">
        <v>478</v>
      </c>
      <c r="D5684" t="s">
        <v>411</v>
      </c>
      <c r="E5684" t="s">
        <v>415</v>
      </c>
      <c r="F5684">
        <v>2</v>
      </c>
      <c r="G5684" t="s">
        <v>488</v>
      </c>
      <c r="H5684" s="4">
        <v>12426492</v>
      </c>
      <c r="I5684" s="4">
        <v>17705245.72898017</v>
      </c>
      <c r="J5684" s="3">
        <v>0.42479838469136494</v>
      </c>
      <c r="K5684" s="3">
        <v>-0.2981463126682189</v>
      </c>
      <c r="L5684" t="s">
        <v>377</v>
      </c>
    </row>
    <row r="5685" spans="1:12" x14ac:dyDescent="0.25">
      <c r="A5685" t="s">
        <v>487</v>
      </c>
      <c r="B5685" t="s">
        <v>465</v>
      </c>
      <c r="C5685" t="s">
        <v>478</v>
      </c>
      <c r="D5685" t="s">
        <v>411</v>
      </c>
      <c r="E5685" t="s">
        <v>415</v>
      </c>
      <c r="F5685">
        <v>2</v>
      </c>
      <c r="G5685" t="s">
        <v>498</v>
      </c>
      <c r="H5685" s="4">
        <v>12426492</v>
      </c>
      <c r="I5685" s="4">
        <v>14291613</v>
      </c>
      <c r="J5685" s="3">
        <v>0.15009231889418187</v>
      </c>
      <c r="K5685" s="3">
        <v>-0.13050458335248794</v>
      </c>
      <c r="L5685" t="s">
        <v>377</v>
      </c>
    </row>
    <row r="5686" spans="1:12" x14ac:dyDescent="0.25">
      <c r="A5686" t="s">
        <v>487</v>
      </c>
      <c r="B5686" t="s">
        <v>465</v>
      </c>
      <c r="C5686" t="s">
        <v>478</v>
      </c>
      <c r="D5686" t="s">
        <v>411</v>
      </c>
      <c r="E5686" t="s">
        <v>415</v>
      </c>
      <c r="F5686">
        <v>2</v>
      </c>
      <c r="G5686" t="s">
        <v>499</v>
      </c>
      <c r="H5686" s="4">
        <v>12426492</v>
      </c>
      <c r="I5686" s="4">
        <v>16284646</v>
      </c>
      <c r="J5686" s="3">
        <v>0.3104781301110563</v>
      </c>
      <c r="K5686" s="3">
        <v>-0.23691973408571484</v>
      </c>
      <c r="L5686" t="s">
        <v>377</v>
      </c>
    </row>
    <row r="5687" spans="1:12" x14ac:dyDescent="0.25">
      <c r="A5687" t="s">
        <v>487</v>
      </c>
      <c r="B5687" t="s">
        <v>465</v>
      </c>
      <c r="C5687" t="s">
        <v>478</v>
      </c>
      <c r="D5687" t="s">
        <v>411</v>
      </c>
      <c r="E5687" t="s">
        <v>417</v>
      </c>
      <c r="F5687">
        <v>3</v>
      </c>
      <c r="G5687" t="s">
        <v>488</v>
      </c>
      <c r="H5687" s="4">
        <v>15918962</v>
      </c>
      <c r="I5687" s="4">
        <v>18658246.599086963</v>
      </c>
      <c r="J5687" s="3">
        <v>0.17207683510312813</v>
      </c>
      <c r="K5687" s="3">
        <v>-0.14681361319455435</v>
      </c>
      <c r="L5687" t="s">
        <v>377</v>
      </c>
    </row>
    <row r="5688" spans="1:12" x14ac:dyDescent="0.25">
      <c r="A5688" t="s">
        <v>487</v>
      </c>
      <c r="B5688" t="s">
        <v>465</v>
      </c>
      <c r="C5688" t="s">
        <v>478</v>
      </c>
      <c r="D5688" t="s">
        <v>411</v>
      </c>
      <c r="E5688" t="s">
        <v>417</v>
      </c>
      <c r="F5688">
        <v>3</v>
      </c>
      <c r="G5688" t="s">
        <v>498</v>
      </c>
      <c r="H5688" s="4">
        <v>15918962</v>
      </c>
      <c r="I5688" s="4">
        <v>15060872</v>
      </c>
      <c r="J5688" s="3">
        <v>0.05390364019965623</v>
      </c>
      <c r="K5688" s="3">
        <v>0.05697478871077319</v>
      </c>
      <c r="L5688" t="s">
        <v>377</v>
      </c>
    </row>
    <row r="5689" spans="1:12" x14ac:dyDescent="0.25">
      <c r="A5689" t="s">
        <v>487</v>
      </c>
      <c r="B5689" t="s">
        <v>465</v>
      </c>
      <c r="C5689" t="s">
        <v>478</v>
      </c>
      <c r="D5689" t="s">
        <v>411</v>
      </c>
      <c r="E5689" t="s">
        <v>417</v>
      </c>
      <c r="F5689">
        <v>3</v>
      </c>
      <c r="G5689" t="s">
        <v>499</v>
      </c>
      <c r="H5689" s="4">
        <v>15918962</v>
      </c>
      <c r="I5689" s="4">
        <v>16284646</v>
      </c>
      <c r="J5689" s="3">
        <v>0.02297159827380705</v>
      </c>
      <c r="K5689" s="3">
        <v>-0.022455753720406327</v>
      </c>
      <c r="L5689" t="s">
        <v>377</v>
      </c>
    </row>
    <row r="5690" spans="1:12" x14ac:dyDescent="0.25">
      <c r="A5690" t="s">
        <v>487</v>
      </c>
      <c r="B5690" t="s">
        <v>465</v>
      </c>
      <c r="C5690" t="s">
        <v>478</v>
      </c>
      <c r="D5690" t="s">
        <v>413</v>
      </c>
      <c r="E5690" t="s">
        <v>415</v>
      </c>
      <c r="F5690">
        <v>1</v>
      </c>
      <c r="G5690" t="s">
        <v>488</v>
      </c>
      <c r="H5690" s="4">
        <v>12426492</v>
      </c>
      <c r="I5690" s="4">
        <v>17751462.50586585</v>
      </c>
      <c r="J5690" s="3">
        <v>0.42851759819793467</v>
      </c>
      <c r="K5690" s="3">
        <v>-0.2999736221230363</v>
      </c>
      <c r="L5690" t="s">
        <v>377</v>
      </c>
    </row>
    <row r="5691" spans="1:12" x14ac:dyDescent="0.25">
      <c r="A5691" t="s">
        <v>487</v>
      </c>
      <c r="B5691" t="s">
        <v>465</v>
      </c>
      <c r="C5691" t="s">
        <v>478</v>
      </c>
      <c r="D5691" t="s">
        <v>413</v>
      </c>
      <c r="E5691" t="s">
        <v>415</v>
      </c>
      <c r="F5691">
        <v>1</v>
      </c>
      <c r="G5691" t="s">
        <v>498</v>
      </c>
      <c r="H5691" s="4">
        <v>12426492</v>
      </c>
      <c r="I5691" s="4">
        <v>14291613</v>
      </c>
      <c r="J5691" s="3">
        <v>0.15009231889418187</v>
      </c>
      <c r="K5691" s="3">
        <v>-0.13050458335248794</v>
      </c>
      <c r="L5691" t="s">
        <v>377</v>
      </c>
    </row>
    <row r="5692" spans="1:12" x14ac:dyDescent="0.25">
      <c r="A5692" t="s">
        <v>487</v>
      </c>
      <c r="B5692" t="s">
        <v>465</v>
      </c>
      <c r="C5692" t="s">
        <v>478</v>
      </c>
      <c r="D5692" t="s">
        <v>413</v>
      </c>
      <c r="E5692" t="s">
        <v>415</v>
      </c>
      <c r="F5692">
        <v>1</v>
      </c>
      <c r="G5692" t="s">
        <v>499</v>
      </c>
      <c r="H5692" s="4">
        <v>12426492</v>
      </c>
      <c r="I5692" s="4">
        <v>19573302</v>
      </c>
      <c r="J5692" s="3">
        <v>0.5751269143375298</v>
      </c>
      <c r="K5692" s="3">
        <v>-0.36513052319940703</v>
      </c>
      <c r="L5692" t="s">
        <v>377</v>
      </c>
    </row>
    <row r="5693" spans="1:12" x14ac:dyDescent="0.25">
      <c r="A5693" t="s">
        <v>487</v>
      </c>
      <c r="B5693" t="s">
        <v>465</v>
      </c>
      <c r="C5693" t="s">
        <v>478</v>
      </c>
      <c r="D5693" t="s">
        <v>413</v>
      </c>
      <c r="E5693" t="s">
        <v>417</v>
      </c>
      <c r="F5693">
        <v>2</v>
      </c>
      <c r="G5693" t="s">
        <v>488</v>
      </c>
      <c r="H5693" s="4">
        <v>15918962</v>
      </c>
      <c r="I5693" s="4">
        <v>18706951.03580294</v>
      </c>
      <c r="J5693" s="3">
        <v>0.17513635850144887</v>
      </c>
      <c r="K5693" s="3">
        <v>-0.1490349245297672</v>
      </c>
      <c r="L5693" t="s">
        <v>377</v>
      </c>
    </row>
    <row r="5694" spans="1:12" x14ac:dyDescent="0.25">
      <c r="A5694" t="s">
        <v>487</v>
      </c>
      <c r="B5694" t="s">
        <v>465</v>
      </c>
      <c r="C5694" t="s">
        <v>478</v>
      </c>
      <c r="D5694" t="s">
        <v>413</v>
      </c>
      <c r="E5694" t="s">
        <v>417</v>
      </c>
      <c r="F5694">
        <v>2</v>
      </c>
      <c r="G5694" t="s">
        <v>498</v>
      </c>
      <c r="H5694" s="4">
        <v>15918962</v>
      </c>
      <c r="I5694" s="4">
        <v>15060872</v>
      </c>
      <c r="J5694" s="3">
        <v>0.05390364019965623</v>
      </c>
      <c r="K5694" s="3">
        <v>0.05697478871077319</v>
      </c>
      <c r="L5694" t="s">
        <v>377</v>
      </c>
    </row>
    <row r="5695" spans="1:12" x14ac:dyDescent="0.25">
      <c r="A5695" t="s">
        <v>487</v>
      </c>
      <c r="B5695" t="s">
        <v>465</v>
      </c>
      <c r="C5695" t="s">
        <v>478</v>
      </c>
      <c r="D5695" t="s">
        <v>413</v>
      </c>
      <c r="E5695" t="s">
        <v>417</v>
      </c>
      <c r="F5695">
        <v>2</v>
      </c>
      <c r="G5695" t="s">
        <v>499</v>
      </c>
      <c r="H5695" s="4">
        <v>15918962</v>
      </c>
      <c r="I5695" s="4">
        <v>19573302</v>
      </c>
      <c r="J5695" s="3">
        <v>0.22955893732267216</v>
      </c>
      <c r="K5695" s="3">
        <v>-0.1867002307530942</v>
      </c>
      <c r="L5695" t="s">
        <v>377</v>
      </c>
    </row>
    <row r="5696" spans="1:12" x14ac:dyDescent="0.25">
      <c r="A5696" t="s">
        <v>487</v>
      </c>
      <c r="B5696" t="s">
        <v>465</v>
      </c>
      <c r="C5696" t="s">
        <v>478</v>
      </c>
      <c r="D5696" t="s">
        <v>413</v>
      </c>
      <c r="E5696" t="s">
        <v>419</v>
      </c>
      <c r="F5696">
        <v>3</v>
      </c>
      <c r="G5696" t="s">
        <v>488</v>
      </c>
      <c r="H5696" s="4">
        <v>13282359</v>
      </c>
      <c r="I5696" s="4">
        <v>14974452.202149458</v>
      </c>
      <c r="J5696" s="3">
        <v>0.1273940270812932</v>
      </c>
      <c r="K5696" s="3">
        <v>-0.11299867129073157</v>
      </c>
      <c r="L5696" t="s">
        <v>377</v>
      </c>
    </row>
    <row r="5697" spans="1:12" x14ac:dyDescent="0.25">
      <c r="A5697" t="s">
        <v>487</v>
      </c>
      <c r="B5697" t="s">
        <v>465</v>
      </c>
      <c r="C5697" t="s">
        <v>478</v>
      </c>
      <c r="D5697" t="s">
        <v>413</v>
      </c>
      <c r="E5697" t="s">
        <v>419</v>
      </c>
      <c r="F5697">
        <v>3</v>
      </c>
      <c r="G5697" t="s">
        <v>498</v>
      </c>
      <c r="H5697" s="4">
        <v>13282359</v>
      </c>
      <c r="I5697" s="4">
        <v>12055856</v>
      </c>
      <c r="J5697" s="3">
        <v>0.09234075061515805</v>
      </c>
      <c r="K5697" s="3">
        <v>0.10173504063087681</v>
      </c>
      <c r="L5697" t="s">
        <v>377</v>
      </c>
    </row>
    <row r="5698" spans="1:12" x14ac:dyDescent="0.25">
      <c r="A5698" t="s">
        <v>487</v>
      </c>
      <c r="B5698" t="s">
        <v>465</v>
      </c>
      <c r="C5698" t="s">
        <v>478</v>
      </c>
      <c r="D5698" t="s">
        <v>413</v>
      </c>
      <c r="E5698" t="s">
        <v>419</v>
      </c>
      <c r="F5698">
        <v>3</v>
      </c>
      <c r="G5698" t="s">
        <v>499</v>
      </c>
      <c r="H5698" s="4">
        <v>13282359</v>
      </c>
      <c r="I5698" s="4">
        <v>19573302</v>
      </c>
      <c r="J5698" s="3">
        <v>0.47363145356935465</v>
      </c>
      <c r="K5698" s="3">
        <v>-0.3214042781335515</v>
      </c>
      <c r="L5698" t="s">
        <v>377</v>
      </c>
    </row>
    <row r="5699" spans="1:12" x14ac:dyDescent="0.25">
      <c r="A5699" t="s">
        <v>487</v>
      </c>
      <c r="B5699" t="s">
        <v>465</v>
      </c>
      <c r="C5699" t="s">
        <v>478</v>
      </c>
      <c r="D5699" t="s">
        <v>415</v>
      </c>
      <c r="E5699" t="s">
        <v>417</v>
      </c>
      <c r="F5699">
        <v>1</v>
      </c>
      <c r="G5699" t="s">
        <v>488</v>
      </c>
      <c r="H5699" s="4">
        <v>15918962</v>
      </c>
      <c r="I5699" s="4">
        <v>18585545.97885936</v>
      </c>
      <c r="J5699" s="3">
        <v>0.1675099154617846</v>
      </c>
      <c r="K5699" s="3">
        <v>-0.14347622512099134</v>
      </c>
      <c r="L5699" t="s">
        <v>377</v>
      </c>
    </row>
    <row r="5700" spans="1:12" x14ac:dyDescent="0.25">
      <c r="A5700" t="s">
        <v>487</v>
      </c>
      <c r="B5700" t="s">
        <v>465</v>
      </c>
      <c r="C5700" t="s">
        <v>478</v>
      </c>
      <c r="D5700" t="s">
        <v>415</v>
      </c>
      <c r="E5700" t="s">
        <v>417</v>
      </c>
      <c r="F5700">
        <v>1</v>
      </c>
      <c r="G5700" t="s">
        <v>498</v>
      </c>
      <c r="H5700" s="4">
        <v>15918962</v>
      </c>
      <c r="I5700" s="4">
        <v>15060872</v>
      </c>
      <c r="J5700" s="3">
        <v>0.05390364019965623</v>
      </c>
      <c r="K5700" s="3">
        <v>0.05697478871077319</v>
      </c>
      <c r="L5700" t="s">
        <v>377</v>
      </c>
    </row>
    <row r="5701" spans="1:12" x14ac:dyDescent="0.25">
      <c r="A5701" t="s">
        <v>487</v>
      </c>
      <c r="B5701" t="s">
        <v>465</v>
      </c>
      <c r="C5701" t="s">
        <v>478</v>
      </c>
      <c r="D5701" t="s">
        <v>415</v>
      </c>
      <c r="E5701" t="s">
        <v>417</v>
      </c>
      <c r="F5701">
        <v>1</v>
      </c>
      <c r="G5701" t="s">
        <v>499</v>
      </c>
      <c r="H5701" s="4">
        <v>15918962</v>
      </c>
      <c r="I5701" s="4">
        <v>12426492</v>
      </c>
      <c r="J5701" s="3">
        <v>0.21939056076646204</v>
      </c>
      <c r="K5701" s="3">
        <v>0.2810503559653038</v>
      </c>
      <c r="L5701" t="s">
        <v>377</v>
      </c>
    </row>
    <row r="5702" spans="1:12" x14ac:dyDescent="0.25">
      <c r="A5702" t="s">
        <v>487</v>
      </c>
      <c r="B5702" t="s">
        <v>465</v>
      </c>
      <c r="C5702" t="s">
        <v>478</v>
      </c>
      <c r="D5702" t="s">
        <v>415</v>
      </c>
      <c r="E5702" t="s">
        <v>419</v>
      </c>
      <c r="F5702">
        <v>2</v>
      </c>
      <c r="G5702" t="s">
        <v>488</v>
      </c>
      <c r="H5702" s="4">
        <v>13282359</v>
      </c>
      <c r="I5702" s="4">
        <v>14877270.453032698</v>
      </c>
      <c r="J5702" s="3">
        <v>0.12007742397511605</v>
      </c>
      <c r="K5702" s="3">
        <v>-0.10720457479534355</v>
      </c>
      <c r="L5702" t="s">
        <v>377</v>
      </c>
    </row>
    <row r="5703" spans="1:12" x14ac:dyDescent="0.25">
      <c r="A5703" t="s">
        <v>487</v>
      </c>
      <c r="B5703" t="s">
        <v>465</v>
      </c>
      <c r="C5703" t="s">
        <v>478</v>
      </c>
      <c r="D5703" t="s">
        <v>415</v>
      </c>
      <c r="E5703" t="s">
        <v>419</v>
      </c>
      <c r="F5703">
        <v>2</v>
      </c>
      <c r="G5703" t="s">
        <v>498</v>
      </c>
      <c r="H5703" s="4">
        <v>13282359</v>
      </c>
      <c r="I5703" s="4">
        <v>12055856</v>
      </c>
      <c r="J5703" s="3">
        <v>0.09234075061515805</v>
      </c>
      <c r="K5703" s="3">
        <v>0.10173504063087681</v>
      </c>
      <c r="L5703" t="s">
        <v>377</v>
      </c>
    </row>
    <row r="5704" spans="1:12" x14ac:dyDescent="0.25">
      <c r="A5704" t="s">
        <v>487</v>
      </c>
      <c r="B5704" t="s">
        <v>465</v>
      </c>
      <c r="C5704" t="s">
        <v>478</v>
      </c>
      <c r="D5704" t="s">
        <v>415</v>
      </c>
      <c r="E5704" t="s">
        <v>419</v>
      </c>
      <c r="F5704">
        <v>2</v>
      </c>
      <c r="G5704" t="s">
        <v>499</v>
      </c>
      <c r="H5704" s="4">
        <v>13282359</v>
      </c>
      <c r="I5704" s="4">
        <v>12426492</v>
      </c>
      <c r="J5704" s="3">
        <v>0.0644363700755265</v>
      </c>
      <c r="K5704" s="3">
        <v>0.06887438546614764</v>
      </c>
      <c r="L5704" t="s">
        <v>377</v>
      </c>
    </row>
    <row r="5705" spans="1:12" x14ac:dyDescent="0.25">
      <c r="A5705" t="s">
        <v>487</v>
      </c>
      <c r="B5705" t="s">
        <v>465</v>
      </c>
      <c r="C5705" t="s">
        <v>478</v>
      </c>
      <c r="D5705" t="s">
        <v>415</v>
      </c>
      <c r="E5705" t="s">
        <v>421</v>
      </c>
      <c r="F5705">
        <v>3</v>
      </c>
      <c r="G5705" t="s">
        <v>488</v>
      </c>
      <c r="H5705" s="4">
        <v>14402441</v>
      </c>
      <c r="I5705" s="4">
        <v>19932595.497534316</v>
      </c>
      <c r="J5705" s="3">
        <v>0.38397341794591044</v>
      </c>
      <c r="K5705" s="3">
        <v>-0.2774427694686526</v>
      </c>
      <c r="L5705" t="s">
        <v>377</v>
      </c>
    </row>
    <row r="5706" spans="1:12" x14ac:dyDescent="0.25">
      <c r="A5706" t="s">
        <v>487</v>
      </c>
      <c r="B5706" t="s">
        <v>465</v>
      </c>
      <c r="C5706" t="s">
        <v>478</v>
      </c>
      <c r="D5706" t="s">
        <v>415</v>
      </c>
      <c r="E5706" t="s">
        <v>421</v>
      </c>
      <c r="F5706">
        <v>3</v>
      </c>
      <c r="G5706" t="s">
        <v>498</v>
      </c>
      <c r="H5706" s="4">
        <v>14402441</v>
      </c>
      <c r="I5706" s="4">
        <v>16152459</v>
      </c>
      <c r="J5706" s="3">
        <v>0.12150843041120599</v>
      </c>
      <c r="K5706" s="3">
        <v>-0.10834375125174439</v>
      </c>
      <c r="L5706" t="s">
        <v>377</v>
      </c>
    </row>
    <row r="5707" spans="1:12" x14ac:dyDescent="0.25">
      <c r="A5707" t="s">
        <v>487</v>
      </c>
      <c r="B5707" t="s">
        <v>465</v>
      </c>
      <c r="C5707" t="s">
        <v>478</v>
      </c>
      <c r="D5707" t="s">
        <v>415</v>
      </c>
      <c r="E5707" t="s">
        <v>421</v>
      </c>
      <c r="F5707">
        <v>3</v>
      </c>
      <c r="G5707" t="s">
        <v>499</v>
      </c>
      <c r="H5707" s="4">
        <v>14402441</v>
      </c>
      <c r="I5707" s="4">
        <v>12426492</v>
      </c>
      <c r="J5707" s="3">
        <v>0.1371954240256912</v>
      </c>
      <c r="K5707" s="3">
        <v>0.159011006485177</v>
      </c>
      <c r="L5707" t="s">
        <v>377</v>
      </c>
    </row>
    <row r="5708" spans="1:12" x14ac:dyDescent="0.25">
      <c r="A5708" t="s">
        <v>487</v>
      </c>
      <c r="B5708" t="s">
        <v>465</v>
      </c>
      <c r="C5708" t="s">
        <v>478</v>
      </c>
      <c r="D5708" t="s">
        <v>417</v>
      </c>
      <c r="E5708" t="s">
        <v>419</v>
      </c>
      <c r="F5708">
        <v>1</v>
      </c>
      <c r="G5708" t="s">
        <v>488</v>
      </c>
      <c r="H5708" s="4">
        <v>13282359</v>
      </c>
      <c r="I5708" s="4">
        <v>14702272.900550617</v>
      </c>
      <c r="J5708" s="3">
        <v>0.10690223781412751</v>
      </c>
      <c r="K5708" s="3">
        <v>-0.09657784957164273</v>
      </c>
      <c r="L5708" t="s">
        <v>377</v>
      </c>
    </row>
    <row r="5709" spans="1:12" x14ac:dyDescent="0.25">
      <c r="A5709" t="s">
        <v>487</v>
      </c>
      <c r="B5709" t="s">
        <v>465</v>
      </c>
      <c r="C5709" t="s">
        <v>478</v>
      </c>
      <c r="D5709" t="s">
        <v>417</v>
      </c>
      <c r="E5709" t="s">
        <v>419</v>
      </c>
      <c r="F5709">
        <v>1</v>
      </c>
      <c r="G5709" t="s">
        <v>498</v>
      </c>
      <c r="H5709" s="4">
        <v>13282359</v>
      </c>
      <c r="I5709" s="4">
        <v>12055856</v>
      </c>
      <c r="J5709" s="3">
        <v>0.09234075061515805</v>
      </c>
      <c r="K5709" s="3">
        <v>0.10173504063087681</v>
      </c>
      <c r="L5709" t="s">
        <v>377</v>
      </c>
    </row>
    <row r="5710" spans="1:12" x14ac:dyDescent="0.25">
      <c r="A5710" t="s">
        <v>487</v>
      </c>
      <c r="B5710" t="s">
        <v>465</v>
      </c>
      <c r="C5710" t="s">
        <v>478</v>
      </c>
      <c r="D5710" t="s">
        <v>417</v>
      </c>
      <c r="E5710" t="s">
        <v>419</v>
      </c>
      <c r="F5710">
        <v>1</v>
      </c>
      <c r="G5710" t="s">
        <v>499</v>
      </c>
      <c r="H5710" s="4">
        <v>13282359</v>
      </c>
      <c r="I5710" s="4">
        <v>15918962</v>
      </c>
      <c r="J5710" s="3">
        <v>0.19850412114293853</v>
      </c>
      <c r="K5710" s="3">
        <v>-0.16562656535017797</v>
      </c>
      <c r="L5710" t="s">
        <v>377</v>
      </c>
    </row>
    <row r="5711" spans="1:12" x14ac:dyDescent="0.25">
      <c r="A5711" t="s">
        <v>487</v>
      </c>
      <c r="B5711" t="s">
        <v>465</v>
      </c>
      <c r="C5711" t="s">
        <v>478</v>
      </c>
      <c r="D5711" t="s">
        <v>417</v>
      </c>
      <c r="E5711" t="s">
        <v>421</v>
      </c>
      <c r="F5711">
        <v>2</v>
      </c>
      <c r="G5711" t="s">
        <v>488</v>
      </c>
      <c r="H5711" s="4">
        <v>14402441</v>
      </c>
      <c r="I5711" s="4">
        <v>19698133.440956406</v>
      </c>
      <c r="J5711" s="3">
        <v>0.3676940902557008</v>
      </c>
      <c r="K5711" s="3">
        <v>-0.2688423477701491</v>
      </c>
      <c r="L5711" t="s">
        <v>377</v>
      </c>
    </row>
    <row r="5712" spans="1:12" x14ac:dyDescent="0.25">
      <c r="A5712" t="s">
        <v>487</v>
      </c>
      <c r="B5712" t="s">
        <v>465</v>
      </c>
      <c r="C5712" t="s">
        <v>478</v>
      </c>
      <c r="D5712" t="s">
        <v>417</v>
      </c>
      <c r="E5712" t="s">
        <v>421</v>
      </c>
      <c r="F5712">
        <v>2</v>
      </c>
      <c r="G5712" t="s">
        <v>498</v>
      </c>
      <c r="H5712" s="4">
        <v>14402441</v>
      </c>
      <c r="I5712" s="4">
        <v>16152459</v>
      </c>
      <c r="J5712" s="3">
        <v>0.12150843041120599</v>
      </c>
      <c r="K5712" s="3">
        <v>-0.10834375125174439</v>
      </c>
      <c r="L5712" t="s">
        <v>377</v>
      </c>
    </row>
    <row r="5713" spans="1:12" x14ac:dyDescent="0.25">
      <c r="A5713" t="s">
        <v>487</v>
      </c>
      <c r="B5713" t="s">
        <v>465</v>
      </c>
      <c r="C5713" t="s">
        <v>478</v>
      </c>
      <c r="D5713" t="s">
        <v>417</v>
      </c>
      <c r="E5713" t="s">
        <v>421</v>
      </c>
      <c r="F5713">
        <v>2</v>
      </c>
      <c r="G5713" t="s">
        <v>499</v>
      </c>
      <c r="H5713" s="4">
        <v>14402441</v>
      </c>
      <c r="I5713" s="4">
        <v>15918962</v>
      </c>
      <c r="J5713" s="3">
        <v>0.10529610918038129</v>
      </c>
      <c r="K5713" s="3">
        <v>-0.09526506816210756</v>
      </c>
      <c r="L5713" t="s">
        <v>377</v>
      </c>
    </row>
    <row r="5714" spans="1:12" x14ac:dyDescent="0.25">
      <c r="A5714" t="s">
        <v>487</v>
      </c>
      <c r="B5714" t="s">
        <v>465</v>
      </c>
      <c r="C5714" t="s">
        <v>478</v>
      </c>
      <c r="D5714" t="s">
        <v>417</v>
      </c>
      <c r="E5714" t="s">
        <v>423</v>
      </c>
      <c r="F5714">
        <v>3</v>
      </c>
      <c r="G5714" t="s">
        <v>488</v>
      </c>
      <c r="H5714" s="4">
        <v>15904811</v>
      </c>
      <c r="I5714" s="4">
        <v>21365797.931568816</v>
      </c>
      <c r="J5714" s="3">
        <v>0.34335440588189425</v>
      </c>
      <c r="K5714" s="3">
        <v>-0.25559480385705563</v>
      </c>
      <c r="L5714" t="s">
        <v>377</v>
      </c>
    </row>
    <row r="5715" spans="1:12" x14ac:dyDescent="0.25">
      <c r="A5715" t="s">
        <v>487</v>
      </c>
      <c r="B5715" t="s">
        <v>465</v>
      </c>
      <c r="C5715" t="s">
        <v>478</v>
      </c>
      <c r="D5715" t="s">
        <v>417</v>
      </c>
      <c r="E5715" t="s">
        <v>423</v>
      </c>
      <c r="F5715">
        <v>3</v>
      </c>
      <c r="G5715" t="s">
        <v>498</v>
      </c>
      <c r="H5715" s="4">
        <v>15904811</v>
      </c>
      <c r="I5715" s="4">
        <v>17519943</v>
      </c>
      <c r="J5715" s="3">
        <v>0.1015499021019489</v>
      </c>
      <c r="K5715" s="3">
        <v>-0.09218819947074029</v>
      </c>
      <c r="L5715" t="s">
        <v>377</v>
      </c>
    </row>
    <row r="5716" spans="1:12" x14ac:dyDescent="0.25">
      <c r="A5716" t="s">
        <v>487</v>
      </c>
      <c r="B5716" t="s">
        <v>465</v>
      </c>
      <c r="C5716" t="s">
        <v>478</v>
      </c>
      <c r="D5716" t="s">
        <v>417</v>
      </c>
      <c r="E5716" t="s">
        <v>423</v>
      </c>
      <c r="F5716">
        <v>3</v>
      </c>
      <c r="G5716" t="s">
        <v>499</v>
      </c>
      <c r="H5716" s="4">
        <v>15904811</v>
      </c>
      <c r="I5716" s="4">
        <v>15918962</v>
      </c>
      <c r="J5716" s="3">
        <v>0.000889730786489698</v>
      </c>
      <c r="K5716" s="3">
        <v>-0.0008889398693206253</v>
      </c>
      <c r="L5716" t="s">
        <v>377</v>
      </c>
    </row>
    <row r="5717" spans="1:12" x14ac:dyDescent="0.25">
      <c r="A5717" t="s">
        <v>487</v>
      </c>
      <c r="B5717" t="s">
        <v>465</v>
      </c>
      <c r="C5717" t="s">
        <v>478</v>
      </c>
      <c r="D5717" t="s">
        <v>419</v>
      </c>
      <c r="E5717" t="s">
        <v>421</v>
      </c>
      <c r="F5717">
        <v>1</v>
      </c>
      <c r="G5717" t="s">
        <v>488</v>
      </c>
      <c r="H5717" s="4">
        <v>14402441</v>
      </c>
      <c r="I5717" s="4">
        <v>19869740.244192526</v>
      </c>
      <c r="J5717" s="3">
        <v>0.3796092095911051</v>
      </c>
      <c r="K5717" s="3">
        <v>-0.2751570567607442</v>
      </c>
      <c r="L5717" t="s">
        <v>377</v>
      </c>
    </row>
    <row r="5718" spans="1:12" x14ac:dyDescent="0.25">
      <c r="A5718" t="s">
        <v>487</v>
      </c>
      <c r="B5718" t="s">
        <v>465</v>
      </c>
      <c r="C5718" t="s">
        <v>478</v>
      </c>
      <c r="D5718" t="s">
        <v>419</v>
      </c>
      <c r="E5718" t="s">
        <v>421</v>
      </c>
      <c r="F5718">
        <v>1</v>
      </c>
      <c r="G5718" t="s">
        <v>498</v>
      </c>
      <c r="H5718" s="4">
        <v>14402441</v>
      </c>
      <c r="I5718" s="4">
        <v>16152459</v>
      </c>
      <c r="J5718" s="3">
        <v>0.12150843041120599</v>
      </c>
      <c r="K5718" s="3">
        <v>-0.10834375125174439</v>
      </c>
      <c r="L5718" t="s">
        <v>377</v>
      </c>
    </row>
    <row r="5719" spans="1:12" x14ac:dyDescent="0.25">
      <c r="A5719" t="s">
        <v>487</v>
      </c>
      <c r="B5719" t="s">
        <v>465</v>
      </c>
      <c r="C5719" t="s">
        <v>478</v>
      </c>
      <c r="D5719" t="s">
        <v>419</v>
      </c>
      <c r="E5719" t="s">
        <v>421</v>
      </c>
      <c r="F5719">
        <v>1</v>
      </c>
      <c r="G5719" t="s">
        <v>499</v>
      </c>
      <c r="H5719" s="4">
        <v>14402441</v>
      </c>
      <c r="I5719" s="4">
        <v>13282359</v>
      </c>
      <c r="J5719" s="3">
        <v>0.07777028907808059</v>
      </c>
      <c r="K5719" s="3">
        <v>0.08432854434968969</v>
      </c>
      <c r="L5719" t="s">
        <v>377</v>
      </c>
    </row>
    <row r="5720" spans="1:12" x14ac:dyDescent="0.25">
      <c r="A5720" t="s">
        <v>487</v>
      </c>
      <c r="B5720" t="s">
        <v>465</v>
      </c>
      <c r="C5720" t="s">
        <v>478</v>
      </c>
      <c r="D5720" t="s">
        <v>419</v>
      </c>
      <c r="E5720" t="s">
        <v>423</v>
      </c>
      <c r="F5720">
        <v>2</v>
      </c>
      <c r="G5720" t="s">
        <v>488</v>
      </c>
      <c r="H5720" s="4">
        <v>15904811</v>
      </c>
      <c r="I5720" s="4">
        <v>21551933.145477053</v>
      </c>
      <c r="J5720" s="3">
        <v>0.355057482008246</v>
      </c>
      <c r="K5720" s="3">
        <v>-0.26202392645516226</v>
      </c>
      <c r="L5720" t="s">
        <v>377</v>
      </c>
    </row>
    <row r="5721" spans="1:12" x14ac:dyDescent="0.25">
      <c r="A5721" t="s">
        <v>487</v>
      </c>
      <c r="B5721" t="s">
        <v>465</v>
      </c>
      <c r="C5721" t="s">
        <v>478</v>
      </c>
      <c r="D5721" t="s">
        <v>419</v>
      </c>
      <c r="E5721" t="s">
        <v>423</v>
      </c>
      <c r="F5721">
        <v>2</v>
      </c>
      <c r="G5721" t="s">
        <v>498</v>
      </c>
      <c r="H5721" s="4">
        <v>15904811</v>
      </c>
      <c r="I5721" s="4">
        <v>17519943</v>
      </c>
      <c r="J5721" s="3">
        <v>0.1015499021019489</v>
      </c>
      <c r="K5721" s="3">
        <v>-0.09218819947074029</v>
      </c>
      <c r="L5721" t="s">
        <v>377</v>
      </c>
    </row>
    <row r="5722" spans="1:12" x14ac:dyDescent="0.25">
      <c r="A5722" t="s">
        <v>487</v>
      </c>
      <c r="B5722" t="s">
        <v>465</v>
      </c>
      <c r="C5722" t="s">
        <v>478</v>
      </c>
      <c r="D5722" t="s">
        <v>419</v>
      </c>
      <c r="E5722" t="s">
        <v>423</v>
      </c>
      <c r="F5722">
        <v>2</v>
      </c>
      <c r="G5722" t="s">
        <v>499</v>
      </c>
      <c r="H5722" s="4">
        <v>15904811</v>
      </c>
      <c r="I5722" s="4">
        <v>13282359</v>
      </c>
      <c r="J5722" s="3">
        <v>0.16488419761794088</v>
      </c>
      <c r="K5722" s="3">
        <v>0.19743872304610952</v>
      </c>
      <c r="L5722" t="s">
        <v>377</v>
      </c>
    </row>
    <row r="5723" spans="1:12" x14ac:dyDescent="0.25">
      <c r="A5723" t="s">
        <v>487</v>
      </c>
      <c r="B5723" t="s">
        <v>465</v>
      </c>
      <c r="C5723" t="s">
        <v>478</v>
      </c>
      <c r="D5723" t="s">
        <v>419</v>
      </c>
      <c r="E5723" t="s">
        <v>425</v>
      </c>
      <c r="F5723">
        <v>3</v>
      </c>
      <c r="G5723" t="s">
        <v>488</v>
      </c>
      <c r="H5723" s="4">
        <v>15761908</v>
      </c>
      <c r="I5723" s="4">
        <v>19205087.2887596</v>
      </c>
      <c r="J5723" s="3">
        <v>0.21844939640299896</v>
      </c>
      <c r="K5723" s="3">
        <v>-0.17928475080531567</v>
      </c>
      <c r="L5723" t="s">
        <v>377</v>
      </c>
    </row>
    <row r="5724" spans="1:12" x14ac:dyDescent="0.25">
      <c r="A5724" t="s">
        <v>487</v>
      </c>
      <c r="B5724" t="s">
        <v>465</v>
      </c>
      <c r="C5724" t="s">
        <v>478</v>
      </c>
      <c r="D5724" t="s">
        <v>419</v>
      </c>
      <c r="E5724" t="s">
        <v>425</v>
      </c>
      <c r="F5724">
        <v>3</v>
      </c>
      <c r="G5724" t="s">
        <v>498</v>
      </c>
      <c r="H5724" s="4">
        <v>15761908</v>
      </c>
      <c r="I5724" s="4">
        <v>15612151</v>
      </c>
      <c r="J5724" s="3">
        <v>0.00950119744386276</v>
      </c>
      <c r="K5724" s="3">
        <v>0.009592336123318305</v>
      </c>
      <c r="L5724" t="s">
        <v>377</v>
      </c>
    </row>
    <row r="5725" spans="1:12" x14ac:dyDescent="0.25">
      <c r="A5725" t="s">
        <v>487</v>
      </c>
      <c r="B5725" t="s">
        <v>465</v>
      </c>
      <c r="C5725" t="s">
        <v>478</v>
      </c>
      <c r="D5725" t="s">
        <v>419</v>
      </c>
      <c r="E5725" t="s">
        <v>425</v>
      </c>
      <c r="F5725">
        <v>3</v>
      </c>
      <c r="G5725" t="s">
        <v>499</v>
      </c>
      <c r="H5725" s="4">
        <v>15761908</v>
      </c>
      <c r="I5725" s="4">
        <v>13282359</v>
      </c>
      <c r="J5725" s="3">
        <v>0.15731274411701934</v>
      </c>
      <c r="K5725" s="3">
        <v>0.1866798661292019</v>
      </c>
      <c r="L5725" t="s">
        <v>377</v>
      </c>
    </row>
    <row r="5726" spans="1:12" x14ac:dyDescent="0.25">
      <c r="A5726" t="s">
        <v>487</v>
      </c>
      <c r="B5726" t="s">
        <v>465</v>
      </c>
      <c r="C5726" t="s">
        <v>478</v>
      </c>
      <c r="D5726" t="s">
        <v>421</v>
      </c>
      <c r="E5726" t="s">
        <v>423</v>
      </c>
      <c r="F5726">
        <v>1</v>
      </c>
      <c r="G5726" t="s">
        <v>488</v>
      </c>
      <c r="H5726" s="4">
        <v>15904811</v>
      </c>
      <c r="I5726" s="4">
        <v>21149735.929934245</v>
      </c>
      <c r="J5726" s="3">
        <v>0.3297697111857692</v>
      </c>
      <c r="K5726" s="3">
        <v>-0.2479900906238195</v>
      </c>
      <c r="L5726" t="s">
        <v>377</v>
      </c>
    </row>
    <row r="5727" spans="1:12" x14ac:dyDescent="0.25">
      <c r="A5727" t="s">
        <v>487</v>
      </c>
      <c r="B5727" t="s">
        <v>465</v>
      </c>
      <c r="C5727" t="s">
        <v>478</v>
      </c>
      <c r="D5727" t="s">
        <v>421</v>
      </c>
      <c r="E5727" t="s">
        <v>423</v>
      </c>
      <c r="F5727">
        <v>1</v>
      </c>
      <c r="G5727" t="s">
        <v>498</v>
      </c>
      <c r="H5727" s="4">
        <v>15904811</v>
      </c>
      <c r="I5727" s="4">
        <v>17519943</v>
      </c>
      <c r="J5727" s="3">
        <v>0.1015499021019489</v>
      </c>
      <c r="K5727" s="3">
        <v>-0.09218819947074029</v>
      </c>
      <c r="L5727" t="s">
        <v>377</v>
      </c>
    </row>
    <row r="5728" spans="1:12" x14ac:dyDescent="0.25">
      <c r="A5728" t="s">
        <v>487</v>
      </c>
      <c r="B5728" t="s">
        <v>465</v>
      </c>
      <c r="C5728" t="s">
        <v>478</v>
      </c>
      <c r="D5728" t="s">
        <v>421</v>
      </c>
      <c r="E5728" t="s">
        <v>423</v>
      </c>
      <c r="F5728">
        <v>1</v>
      </c>
      <c r="G5728" t="s">
        <v>499</v>
      </c>
      <c r="H5728" s="4">
        <v>15904811</v>
      </c>
      <c r="I5728" s="4">
        <v>14402441</v>
      </c>
      <c r="J5728" s="3">
        <v>0.09446009763963872</v>
      </c>
      <c r="K5728" s="3">
        <v>0.10431356740152589</v>
      </c>
      <c r="L5728" t="s">
        <v>377</v>
      </c>
    </row>
    <row r="5729" spans="1:12" x14ac:dyDescent="0.25">
      <c r="A5729" t="s">
        <v>487</v>
      </c>
      <c r="B5729" t="s">
        <v>465</v>
      </c>
      <c r="C5729" t="s">
        <v>478</v>
      </c>
      <c r="D5729" t="s">
        <v>421</v>
      </c>
      <c r="E5729" t="s">
        <v>425</v>
      </c>
      <c r="F5729">
        <v>2</v>
      </c>
      <c r="G5729" t="s">
        <v>488</v>
      </c>
      <c r="H5729" s="4">
        <v>15761908</v>
      </c>
      <c r="I5729" s="4">
        <v>18846686.370398514</v>
      </c>
      <c r="J5729" s="3">
        <v>0.19571097422967537</v>
      </c>
      <c r="K5729" s="3">
        <v>-0.16367749267816176</v>
      </c>
      <c r="L5729" t="s">
        <v>377</v>
      </c>
    </row>
    <row r="5730" spans="1:12" x14ac:dyDescent="0.25">
      <c r="A5730" t="s">
        <v>487</v>
      </c>
      <c r="B5730" t="s">
        <v>465</v>
      </c>
      <c r="C5730" t="s">
        <v>478</v>
      </c>
      <c r="D5730" t="s">
        <v>421</v>
      </c>
      <c r="E5730" t="s">
        <v>425</v>
      </c>
      <c r="F5730">
        <v>2</v>
      </c>
      <c r="G5730" t="s">
        <v>498</v>
      </c>
      <c r="H5730" s="4">
        <v>15761908</v>
      </c>
      <c r="I5730" s="4">
        <v>15612151</v>
      </c>
      <c r="J5730" s="3">
        <v>0.00950119744386276</v>
      </c>
      <c r="K5730" s="3">
        <v>0.009592336123318305</v>
      </c>
      <c r="L5730" t="s">
        <v>377</v>
      </c>
    </row>
    <row r="5731" spans="1:12" x14ac:dyDescent="0.25">
      <c r="A5731" t="s">
        <v>487</v>
      </c>
      <c r="B5731" t="s">
        <v>465</v>
      </c>
      <c r="C5731" t="s">
        <v>478</v>
      </c>
      <c r="D5731" t="s">
        <v>421</v>
      </c>
      <c r="E5731" t="s">
        <v>425</v>
      </c>
      <c r="F5731">
        <v>2</v>
      </c>
      <c r="G5731" t="s">
        <v>499</v>
      </c>
      <c r="H5731" s="4">
        <v>15761908</v>
      </c>
      <c r="I5731" s="4">
        <v>14402441</v>
      </c>
      <c r="J5731" s="3">
        <v>0.08625015448637309</v>
      </c>
      <c r="K5731" s="3">
        <v>0.0943914298971959</v>
      </c>
      <c r="L5731" t="s">
        <v>377</v>
      </c>
    </row>
    <row r="5732" spans="1:12" x14ac:dyDescent="0.25">
      <c r="A5732" t="s">
        <v>487</v>
      </c>
      <c r="B5732" t="s">
        <v>465</v>
      </c>
      <c r="C5732" t="s">
        <v>478</v>
      </c>
      <c r="D5732" t="s">
        <v>421</v>
      </c>
      <c r="E5732" t="s">
        <v>427</v>
      </c>
      <c r="F5732">
        <v>3</v>
      </c>
      <c r="G5732" t="s">
        <v>488</v>
      </c>
      <c r="H5732" s="4">
        <v>14120662</v>
      </c>
      <c r="I5732" s="4">
        <v>15919934.863569928</v>
      </c>
      <c r="J5732" s="3">
        <v>0.1274212826261211</v>
      </c>
      <c r="K5732" s="3">
        <v>-0.11302011465431679</v>
      </c>
      <c r="L5732" t="s">
        <v>377</v>
      </c>
    </row>
    <row r="5733" spans="1:12" x14ac:dyDescent="0.25">
      <c r="A5733" t="s">
        <v>487</v>
      </c>
      <c r="B5733" t="s">
        <v>465</v>
      </c>
      <c r="C5733" t="s">
        <v>478</v>
      </c>
      <c r="D5733" t="s">
        <v>421</v>
      </c>
      <c r="E5733" t="s">
        <v>427</v>
      </c>
      <c r="F5733">
        <v>3</v>
      </c>
      <c r="G5733" t="s">
        <v>498</v>
      </c>
      <c r="H5733" s="4">
        <v>14120662</v>
      </c>
      <c r="I5733" s="4">
        <v>13187699</v>
      </c>
      <c r="J5733" s="3">
        <v>0.06607076920331356</v>
      </c>
      <c r="K5733" s="3">
        <v>0.07074494193414636</v>
      </c>
      <c r="L5733" t="s">
        <v>377</v>
      </c>
    </row>
    <row r="5734" spans="1:12" x14ac:dyDescent="0.25">
      <c r="A5734" t="s">
        <v>487</v>
      </c>
      <c r="B5734" t="s">
        <v>465</v>
      </c>
      <c r="C5734" t="s">
        <v>478</v>
      </c>
      <c r="D5734" t="s">
        <v>421</v>
      </c>
      <c r="E5734" t="s">
        <v>427</v>
      </c>
      <c r="F5734">
        <v>3</v>
      </c>
      <c r="G5734" t="s">
        <v>499</v>
      </c>
      <c r="H5734" s="4">
        <v>14120662</v>
      </c>
      <c r="I5734" s="4">
        <v>14402441</v>
      </c>
      <c r="J5734" s="3">
        <v>0.0199550842587975</v>
      </c>
      <c r="K5734" s="3">
        <v>-0.019564669627877663</v>
      </c>
      <c r="L5734" t="s">
        <v>377</v>
      </c>
    </row>
    <row r="5735" spans="1:12" x14ac:dyDescent="0.25">
      <c r="A5735" t="s">
        <v>487</v>
      </c>
      <c r="B5735" t="s">
        <v>465</v>
      </c>
      <c r="C5735" t="s">
        <v>478</v>
      </c>
      <c r="D5735" t="s">
        <v>423</v>
      </c>
      <c r="E5735" t="s">
        <v>425</v>
      </c>
      <c r="F5735">
        <v>1</v>
      </c>
      <c r="G5735" t="s">
        <v>488</v>
      </c>
      <c r="H5735" s="4">
        <v>15761908</v>
      </c>
      <c r="I5735" s="4">
        <v>18236727.61370745</v>
      </c>
      <c r="J5735" s="3">
        <v>0.15701269248034244</v>
      </c>
      <c r="K5735" s="3">
        <v>-0.13570524636488382</v>
      </c>
      <c r="L5735" t="s">
        <v>377</v>
      </c>
    </row>
    <row r="5736" spans="1:12" x14ac:dyDescent="0.25">
      <c r="A5736" t="s">
        <v>487</v>
      </c>
      <c r="B5736" t="s">
        <v>465</v>
      </c>
      <c r="C5736" t="s">
        <v>478</v>
      </c>
      <c r="D5736" t="s">
        <v>423</v>
      </c>
      <c r="E5736" t="s">
        <v>425</v>
      </c>
      <c r="F5736">
        <v>1</v>
      </c>
      <c r="G5736" t="s">
        <v>498</v>
      </c>
      <c r="H5736" s="4">
        <v>15761908</v>
      </c>
      <c r="I5736" s="4">
        <v>15612151</v>
      </c>
      <c r="J5736" s="3">
        <v>0.00950119744386276</v>
      </c>
      <c r="K5736" s="3">
        <v>0.009592336123318305</v>
      </c>
      <c r="L5736" t="s">
        <v>377</v>
      </c>
    </row>
    <row r="5737" spans="1:12" x14ac:dyDescent="0.25">
      <c r="A5737" t="s">
        <v>487</v>
      </c>
      <c r="B5737" t="s">
        <v>465</v>
      </c>
      <c r="C5737" t="s">
        <v>478</v>
      </c>
      <c r="D5737" t="s">
        <v>423</v>
      </c>
      <c r="E5737" t="s">
        <v>425</v>
      </c>
      <c r="F5737">
        <v>1</v>
      </c>
      <c r="G5737" t="s">
        <v>499</v>
      </c>
      <c r="H5737" s="4">
        <v>15761908</v>
      </c>
      <c r="I5737" s="4">
        <v>15904811</v>
      </c>
      <c r="J5737" s="3">
        <v>0.009066351611746497</v>
      </c>
      <c r="K5737" s="3">
        <v>-0.008984891426877063</v>
      </c>
      <c r="L5737" t="s">
        <v>377</v>
      </c>
    </row>
    <row r="5738" spans="1:12" x14ac:dyDescent="0.25">
      <c r="A5738" t="s">
        <v>487</v>
      </c>
      <c r="B5738" t="s">
        <v>465</v>
      </c>
      <c r="C5738" t="s">
        <v>478</v>
      </c>
      <c r="D5738" t="s">
        <v>423</v>
      </c>
      <c r="E5738" t="s">
        <v>427</v>
      </c>
      <c r="F5738">
        <v>2</v>
      </c>
      <c r="G5738" t="s">
        <v>488</v>
      </c>
      <c r="H5738" s="4">
        <v>14120662</v>
      </c>
      <c r="I5738" s="4">
        <v>15404698.206836592</v>
      </c>
      <c r="J5738" s="3">
        <v>0.0909331451200087</v>
      </c>
      <c r="K5738" s="3">
        <v>-0.08335354510656613</v>
      </c>
      <c r="L5738" t="s">
        <v>377</v>
      </c>
    </row>
    <row r="5739" spans="1:12" x14ac:dyDescent="0.25">
      <c r="A5739" t="s">
        <v>487</v>
      </c>
      <c r="B5739" t="s">
        <v>465</v>
      </c>
      <c r="C5739" t="s">
        <v>478</v>
      </c>
      <c r="D5739" t="s">
        <v>423</v>
      </c>
      <c r="E5739" t="s">
        <v>427</v>
      </c>
      <c r="F5739">
        <v>2</v>
      </c>
      <c r="G5739" t="s">
        <v>498</v>
      </c>
      <c r="H5739" s="4">
        <v>14120662</v>
      </c>
      <c r="I5739" s="4">
        <v>13187699</v>
      </c>
      <c r="J5739" s="3">
        <v>0.06607076920331356</v>
      </c>
      <c r="K5739" s="3">
        <v>0.07074494193414636</v>
      </c>
      <c r="L5739" t="s">
        <v>377</v>
      </c>
    </row>
    <row r="5740" spans="1:12" x14ac:dyDescent="0.25">
      <c r="A5740" t="s">
        <v>487</v>
      </c>
      <c r="B5740" t="s">
        <v>465</v>
      </c>
      <c r="C5740" t="s">
        <v>478</v>
      </c>
      <c r="D5740" t="s">
        <v>423</v>
      </c>
      <c r="E5740" t="s">
        <v>427</v>
      </c>
      <c r="F5740">
        <v>2</v>
      </c>
      <c r="G5740" t="s">
        <v>499</v>
      </c>
      <c r="H5740" s="4">
        <v>14120662</v>
      </c>
      <c r="I5740" s="4">
        <v>15904811</v>
      </c>
      <c r="J5740" s="3">
        <v>0.12635023768715659</v>
      </c>
      <c r="K5740" s="3">
        <v>-0.11217668666417979</v>
      </c>
      <c r="L5740" t="s">
        <v>377</v>
      </c>
    </row>
    <row r="5741" spans="1:12" x14ac:dyDescent="0.25">
      <c r="A5741" t="s">
        <v>487</v>
      </c>
      <c r="B5741" t="s">
        <v>465</v>
      </c>
      <c r="C5741" t="s">
        <v>478</v>
      </c>
      <c r="D5741" t="s">
        <v>423</v>
      </c>
      <c r="E5741" t="s">
        <v>429</v>
      </c>
      <c r="F5741">
        <v>3</v>
      </c>
      <c r="G5741" t="s">
        <v>488</v>
      </c>
      <c r="H5741" s="4">
        <v>14407373</v>
      </c>
      <c r="I5741" s="4">
        <v>18335423.66075038</v>
      </c>
      <c r="J5741" s="3">
        <v>0.272641699548584</v>
      </c>
      <c r="K5741" s="3">
        <v>-0.21423288239360078</v>
      </c>
      <c r="L5741" t="s">
        <v>377</v>
      </c>
    </row>
    <row r="5742" spans="1:12" x14ac:dyDescent="0.25">
      <c r="A5742" t="s">
        <v>487</v>
      </c>
      <c r="B5742" t="s">
        <v>465</v>
      </c>
      <c r="C5742" t="s">
        <v>478</v>
      </c>
      <c r="D5742" t="s">
        <v>423</v>
      </c>
      <c r="E5742" t="s">
        <v>429</v>
      </c>
      <c r="F5742">
        <v>3</v>
      </c>
      <c r="G5742" t="s">
        <v>498</v>
      </c>
      <c r="H5742" s="4">
        <v>14407373</v>
      </c>
      <c r="I5742" s="4">
        <v>15696643</v>
      </c>
      <c r="J5742" s="3">
        <v>0.08948682039397467</v>
      </c>
      <c r="K5742" s="3">
        <v>-0.08213667087924469</v>
      </c>
      <c r="L5742" t="s">
        <v>377</v>
      </c>
    </row>
    <row r="5743" spans="1:12" x14ac:dyDescent="0.25">
      <c r="A5743" t="s">
        <v>487</v>
      </c>
      <c r="B5743" t="s">
        <v>465</v>
      </c>
      <c r="C5743" t="s">
        <v>478</v>
      </c>
      <c r="D5743" t="s">
        <v>423</v>
      </c>
      <c r="E5743" t="s">
        <v>429</v>
      </c>
      <c r="F5743">
        <v>3</v>
      </c>
      <c r="G5743" t="s">
        <v>499</v>
      </c>
      <c r="H5743" s="4">
        <v>14407373</v>
      </c>
      <c r="I5743" s="4">
        <v>15904811</v>
      </c>
      <c r="J5743" s="3">
        <v>0.10393553356326653</v>
      </c>
      <c r="K5743" s="3">
        <v>-0.09415000278846444</v>
      </c>
      <c r="L5743" t="s">
        <v>377</v>
      </c>
    </row>
    <row r="5744" spans="1:12" x14ac:dyDescent="0.25">
      <c r="A5744" t="s">
        <v>487</v>
      </c>
      <c r="B5744" t="s">
        <v>465</v>
      </c>
      <c r="C5744" t="s">
        <v>478</v>
      </c>
      <c r="D5744" t="s">
        <v>425</v>
      </c>
      <c r="E5744" t="s">
        <v>427</v>
      </c>
      <c r="F5744">
        <v>1</v>
      </c>
      <c r="G5744" t="s">
        <v>488</v>
      </c>
      <c r="H5744" s="4">
        <v>14120662</v>
      </c>
      <c r="I5744" s="4">
        <v>14951934.689268937</v>
      </c>
      <c r="J5744" s="3">
        <v>0.05886924347236251</v>
      </c>
      <c r="K5744" s="3">
        <v>-0.055596329608471676</v>
      </c>
      <c r="L5744" t="s">
        <v>377</v>
      </c>
    </row>
    <row r="5745" spans="1:12" x14ac:dyDescent="0.25">
      <c r="A5745" t="s">
        <v>487</v>
      </c>
      <c r="B5745" t="s">
        <v>465</v>
      </c>
      <c r="C5745" t="s">
        <v>478</v>
      </c>
      <c r="D5745" t="s">
        <v>425</v>
      </c>
      <c r="E5745" t="s">
        <v>427</v>
      </c>
      <c r="F5745">
        <v>1</v>
      </c>
      <c r="G5745" t="s">
        <v>498</v>
      </c>
      <c r="H5745" s="4">
        <v>14120662</v>
      </c>
      <c r="I5745" s="4">
        <v>13187699</v>
      </c>
      <c r="J5745" s="3">
        <v>0.06607076920331356</v>
      </c>
      <c r="K5745" s="3">
        <v>0.07074494193414636</v>
      </c>
      <c r="L5745" t="s">
        <v>377</v>
      </c>
    </row>
    <row r="5746" spans="1:12" x14ac:dyDescent="0.25">
      <c r="A5746" t="s">
        <v>487</v>
      </c>
      <c r="B5746" t="s">
        <v>465</v>
      </c>
      <c r="C5746" t="s">
        <v>478</v>
      </c>
      <c r="D5746" t="s">
        <v>425</v>
      </c>
      <c r="E5746" t="s">
        <v>427</v>
      </c>
      <c r="F5746">
        <v>1</v>
      </c>
      <c r="G5746" t="s">
        <v>499</v>
      </c>
      <c r="H5746" s="4">
        <v>14120662</v>
      </c>
      <c r="I5746" s="4">
        <v>15761908</v>
      </c>
      <c r="J5746" s="3">
        <v>0.11623010309290031</v>
      </c>
      <c r="K5746" s="3">
        <v>-0.10412736833637146</v>
      </c>
      <c r="L5746" t="s">
        <v>377</v>
      </c>
    </row>
    <row r="5747" spans="1:12" x14ac:dyDescent="0.25">
      <c r="A5747" t="s">
        <v>487</v>
      </c>
      <c r="B5747" t="s">
        <v>465</v>
      </c>
      <c r="C5747" t="s">
        <v>478</v>
      </c>
      <c r="D5747" t="s">
        <v>425</v>
      </c>
      <c r="E5747" t="s">
        <v>429</v>
      </c>
      <c r="F5747">
        <v>2</v>
      </c>
      <c r="G5747" t="s">
        <v>488</v>
      </c>
      <c r="H5747" s="4">
        <v>14407373</v>
      </c>
      <c r="I5747" s="4">
        <v>17796522.424175017</v>
      </c>
      <c r="J5747" s="3">
        <v>0.23523715421090413</v>
      </c>
      <c r="K5747" s="3">
        <v>-0.19043885897455753</v>
      </c>
      <c r="L5747" t="s">
        <v>377</v>
      </c>
    </row>
    <row r="5748" spans="1:12" x14ac:dyDescent="0.25">
      <c r="A5748" t="s">
        <v>487</v>
      </c>
      <c r="B5748" t="s">
        <v>465</v>
      </c>
      <c r="C5748" t="s">
        <v>478</v>
      </c>
      <c r="D5748" t="s">
        <v>425</v>
      </c>
      <c r="E5748" t="s">
        <v>429</v>
      </c>
      <c r="F5748">
        <v>2</v>
      </c>
      <c r="G5748" t="s">
        <v>498</v>
      </c>
      <c r="H5748" s="4">
        <v>14407373</v>
      </c>
      <c r="I5748" s="4">
        <v>15696643</v>
      </c>
      <c r="J5748" s="3">
        <v>0.08948682039397467</v>
      </c>
      <c r="K5748" s="3">
        <v>-0.08213667087924469</v>
      </c>
      <c r="L5748" t="s">
        <v>377</v>
      </c>
    </row>
    <row r="5749" spans="1:12" x14ac:dyDescent="0.25">
      <c r="A5749" t="s">
        <v>487</v>
      </c>
      <c r="B5749" t="s">
        <v>465</v>
      </c>
      <c r="C5749" t="s">
        <v>478</v>
      </c>
      <c r="D5749" t="s">
        <v>425</v>
      </c>
      <c r="E5749" t="s">
        <v>429</v>
      </c>
      <c r="F5749">
        <v>2</v>
      </c>
      <c r="G5749" t="s">
        <v>499</v>
      </c>
      <c r="H5749" s="4">
        <v>14407373</v>
      </c>
      <c r="I5749" s="4">
        <v>15761908</v>
      </c>
      <c r="J5749" s="3">
        <v>0.09401679265192898</v>
      </c>
      <c r="K5749" s="3">
        <v>-0.08593724820624508</v>
      </c>
      <c r="L5749" t="s">
        <v>377</v>
      </c>
    </row>
    <row r="5750" spans="1:12" x14ac:dyDescent="0.25">
      <c r="A5750" t="s">
        <v>487</v>
      </c>
      <c r="B5750" t="s">
        <v>465</v>
      </c>
      <c r="C5750" t="s">
        <v>478</v>
      </c>
      <c r="D5750" t="s">
        <v>425</v>
      </c>
      <c r="E5750" t="s">
        <v>431</v>
      </c>
      <c r="F5750">
        <v>3</v>
      </c>
      <c r="G5750" t="s">
        <v>488</v>
      </c>
      <c r="H5750" s="4">
        <v>13908351</v>
      </c>
      <c r="I5750" s="4">
        <v>17976139.076729648</v>
      </c>
      <c r="J5750" s="3">
        <v>0.2924709102272187</v>
      </c>
      <c r="K5750" s="3">
        <v>-0.22628819566685784</v>
      </c>
      <c r="L5750" t="s">
        <v>377</v>
      </c>
    </row>
    <row r="5751" spans="1:12" x14ac:dyDescent="0.25">
      <c r="A5751" t="s">
        <v>487</v>
      </c>
      <c r="B5751" t="s">
        <v>465</v>
      </c>
      <c r="C5751" t="s">
        <v>478</v>
      </c>
      <c r="D5751" t="s">
        <v>425</v>
      </c>
      <c r="E5751" t="s">
        <v>431</v>
      </c>
      <c r="F5751">
        <v>3</v>
      </c>
      <c r="G5751" t="s">
        <v>498</v>
      </c>
      <c r="H5751" s="4">
        <v>13908351</v>
      </c>
      <c r="I5751" s="4">
        <v>15855066</v>
      </c>
      <c r="J5751" s="3">
        <v>0.13996734767478905</v>
      </c>
      <c r="K5751" s="3">
        <v>-0.12278189192022285</v>
      </c>
      <c r="L5751" t="s">
        <v>377</v>
      </c>
    </row>
    <row r="5752" spans="1:12" x14ac:dyDescent="0.25">
      <c r="A5752" t="s">
        <v>487</v>
      </c>
      <c r="B5752" t="s">
        <v>465</v>
      </c>
      <c r="C5752" t="s">
        <v>478</v>
      </c>
      <c r="D5752" t="s">
        <v>425</v>
      </c>
      <c r="E5752" t="s">
        <v>431</v>
      </c>
      <c r="F5752">
        <v>3</v>
      </c>
      <c r="G5752" t="s">
        <v>499</v>
      </c>
      <c r="H5752" s="4">
        <v>13908351</v>
      </c>
      <c r="I5752" s="4">
        <v>15761908</v>
      </c>
      <c r="J5752" s="3">
        <v>0.13326935738104395</v>
      </c>
      <c r="K5752" s="3">
        <v>-0.11759724774437207</v>
      </c>
      <c r="L5752" t="s">
        <v>377</v>
      </c>
    </row>
    <row r="5753" spans="1:12" x14ac:dyDescent="0.25">
      <c r="A5753" t="s">
        <v>487</v>
      </c>
      <c r="B5753" t="s">
        <v>465</v>
      </c>
      <c r="C5753" t="s">
        <v>478</v>
      </c>
      <c r="D5753" t="s">
        <v>427</v>
      </c>
      <c r="E5753" t="s">
        <v>429</v>
      </c>
      <c r="F5753">
        <v>1</v>
      </c>
      <c r="G5753" t="s">
        <v>488</v>
      </c>
      <c r="H5753" s="4">
        <v>14407373</v>
      </c>
      <c r="I5753" s="4">
        <v>17562245.987717044</v>
      </c>
      <c r="J5753" s="3">
        <v>0.21897628302654784</v>
      </c>
      <c r="K5753" s="3">
        <v>-0.17963949428356416</v>
      </c>
      <c r="L5753" t="s">
        <v>377</v>
      </c>
    </row>
    <row r="5754" spans="1:12" x14ac:dyDescent="0.25">
      <c r="A5754" t="s">
        <v>487</v>
      </c>
      <c r="B5754" t="s">
        <v>465</v>
      </c>
      <c r="C5754" t="s">
        <v>478</v>
      </c>
      <c r="D5754" t="s">
        <v>427</v>
      </c>
      <c r="E5754" t="s">
        <v>429</v>
      </c>
      <c r="F5754">
        <v>1</v>
      </c>
      <c r="G5754" t="s">
        <v>498</v>
      </c>
      <c r="H5754" s="4">
        <v>14407373</v>
      </c>
      <c r="I5754" s="4">
        <v>15696643</v>
      </c>
      <c r="J5754" s="3">
        <v>0.08948682039397467</v>
      </c>
      <c r="K5754" s="3">
        <v>-0.08213667087924469</v>
      </c>
      <c r="L5754" t="s">
        <v>377</v>
      </c>
    </row>
    <row r="5755" spans="1:12" x14ac:dyDescent="0.25">
      <c r="A5755" t="s">
        <v>487</v>
      </c>
      <c r="B5755" t="s">
        <v>465</v>
      </c>
      <c r="C5755" t="s">
        <v>478</v>
      </c>
      <c r="D5755" t="s">
        <v>427</v>
      </c>
      <c r="E5755" t="s">
        <v>429</v>
      </c>
      <c r="F5755">
        <v>1</v>
      </c>
      <c r="G5755" t="s">
        <v>499</v>
      </c>
      <c r="H5755" s="4">
        <v>14407373</v>
      </c>
      <c r="I5755" s="4">
        <v>14120662</v>
      </c>
      <c r="J5755" s="3">
        <v>0.01990029688271415</v>
      </c>
      <c r="K5755" s="3">
        <v>0.020304359668123207</v>
      </c>
      <c r="L5755" t="s">
        <v>377</v>
      </c>
    </row>
    <row r="5756" spans="1:12" x14ac:dyDescent="0.25">
      <c r="A5756" t="s">
        <v>487</v>
      </c>
      <c r="B5756" t="s">
        <v>465</v>
      </c>
      <c r="C5756" t="s">
        <v>478</v>
      </c>
      <c r="D5756" t="s">
        <v>427</v>
      </c>
      <c r="E5756" t="s">
        <v>431</v>
      </c>
      <c r="F5756">
        <v>2</v>
      </c>
      <c r="G5756" t="s">
        <v>488</v>
      </c>
      <c r="H5756" s="4">
        <v>13908351</v>
      </c>
      <c r="I5756" s="4">
        <v>17739498.13622498</v>
      </c>
      <c r="J5756" s="3">
        <v>0.275456604181544</v>
      </c>
      <c r="K5756" s="3">
        <v>-0.2159670531153065</v>
      </c>
      <c r="L5756" t="s">
        <v>377</v>
      </c>
    </row>
    <row r="5757" spans="1:12" x14ac:dyDescent="0.25">
      <c r="A5757" t="s">
        <v>487</v>
      </c>
      <c r="B5757" t="s">
        <v>465</v>
      </c>
      <c r="C5757" t="s">
        <v>478</v>
      </c>
      <c r="D5757" t="s">
        <v>427</v>
      </c>
      <c r="E5757" t="s">
        <v>431</v>
      </c>
      <c r="F5757">
        <v>2</v>
      </c>
      <c r="G5757" t="s">
        <v>498</v>
      </c>
      <c r="H5757" s="4">
        <v>13908351</v>
      </c>
      <c r="I5757" s="4">
        <v>15855066</v>
      </c>
      <c r="J5757" s="3">
        <v>0.13996734767478905</v>
      </c>
      <c r="K5757" s="3">
        <v>-0.12278189192022285</v>
      </c>
      <c r="L5757" t="s">
        <v>377</v>
      </c>
    </row>
    <row r="5758" spans="1:12" x14ac:dyDescent="0.25">
      <c r="A5758" t="s">
        <v>487</v>
      </c>
      <c r="B5758" t="s">
        <v>465</v>
      </c>
      <c r="C5758" t="s">
        <v>478</v>
      </c>
      <c r="D5758" t="s">
        <v>427</v>
      </c>
      <c r="E5758" t="s">
        <v>431</v>
      </c>
      <c r="F5758">
        <v>2</v>
      </c>
      <c r="G5758" t="s">
        <v>499</v>
      </c>
      <c r="H5758" s="4">
        <v>13908351</v>
      </c>
      <c r="I5758" s="4">
        <v>14120662</v>
      </c>
      <c r="J5758" s="3">
        <v>0.015265001580705002</v>
      </c>
      <c r="K5758" s="3">
        <v>-0.015035484880241451</v>
      </c>
      <c r="L5758" t="s">
        <v>377</v>
      </c>
    </row>
    <row r="5759" spans="1:12" x14ac:dyDescent="0.25">
      <c r="A5759" t="s">
        <v>487</v>
      </c>
      <c r="B5759" t="s">
        <v>465</v>
      </c>
      <c r="C5759" t="s">
        <v>478</v>
      </c>
      <c r="D5759" t="s">
        <v>427</v>
      </c>
      <c r="E5759" t="s">
        <v>433</v>
      </c>
      <c r="F5759">
        <v>3</v>
      </c>
      <c r="G5759" t="s">
        <v>488</v>
      </c>
      <c r="H5759" s="4">
        <v>15548079</v>
      </c>
      <c r="I5759" s="4">
        <v>20799624.349195197</v>
      </c>
      <c r="J5759" s="3">
        <v>0.33776168420518043</v>
      </c>
      <c r="K5759" s="3">
        <v>-0.25248270165986897</v>
      </c>
      <c r="L5759" t="s">
        <v>377</v>
      </c>
    </row>
    <row r="5760" spans="1:12" x14ac:dyDescent="0.25">
      <c r="A5760" t="s">
        <v>487</v>
      </c>
      <c r="B5760" t="s">
        <v>465</v>
      </c>
      <c r="C5760" t="s">
        <v>478</v>
      </c>
      <c r="D5760" t="s">
        <v>427</v>
      </c>
      <c r="E5760" t="s">
        <v>433</v>
      </c>
      <c r="F5760">
        <v>3</v>
      </c>
      <c r="G5760" t="s">
        <v>498</v>
      </c>
      <c r="H5760" s="4">
        <v>15548079</v>
      </c>
      <c r="I5760" s="4">
        <v>18590121</v>
      </c>
      <c r="J5760" s="3">
        <v>0.19565388110003815</v>
      </c>
      <c r="K5760" s="3">
        <v>-0.16363755781901582</v>
      </c>
      <c r="L5760" t="s">
        <v>377</v>
      </c>
    </row>
    <row r="5761" spans="1:12" x14ac:dyDescent="0.25">
      <c r="A5761" t="s">
        <v>487</v>
      </c>
      <c r="B5761" t="s">
        <v>465</v>
      </c>
      <c r="C5761" t="s">
        <v>478</v>
      </c>
      <c r="D5761" t="s">
        <v>427</v>
      </c>
      <c r="E5761" t="s">
        <v>433</v>
      </c>
      <c r="F5761">
        <v>3</v>
      </c>
      <c r="G5761" t="s">
        <v>499</v>
      </c>
      <c r="H5761" s="4">
        <v>15548079</v>
      </c>
      <c r="I5761" s="4">
        <v>14120662</v>
      </c>
      <c r="J5761" s="3">
        <v>0.09180664698191976</v>
      </c>
      <c r="K5761" s="3">
        <v>0.10108711617061579</v>
      </c>
      <c r="L5761" t="s">
        <v>377</v>
      </c>
    </row>
    <row r="5762" spans="1:12" x14ac:dyDescent="0.25">
      <c r="A5762" t="s">
        <v>487</v>
      </c>
      <c r="B5762" t="s">
        <v>465</v>
      </c>
      <c r="C5762" t="s">
        <v>478</v>
      </c>
      <c r="D5762" t="s">
        <v>429</v>
      </c>
      <c r="E5762" t="s">
        <v>431</v>
      </c>
      <c r="F5762">
        <v>1</v>
      </c>
      <c r="G5762" t="s">
        <v>488</v>
      </c>
      <c r="H5762" s="4">
        <v>13908351</v>
      </c>
      <c r="I5762" s="4">
        <v>17085270.992369667</v>
      </c>
      <c r="J5762" s="3">
        <v>0.22841816347384866</v>
      </c>
      <c r="K5762" s="3">
        <v>-0.18594495772343844</v>
      </c>
      <c r="L5762" t="s">
        <v>377</v>
      </c>
    </row>
    <row r="5763" spans="1:12" x14ac:dyDescent="0.25">
      <c r="A5763" t="s">
        <v>487</v>
      </c>
      <c r="B5763" t="s">
        <v>465</v>
      </c>
      <c r="C5763" t="s">
        <v>478</v>
      </c>
      <c r="D5763" t="s">
        <v>429</v>
      </c>
      <c r="E5763" t="s">
        <v>431</v>
      </c>
      <c r="F5763">
        <v>1</v>
      </c>
      <c r="G5763" t="s">
        <v>498</v>
      </c>
      <c r="H5763" s="4">
        <v>13908351</v>
      </c>
      <c r="I5763" s="4">
        <v>15855066</v>
      </c>
      <c r="J5763" s="3">
        <v>0.13996734767478905</v>
      </c>
      <c r="K5763" s="3">
        <v>-0.12278189192022285</v>
      </c>
      <c r="L5763" t="s">
        <v>377</v>
      </c>
    </row>
    <row r="5764" spans="1:12" x14ac:dyDescent="0.25">
      <c r="A5764" t="s">
        <v>487</v>
      </c>
      <c r="B5764" t="s">
        <v>465</v>
      </c>
      <c r="C5764" t="s">
        <v>478</v>
      </c>
      <c r="D5764" t="s">
        <v>429</v>
      </c>
      <c r="E5764" t="s">
        <v>431</v>
      </c>
      <c r="F5764">
        <v>1</v>
      </c>
      <c r="G5764" t="s">
        <v>499</v>
      </c>
      <c r="H5764" s="4">
        <v>13908351</v>
      </c>
      <c r="I5764" s="4">
        <v>14407373</v>
      </c>
      <c r="J5764" s="3">
        <v>0.03587930733125731</v>
      </c>
      <c r="K5764" s="3">
        <v>-0.03463657115006324</v>
      </c>
      <c r="L5764" t="s">
        <v>377</v>
      </c>
    </row>
    <row r="5765" spans="1:12" x14ac:dyDescent="0.25">
      <c r="A5765" t="s">
        <v>487</v>
      </c>
      <c r="B5765" t="s">
        <v>465</v>
      </c>
      <c r="C5765" t="s">
        <v>478</v>
      </c>
      <c r="D5765" t="s">
        <v>429</v>
      </c>
      <c r="E5765" t="s">
        <v>433</v>
      </c>
      <c r="F5765">
        <v>2</v>
      </c>
      <c r="G5765" t="s">
        <v>488</v>
      </c>
      <c r="H5765" s="4">
        <v>15548079</v>
      </c>
      <c r="I5765" s="4">
        <v>20032540.70755317</v>
      </c>
      <c r="J5765" s="3">
        <v>0.28842545162995187</v>
      </c>
      <c r="K5765" s="3">
        <v>-0.2238588590943098</v>
      </c>
      <c r="L5765" t="s">
        <v>377</v>
      </c>
    </row>
    <row r="5766" spans="1:12" x14ac:dyDescent="0.25">
      <c r="A5766" t="s">
        <v>487</v>
      </c>
      <c r="B5766" t="s">
        <v>465</v>
      </c>
      <c r="C5766" t="s">
        <v>478</v>
      </c>
      <c r="D5766" t="s">
        <v>429</v>
      </c>
      <c r="E5766" t="s">
        <v>433</v>
      </c>
      <c r="F5766">
        <v>2</v>
      </c>
      <c r="G5766" t="s">
        <v>498</v>
      </c>
      <c r="H5766" s="4">
        <v>15548079</v>
      </c>
      <c r="I5766" s="4">
        <v>18590121</v>
      </c>
      <c r="J5766" s="3">
        <v>0.19565388110003815</v>
      </c>
      <c r="K5766" s="3">
        <v>-0.16363755781901582</v>
      </c>
      <c r="L5766" t="s">
        <v>377</v>
      </c>
    </row>
    <row r="5767" spans="1:12" x14ac:dyDescent="0.25">
      <c r="A5767" t="s">
        <v>487</v>
      </c>
      <c r="B5767" t="s">
        <v>465</v>
      </c>
      <c r="C5767" t="s">
        <v>478</v>
      </c>
      <c r="D5767" t="s">
        <v>429</v>
      </c>
      <c r="E5767" t="s">
        <v>433</v>
      </c>
      <c r="F5767">
        <v>2</v>
      </c>
      <c r="G5767" t="s">
        <v>499</v>
      </c>
      <c r="H5767" s="4">
        <v>15548079</v>
      </c>
      <c r="I5767" s="4">
        <v>14407373</v>
      </c>
      <c r="J5767" s="3">
        <v>0.07336636249404187</v>
      </c>
      <c r="K5767" s="3">
        <v>0.07917515566508898</v>
      </c>
      <c r="L5767" t="s">
        <v>377</v>
      </c>
    </row>
    <row r="5768" spans="1:12" x14ac:dyDescent="0.25">
      <c r="A5768" t="s">
        <v>487</v>
      </c>
      <c r="B5768" t="s">
        <v>465</v>
      </c>
      <c r="C5768" t="s">
        <v>478</v>
      </c>
      <c r="D5768" t="s">
        <v>429</v>
      </c>
      <c r="E5768" t="s">
        <v>435</v>
      </c>
      <c r="F5768">
        <v>3</v>
      </c>
      <c r="G5768" t="s">
        <v>488</v>
      </c>
      <c r="H5768" s="4">
        <v>12529312</v>
      </c>
      <c r="I5768" s="4">
        <v>17548182.38692975</v>
      </c>
      <c r="J5768" s="3">
        <v>0.4005703096011777</v>
      </c>
      <c r="K5768" s="3">
        <v>-0.28600514151641765</v>
      </c>
      <c r="L5768" t="s">
        <v>377</v>
      </c>
    </row>
    <row r="5769" spans="1:12" x14ac:dyDescent="0.25">
      <c r="A5769" t="s">
        <v>487</v>
      </c>
      <c r="B5769" t="s">
        <v>465</v>
      </c>
      <c r="C5769" t="s">
        <v>478</v>
      </c>
      <c r="D5769" t="s">
        <v>429</v>
      </c>
      <c r="E5769" t="s">
        <v>435</v>
      </c>
      <c r="F5769">
        <v>3</v>
      </c>
      <c r="G5769" t="s">
        <v>498</v>
      </c>
      <c r="H5769" s="4">
        <v>12529312</v>
      </c>
      <c r="I5769" s="4">
        <v>16284646</v>
      </c>
      <c r="J5769" s="3">
        <v>0.2997238794915475</v>
      </c>
      <c r="K5769" s="3">
        <v>-0.23060581114259407</v>
      </c>
      <c r="L5769" t="s">
        <v>377</v>
      </c>
    </row>
    <row r="5770" spans="1:12" x14ac:dyDescent="0.25">
      <c r="A5770" t="s">
        <v>487</v>
      </c>
      <c r="B5770" t="s">
        <v>465</v>
      </c>
      <c r="C5770" t="s">
        <v>478</v>
      </c>
      <c r="D5770" t="s">
        <v>429</v>
      </c>
      <c r="E5770" t="s">
        <v>435</v>
      </c>
      <c r="F5770">
        <v>3</v>
      </c>
      <c r="G5770" t="s">
        <v>499</v>
      </c>
      <c r="H5770" s="4">
        <v>12529312</v>
      </c>
      <c r="I5770" s="4">
        <v>14407373</v>
      </c>
      <c r="J5770" s="3">
        <v>0.1498933860055524</v>
      </c>
      <c r="K5770" s="3">
        <v>-0.1303541596375689</v>
      </c>
      <c r="L5770" t="s">
        <v>377</v>
      </c>
    </row>
    <row r="5771" spans="1:12" x14ac:dyDescent="0.25">
      <c r="A5771" t="s">
        <v>487</v>
      </c>
      <c r="B5771" t="s">
        <v>465</v>
      </c>
      <c r="C5771" t="s">
        <v>478</v>
      </c>
      <c r="D5771" t="s">
        <v>431</v>
      </c>
      <c r="E5771" t="s">
        <v>433</v>
      </c>
      <c r="F5771">
        <v>1</v>
      </c>
      <c r="G5771" t="s">
        <v>488</v>
      </c>
      <c r="H5771" s="4">
        <v>15548079</v>
      </c>
      <c r="I5771" s="4">
        <v>19480183.416699834</v>
      </c>
      <c r="J5771" s="3">
        <v>0.2528996936984842</v>
      </c>
      <c r="K5771" s="3">
        <v>-0.2018515089200314</v>
      </c>
      <c r="L5771" t="s">
        <v>377</v>
      </c>
    </row>
    <row r="5772" spans="1:12" x14ac:dyDescent="0.25">
      <c r="A5772" t="s">
        <v>487</v>
      </c>
      <c r="B5772" t="s">
        <v>465</v>
      </c>
      <c r="C5772" t="s">
        <v>478</v>
      </c>
      <c r="D5772" t="s">
        <v>431</v>
      </c>
      <c r="E5772" t="s">
        <v>433</v>
      </c>
      <c r="F5772">
        <v>1</v>
      </c>
      <c r="G5772" t="s">
        <v>498</v>
      </c>
      <c r="H5772" s="4">
        <v>15548079</v>
      </c>
      <c r="I5772" s="4">
        <v>18590121</v>
      </c>
      <c r="J5772" s="3">
        <v>0.19565388110003815</v>
      </c>
      <c r="K5772" s="3">
        <v>-0.16363755781901582</v>
      </c>
      <c r="L5772" t="s">
        <v>377</v>
      </c>
    </row>
    <row r="5773" spans="1:12" x14ac:dyDescent="0.25">
      <c r="A5773" t="s">
        <v>487</v>
      </c>
      <c r="B5773" t="s">
        <v>465</v>
      </c>
      <c r="C5773" t="s">
        <v>478</v>
      </c>
      <c r="D5773" t="s">
        <v>431</v>
      </c>
      <c r="E5773" t="s">
        <v>433</v>
      </c>
      <c r="F5773">
        <v>1</v>
      </c>
      <c r="G5773" t="s">
        <v>499</v>
      </c>
      <c r="H5773" s="4">
        <v>15548079</v>
      </c>
      <c r="I5773" s="4">
        <v>13908351</v>
      </c>
      <c r="J5773" s="3">
        <v>0.1054617744095589</v>
      </c>
      <c r="K5773" s="3">
        <v>0.11789521273945416</v>
      </c>
      <c r="L5773" t="s">
        <v>377</v>
      </c>
    </row>
    <row r="5774" spans="1:12" x14ac:dyDescent="0.25">
      <c r="A5774" t="s">
        <v>487</v>
      </c>
      <c r="B5774" t="s">
        <v>465</v>
      </c>
      <c r="C5774" t="s">
        <v>478</v>
      </c>
      <c r="D5774" t="s">
        <v>431</v>
      </c>
      <c r="E5774" t="s">
        <v>435</v>
      </c>
      <c r="F5774">
        <v>2</v>
      </c>
      <c r="G5774" t="s">
        <v>488</v>
      </c>
      <c r="H5774" s="4">
        <v>12529312</v>
      </c>
      <c r="I5774" s="4">
        <v>17064326.313746277</v>
      </c>
      <c r="J5774" s="3">
        <v>0.36195238124378076</v>
      </c>
      <c r="K5774" s="3">
        <v>-0.2657599386207862</v>
      </c>
      <c r="L5774" t="s">
        <v>377</v>
      </c>
    </row>
    <row r="5775" spans="1:12" x14ac:dyDescent="0.25">
      <c r="A5775" t="s">
        <v>487</v>
      </c>
      <c r="B5775" t="s">
        <v>465</v>
      </c>
      <c r="C5775" t="s">
        <v>478</v>
      </c>
      <c r="D5775" t="s">
        <v>431</v>
      </c>
      <c r="E5775" t="s">
        <v>435</v>
      </c>
      <c r="F5775">
        <v>2</v>
      </c>
      <c r="G5775" t="s">
        <v>498</v>
      </c>
      <c r="H5775" s="4">
        <v>12529312</v>
      </c>
      <c r="I5775" s="4">
        <v>16284646</v>
      </c>
      <c r="J5775" s="3">
        <v>0.2997238794915475</v>
      </c>
      <c r="K5775" s="3">
        <v>-0.23060581114259407</v>
      </c>
      <c r="L5775" t="s">
        <v>377</v>
      </c>
    </row>
    <row r="5776" spans="1:12" x14ac:dyDescent="0.25">
      <c r="A5776" t="s">
        <v>487</v>
      </c>
      <c r="B5776" t="s">
        <v>465</v>
      </c>
      <c r="C5776" t="s">
        <v>478</v>
      </c>
      <c r="D5776" t="s">
        <v>431</v>
      </c>
      <c r="E5776" t="s">
        <v>435</v>
      </c>
      <c r="F5776">
        <v>2</v>
      </c>
      <c r="G5776" t="s">
        <v>499</v>
      </c>
      <c r="H5776" s="4">
        <v>12529312</v>
      </c>
      <c r="I5776" s="4">
        <v>13908351</v>
      </c>
      <c r="J5776" s="3">
        <v>0.11006502192618398</v>
      </c>
      <c r="K5776" s="3">
        <v>-0.09915186926185571</v>
      </c>
      <c r="L5776" t="s">
        <v>377</v>
      </c>
    </row>
    <row r="5777" spans="1:12" x14ac:dyDescent="0.25">
      <c r="A5777" t="s">
        <v>487</v>
      </c>
      <c r="B5777" t="s">
        <v>465</v>
      </c>
      <c r="C5777" t="s">
        <v>478</v>
      </c>
      <c r="D5777" t="s">
        <v>431</v>
      </c>
      <c r="E5777" t="s">
        <v>437</v>
      </c>
      <c r="F5777">
        <v>3</v>
      </c>
      <c r="G5777" t="s">
        <v>488</v>
      </c>
      <c r="H5777" s="4">
        <v>15356556</v>
      </c>
      <c r="I5777" s="4">
        <v>20510437.400082424</v>
      </c>
      <c r="J5777" s="3">
        <v>0.33561440469350184</v>
      </c>
      <c r="K5777" s="3">
        <v>-0.25128091125261487</v>
      </c>
      <c r="L5777" t="s">
        <v>377</v>
      </c>
    </row>
    <row r="5778" spans="1:12" x14ac:dyDescent="0.25">
      <c r="A5778" t="s">
        <v>487</v>
      </c>
      <c r="B5778" t="s">
        <v>465</v>
      </c>
      <c r="C5778" t="s">
        <v>478</v>
      </c>
      <c r="D5778" t="s">
        <v>431</v>
      </c>
      <c r="E5778" t="s">
        <v>437</v>
      </c>
      <c r="F5778">
        <v>3</v>
      </c>
      <c r="G5778" t="s">
        <v>498</v>
      </c>
      <c r="H5778" s="4">
        <v>15356556</v>
      </c>
      <c r="I5778" s="4">
        <v>19573302</v>
      </c>
      <c r="J5778" s="3">
        <v>0.2745893024451576</v>
      </c>
      <c r="K5778" s="3">
        <v>-0.2154335533166555</v>
      </c>
      <c r="L5778" t="s">
        <v>377</v>
      </c>
    </row>
    <row r="5779" spans="1:12" x14ac:dyDescent="0.25">
      <c r="A5779" t="s">
        <v>487</v>
      </c>
      <c r="B5779" t="s">
        <v>465</v>
      </c>
      <c r="C5779" t="s">
        <v>478</v>
      </c>
      <c r="D5779" t="s">
        <v>431</v>
      </c>
      <c r="E5779" t="s">
        <v>437</v>
      </c>
      <c r="F5779">
        <v>3</v>
      </c>
      <c r="G5779" t="s">
        <v>499</v>
      </c>
      <c r="H5779" s="4">
        <v>15356556</v>
      </c>
      <c r="I5779" s="4">
        <v>13908351</v>
      </c>
      <c r="J5779" s="3">
        <v>0.09430532470952471</v>
      </c>
      <c r="K5779" s="3">
        <v>0.10412485275932423</v>
      </c>
      <c r="L5779" t="s">
        <v>377</v>
      </c>
    </row>
    <row r="5780" spans="1:12" x14ac:dyDescent="0.25">
      <c r="A5780" t="s">
        <v>487</v>
      </c>
      <c r="B5780" t="s">
        <v>465</v>
      </c>
      <c r="C5780" t="s">
        <v>478</v>
      </c>
      <c r="D5780" t="s">
        <v>433</v>
      </c>
      <c r="E5780" t="s">
        <v>435</v>
      </c>
      <c r="F5780">
        <v>1</v>
      </c>
      <c r="G5780" t="s">
        <v>488</v>
      </c>
      <c r="H5780" s="4">
        <v>12529312</v>
      </c>
      <c r="I5780" s="4">
        <v>16242045.493405538</v>
      </c>
      <c r="J5780" s="3">
        <v>0.29632381198628766</v>
      </c>
      <c r="K5780" s="3">
        <v>-0.2285878028671297</v>
      </c>
      <c r="L5780" t="s">
        <v>377</v>
      </c>
    </row>
    <row r="5781" spans="1:12" x14ac:dyDescent="0.25">
      <c r="A5781" t="s">
        <v>487</v>
      </c>
      <c r="B5781" t="s">
        <v>465</v>
      </c>
      <c r="C5781" t="s">
        <v>478</v>
      </c>
      <c r="D5781" t="s">
        <v>433</v>
      </c>
      <c r="E5781" t="s">
        <v>435</v>
      </c>
      <c r="F5781">
        <v>1</v>
      </c>
      <c r="G5781" t="s">
        <v>498</v>
      </c>
      <c r="H5781" s="4">
        <v>12529312</v>
      </c>
      <c r="I5781" s="4">
        <v>16284646</v>
      </c>
      <c r="J5781" s="3">
        <v>0.2997238794915475</v>
      </c>
      <c r="K5781" s="3">
        <v>-0.23060581114259407</v>
      </c>
      <c r="L5781" t="s">
        <v>377</v>
      </c>
    </row>
    <row r="5782" spans="1:12" x14ac:dyDescent="0.25">
      <c r="A5782" t="s">
        <v>487</v>
      </c>
      <c r="B5782" t="s">
        <v>465</v>
      </c>
      <c r="C5782" t="s">
        <v>478</v>
      </c>
      <c r="D5782" t="s">
        <v>433</v>
      </c>
      <c r="E5782" t="s">
        <v>435</v>
      </c>
      <c r="F5782">
        <v>1</v>
      </c>
      <c r="G5782" t="s">
        <v>499</v>
      </c>
      <c r="H5782" s="4">
        <v>12529312</v>
      </c>
      <c r="I5782" s="4">
        <v>15548079</v>
      </c>
      <c r="J5782" s="3">
        <v>0.24093637384079827</v>
      </c>
      <c r="K5782" s="3">
        <v>-0.1941569116030347</v>
      </c>
      <c r="L5782" t="s">
        <v>377</v>
      </c>
    </row>
    <row r="5783" spans="1:12" x14ac:dyDescent="0.25">
      <c r="A5783" t="s">
        <v>487</v>
      </c>
      <c r="B5783" t="s">
        <v>465</v>
      </c>
      <c r="C5783" t="s">
        <v>478</v>
      </c>
      <c r="D5783" t="s">
        <v>433</v>
      </c>
      <c r="E5783" t="s">
        <v>437</v>
      </c>
      <c r="F5783">
        <v>2</v>
      </c>
      <c r="G5783" t="s">
        <v>488</v>
      </c>
      <c r="H5783" s="4">
        <v>15356556</v>
      </c>
      <c r="I5783" s="4">
        <v>19522098.39502594</v>
      </c>
      <c r="J5783" s="3">
        <v>0.2712549867969054</v>
      </c>
      <c r="K5783" s="3">
        <v>-0.21337575043097226</v>
      </c>
      <c r="L5783" t="s">
        <v>377</v>
      </c>
    </row>
    <row r="5784" spans="1:12" x14ac:dyDescent="0.25">
      <c r="A5784" t="s">
        <v>487</v>
      </c>
      <c r="B5784" t="s">
        <v>465</v>
      </c>
      <c r="C5784" t="s">
        <v>478</v>
      </c>
      <c r="D5784" t="s">
        <v>433</v>
      </c>
      <c r="E5784" t="s">
        <v>437</v>
      </c>
      <c r="F5784">
        <v>2</v>
      </c>
      <c r="G5784" t="s">
        <v>498</v>
      </c>
      <c r="H5784" s="4">
        <v>15356556</v>
      </c>
      <c r="I5784" s="4">
        <v>19573302</v>
      </c>
      <c r="J5784" s="3">
        <v>0.2745893024451576</v>
      </c>
      <c r="K5784" s="3">
        <v>-0.2154335533166555</v>
      </c>
      <c r="L5784" t="s">
        <v>377</v>
      </c>
    </row>
    <row r="5785" spans="1:12" x14ac:dyDescent="0.25">
      <c r="A5785" t="s">
        <v>487</v>
      </c>
      <c r="B5785" t="s">
        <v>465</v>
      </c>
      <c r="C5785" t="s">
        <v>478</v>
      </c>
      <c r="D5785" t="s">
        <v>433</v>
      </c>
      <c r="E5785" t="s">
        <v>437</v>
      </c>
      <c r="F5785">
        <v>2</v>
      </c>
      <c r="G5785" t="s">
        <v>499</v>
      </c>
      <c r="H5785" s="4">
        <v>15356556</v>
      </c>
      <c r="I5785" s="4">
        <v>15548079</v>
      </c>
      <c r="J5785" s="3">
        <v>0.012471741710836726</v>
      </c>
      <c r="K5785" s="3">
        <v>-0.012318113382367043</v>
      </c>
      <c r="L5785" t="s">
        <v>377</v>
      </c>
    </row>
    <row r="5786" spans="1:12" x14ac:dyDescent="0.25">
      <c r="A5786" t="s">
        <v>487</v>
      </c>
      <c r="B5786" t="s">
        <v>465</v>
      </c>
      <c r="C5786" t="s">
        <v>478</v>
      </c>
      <c r="D5786" t="s">
        <v>433</v>
      </c>
      <c r="E5786" t="s">
        <v>11</v>
      </c>
      <c r="F5786">
        <v>3</v>
      </c>
      <c r="G5786" t="s">
        <v>488</v>
      </c>
      <c r="H5786" s="4">
        <v>14615618</v>
      </c>
      <c r="I5786" s="4">
        <v>12393984.394099815</v>
      </c>
      <c r="J5786" s="3">
        <v>0.15200408261218823</v>
      </c>
      <c r="K5786" s="3">
        <v>0.17925096040606595</v>
      </c>
      <c r="L5786" t="s">
        <v>377</v>
      </c>
    </row>
    <row r="5787" spans="1:12" x14ac:dyDescent="0.25">
      <c r="A5787" t="s">
        <v>487</v>
      </c>
      <c r="B5787" t="s">
        <v>465</v>
      </c>
      <c r="C5787" t="s">
        <v>478</v>
      </c>
      <c r="D5787" t="s">
        <v>433</v>
      </c>
      <c r="E5787" t="s">
        <v>11</v>
      </c>
      <c r="F5787">
        <v>3</v>
      </c>
      <c r="G5787" t="s">
        <v>498</v>
      </c>
      <c r="H5787" s="4">
        <v>14615618</v>
      </c>
      <c r="I5787" s="4">
        <v>12426492</v>
      </c>
      <c r="J5787" s="3">
        <v>0.14977991351443368</v>
      </c>
      <c r="K5787" s="3">
        <v>0.17616604911506803</v>
      </c>
      <c r="L5787" t="s">
        <v>377</v>
      </c>
    </row>
    <row r="5788" spans="1:12" x14ac:dyDescent="0.25">
      <c r="A5788" t="s">
        <v>487</v>
      </c>
      <c r="B5788" t="s">
        <v>465</v>
      </c>
      <c r="C5788" t="s">
        <v>478</v>
      </c>
      <c r="D5788" t="s">
        <v>433</v>
      </c>
      <c r="E5788" t="s">
        <v>11</v>
      </c>
      <c r="F5788">
        <v>3</v>
      </c>
      <c r="G5788" t="s">
        <v>499</v>
      </c>
      <c r="H5788" s="4">
        <v>14615618</v>
      </c>
      <c r="I5788" s="4">
        <v>15548079</v>
      </c>
      <c r="J5788" s="3">
        <v>0.06379894438948801</v>
      </c>
      <c r="K5788" s="3">
        <v>-0.05997274647240987</v>
      </c>
      <c r="L5788" t="s">
        <v>377</v>
      </c>
    </row>
    <row r="5789" spans="1:12" x14ac:dyDescent="0.25">
      <c r="A5789" t="s">
        <v>487</v>
      </c>
      <c r="B5789" t="s">
        <v>465</v>
      </c>
      <c r="C5789" t="s">
        <v>478</v>
      </c>
      <c r="D5789" t="s">
        <v>435</v>
      </c>
      <c r="E5789" t="s">
        <v>437</v>
      </c>
      <c r="F5789">
        <v>1</v>
      </c>
      <c r="G5789" t="s">
        <v>488</v>
      </c>
      <c r="H5789" s="4">
        <v>15356556</v>
      </c>
      <c r="I5789" s="4">
        <v>18789967.825697895</v>
      </c>
      <c r="J5789" s="3">
        <v>0.2235795464619733</v>
      </c>
      <c r="K5789" s="3">
        <v>-0.18272579588998694</v>
      </c>
      <c r="L5789" t="s">
        <v>377</v>
      </c>
    </row>
    <row r="5790" spans="1:12" x14ac:dyDescent="0.25">
      <c r="A5790" t="s">
        <v>487</v>
      </c>
      <c r="B5790" t="s">
        <v>465</v>
      </c>
      <c r="C5790" t="s">
        <v>478</v>
      </c>
      <c r="D5790" t="s">
        <v>435</v>
      </c>
      <c r="E5790" t="s">
        <v>437</v>
      </c>
      <c r="F5790">
        <v>1</v>
      </c>
      <c r="G5790" t="s">
        <v>498</v>
      </c>
      <c r="H5790" s="4">
        <v>15356556</v>
      </c>
      <c r="I5790" s="4">
        <v>19573302</v>
      </c>
      <c r="J5790" s="3">
        <v>0.2745893024451576</v>
      </c>
      <c r="K5790" s="3">
        <v>-0.2154335533166555</v>
      </c>
      <c r="L5790" t="s">
        <v>377</v>
      </c>
    </row>
    <row r="5791" spans="1:12" x14ac:dyDescent="0.25">
      <c r="A5791" t="s">
        <v>487</v>
      </c>
      <c r="B5791" t="s">
        <v>465</v>
      </c>
      <c r="C5791" t="s">
        <v>478</v>
      </c>
      <c r="D5791" t="s">
        <v>435</v>
      </c>
      <c r="E5791" t="s">
        <v>437</v>
      </c>
      <c r="F5791">
        <v>1</v>
      </c>
      <c r="G5791" t="s">
        <v>499</v>
      </c>
      <c r="H5791" s="4">
        <v>15356556</v>
      </c>
      <c r="I5791" s="4">
        <v>12529312</v>
      </c>
      <c r="J5791" s="3">
        <v>0.18410664474508476</v>
      </c>
      <c r="K5791" s="3">
        <v>0.2256503788875239</v>
      </c>
      <c r="L5791" t="s">
        <v>377</v>
      </c>
    </row>
    <row r="5792" spans="1:12" x14ac:dyDescent="0.25">
      <c r="A5792" t="s">
        <v>487</v>
      </c>
      <c r="B5792" t="s">
        <v>465</v>
      </c>
      <c r="C5792" t="s">
        <v>478</v>
      </c>
      <c r="D5792" t="s">
        <v>435</v>
      </c>
      <c r="E5792" t="s">
        <v>11</v>
      </c>
      <c r="F5792">
        <v>2</v>
      </c>
      <c r="G5792" t="s">
        <v>488</v>
      </c>
      <c r="H5792" s="4">
        <v>14615618</v>
      </c>
      <c r="I5792" s="4">
        <v>11929177.042600797</v>
      </c>
      <c r="J5792" s="3">
        <v>0.18380618304331725</v>
      </c>
      <c r="K5792" s="3">
        <v>0.22519918581185758</v>
      </c>
      <c r="L5792" t="s">
        <v>377</v>
      </c>
    </row>
    <row r="5793" spans="1:12" x14ac:dyDescent="0.25">
      <c r="A5793" t="s">
        <v>487</v>
      </c>
      <c r="B5793" t="s">
        <v>465</v>
      </c>
      <c r="C5793" t="s">
        <v>478</v>
      </c>
      <c r="D5793" t="s">
        <v>435</v>
      </c>
      <c r="E5793" t="s">
        <v>11</v>
      </c>
      <c r="F5793">
        <v>2</v>
      </c>
      <c r="G5793" t="s">
        <v>498</v>
      </c>
      <c r="H5793" s="4">
        <v>14615618</v>
      </c>
      <c r="I5793" s="4">
        <v>12426492</v>
      </c>
      <c r="J5793" s="3">
        <v>0.14977991351443368</v>
      </c>
      <c r="K5793" s="3">
        <v>0.17616604911506803</v>
      </c>
      <c r="L5793" t="s">
        <v>377</v>
      </c>
    </row>
    <row r="5794" spans="1:12" x14ac:dyDescent="0.25">
      <c r="A5794" t="s">
        <v>487</v>
      </c>
      <c r="B5794" t="s">
        <v>465</v>
      </c>
      <c r="C5794" t="s">
        <v>478</v>
      </c>
      <c r="D5794" t="s">
        <v>435</v>
      </c>
      <c r="E5794" t="s">
        <v>11</v>
      </c>
      <c r="F5794">
        <v>2</v>
      </c>
      <c r="G5794" t="s">
        <v>499</v>
      </c>
      <c r="H5794" s="4">
        <v>14615618</v>
      </c>
      <c r="I5794" s="4">
        <v>12529312</v>
      </c>
      <c r="J5794" s="3">
        <v>0.14274497321974342</v>
      </c>
      <c r="K5794" s="3">
        <v>0.16651401130405244</v>
      </c>
      <c r="L5794" t="s">
        <v>377</v>
      </c>
    </row>
    <row r="5795" spans="1:12" x14ac:dyDescent="0.25">
      <c r="A5795" t="s">
        <v>487</v>
      </c>
      <c r="B5795" t="s">
        <v>465</v>
      </c>
      <c r="C5795" t="s">
        <v>478</v>
      </c>
      <c r="D5795" t="s">
        <v>437</v>
      </c>
      <c r="E5795" t="s">
        <v>11</v>
      </c>
      <c r="F5795">
        <v>1</v>
      </c>
      <c r="G5795" t="s">
        <v>488</v>
      </c>
      <c r="H5795" s="4">
        <v>14615618</v>
      </c>
      <c r="I5795" s="4">
        <v>11487686.153897775</v>
      </c>
      <c r="J5795" s="3">
        <v>0.21401297202090425</v>
      </c>
      <c r="K5795" s="3">
        <v>0.2722856286460191</v>
      </c>
      <c r="L5795" t="s">
        <v>377</v>
      </c>
    </row>
    <row r="5796" spans="1:12" x14ac:dyDescent="0.25">
      <c r="A5796" t="s">
        <v>487</v>
      </c>
      <c r="B5796" t="s">
        <v>465</v>
      </c>
      <c r="C5796" t="s">
        <v>478</v>
      </c>
      <c r="D5796" t="s">
        <v>437</v>
      </c>
      <c r="E5796" t="s">
        <v>11</v>
      </c>
      <c r="F5796">
        <v>1</v>
      </c>
      <c r="G5796" t="s">
        <v>498</v>
      </c>
      <c r="H5796" s="4">
        <v>14615618</v>
      </c>
      <c r="I5796" s="4">
        <v>12426492</v>
      </c>
      <c r="J5796" s="3">
        <v>0.14977991351443368</v>
      </c>
      <c r="K5796" s="3">
        <v>0.17616604911506803</v>
      </c>
      <c r="L5796" t="s">
        <v>377</v>
      </c>
    </row>
    <row r="5797" spans="1:12" x14ac:dyDescent="0.25">
      <c r="A5797" t="s">
        <v>487</v>
      </c>
      <c r="B5797" t="s">
        <v>465</v>
      </c>
      <c r="C5797" t="s">
        <v>478</v>
      </c>
      <c r="D5797" t="s">
        <v>437</v>
      </c>
      <c r="E5797" t="s">
        <v>11</v>
      </c>
      <c r="F5797">
        <v>1</v>
      </c>
      <c r="G5797" t="s">
        <v>499</v>
      </c>
      <c r="H5797" s="4">
        <v>14615618</v>
      </c>
      <c r="I5797" s="4">
        <v>15356556</v>
      </c>
      <c r="J5797" s="3">
        <v>0.050694948376455926</v>
      </c>
      <c r="K5797" s="3">
        <v>-0.048248969365266535</v>
      </c>
      <c r="L5797" t="s">
        <v>377</v>
      </c>
    </row>
    <row r="5798" spans="1:12" x14ac:dyDescent="0.25">
      <c r="A5798" t="s">
        <v>487</v>
      </c>
      <c r="B5798" t="s">
        <v>467</v>
      </c>
      <c r="C5798" t="s">
        <v>468</v>
      </c>
      <c r="D5798" t="s">
        <v>114</v>
      </c>
      <c r="E5798" t="s">
        <v>116</v>
      </c>
      <c r="F5798">
        <v>1</v>
      </c>
      <c r="G5798" t="s">
        <v>488</v>
      </c>
      <c r="H5798" s="4">
        <v>12895770</v>
      </c>
      <c r="I5798" s="4">
        <v>11451904.523738146</v>
      </c>
      <c r="J5798" s="3">
        <v>0.11196427016470162</v>
      </c>
      <c r="K5798" s="3">
        <v>0.1260808167994179</v>
      </c>
      <c r="L5798" t="s">
        <v>54</v>
      </c>
    </row>
    <row r="5799" spans="1:12" x14ac:dyDescent="0.25">
      <c r="A5799" t="s">
        <v>487</v>
      </c>
      <c r="B5799" t="s">
        <v>467</v>
      </c>
      <c r="C5799" t="s">
        <v>468</v>
      </c>
      <c r="D5799" t="s">
        <v>114</v>
      </c>
      <c r="E5799" t="s">
        <v>116</v>
      </c>
      <c r="F5799">
        <v>1</v>
      </c>
      <c r="G5799" t="s">
        <v>498</v>
      </c>
      <c r="H5799" s="4">
        <v>12895770</v>
      </c>
      <c r="I5799" s="4">
        <v>12859386</v>
      </c>
      <c r="J5799" s="3">
        <v>0.002821390269832666</v>
      </c>
      <c r="K5799" s="3">
        <v>0.0028293730353844268</v>
      </c>
      <c r="L5799" t="s">
        <v>54</v>
      </c>
    </row>
    <row r="5800" spans="1:12" x14ac:dyDescent="0.25">
      <c r="A5800" t="s">
        <v>487</v>
      </c>
      <c r="B5800" t="s">
        <v>467</v>
      </c>
      <c r="C5800" t="s">
        <v>468</v>
      </c>
      <c r="D5800" t="s">
        <v>114</v>
      </c>
      <c r="E5800" t="s">
        <v>116</v>
      </c>
      <c r="F5800">
        <v>1</v>
      </c>
      <c r="G5800" t="s">
        <v>499</v>
      </c>
      <c r="H5800" s="4">
        <v>12895770</v>
      </c>
      <c r="I5800" s="4">
        <v>9056474</v>
      </c>
      <c r="J5800" s="3">
        <v>0.29771746859629167</v>
      </c>
      <c r="K5800" s="3">
        <v>0.42392834120652256</v>
      </c>
      <c r="L5800" t="s">
        <v>54</v>
      </c>
    </row>
    <row r="5801" spans="1:12" x14ac:dyDescent="0.25">
      <c r="A5801" t="s">
        <v>487</v>
      </c>
      <c r="B5801" t="s">
        <v>467</v>
      </c>
      <c r="C5801" t="s">
        <v>468</v>
      </c>
      <c r="D5801" t="s">
        <v>114</v>
      </c>
      <c r="E5801" t="s">
        <v>118</v>
      </c>
      <c r="F5801">
        <v>2</v>
      </c>
      <c r="G5801" t="s">
        <v>488</v>
      </c>
      <c r="H5801" s="4">
        <v>15824772</v>
      </c>
      <c r="I5801" s="4">
        <v>12791081.690513305</v>
      </c>
      <c r="J5801" s="3">
        <v>0.1917051512329337</v>
      </c>
      <c r="K5801" s="3">
        <v>0.23717230355402044</v>
      </c>
      <c r="L5801" t="s">
        <v>54</v>
      </c>
    </row>
    <row r="5802" spans="1:12" x14ac:dyDescent="0.25">
      <c r="A5802" t="s">
        <v>487</v>
      </c>
      <c r="B5802" t="s">
        <v>467</v>
      </c>
      <c r="C5802" t="s">
        <v>468</v>
      </c>
      <c r="D5802" t="s">
        <v>114</v>
      </c>
      <c r="E5802" t="s">
        <v>118</v>
      </c>
      <c r="F5802">
        <v>2</v>
      </c>
      <c r="G5802" t="s">
        <v>498</v>
      </c>
      <c r="H5802" s="4">
        <v>15824772</v>
      </c>
      <c r="I5802" s="4">
        <v>14363153</v>
      </c>
      <c r="J5802" s="3">
        <v>0.09236272092893345</v>
      </c>
      <c r="K5802" s="3">
        <v>0.10176170928486246</v>
      </c>
      <c r="L5802" t="s">
        <v>54</v>
      </c>
    </row>
    <row r="5803" spans="1:12" x14ac:dyDescent="0.25">
      <c r="A5803" t="s">
        <v>487</v>
      </c>
      <c r="B5803" t="s">
        <v>467</v>
      </c>
      <c r="C5803" t="s">
        <v>468</v>
      </c>
      <c r="D5803" t="s">
        <v>114</v>
      </c>
      <c r="E5803" t="s">
        <v>118</v>
      </c>
      <c r="F5803">
        <v>2</v>
      </c>
      <c r="G5803" t="s">
        <v>499</v>
      </c>
      <c r="H5803" s="4">
        <v>15824772</v>
      </c>
      <c r="I5803" s="4">
        <v>9056474</v>
      </c>
      <c r="J5803" s="3">
        <v>0.4277027182445346</v>
      </c>
      <c r="K5803" s="3">
        <v>0.7473436129778543</v>
      </c>
      <c r="L5803" t="s">
        <v>54</v>
      </c>
    </row>
    <row r="5804" spans="1:12" x14ac:dyDescent="0.25">
      <c r="A5804" t="s">
        <v>487</v>
      </c>
      <c r="B5804" t="s">
        <v>467</v>
      </c>
      <c r="C5804" t="s">
        <v>468</v>
      </c>
      <c r="D5804" t="s">
        <v>114</v>
      </c>
      <c r="E5804" t="s">
        <v>120</v>
      </c>
      <c r="F5804">
        <v>3</v>
      </c>
      <c r="G5804" t="s">
        <v>488</v>
      </c>
      <c r="H5804" s="4">
        <v>16015944</v>
      </c>
      <c r="I5804" s="4">
        <v>11107718.286885897</v>
      </c>
      <c r="J5804" s="3">
        <v>0.30645872095420057</v>
      </c>
      <c r="K5804" s="3">
        <v>0.44187524263276473</v>
      </c>
      <c r="L5804" t="s">
        <v>54</v>
      </c>
    </row>
    <row r="5805" spans="1:12" x14ac:dyDescent="0.25">
      <c r="A5805" t="s">
        <v>487</v>
      </c>
      <c r="B5805" t="s">
        <v>467</v>
      </c>
      <c r="C5805" t="s">
        <v>468</v>
      </c>
      <c r="D5805" t="s">
        <v>114</v>
      </c>
      <c r="E5805" t="s">
        <v>120</v>
      </c>
      <c r="F5805">
        <v>3</v>
      </c>
      <c r="G5805" t="s">
        <v>498</v>
      </c>
      <c r="H5805" s="4">
        <v>16015944</v>
      </c>
      <c r="I5805" s="4">
        <v>12472898</v>
      </c>
      <c r="J5805" s="3">
        <v>0.2212199293404123</v>
      </c>
      <c r="K5805" s="3">
        <v>0.28405956658989756</v>
      </c>
      <c r="L5805" t="s">
        <v>54</v>
      </c>
    </row>
    <row r="5806" spans="1:12" x14ac:dyDescent="0.25">
      <c r="A5806" t="s">
        <v>487</v>
      </c>
      <c r="B5806" t="s">
        <v>467</v>
      </c>
      <c r="C5806" t="s">
        <v>468</v>
      </c>
      <c r="D5806" t="s">
        <v>114</v>
      </c>
      <c r="E5806" t="s">
        <v>120</v>
      </c>
      <c r="F5806">
        <v>3</v>
      </c>
      <c r="G5806" t="s">
        <v>499</v>
      </c>
      <c r="H5806" s="4">
        <v>16015944</v>
      </c>
      <c r="I5806" s="4">
        <v>9056474</v>
      </c>
      <c r="J5806" s="3">
        <v>0.4345338620065105</v>
      </c>
      <c r="K5806" s="3">
        <v>0.7684524904504777</v>
      </c>
      <c r="L5806" t="s">
        <v>54</v>
      </c>
    </row>
    <row r="5807" spans="1:12" x14ac:dyDescent="0.25">
      <c r="A5807" t="s">
        <v>487</v>
      </c>
      <c r="B5807" t="s">
        <v>467</v>
      </c>
      <c r="C5807" t="s">
        <v>468</v>
      </c>
      <c r="D5807" t="s">
        <v>116</v>
      </c>
      <c r="E5807" t="s">
        <v>118</v>
      </c>
      <c r="F5807">
        <v>1</v>
      </c>
      <c r="G5807" t="s">
        <v>488</v>
      </c>
      <c r="H5807" s="4">
        <v>15824772</v>
      </c>
      <c r="I5807" s="4">
        <v>12712702.849833852</v>
      </c>
      <c r="J5807" s="3">
        <v>0.19665807192458434</v>
      </c>
      <c r="K5807" s="3">
        <v>0.24479996008140956</v>
      </c>
      <c r="L5807" t="s">
        <v>54</v>
      </c>
    </row>
    <row r="5808" spans="1:12" x14ac:dyDescent="0.25">
      <c r="A5808" t="s">
        <v>487</v>
      </c>
      <c r="B5808" t="s">
        <v>467</v>
      </c>
      <c r="C5808" t="s">
        <v>468</v>
      </c>
      <c r="D5808" t="s">
        <v>116</v>
      </c>
      <c r="E5808" t="s">
        <v>118</v>
      </c>
      <c r="F5808">
        <v>1</v>
      </c>
      <c r="G5808" t="s">
        <v>498</v>
      </c>
      <c r="H5808" s="4">
        <v>15824772</v>
      </c>
      <c r="I5808" s="4">
        <v>14363153</v>
      </c>
      <c r="J5808" s="3">
        <v>0.09236272092893345</v>
      </c>
      <c r="K5808" s="3">
        <v>0.10176170928486246</v>
      </c>
      <c r="L5808" t="s">
        <v>54</v>
      </c>
    </row>
    <row r="5809" spans="1:12" x14ac:dyDescent="0.25">
      <c r="A5809" t="s">
        <v>487</v>
      </c>
      <c r="B5809" t="s">
        <v>467</v>
      </c>
      <c r="C5809" t="s">
        <v>468</v>
      </c>
      <c r="D5809" t="s">
        <v>116</v>
      </c>
      <c r="E5809" t="s">
        <v>118</v>
      </c>
      <c r="F5809">
        <v>1</v>
      </c>
      <c r="G5809" t="s">
        <v>499</v>
      </c>
      <c r="H5809" s="4">
        <v>15824772</v>
      </c>
      <c r="I5809" s="4">
        <v>12895770</v>
      </c>
      <c r="J5809" s="3">
        <v>0.18508968091293826</v>
      </c>
      <c r="K5809" s="3">
        <v>0.22712889575418915</v>
      </c>
      <c r="L5809" t="s">
        <v>54</v>
      </c>
    </row>
    <row r="5810" spans="1:12" x14ac:dyDescent="0.25">
      <c r="A5810" t="s">
        <v>487</v>
      </c>
      <c r="B5810" t="s">
        <v>467</v>
      </c>
      <c r="C5810" t="s">
        <v>468</v>
      </c>
      <c r="D5810" t="s">
        <v>116</v>
      </c>
      <c r="E5810" t="s">
        <v>120</v>
      </c>
      <c r="F5810">
        <v>2</v>
      </c>
      <c r="G5810" t="s">
        <v>488</v>
      </c>
      <c r="H5810" s="4">
        <v>16015944</v>
      </c>
      <c r="I5810" s="4">
        <v>11039654.451239707</v>
      </c>
      <c r="J5810" s="3">
        <v>0.3107084758013822</v>
      </c>
      <c r="K5810" s="3">
        <v>0.45076497373533975</v>
      </c>
      <c r="L5810" t="s">
        <v>54</v>
      </c>
    </row>
    <row r="5811" spans="1:12" x14ac:dyDescent="0.25">
      <c r="A5811" t="s">
        <v>487</v>
      </c>
      <c r="B5811" t="s">
        <v>467</v>
      </c>
      <c r="C5811" t="s">
        <v>468</v>
      </c>
      <c r="D5811" t="s">
        <v>116</v>
      </c>
      <c r="E5811" t="s">
        <v>120</v>
      </c>
      <c r="F5811">
        <v>2</v>
      </c>
      <c r="G5811" t="s">
        <v>498</v>
      </c>
      <c r="H5811" s="4">
        <v>16015944</v>
      </c>
      <c r="I5811" s="4">
        <v>12472898</v>
      </c>
      <c r="J5811" s="3">
        <v>0.2212199293404123</v>
      </c>
      <c r="K5811" s="3">
        <v>0.28405956658989756</v>
      </c>
      <c r="L5811" t="s">
        <v>54</v>
      </c>
    </row>
    <row r="5812" spans="1:12" x14ac:dyDescent="0.25">
      <c r="A5812" t="s">
        <v>487</v>
      </c>
      <c r="B5812" t="s">
        <v>467</v>
      </c>
      <c r="C5812" t="s">
        <v>468</v>
      </c>
      <c r="D5812" t="s">
        <v>116</v>
      </c>
      <c r="E5812" t="s">
        <v>120</v>
      </c>
      <c r="F5812">
        <v>2</v>
      </c>
      <c r="G5812" t="s">
        <v>499</v>
      </c>
      <c r="H5812" s="4">
        <v>16015944</v>
      </c>
      <c r="I5812" s="4">
        <v>12895770</v>
      </c>
      <c r="J5812" s="3">
        <v>0.19481674011847194</v>
      </c>
      <c r="K5812" s="3">
        <v>0.24195329166075388</v>
      </c>
      <c r="L5812" t="s">
        <v>54</v>
      </c>
    </row>
    <row r="5813" spans="1:12" x14ac:dyDescent="0.25">
      <c r="A5813" t="s">
        <v>487</v>
      </c>
      <c r="B5813" t="s">
        <v>467</v>
      </c>
      <c r="C5813" t="s">
        <v>468</v>
      </c>
      <c r="D5813" t="s">
        <v>116</v>
      </c>
      <c r="E5813" t="s">
        <v>122</v>
      </c>
      <c r="F5813">
        <v>3</v>
      </c>
      <c r="G5813" t="s">
        <v>488</v>
      </c>
      <c r="H5813" s="4">
        <v>12794877</v>
      </c>
      <c r="I5813" s="4">
        <v>7603548.286587751</v>
      </c>
      <c r="J5813" s="3">
        <v>0.40573494480738265</v>
      </c>
      <c r="K5813" s="3">
        <v>0.6827508049852822</v>
      </c>
      <c r="L5813" t="s">
        <v>54</v>
      </c>
    </row>
    <row r="5814" spans="1:12" x14ac:dyDescent="0.25">
      <c r="A5814" t="s">
        <v>487</v>
      </c>
      <c r="B5814" t="s">
        <v>467</v>
      </c>
      <c r="C5814" t="s">
        <v>468</v>
      </c>
      <c r="D5814" t="s">
        <v>116</v>
      </c>
      <c r="E5814" t="s">
        <v>122</v>
      </c>
      <c r="F5814">
        <v>3</v>
      </c>
      <c r="G5814" t="s">
        <v>498</v>
      </c>
      <c r="H5814" s="4">
        <v>12794877</v>
      </c>
      <c r="I5814" s="4">
        <v>8590693</v>
      </c>
      <c r="J5814" s="3">
        <v>0.3285833853658773</v>
      </c>
      <c r="K5814" s="3">
        <v>0.48938822514085883</v>
      </c>
      <c r="L5814" t="s">
        <v>54</v>
      </c>
    </row>
    <row r="5815" spans="1:12" x14ac:dyDescent="0.25">
      <c r="A5815" t="s">
        <v>487</v>
      </c>
      <c r="B5815" t="s">
        <v>467</v>
      </c>
      <c r="C5815" t="s">
        <v>468</v>
      </c>
      <c r="D5815" t="s">
        <v>116</v>
      </c>
      <c r="E5815" t="s">
        <v>122</v>
      </c>
      <c r="F5815">
        <v>3</v>
      </c>
      <c r="G5815" t="s">
        <v>499</v>
      </c>
      <c r="H5815" s="4">
        <v>12794877</v>
      </c>
      <c r="I5815" s="4">
        <v>12895770</v>
      </c>
      <c r="J5815" s="3">
        <v>0.007885421641802419</v>
      </c>
      <c r="K5815" s="3">
        <v>-0.007823728245773614</v>
      </c>
      <c r="L5815" t="s">
        <v>54</v>
      </c>
    </row>
    <row r="5816" spans="1:12" x14ac:dyDescent="0.25">
      <c r="A5816" t="s">
        <v>487</v>
      </c>
      <c r="B5816" t="s">
        <v>467</v>
      </c>
      <c r="C5816" t="s">
        <v>468</v>
      </c>
      <c r="D5816" t="s">
        <v>118</v>
      </c>
      <c r="E5816" t="s">
        <v>120</v>
      </c>
      <c r="F5816">
        <v>1</v>
      </c>
      <c r="G5816" t="s">
        <v>488</v>
      </c>
      <c r="H5816" s="4">
        <v>16015944</v>
      </c>
      <c r="I5816" s="4">
        <v>11213526.144677203</v>
      </c>
      <c r="J5816" s="3">
        <v>0.2998523131276431</v>
      </c>
      <c r="K5816" s="3">
        <v>0.4282700903678181</v>
      </c>
      <c r="L5816" t="s">
        <v>54</v>
      </c>
    </row>
    <row r="5817" spans="1:12" x14ac:dyDescent="0.25">
      <c r="A5817" t="s">
        <v>487</v>
      </c>
      <c r="B5817" t="s">
        <v>467</v>
      </c>
      <c r="C5817" t="s">
        <v>468</v>
      </c>
      <c r="D5817" t="s">
        <v>118</v>
      </c>
      <c r="E5817" t="s">
        <v>120</v>
      </c>
      <c r="F5817">
        <v>1</v>
      </c>
      <c r="G5817" t="s">
        <v>498</v>
      </c>
      <c r="H5817" s="4">
        <v>16015944</v>
      </c>
      <c r="I5817" s="4">
        <v>12472898</v>
      </c>
      <c r="J5817" s="3">
        <v>0.2212199293404123</v>
      </c>
      <c r="K5817" s="3">
        <v>0.28405956658989756</v>
      </c>
      <c r="L5817" t="s">
        <v>54</v>
      </c>
    </row>
    <row r="5818" spans="1:12" x14ac:dyDescent="0.25">
      <c r="A5818" t="s">
        <v>487</v>
      </c>
      <c r="B5818" t="s">
        <v>467</v>
      </c>
      <c r="C5818" t="s">
        <v>468</v>
      </c>
      <c r="D5818" t="s">
        <v>118</v>
      </c>
      <c r="E5818" t="s">
        <v>120</v>
      </c>
      <c r="F5818">
        <v>1</v>
      </c>
      <c r="G5818" t="s">
        <v>499</v>
      </c>
      <c r="H5818" s="4">
        <v>16015944</v>
      </c>
      <c r="I5818" s="4">
        <v>15824772</v>
      </c>
      <c r="J5818" s="3">
        <v>0.011936355421822155</v>
      </c>
      <c r="K5818" s="3">
        <v>0.01208055319849158</v>
      </c>
      <c r="L5818" t="s">
        <v>54</v>
      </c>
    </row>
    <row r="5819" spans="1:12" x14ac:dyDescent="0.25">
      <c r="A5819" t="s">
        <v>487</v>
      </c>
      <c r="B5819" t="s">
        <v>467</v>
      </c>
      <c r="C5819" t="s">
        <v>468</v>
      </c>
      <c r="D5819" t="s">
        <v>118</v>
      </c>
      <c r="E5819" t="s">
        <v>122</v>
      </c>
      <c r="F5819">
        <v>2</v>
      </c>
      <c r="G5819" t="s">
        <v>488</v>
      </c>
      <c r="H5819" s="4">
        <v>12794877</v>
      </c>
      <c r="I5819" s="4">
        <v>7723302.199408304</v>
      </c>
      <c r="J5819" s="3">
        <v>0.39637542436646295</v>
      </c>
      <c r="K5819" s="3">
        <v>0.656658857784982</v>
      </c>
      <c r="L5819" t="s">
        <v>54</v>
      </c>
    </row>
    <row r="5820" spans="1:12" x14ac:dyDescent="0.25">
      <c r="A5820" t="s">
        <v>487</v>
      </c>
      <c r="B5820" t="s">
        <v>467</v>
      </c>
      <c r="C5820" t="s">
        <v>468</v>
      </c>
      <c r="D5820" t="s">
        <v>118</v>
      </c>
      <c r="E5820" t="s">
        <v>122</v>
      </c>
      <c r="F5820">
        <v>2</v>
      </c>
      <c r="G5820" t="s">
        <v>498</v>
      </c>
      <c r="H5820" s="4">
        <v>12794877</v>
      </c>
      <c r="I5820" s="4">
        <v>8590693</v>
      </c>
      <c r="J5820" s="3">
        <v>0.3285833853658773</v>
      </c>
      <c r="K5820" s="3">
        <v>0.48938822514085883</v>
      </c>
      <c r="L5820" t="s">
        <v>54</v>
      </c>
    </row>
    <row r="5821" spans="1:12" x14ac:dyDescent="0.25">
      <c r="A5821" t="s">
        <v>487</v>
      </c>
      <c r="B5821" t="s">
        <v>467</v>
      </c>
      <c r="C5821" t="s">
        <v>468</v>
      </c>
      <c r="D5821" t="s">
        <v>118</v>
      </c>
      <c r="E5821" t="s">
        <v>122</v>
      </c>
      <c r="F5821">
        <v>2</v>
      </c>
      <c r="G5821" t="s">
        <v>499</v>
      </c>
      <c r="H5821" s="4">
        <v>12794877</v>
      </c>
      <c r="I5821" s="4">
        <v>15824772</v>
      </c>
      <c r="J5821" s="3">
        <v>0.23680532450605035</v>
      </c>
      <c r="K5821" s="3">
        <v>-0.1914653177941521</v>
      </c>
      <c r="L5821" t="s">
        <v>54</v>
      </c>
    </row>
    <row r="5822" spans="1:12" x14ac:dyDescent="0.25">
      <c r="A5822" t="s">
        <v>487</v>
      </c>
      <c r="B5822" t="s">
        <v>467</v>
      </c>
      <c r="C5822" t="s">
        <v>468</v>
      </c>
      <c r="D5822" t="s">
        <v>118</v>
      </c>
      <c r="E5822" t="s">
        <v>124</v>
      </c>
      <c r="F5822">
        <v>3</v>
      </c>
      <c r="G5822" t="s">
        <v>488</v>
      </c>
      <c r="H5822" s="4">
        <v>7781477</v>
      </c>
      <c r="I5822" s="4">
        <v>6010141.350916676</v>
      </c>
      <c r="J5822" s="3">
        <v>0.22763488847725485</v>
      </c>
      <c r="K5822" s="3">
        <v>0.2947244574893662</v>
      </c>
      <c r="L5822" t="s">
        <v>54</v>
      </c>
    </row>
    <row r="5823" spans="1:12" x14ac:dyDescent="0.25">
      <c r="A5823" t="s">
        <v>487</v>
      </c>
      <c r="B5823" t="s">
        <v>467</v>
      </c>
      <c r="C5823" t="s">
        <v>468</v>
      </c>
      <c r="D5823" t="s">
        <v>118</v>
      </c>
      <c r="E5823" t="s">
        <v>124</v>
      </c>
      <c r="F5823">
        <v>3</v>
      </c>
      <c r="G5823" t="s">
        <v>498</v>
      </c>
      <c r="H5823" s="4">
        <v>7781477</v>
      </c>
      <c r="I5823" s="4">
        <v>6685130</v>
      </c>
      <c r="J5823" s="3">
        <v>0.1408918898044677</v>
      </c>
      <c r="K5823" s="3">
        <v>0.16399785793245605</v>
      </c>
      <c r="L5823" t="s">
        <v>54</v>
      </c>
    </row>
    <row r="5824" spans="1:12" x14ac:dyDescent="0.25">
      <c r="A5824" t="s">
        <v>487</v>
      </c>
      <c r="B5824" t="s">
        <v>467</v>
      </c>
      <c r="C5824" t="s">
        <v>468</v>
      </c>
      <c r="D5824" t="s">
        <v>118</v>
      </c>
      <c r="E5824" t="s">
        <v>124</v>
      </c>
      <c r="F5824">
        <v>3</v>
      </c>
      <c r="G5824" t="s">
        <v>499</v>
      </c>
      <c r="H5824" s="4">
        <v>7781477</v>
      </c>
      <c r="I5824" s="4">
        <v>15824772</v>
      </c>
      <c r="J5824" s="3">
        <v>1.0336463116192465</v>
      </c>
      <c r="K5824" s="3">
        <v>-0.5082724098647361</v>
      </c>
      <c r="L5824" t="s">
        <v>54</v>
      </c>
    </row>
    <row r="5825" spans="1:12" x14ac:dyDescent="0.25">
      <c r="A5825" t="s">
        <v>487</v>
      </c>
      <c r="B5825" t="s">
        <v>467</v>
      </c>
      <c r="C5825" t="s">
        <v>468</v>
      </c>
      <c r="D5825" t="s">
        <v>120</v>
      </c>
      <c r="E5825" t="s">
        <v>122</v>
      </c>
      <c r="F5825">
        <v>1</v>
      </c>
      <c r="G5825" t="s">
        <v>488</v>
      </c>
      <c r="H5825" s="4">
        <v>12794877</v>
      </c>
      <c r="I5825" s="4">
        <v>8149409.059361304</v>
      </c>
      <c r="J5825" s="3">
        <v>0.3630724969562971</v>
      </c>
      <c r="K5825" s="3">
        <v>0.5700373986384206</v>
      </c>
      <c r="L5825" t="s">
        <v>54</v>
      </c>
    </row>
    <row r="5826" spans="1:12" x14ac:dyDescent="0.25">
      <c r="A5826" t="s">
        <v>487</v>
      </c>
      <c r="B5826" t="s">
        <v>467</v>
      </c>
      <c r="C5826" t="s">
        <v>468</v>
      </c>
      <c r="D5826" t="s">
        <v>120</v>
      </c>
      <c r="E5826" t="s">
        <v>122</v>
      </c>
      <c r="F5826">
        <v>1</v>
      </c>
      <c r="G5826" t="s">
        <v>498</v>
      </c>
      <c r="H5826" s="4">
        <v>12794877</v>
      </c>
      <c r="I5826" s="4">
        <v>8590693</v>
      </c>
      <c r="J5826" s="3">
        <v>0.3285833853658773</v>
      </c>
      <c r="K5826" s="3">
        <v>0.48938822514085883</v>
      </c>
      <c r="L5826" t="s">
        <v>54</v>
      </c>
    </row>
    <row r="5827" spans="1:12" x14ac:dyDescent="0.25">
      <c r="A5827" t="s">
        <v>487</v>
      </c>
      <c r="B5827" t="s">
        <v>467</v>
      </c>
      <c r="C5827" t="s">
        <v>468</v>
      </c>
      <c r="D5827" t="s">
        <v>120</v>
      </c>
      <c r="E5827" t="s">
        <v>122</v>
      </c>
      <c r="F5827">
        <v>1</v>
      </c>
      <c r="G5827" t="s">
        <v>499</v>
      </c>
      <c r="H5827" s="4">
        <v>12794877</v>
      </c>
      <c r="I5827" s="4">
        <v>16015944</v>
      </c>
      <c r="J5827" s="3">
        <v>0.25174661702492335</v>
      </c>
      <c r="K5827" s="3">
        <v>-0.20111627513183114</v>
      </c>
      <c r="L5827" t="s">
        <v>54</v>
      </c>
    </row>
    <row r="5828" spans="1:12" x14ac:dyDescent="0.25">
      <c r="A5828" t="s">
        <v>487</v>
      </c>
      <c r="B5828" t="s">
        <v>467</v>
      </c>
      <c r="C5828" t="s">
        <v>468</v>
      </c>
      <c r="D5828" t="s">
        <v>120</v>
      </c>
      <c r="E5828" t="s">
        <v>124</v>
      </c>
      <c r="F5828">
        <v>2</v>
      </c>
      <c r="G5828" t="s">
        <v>488</v>
      </c>
      <c r="H5828" s="4">
        <v>7781477</v>
      </c>
      <c r="I5828" s="4">
        <v>6341730.403473623</v>
      </c>
      <c r="J5828" s="3">
        <v>0.18502227745791408</v>
      </c>
      <c r="K5828" s="3">
        <v>0.22702740497101065</v>
      </c>
      <c r="L5828" t="s">
        <v>54</v>
      </c>
    </row>
    <row r="5829" spans="1:12" x14ac:dyDescent="0.25">
      <c r="A5829" t="s">
        <v>487</v>
      </c>
      <c r="B5829" t="s">
        <v>467</v>
      </c>
      <c r="C5829" t="s">
        <v>468</v>
      </c>
      <c r="D5829" t="s">
        <v>120</v>
      </c>
      <c r="E5829" t="s">
        <v>124</v>
      </c>
      <c r="F5829">
        <v>2</v>
      </c>
      <c r="G5829" t="s">
        <v>498</v>
      </c>
      <c r="H5829" s="4">
        <v>7781477</v>
      </c>
      <c r="I5829" s="4">
        <v>6685130</v>
      </c>
      <c r="J5829" s="3">
        <v>0.1408918898044677</v>
      </c>
      <c r="K5829" s="3">
        <v>0.16399785793245605</v>
      </c>
      <c r="L5829" t="s">
        <v>54</v>
      </c>
    </row>
    <row r="5830" spans="1:12" x14ac:dyDescent="0.25">
      <c r="A5830" t="s">
        <v>487</v>
      </c>
      <c r="B5830" t="s">
        <v>467</v>
      </c>
      <c r="C5830" t="s">
        <v>468</v>
      </c>
      <c r="D5830" t="s">
        <v>120</v>
      </c>
      <c r="E5830" t="s">
        <v>124</v>
      </c>
      <c r="F5830">
        <v>2</v>
      </c>
      <c r="G5830" t="s">
        <v>499</v>
      </c>
      <c r="H5830" s="4">
        <v>7781477</v>
      </c>
      <c r="I5830" s="4">
        <v>16015944</v>
      </c>
      <c r="J5830" s="3">
        <v>1.058213884073679</v>
      </c>
      <c r="K5830" s="3">
        <v>-0.5141418451513067</v>
      </c>
      <c r="L5830" t="s">
        <v>54</v>
      </c>
    </row>
    <row r="5831" spans="1:12" x14ac:dyDescent="0.25">
      <c r="A5831" t="s">
        <v>487</v>
      </c>
      <c r="B5831" t="s">
        <v>467</v>
      </c>
      <c r="C5831" t="s">
        <v>468</v>
      </c>
      <c r="D5831" t="s">
        <v>120</v>
      </c>
      <c r="E5831" t="s">
        <v>126</v>
      </c>
      <c r="F5831">
        <v>3</v>
      </c>
      <c r="G5831" t="s">
        <v>488</v>
      </c>
      <c r="H5831" s="4">
        <v>8618084</v>
      </c>
      <c r="I5831" s="4">
        <v>8798745.987396643</v>
      </c>
      <c r="J5831" s="3">
        <v>0.020963126768855186</v>
      </c>
      <c r="K5831" s="3">
        <v>-0.020532697233835762</v>
      </c>
      <c r="L5831" t="s">
        <v>54</v>
      </c>
    </row>
    <row r="5832" spans="1:12" x14ac:dyDescent="0.25">
      <c r="A5832" t="s">
        <v>487</v>
      </c>
      <c r="B5832" t="s">
        <v>467</v>
      </c>
      <c r="C5832" t="s">
        <v>468</v>
      </c>
      <c r="D5832" t="s">
        <v>120</v>
      </c>
      <c r="E5832" t="s">
        <v>126</v>
      </c>
      <c r="F5832">
        <v>3</v>
      </c>
      <c r="G5832" t="s">
        <v>498</v>
      </c>
      <c r="H5832" s="4">
        <v>8618084</v>
      </c>
      <c r="I5832" s="4">
        <v>9275191</v>
      </c>
      <c r="J5832" s="3">
        <v>0.07624745825174134</v>
      </c>
      <c r="K5832" s="3">
        <v>-0.07084565697892367</v>
      </c>
      <c r="L5832" t="s">
        <v>54</v>
      </c>
    </row>
    <row r="5833" spans="1:12" x14ac:dyDescent="0.25">
      <c r="A5833" t="s">
        <v>487</v>
      </c>
      <c r="B5833" t="s">
        <v>467</v>
      </c>
      <c r="C5833" t="s">
        <v>468</v>
      </c>
      <c r="D5833" t="s">
        <v>120</v>
      </c>
      <c r="E5833" t="s">
        <v>126</v>
      </c>
      <c r="F5833">
        <v>3</v>
      </c>
      <c r="G5833" t="s">
        <v>499</v>
      </c>
      <c r="H5833" s="4">
        <v>8618084</v>
      </c>
      <c r="I5833" s="4">
        <v>16015944</v>
      </c>
      <c r="J5833" s="3">
        <v>0.8584112199416947</v>
      </c>
      <c r="K5833" s="3">
        <v>-0.46190596071015233</v>
      </c>
      <c r="L5833" t="s">
        <v>54</v>
      </c>
    </row>
    <row r="5834" spans="1:12" x14ac:dyDescent="0.25">
      <c r="A5834" t="s">
        <v>487</v>
      </c>
      <c r="B5834" t="s">
        <v>467</v>
      </c>
      <c r="C5834" t="s">
        <v>468</v>
      </c>
      <c r="D5834" t="s">
        <v>122</v>
      </c>
      <c r="E5834" t="s">
        <v>124</v>
      </c>
      <c r="F5834">
        <v>1</v>
      </c>
      <c r="G5834" t="s">
        <v>488</v>
      </c>
      <c r="H5834" s="4">
        <v>7781477</v>
      </c>
      <c r="I5834" s="4">
        <v>6794659.362650742</v>
      </c>
      <c r="J5834" s="3">
        <v>0.12681623775913728</v>
      </c>
      <c r="K5834" s="3">
        <v>0.14523430604537024</v>
      </c>
      <c r="L5834" t="s">
        <v>54</v>
      </c>
    </row>
    <row r="5835" spans="1:12" x14ac:dyDescent="0.25">
      <c r="A5835" t="s">
        <v>487</v>
      </c>
      <c r="B5835" t="s">
        <v>467</v>
      </c>
      <c r="C5835" t="s">
        <v>468</v>
      </c>
      <c r="D5835" t="s">
        <v>122</v>
      </c>
      <c r="E5835" t="s">
        <v>124</v>
      </c>
      <c r="F5835">
        <v>1</v>
      </c>
      <c r="G5835" t="s">
        <v>498</v>
      </c>
      <c r="H5835" s="4">
        <v>7781477</v>
      </c>
      <c r="I5835" s="4">
        <v>6685130</v>
      </c>
      <c r="J5835" s="3">
        <v>0.1408918898044677</v>
      </c>
      <c r="K5835" s="3">
        <v>0.16399785793245605</v>
      </c>
      <c r="L5835" t="s">
        <v>54</v>
      </c>
    </row>
    <row r="5836" spans="1:12" x14ac:dyDescent="0.25">
      <c r="A5836" t="s">
        <v>487</v>
      </c>
      <c r="B5836" t="s">
        <v>467</v>
      </c>
      <c r="C5836" t="s">
        <v>468</v>
      </c>
      <c r="D5836" t="s">
        <v>122</v>
      </c>
      <c r="E5836" t="s">
        <v>124</v>
      </c>
      <c r="F5836">
        <v>1</v>
      </c>
      <c r="G5836" t="s">
        <v>499</v>
      </c>
      <c r="H5836" s="4">
        <v>7781477</v>
      </c>
      <c r="I5836" s="4">
        <v>12794877</v>
      </c>
      <c r="J5836" s="3">
        <v>0.6442735742841622</v>
      </c>
      <c r="K5836" s="3">
        <v>-0.3918286983141768</v>
      </c>
      <c r="L5836" t="s">
        <v>54</v>
      </c>
    </row>
    <row r="5837" spans="1:12" x14ac:dyDescent="0.25">
      <c r="A5837" t="s">
        <v>487</v>
      </c>
      <c r="B5837" t="s">
        <v>467</v>
      </c>
      <c r="C5837" t="s">
        <v>468</v>
      </c>
      <c r="D5837" t="s">
        <v>122</v>
      </c>
      <c r="E5837" t="s">
        <v>126</v>
      </c>
      <c r="F5837">
        <v>2</v>
      </c>
      <c r="G5837" t="s">
        <v>488</v>
      </c>
      <c r="H5837" s="4">
        <v>8618084</v>
      </c>
      <c r="I5837" s="4">
        <v>9427155.996745598</v>
      </c>
      <c r="J5837" s="3">
        <v>0.09388072763570157</v>
      </c>
      <c r="K5837" s="3">
        <v>-0.08582355028652353</v>
      </c>
      <c r="L5837" t="s">
        <v>54</v>
      </c>
    </row>
    <row r="5838" spans="1:12" x14ac:dyDescent="0.25">
      <c r="A5838" t="s">
        <v>487</v>
      </c>
      <c r="B5838" t="s">
        <v>467</v>
      </c>
      <c r="C5838" t="s">
        <v>468</v>
      </c>
      <c r="D5838" t="s">
        <v>122</v>
      </c>
      <c r="E5838" t="s">
        <v>126</v>
      </c>
      <c r="F5838">
        <v>2</v>
      </c>
      <c r="G5838" t="s">
        <v>498</v>
      </c>
      <c r="H5838" s="4">
        <v>8618084</v>
      </c>
      <c r="I5838" s="4">
        <v>9275191</v>
      </c>
      <c r="J5838" s="3">
        <v>0.07624745825174134</v>
      </c>
      <c r="K5838" s="3">
        <v>-0.07084565697892367</v>
      </c>
      <c r="L5838" t="s">
        <v>54</v>
      </c>
    </row>
    <row r="5839" spans="1:12" x14ac:dyDescent="0.25">
      <c r="A5839" t="s">
        <v>487</v>
      </c>
      <c r="B5839" t="s">
        <v>467</v>
      </c>
      <c r="C5839" t="s">
        <v>468</v>
      </c>
      <c r="D5839" t="s">
        <v>122</v>
      </c>
      <c r="E5839" t="s">
        <v>126</v>
      </c>
      <c r="F5839">
        <v>2</v>
      </c>
      <c r="G5839" t="s">
        <v>499</v>
      </c>
      <c r="H5839" s="4">
        <v>8618084</v>
      </c>
      <c r="I5839" s="4">
        <v>12794877</v>
      </c>
      <c r="J5839" s="3">
        <v>0.48465447772381887</v>
      </c>
      <c r="K5839" s="3">
        <v>-0.326442606677657</v>
      </c>
      <c r="L5839" t="s">
        <v>54</v>
      </c>
    </row>
    <row r="5840" spans="1:12" x14ac:dyDescent="0.25">
      <c r="A5840" t="s">
        <v>487</v>
      </c>
      <c r="B5840" t="s">
        <v>467</v>
      </c>
      <c r="C5840" t="s">
        <v>468</v>
      </c>
      <c r="D5840" t="s">
        <v>122</v>
      </c>
      <c r="E5840" t="s">
        <v>128</v>
      </c>
      <c r="F5840">
        <v>3</v>
      </c>
      <c r="G5840" t="s">
        <v>488</v>
      </c>
      <c r="H5840" s="4">
        <v>12926311</v>
      </c>
      <c r="I5840" s="4">
        <v>11367234.912896002</v>
      </c>
      <c r="J5840" s="3">
        <v>0.12061260843128394</v>
      </c>
      <c r="K5840" s="3">
        <v>0.13715526238797474</v>
      </c>
      <c r="L5840" t="s">
        <v>54</v>
      </c>
    </row>
    <row r="5841" spans="1:12" x14ac:dyDescent="0.25">
      <c r="A5841" t="s">
        <v>487</v>
      </c>
      <c r="B5841" t="s">
        <v>467</v>
      </c>
      <c r="C5841" t="s">
        <v>468</v>
      </c>
      <c r="D5841" t="s">
        <v>122</v>
      </c>
      <c r="E5841" t="s">
        <v>128</v>
      </c>
      <c r="F5841">
        <v>3</v>
      </c>
      <c r="G5841" t="s">
        <v>498</v>
      </c>
      <c r="H5841" s="4">
        <v>12926311</v>
      </c>
      <c r="I5841" s="4">
        <v>11183996</v>
      </c>
      <c r="J5841" s="3">
        <v>0.13478826248262168</v>
      </c>
      <c r="K5841" s="3">
        <v>0.15578644699086086</v>
      </c>
      <c r="L5841" t="s">
        <v>54</v>
      </c>
    </row>
    <row r="5842" spans="1:12" x14ac:dyDescent="0.25">
      <c r="A5842" t="s">
        <v>487</v>
      </c>
      <c r="B5842" t="s">
        <v>467</v>
      </c>
      <c r="C5842" t="s">
        <v>468</v>
      </c>
      <c r="D5842" t="s">
        <v>122</v>
      </c>
      <c r="E5842" t="s">
        <v>128</v>
      </c>
      <c r="F5842">
        <v>3</v>
      </c>
      <c r="G5842" t="s">
        <v>499</v>
      </c>
      <c r="H5842" s="4">
        <v>12926311</v>
      </c>
      <c r="I5842" s="4">
        <v>12794877</v>
      </c>
      <c r="J5842" s="3">
        <v>0.010167943506852033</v>
      </c>
      <c r="K5842" s="3">
        <v>0.010272392614637874</v>
      </c>
      <c r="L5842" t="s">
        <v>54</v>
      </c>
    </row>
    <row r="5843" spans="1:12" x14ac:dyDescent="0.25">
      <c r="A5843" t="s">
        <v>487</v>
      </c>
      <c r="B5843" t="s">
        <v>467</v>
      </c>
      <c r="C5843" t="s">
        <v>468</v>
      </c>
      <c r="D5843" t="s">
        <v>124</v>
      </c>
      <c r="E5843" t="s">
        <v>126</v>
      </c>
      <c r="F5843">
        <v>1</v>
      </c>
      <c r="G5843" t="s">
        <v>488</v>
      </c>
      <c r="H5843" s="4">
        <v>8618084</v>
      </c>
      <c r="I5843" s="4">
        <v>9679943.943532167</v>
      </c>
      <c r="J5843" s="3">
        <v>0.12321299531684386</v>
      </c>
      <c r="K5843" s="3">
        <v>-0.10969691040841908</v>
      </c>
      <c r="L5843" t="s">
        <v>54</v>
      </c>
    </row>
    <row r="5844" spans="1:12" x14ac:dyDescent="0.25">
      <c r="A5844" t="s">
        <v>487</v>
      </c>
      <c r="B5844" t="s">
        <v>467</v>
      </c>
      <c r="C5844" t="s">
        <v>468</v>
      </c>
      <c r="D5844" t="s">
        <v>124</v>
      </c>
      <c r="E5844" t="s">
        <v>126</v>
      </c>
      <c r="F5844">
        <v>1</v>
      </c>
      <c r="G5844" t="s">
        <v>498</v>
      </c>
      <c r="H5844" s="4">
        <v>8618084</v>
      </c>
      <c r="I5844" s="4">
        <v>9275191</v>
      </c>
      <c r="J5844" s="3">
        <v>0.07624745825174134</v>
      </c>
      <c r="K5844" s="3">
        <v>-0.07084565697892367</v>
      </c>
      <c r="L5844" t="s">
        <v>54</v>
      </c>
    </row>
    <row r="5845" spans="1:12" x14ac:dyDescent="0.25">
      <c r="A5845" t="s">
        <v>487</v>
      </c>
      <c r="B5845" t="s">
        <v>467</v>
      </c>
      <c r="C5845" t="s">
        <v>468</v>
      </c>
      <c r="D5845" t="s">
        <v>124</v>
      </c>
      <c r="E5845" t="s">
        <v>126</v>
      </c>
      <c r="F5845">
        <v>1</v>
      </c>
      <c r="G5845" t="s">
        <v>499</v>
      </c>
      <c r="H5845" s="4">
        <v>8618084</v>
      </c>
      <c r="I5845" s="4">
        <v>7781477</v>
      </c>
      <c r="J5845" s="3">
        <v>0.09707575372901912</v>
      </c>
      <c r="K5845" s="3">
        <v>0.10751262260365224</v>
      </c>
      <c r="L5845" t="s">
        <v>54</v>
      </c>
    </row>
    <row r="5846" spans="1:12" x14ac:dyDescent="0.25">
      <c r="A5846" t="s">
        <v>487</v>
      </c>
      <c r="B5846" t="s">
        <v>467</v>
      </c>
      <c r="C5846" t="s">
        <v>468</v>
      </c>
      <c r="D5846" t="s">
        <v>124</v>
      </c>
      <c r="E5846" t="s">
        <v>128</v>
      </c>
      <c r="F5846">
        <v>2</v>
      </c>
      <c r="G5846" t="s">
        <v>488</v>
      </c>
      <c r="H5846" s="4">
        <v>12926311</v>
      </c>
      <c r="I5846" s="4">
        <v>11672045.82037049</v>
      </c>
      <c r="J5846" s="3">
        <v>0.0970319513146102</v>
      </c>
      <c r="K5846" s="3">
        <v>0.10745889786009236</v>
      </c>
      <c r="L5846" t="s">
        <v>54</v>
      </c>
    </row>
    <row r="5847" spans="1:12" x14ac:dyDescent="0.25">
      <c r="A5847" t="s">
        <v>487</v>
      </c>
      <c r="B5847" t="s">
        <v>467</v>
      </c>
      <c r="C5847" t="s">
        <v>468</v>
      </c>
      <c r="D5847" t="s">
        <v>124</v>
      </c>
      <c r="E5847" t="s">
        <v>128</v>
      </c>
      <c r="F5847">
        <v>2</v>
      </c>
      <c r="G5847" t="s">
        <v>498</v>
      </c>
      <c r="H5847" s="4">
        <v>12926311</v>
      </c>
      <c r="I5847" s="4">
        <v>11183996</v>
      </c>
      <c r="J5847" s="3">
        <v>0.13478826248262168</v>
      </c>
      <c r="K5847" s="3">
        <v>0.15578644699086086</v>
      </c>
      <c r="L5847" t="s">
        <v>54</v>
      </c>
    </row>
    <row r="5848" spans="1:12" x14ac:dyDescent="0.25">
      <c r="A5848" t="s">
        <v>487</v>
      </c>
      <c r="B5848" t="s">
        <v>467</v>
      </c>
      <c r="C5848" t="s">
        <v>468</v>
      </c>
      <c r="D5848" t="s">
        <v>124</v>
      </c>
      <c r="E5848" t="s">
        <v>128</v>
      </c>
      <c r="F5848">
        <v>2</v>
      </c>
      <c r="G5848" t="s">
        <v>499</v>
      </c>
      <c r="H5848" s="4">
        <v>12926311</v>
      </c>
      <c r="I5848" s="4">
        <v>7781477</v>
      </c>
      <c r="J5848" s="3">
        <v>0.39801254975220696</v>
      </c>
      <c r="K5848" s="3">
        <v>0.6611641980050831</v>
      </c>
      <c r="L5848" t="s">
        <v>54</v>
      </c>
    </row>
    <row r="5849" spans="1:12" x14ac:dyDescent="0.25">
      <c r="A5849" t="s">
        <v>487</v>
      </c>
      <c r="B5849" t="s">
        <v>467</v>
      </c>
      <c r="C5849" t="s">
        <v>468</v>
      </c>
      <c r="D5849" t="s">
        <v>124</v>
      </c>
      <c r="E5849" t="s">
        <v>130</v>
      </c>
      <c r="F5849">
        <v>3</v>
      </c>
      <c r="G5849" t="s">
        <v>488</v>
      </c>
      <c r="H5849" s="4">
        <v>15993018</v>
      </c>
      <c r="I5849" s="4">
        <v>15109950.879291892</v>
      </c>
      <c r="J5849" s="3">
        <v>0.055215789834545795</v>
      </c>
      <c r="K5849" s="3">
        <v>0.05844275257825932</v>
      </c>
      <c r="L5849" t="s">
        <v>54</v>
      </c>
    </row>
    <row r="5850" spans="1:12" x14ac:dyDescent="0.25">
      <c r="A5850" t="s">
        <v>487</v>
      </c>
      <c r="B5850" t="s">
        <v>467</v>
      </c>
      <c r="C5850" t="s">
        <v>468</v>
      </c>
      <c r="D5850" t="s">
        <v>124</v>
      </c>
      <c r="E5850" t="s">
        <v>130</v>
      </c>
      <c r="F5850">
        <v>3</v>
      </c>
      <c r="G5850" t="s">
        <v>498</v>
      </c>
      <c r="H5850" s="4">
        <v>15993018</v>
      </c>
      <c r="I5850" s="4">
        <v>14478150</v>
      </c>
      <c r="J5850" s="3">
        <v>0.09472058369470977</v>
      </c>
      <c r="K5850" s="3">
        <v>0.10463132375338009</v>
      </c>
      <c r="L5850" t="s">
        <v>54</v>
      </c>
    </row>
    <row r="5851" spans="1:12" x14ac:dyDescent="0.25">
      <c r="A5851" t="s">
        <v>487</v>
      </c>
      <c r="B5851" t="s">
        <v>467</v>
      </c>
      <c r="C5851" t="s">
        <v>468</v>
      </c>
      <c r="D5851" t="s">
        <v>124</v>
      </c>
      <c r="E5851" t="s">
        <v>130</v>
      </c>
      <c r="F5851">
        <v>3</v>
      </c>
      <c r="G5851" t="s">
        <v>499</v>
      </c>
      <c r="H5851" s="4">
        <v>15993018</v>
      </c>
      <c r="I5851" s="4">
        <v>7781477</v>
      </c>
      <c r="J5851" s="3">
        <v>0.5134453672221215</v>
      </c>
      <c r="K5851" s="3">
        <v>1.055267656770045</v>
      </c>
      <c r="L5851" t="s">
        <v>54</v>
      </c>
    </row>
    <row r="5852" spans="1:12" x14ac:dyDescent="0.25">
      <c r="A5852" t="s">
        <v>487</v>
      </c>
      <c r="B5852" t="s">
        <v>467</v>
      </c>
      <c r="C5852" t="s">
        <v>468</v>
      </c>
      <c r="D5852" t="s">
        <v>126</v>
      </c>
      <c r="E5852" t="s">
        <v>128</v>
      </c>
      <c r="F5852">
        <v>1</v>
      </c>
      <c r="G5852" t="s">
        <v>488</v>
      </c>
      <c r="H5852" s="4">
        <v>12926311</v>
      </c>
      <c r="I5852" s="4">
        <v>11688705.870992951</v>
      </c>
      <c r="J5852" s="3">
        <v>0.09574310327262348</v>
      </c>
      <c r="K5852" s="3">
        <v>0.10588042360432112</v>
      </c>
      <c r="L5852" t="s">
        <v>54</v>
      </c>
    </row>
    <row r="5853" spans="1:12" x14ac:dyDescent="0.25">
      <c r="A5853" t="s">
        <v>487</v>
      </c>
      <c r="B5853" t="s">
        <v>467</v>
      </c>
      <c r="C5853" t="s">
        <v>468</v>
      </c>
      <c r="D5853" t="s">
        <v>126</v>
      </c>
      <c r="E5853" t="s">
        <v>128</v>
      </c>
      <c r="F5853">
        <v>1</v>
      </c>
      <c r="G5853" t="s">
        <v>498</v>
      </c>
      <c r="H5853" s="4">
        <v>12926311</v>
      </c>
      <c r="I5853" s="4">
        <v>11183996</v>
      </c>
      <c r="J5853" s="3">
        <v>0.13478826248262168</v>
      </c>
      <c r="K5853" s="3">
        <v>0.15578644699086086</v>
      </c>
      <c r="L5853" t="s">
        <v>54</v>
      </c>
    </row>
    <row r="5854" spans="1:12" x14ac:dyDescent="0.25">
      <c r="A5854" t="s">
        <v>487</v>
      </c>
      <c r="B5854" t="s">
        <v>467</v>
      </c>
      <c r="C5854" t="s">
        <v>468</v>
      </c>
      <c r="D5854" t="s">
        <v>126</v>
      </c>
      <c r="E5854" t="s">
        <v>128</v>
      </c>
      <c r="F5854">
        <v>1</v>
      </c>
      <c r="G5854" t="s">
        <v>499</v>
      </c>
      <c r="H5854" s="4">
        <v>12926311</v>
      </c>
      <c r="I5854" s="4">
        <v>8618084</v>
      </c>
      <c r="J5854" s="3">
        <v>0.3332913002015811</v>
      </c>
      <c r="K5854" s="3">
        <v>0.49990543141607807</v>
      </c>
      <c r="L5854" t="s">
        <v>54</v>
      </c>
    </row>
    <row r="5855" spans="1:12" x14ac:dyDescent="0.25">
      <c r="A5855" t="s">
        <v>487</v>
      </c>
      <c r="B5855" t="s">
        <v>467</v>
      </c>
      <c r="C5855" t="s">
        <v>468</v>
      </c>
      <c r="D5855" t="s">
        <v>126</v>
      </c>
      <c r="E5855" t="s">
        <v>130</v>
      </c>
      <c r="F5855">
        <v>2</v>
      </c>
      <c r="G5855" t="s">
        <v>488</v>
      </c>
      <c r="H5855" s="4">
        <v>15993018</v>
      </c>
      <c r="I5855" s="4">
        <v>15131518.01074648</v>
      </c>
      <c r="J5855" s="3">
        <v>0.0538672556520301</v>
      </c>
      <c r="K5855" s="3">
        <v>0.05693414161366212</v>
      </c>
      <c r="L5855" t="s">
        <v>54</v>
      </c>
    </row>
    <row r="5856" spans="1:12" x14ac:dyDescent="0.25">
      <c r="A5856" t="s">
        <v>487</v>
      </c>
      <c r="B5856" t="s">
        <v>467</v>
      </c>
      <c r="C5856" t="s">
        <v>468</v>
      </c>
      <c r="D5856" t="s">
        <v>126</v>
      </c>
      <c r="E5856" t="s">
        <v>130</v>
      </c>
      <c r="F5856">
        <v>2</v>
      </c>
      <c r="G5856" t="s">
        <v>498</v>
      </c>
      <c r="H5856" s="4">
        <v>15993018</v>
      </c>
      <c r="I5856" s="4">
        <v>14478150</v>
      </c>
      <c r="J5856" s="3">
        <v>0.09472058369470977</v>
      </c>
      <c r="K5856" s="3">
        <v>0.10463132375338009</v>
      </c>
      <c r="L5856" t="s">
        <v>54</v>
      </c>
    </row>
    <row r="5857" spans="1:12" x14ac:dyDescent="0.25">
      <c r="A5857" t="s">
        <v>487</v>
      </c>
      <c r="B5857" t="s">
        <v>467</v>
      </c>
      <c r="C5857" t="s">
        <v>468</v>
      </c>
      <c r="D5857" t="s">
        <v>126</v>
      </c>
      <c r="E5857" t="s">
        <v>130</v>
      </c>
      <c r="F5857">
        <v>2</v>
      </c>
      <c r="G5857" t="s">
        <v>499</v>
      </c>
      <c r="H5857" s="4">
        <v>15993018</v>
      </c>
      <c r="I5857" s="4">
        <v>8618084</v>
      </c>
      <c r="J5857" s="3">
        <v>0.4611346026122149</v>
      </c>
      <c r="K5857" s="3">
        <v>0.855750999874218</v>
      </c>
      <c r="L5857" t="s">
        <v>54</v>
      </c>
    </row>
    <row r="5858" spans="1:12" x14ac:dyDescent="0.25">
      <c r="A5858" t="s">
        <v>487</v>
      </c>
      <c r="B5858" t="s">
        <v>467</v>
      </c>
      <c r="C5858" t="s">
        <v>468</v>
      </c>
      <c r="D5858" t="s">
        <v>126</v>
      </c>
      <c r="E5858" t="s">
        <v>132</v>
      </c>
      <c r="F5858">
        <v>3</v>
      </c>
      <c r="G5858" t="s">
        <v>488</v>
      </c>
      <c r="H5858" s="4">
        <v>12332173</v>
      </c>
      <c r="I5858" s="4">
        <v>10765110.699036118</v>
      </c>
      <c r="J5858" s="3">
        <v>0.12707106046630082</v>
      </c>
      <c r="K5858" s="3">
        <v>0.14556861929011036</v>
      </c>
      <c r="L5858" t="s">
        <v>54</v>
      </c>
    </row>
    <row r="5859" spans="1:12" x14ac:dyDescent="0.25">
      <c r="A5859" t="s">
        <v>487</v>
      </c>
      <c r="B5859" t="s">
        <v>467</v>
      </c>
      <c r="C5859" t="s">
        <v>468</v>
      </c>
      <c r="D5859" t="s">
        <v>126</v>
      </c>
      <c r="E5859" t="s">
        <v>132</v>
      </c>
      <c r="F5859">
        <v>3</v>
      </c>
      <c r="G5859" t="s">
        <v>498</v>
      </c>
      <c r="H5859" s="4">
        <v>12332173</v>
      </c>
      <c r="I5859" s="4">
        <v>10300281</v>
      </c>
      <c r="J5859" s="3">
        <v>0.16476350112830884</v>
      </c>
      <c r="K5859" s="3">
        <v>0.1972656862468121</v>
      </c>
      <c r="L5859" t="s">
        <v>54</v>
      </c>
    </row>
    <row r="5860" spans="1:12" x14ac:dyDescent="0.25">
      <c r="A5860" t="s">
        <v>487</v>
      </c>
      <c r="B5860" t="s">
        <v>467</v>
      </c>
      <c r="C5860" t="s">
        <v>468</v>
      </c>
      <c r="D5860" t="s">
        <v>126</v>
      </c>
      <c r="E5860" t="s">
        <v>132</v>
      </c>
      <c r="F5860">
        <v>3</v>
      </c>
      <c r="G5860" t="s">
        <v>499</v>
      </c>
      <c r="H5860" s="4">
        <v>12332173</v>
      </c>
      <c r="I5860" s="4">
        <v>8618084</v>
      </c>
      <c r="J5860" s="3">
        <v>0.3011706858150628</v>
      </c>
      <c r="K5860" s="3">
        <v>0.43096458563179474</v>
      </c>
      <c r="L5860" t="s">
        <v>54</v>
      </c>
    </row>
    <row r="5861" spans="1:12" x14ac:dyDescent="0.25">
      <c r="A5861" t="s">
        <v>487</v>
      </c>
      <c r="B5861" t="s">
        <v>467</v>
      </c>
      <c r="C5861" t="s">
        <v>468</v>
      </c>
      <c r="D5861" t="s">
        <v>128</v>
      </c>
      <c r="E5861" t="s">
        <v>130</v>
      </c>
      <c r="F5861">
        <v>1</v>
      </c>
      <c r="G5861" t="s">
        <v>488</v>
      </c>
      <c r="H5861" s="4">
        <v>15993018</v>
      </c>
      <c r="I5861" s="4">
        <v>15389768.962284803</v>
      </c>
      <c r="J5861" s="3">
        <v>0.037719524714797205</v>
      </c>
      <c r="K5861" s="3">
        <v>0.0391980567865287</v>
      </c>
      <c r="L5861" t="s">
        <v>54</v>
      </c>
    </row>
    <row r="5862" spans="1:12" x14ac:dyDescent="0.25">
      <c r="A5862" t="s">
        <v>487</v>
      </c>
      <c r="B5862" t="s">
        <v>467</v>
      </c>
      <c r="C5862" t="s">
        <v>468</v>
      </c>
      <c r="D5862" t="s">
        <v>128</v>
      </c>
      <c r="E5862" t="s">
        <v>130</v>
      </c>
      <c r="F5862">
        <v>1</v>
      </c>
      <c r="G5862" t="s">
        <v>498</v>
      </c>
      <c r="H5862" s="4">
        <v>15993018</v>
      </c>
      <c r="I5862" s="4">
        <v>14478150</v>
      </c>
      <c r="J5862" s="3">
        <v>0.09472058369470977</v>
      </c>
      <c r="K5862" s="3">
        <v>0.10463132375338009</v>
      </c>
      <c r="L5862" t="s">
        <v>54</v>
      </c>
    </row>
    <row r="5863" spans="1:12" x14ac:dyDescent="0.25">
      <c r="A5863" t="s">
        <v>487</v>
      </c>
      <c r="B5863" t="s">
        <v>467</v>
      </c>
      <c r="C5863" t="s">
        <v>468</v>
      </c>
      <c r="D5863" t="s">
        <v>128</v>
      </c>
      <c r="E5863" t="s">
        <v>130</v>
      </c>
      <c r="F5863">
        <v>1</v>
      </c>
      <c r="G5863" t="s">
        <v>499</v>
      </c>
      <c r="H5863" s="4">
        <v>15993018</v>
      </c>
      <c r="I5863" s="4">
        <v>12926311</v>
      </c>
      <c r="J5863" s="3">
        <v>0.19175286365587782</v>
      </c>
      <c r="K5863" s="3">
        <v>0.2372453362757557</v>
      </c>
      <c r="L5863" t="s">
        <v>54</v>
      </c>
    </row>
    <row r="5864" spans="1:12" x14ac:dyDescent="0.25">
      <c r="A5864" t="s">
        <v>487</v>
      </c>
      <c r="B5864" t="s">
        <v>467</v>
      </c>
      <c r="C5864" t="s">
        <v>468</v>
      </c>
      <c r="D5864" t="s">
        <v>128</v>
      </c>
      <c r="E5864" t="s">
        <v>132</v>
      </c>
      <c r="F5864">
        <v>2</v>
      </c>
      <c r="G5864" t="s">
        <v>488</v>
      </c>
      <c r="H5864" s="4">
        <v>12332173</v>
      </c>
      <c r="I5864" s="4">
        <v>10948839.792142771</v>
      </c>
      <c r="J5864" s="3">
        <v>0.11217270531780804</v>
      </c>
      <c r="K5864" s="3">
        <v>0.126345186715578</v>
      </c>
      <c r="L5864" t="s">
        <v>54</v>
      </c>
    </row>
    <row r="5865" spans="1:12" x14ac:dyDescent="0.25">
      <c r="A5865" t="s">
        <v>487</v>
      </c>
      <c r="B5865" t="s">
        <v>467</v>
      </c>
      <c r="C5865" t="s">
        <v>468</v>
      </c>
      <c r="D5865" t="s">
        <v>128</v>
      </c>
      <c r="E5865" t="s">
        <v>132</v>
      </c>
      <c r="F5865">
        <v>2</v>
      </c>
      <c r="G5865" t="s">
        <v>498</v>
      </c>
      <c r="H5865" s="4">
        <v>12332173</v>
      </c>
      <c r="I5865" s="4">
        <v>10300281</v>
      </c>
      <c r="J5865" s="3">
        <v>0.16476350112830884</v>
      </c>
      <c r="K5865" s="3">
        <v>0.1972656862468121</v>
      </c>
      <c r="L5865" t="s">
        <v>54</v>
      </c>
    </row>
    <row r="5866" spans="1:12" x14ac:dyDescent="0.25">
      <c r="A5866" t="s">
        <v>487</v>
      </c>
      <c r="B5866" t="s">
        <v>467</v>
      </c>
      <c r="C5866" t="s">
        <v>468</v>
      </c>
      <c r="D5866" t="s">
        <v>128</v>
      </c>
      <c r="E5866" t="s">
        <v>132</v>
      </c>
      <c r="F5866">
        <v>2</v>
      </c>
      <c r="G5866" t="s">
        <v>499</v>
      </c>
      <c r="H5866" s="4">
        <v>12332173</v>
      </c>
      <c r="I5866" s="4">
        <v>12926311</v>
      </c>
      <c r="J5866" s="3">
        <v>0.04817788397876027</v>
      </c>
      <c r="K5866" s="3">
        <v>-0.04596346165584288</v>
      </c>
      <c r="L5866" t="s">
        <v>54</v>
      </c>
    </row>
    <row r="5867" spans="1:12" x14ac:dyDescent="0.25">
      <c r="A5867" t="s">
        <v>487</v>
      </c>
      <c r="B5867" t="s">
        <v>467</v>
      </c>
      <c r="C5867" t="s">
        <v>468</v>
      </c>
      <c r="D5867" t="s">
        <v>128</v>
      </c>
      <c r="E5867" t="s">
        <v>134</v>
      </c>
      <c r="F5867">
        <v>3</v>
      </c>
      <c r="G5867" t="s">
        <v>488</v>
      </c>
      <c r="H5867" s="4">
        <v>7642360</v>
      </c>
      <c r="I5867" s="4">
        <v>8119616.657115646</v>
      </c>
      <c r="J5867" s="3">
        <v>0.062448858352085704</v>
      </c>
      <c r="K5867" s="3">
        <v>-0.05877822528695375</v>
      </c>
      <c r="L5867" t="s">
        <v>54</v>
      </c>
    </row>
    <row r="5868" spans="1:12" x14ac:dyDescent="0.25">
      <c r="A5868" t="s">
        <v>487</v>
      </c>
      <c r="B5868" t="s">
        <v>467</v>
      </c>
      <c r="C5868" t="s">
        <v>468</v>
      </c>
      <c r="D5868" t="s">
        <v>128</v>
      </c>
      <c r="E5868" t="s">
        <v>134</v>
      </c>
      <c r="F5868">
        <v>3</v>
      </c>
      <c r="G5868" t="s">
        <v>498</v>
      </c>
      <c r="H5868" s="4">
        <v>7642360</v>
      </c>
      <c r="I5868" s="4">
        <v>7638648</v>
      </c>
      <c r="J5868" s="3">
        <v>0.0004857138370869731</v>
      </c>
      <c r="K5868" s="3">
        <v>0.000485949869662799</v>
      </c>
      <c r="L5868" t="s">
        <v>54</v>
      </c>
    </row>
    <row r="5869" spans="1:12" x14ac:dyDescent="0.25">
      <c r="A5869" t="s">
        <v>487</v>
      </c>
      <c r="B5869" t="s">
        <v>467</v>
      </c>
      <c r="C5869" t="s">
        <v>468</v>
      </c>
      <c r="D5869" t="s">
        <v>128</v>
      </c>
      <c r="E5869" t="s">
        <v>134</v>
      </c>
      <c r="F5869">
        <v>3</v>
      </c>
      <c r="G5869" t="s">
        <v>499</v>
      </c>
      <c r="H5869" s="4">
        <v>7642360</v>
      </c>
      <c r="I5869" s="4">
        <v>12926311</v>
      </c>
      <c r="J5869" s="3">
        <v>0.6914030482730465</v>
      </c>
      <c r="K5869" s="3">
        <v>-0.40877486237179345</v>
      </c>
      <c r="L5869" t="s">
        <v>54</v>
      </c>
    </row>
    <row r="5870" spans="1:12" x14ac:dyDescent="0.25">
      <c r="A5870" t="s">
        <v>487</v>
      </c>
      <c r="B5870" t="s">
        <v>467</v>
      </c>
      <c r="C5870" t="s">
        <v>468</v>
      </c>
      <c r="D5870" t="s">
        <v>130</v>
      </c>
      <c r="E5870" t="s">
        <v>132</v>
      </c>
      <c r="F5870">
        <v>1</v>
      </c>
      <c r="G5870" t="s">
        <v>488</v>
      </c>
      <c r="H5870" s="4">
        <v>12332173</v>
      </c>
      <c r="I5870" s="4">
        <v>11098908.62389629</v>
      </c>
      <c r="J5870" s="3">
        <v>0.10000381734052144</v>
      </c>
      <c r="K5870" s="3">
        <v>0.1111158238971762</v>
      </c>
      <c r="L5870" t="s">
        <v>54</v>
      </c>
    </row>
    <row r="5871" spans="1:12" x14ac:dyDescent="0.25">
      <c r="A5871" t="s">
        <v>487</v>
      </c>
      <c r="B5871" t="s">
        <v>467</v>
      </c>
      <c r="C5871" t="s">
        <v>468</v>
      </c>
      <c r="D5871" t="s">
        <v>130</v>
      </c>
      <c r="E5871" t="s">
        <v>132</v>
      </c>
      <c r="F5871">
        <v>1</v>
      </c>
      <c r="G5871" t="s">
        <v>498</v>
      </c>
      <c r="H5871" s="4">
        <v>12332173</v>
      </c>
      <c r="I5871" s="4">
        <v>10300281</v>
      </c>
      <c r="J5871" s="3">
        <v>0.16476350112830884</v>
      </c>
      <c r="K5871" s="3">
        <v>0.1972656862468121</v>
      </c>
      <c r="L5871" t="s">
        <v>54</v>
      </c>
    </row>
    <row r="5872" spans="1:12" x14ac:dyDescent="0.25">
      <c r="A5872" t="s">
        <v>487</v>
      </c>
      <c r="B5872" t="s">
        <v>467</v>
      </c>
      <c r="C5872" t="s">
        <v>468</v>
      </c>
      <c r="D5872" t="s">
        <v>130</v>
      </c>
      <c r="E5872" t="s">
        <v>132</v>
      </c>
      <c r="F5872">
        <v>1</v>
      </c>
      <c r="G5872" t="s">
        <v>499</v>
      </c>
      <c r="H5872" s="4">
        <v>12332173</v>
      </c>
      <c r="I5872" s="4">
        <v>15993018</v>
      </c>
      <c r="J5872" s="3">
        <v>0.2968531985401113</v>
      </c>
      <c r="K5872" s="3">
        <v>-0.2289026999156757</v>
      </c>
      <c r="L5872" t="s">
        <v>54</v>
      </c>
    </row>
    <row r="5873" spans="1:12" x14ac:dyDescent="0.25">
      <c r="A5873" t="s">
        <v>487</v>
      </c>
      <c r="B5873" t="s">
        <v>467</v>
      </c>
      <c r="C5873" t="s">
        <v>468</v>
      </c>
      <c r="D5873" t="s">
        <v>130</v>
      </c>
      <c r="E5873" t="s">
        <v>134</v>
      </c>
      <c r="F5873">
        <v>2</v>
      </c>
      <c r="G5873" t="s">
        <v>488</v>
      </c>
      <c r="H5873" s="4">
        <v>7642360</v>
      </c>
      <c r="I5873" s="4">
        <v>8230907.114292138</v>
      </c>
      <c r="J5873" s="3">
        <v>0.07701117381177257</v>
      </c>
      <c r="K5873" s="3">
        <v>-0.0715045263079431</v>
      </c>
      <c r="L5873" t="s">
        <v>54</v>
      </c>
    </row>
    <row r="5874" spans="1:12" x14ac:dyDescent="0.25">
      <c r="A5874" t="s">
        <v>487</v>
      </c>
      <c r="B5874" t="s">
        <v>467</v>
      </c>
      <c r="C5874" t="s">
        <v>468</v>
      </c>
      <c r="D5874" t="s">
        <v>130</v>
      </c>
      <c r="E5874" t="s">
        <v>134</v>
      </c>
      <c r="F5874">
        <v>2</v>
      </c>
      <c r="G5874" t="s">
        <v>498</v>
      </c>
      <c r="H5874" s="4">
        <v>7642360</v>
      </c>
      <c r="I5874" s="4">
        <v>7638648</v>
      </c>
      <c r="J5874" s="3">
        <v>0.0004857138370869731</v>
      </c>
      <c r="K5874" s="3">
        <v>0.000485949869662799</v>
      </c>
      <c r="L5874" t="s">
        <v>54</v>
      </c>
    </row>
    <row r="5875" spans="1:12" x14ac:dyDescent="0.25">
      <c r="A5875" t="s">
        <v>487</v>
      </c>
      <c r="B5875" t="s">
        <v>467</v>
      </c>
      <c r="C5875" t="s">
        <v>468</v>
      </c>
      <c r="D5875" t="s">
        <v>130</v>
      </c>
      <c r="E5875" t="s">
        <v>134</v>
      </c>
      <c r="F5875">
        <v>2</v>
      </c>
      <c r="G5875" t="s">
        <v>499</v>
      </c>
      <c r="H5875" s="4">
        <v>7642360</v>
      </c>
      <c r="I5875" s="4">
        <v>15993018</v>
      </c>
      <c r="J5875" s="3">
        <v>1.0926805332384237</v>
      </c>
      <c r="K5875" s="3">
        <v>-0.5221439755773426</v>
      </c>
      <c r="L5875" t="s">
        <v>54</v>
      </c>
    </row>
    <row r="5876" spans="1:12" x14ac:dyDescent="0.25">
      <c r="A5876" t="s">
        <v>487</v>
      </c>
      <c r="B5876" t="s">
        <v>467</v>
      </c>
      <c r="C5876" t="s">
        <v>468</v>
      </c>
      <c r="D5876" t="s">
        <v>130</v>
      </c>
      <c r="E5876" t="s">
        <v>136</v>
      </c>
      <c r="F5876">
        <v>3</v>
      </c>
      <c r="G5876" t="s">
        <v>488</v>
      </c>
      <c r="H5876" s="4">
        <v>6156260</v>
      </c>
      <c r="I5876" s="4">
        <v>6397538.113940489</v>
      </c>
      <c r="J5876" s="3">
        <v>0.03919232032768086</v>
      </c>
      <c r="K5876" s="3">
        <v>-0.03771421281801104</v>
      </c>
      <c r="L5876" t="s">
        <v>54</v>
      </c>
    </row>
    <row r="5877" spans="1:12" x14ac:dyDescent="0.25">
      <c r="A5877" t="s">
        <v>487</v>
      </c>
      <c r="B5877" t="s">
        <v>467</v>
      </c>
      <c r="C5877" t="s">
        <v>468</v>
      </c>
      <c r="D5877" t="s">
        <v>130</v>
      </c>
      <c r="E5877" t="s">
        <v>136</v>
      </c>
      <c r="F5877">
        <v>3</v>
      </c>
      <c r="G5877" t="s">
        <v>498</v>
      </c>
      <c r="H5877" s="4">
        <v>6156260</v>
      </c>
      <c r="I5877" s="4">
        <v>5937200</v>
      </c>
      <c r="J5877" s="3">
        <v>0.0355832924535351</v>
      </c>
      <c r="K5877" s="3">
        <v>0.036896180017516676</v>
      </c>
      <c r="L5877" t="s">
        <v>54</v>
      </c>
    </row>
    <row r="5878" spans="1:12" x14ac:dyDescent="0.25">
      <c r="A5878" t="s">
        <v>487</v>
      </c>
      <c r="B5878" t="s">
        <v>467</v>
      </c>
      <c r="C5878" t="s">
        <v>468</v>
      </c>
      <c r="D5878" t="s">
        <v>130</v>
      </c>
      <c r="E5878" t="s">
        <v>136</v>
      </c>
      <c r="F5878">
        <v>3</v>
      </c>
      <c r="G5878" t="s">
        <v>499</v>
      </c>
      <c r="H5878" s="4">
        <v>6156260</v>
      </c>
      <c r="I5878" s="4">
        <v>15993018</v>
      </c>
      <c r="J5878" s="3">
        <v>1.5978464197418563</v>
      </c>
      <c r="K5878" s="3">
        <v>-0.615065774327272</v>
      </c>
      <c r="L5878" t="s">
        <v>54</v>
      </c>
    </row>
    <row r="5879" spans="1:12" x14ac:dyDescent="0.25">
      <c r="A5879" t="s">
        <v>487</v>
      </c>
      <c r="B5879" t="s">
        <v>467</v>
      </c>
      <c r="C5879" t="s">
        <v>468</v>
      </c>
      <c r="D5879" t="s">
        <v>132</v>
      </c>
      <c r="E5879" t="s">
        <v>134</v>
      </c>
      <c r="F5879">
        <v>1</v>
      </c>
      <c r="G5879" t="s">
        <v>488</v>
      </c>
      <c r="H5879" s="4">
        <v>7642360</v>
      </c>
      <c r="I5879" s="4">
        <v>8393657.501547676</v>
      </c>
      <c r="J5879" s="3">
        <v>0.0983070022280651</v>
      </c>
      <c r="K5879" s="3">
        <v>-0.08950776242766001</v>
      </c>
      <c r="L5879" t="s">
        <v>54</v>
      </c>
    </row>
    <row r="5880" spans="1:12" x14ac:dyDescent="0.25">
      <c r="A5880" t="s">
        <v>487</v>
      </c>
      <c r="B5880" t="s">
        <v>467</v>
      </c>
      <c r="C5880" t="s">
        <v>468</v>
      </c>
      <c r="D5880" t="s">
        <v>132</v>
      </c>
      <c r="E5880" t="s">
        <v>134</v>
      </c>
      <c r="F5880">
        <v>1</v>
      </c>
      <c r="G5880" t="s">
        <v>498</v>
      </c>
      <c r="H5880" s="4">
        <v>7642360</v>
      </c>
      <c r="I5880" s="4">
        <v>7638648</v>
      </c>
      <c r="J5880" s="3">
        <v>0.0004857138370869731</v>
      </c>
      <c r="K5880" s="3">
        <v>0.000485949869662799</v>
      </c>
      <c r="L5880" t="s">
        <v>54</v>
      </c>
    </row>
    <row r="5881" spans="1:12" x14ac:dyDescent="0.25">
      <c r="A5881" t="s">
        <v>487</v>
      </c>
      <c r="B5881" t="s">
        <v>467</v>
      </c>
      <c r="C5881" t="s">
        <v>468</v>
      </c>
      <c r="D5881" t="s">
        <v>132</v>
      </c>
      <c r="E5881" t="s">
        <v>134</v>
      </c>
      <c r="F5881">
        <v>1</v>
      </c>
      <c r="G5881" t="s">
        <v>499</v>
      </c>
      <c r="H5881" s="4">
        <v>7642360</v>
      </c>
      <c r="I5881" s="4">
        <v>12332173</v>
      </c>
      <c r="J5881" s="3">
        <v>0.6136603091191726</v>
      </c>
      <c r="K5881" s="3">
        <v>-0.38029088628581514</v>
      </c>
      <c r="L5881" t="s">
        <v>54</v>
      </c>
    </row>
    <row r="5882" spans="1:12" x14ac:dyDescent="0.25">
      <c r="A5882" t="s">
        <v>487</v>
      </c>
      <c r="B5882" t="s">
        <v>467</v>
      </c>
      <c r="C5882" t="s">
        <v>468</v>
      </c>
      <c r="D5882" t="s">
        <v>132</v>
      </c>
      <c r="E5882" t="s">
        <v>136</v>
      </c>
      <c r="F5882">
        <v>2</v>
      </c>
      <c r="G5882" t="s">
        <v>488</v>
      </c>
      <c r="H5882" s="4">
        <v>6156260</v>
      </c>
      <c r="I5882" s="4">
        <v>6524037.148745283</v>
      </c>
      <c r="J5882" s="3">
        <v>0.0597403535174412</v>
      </c>
      <c r="K5882" s="3">
        <v>-0.05637263252187555</v>
      </c>
      <c r="L5882" t="s">
        <v>54</v>
      </c>
    </row>
    <row r="5883" spans="1:12" x14ac:dyDescent="0.25">
      <c r="A5883" t="s">
        <v>487</v>
      </c>
      <c r="B5883" t="s">
        <v>467</v>
      </c>
      <c r="C5883" t="s">
        <v>468</v>
      </c>
      <c r="D5883" t="s">
        <v>132</v>
      </c>
      <c r="E5883" t="s">
        <v>136</v>
      </c>
      <c r="F5883">
        <v>2</v>
      </c>
      <c r="G5883" t="s">
        <v>498</v>
      </c>
      <c r="H5883" s="4">
        <v>6156260</v>
      </c>
      <c r="I5883" s="4">
        <v>5937200</v>
      </c>
      <c r="J5883" s="3">
        <v>0.0355832924535351</v>
      </c>
      <c r="K5883" s="3">
        <v>0.036896180017516676</v>
      </c>
      <c r="L5883" t="s">
        <v>54</v>
      </c>
    </row>
    <row r="5884" spans="1:12" x14ac:dyDescent="0.25">
      <c r="A5884" t="s">
        <v>487</v>
      </c>
      <c r="B5884" t="s">
        <v>467</v>
      </c>
      <c r="C5884" t="s">
        <v>468</v>
      </c>
      <c r="D5884" t="s">
        <v>132</v>
      </c>
      <c r="E5884" t="s">
        <v>136</v>
      </c>
      <c r="F5884">
        <v>2</v>
      </c>
      <c r="G5884" t="s">
        <v>499</v>
      </c>
      <c r="H5884" s="4">
        <v>6156260</v>
      </c>
      <c r="I5884" s="4">
        <v>12332173</v>
      </c>
      <c r="J5884" s="3">
        <v>1.0031923602966737</v>
      </c>
      <c r="K5884" s="3">
        <v>-0.5007968182087618</v>
      </c>
      <c r="L5884" t="s">
        <v>54</v>
      </c>
    </row>
    <row r="5885" spans="1:12" x14ac:dyDescent="0.25">
      <c r="A5885" t="s">
        <v>487</v>
      </c>
      <c r="B5885" t="s">
        <v>467</v>
      </c>
      <c r="C5885" t="s">
        <v>468</v>
      </c>
      <c r="D5885" t="s">
        <v>132</v>
      </c>
      <c r="E5885" t="s">
        <v>138</v>
      </c>
      <c r="F5885">
        <v>3</v>
      </c>
      <c r="G5885" t="s">
        <v>488</v>
      </c>
      <c r="H5885" s="4">
        <v>10342073</v>
      </c>
      <c r="I5885" s="4">
        <v>9951622.450422049</v>
      </c>
      <c r="J5885" s="3">
        <v>0.037753606030237016</v>
      </c>
      <c r="K5885" s="3">
        <v>0.03923486361376103</v>
      </c>
      <c r="L5885" t="s">
        <v>54</v>
      </c>
    </row>
    <row r="5886" spans="1:12" x14ac:dyDescent="0.25">
      <c r="A5886" t="s">
        <v>487</v>
      </c>
      <c r="B5886" t="s">
        <v>467</v>
      </c>
      <c r="C5886" t="s">
        <v>468</v>
      </c>
      <c r="D5886" t="s">
        <v>132</v>
      </c>
      <c r="E5886" t="s">
        <v>138</v>
      </c>
      <c r="F5886">
        <v>3</v>
      </c>
      <c r="G5886" t="s">
        <v>498</v>
      </c>
      <c r="H5886" s="4">
        <v>10342073</v>
      </c>
      <c r="I5886" s="4">
        <v>9056474</v>
      </c>
      <c r="J5886" s="3">
        <v>0.1243076702320705</v>
      </c>
      <c r="K5886" s="3">
        <v>0.14195359032665472</v>
      </c>
      <c r="L5886" t="s">
        <v>54</v>
      </c>
    </row>
    <row r="5887" spans="1:12" x14ac:dyDescent="0.25">
      <c r="A5887" t="s">
        <v>487</v>
      </c>
      <c r="B5887" t="s">
        <v>467</v>
      </c>
      <c r="C5887" t="s">
        <v>468</v>
      </c>
      <c r="D5887" t="s">
        <v>132</v>
      </c>
      <c r="E5887" t="s">
        <v>138</v>
      </c>
      <c r="F5887">
        <v>3</v>
      </c>
      <c r="G5887" t="s">
        <v>499</v>
      </c>
      <c r="H5887" s="4">
        <v>10342073</v>
      </c>
      <c r="I5887" s="4">
        <v>12332173</v>
      </c>
      <c r="J5887" s="3">
        <v>0.1924275723058617</v>
      </c>
      <c r="K5887" s="3">
        <v>-0.16137464176021532</v>
      </c>
      <c r="L5887" t="s">
        <v>54</v>
      </c>
    </row>
    <row r="5888" spans="1:12" x14ac:dyDescent="0.25">
      <c r="A5888" t="s">
        <v>487</v>
      </c>
      <c r="B5888" t="s">
        <v>467</v>
      </c>
      <c r="C5888" t="s">
        <v>468</v>
      </c>
      <c r="D5888" t="s">
        <v>134</v>
      </c>
      <c r="E5888" t="s">
        <v>136</v>
      </c>
      <c r="F5888">
        <v>1</v>
      </c>
      <c r="G5888" t="s">
        <v>488</v>
      </c>
      <c r="H5888" s="4">
        <v>6156260</v>
      </c>
      <c r="I5888" s="4">
        <v>6529191.404827532</v>
      </c>
      <c r="J5888" s="3">
        <v>0.06057759172412022</v>
      </c>
      <c r="K5888" s="3">
        <v>-0.05711754820846507</v>
      </c>
      <c r="L5888" t="s">
        <v>54</v>
      </c>
    </row>
    <row r="5889" spans="1:12" x14ac:dyDescent="0.25">
      <c r="A5889" t="s">
        <v>487</v>
      </c>
      <c r="B5889" t="s">
        <v>467</v>
      </c>
      <c r="C5889" t="s">
        <v>468</v>
      </c>
      <c r="D5889" t="s">
        <v>134</v>
      </c>
      <c r="E5889" t="s">
        <v>136</v>
      </c>
      <c r="F5889">
        <v>1</v>
      </c>
      <c r="G5889" t="s">
        <v>498</v>
      </c>
      <c r="H5889" s="4">
        <v>6156260</v>
      </c>
      <c r="I5889" s="4">
        <v>5937200</v>
      </c>
      <c r="J5889" s="3">
        <v>0.0355832924535351</v>
      </c>
      <c r="K5889" s="3">
        <v>0.036896180017516676</v>
      </c>
      <c r="L5889" t="s">
        <v>54</v>
      </c>
    </row>
    <row r="5890" spans="1:12" x14ac:dyDescent="0.25">
      <c r="A5890" t="s">
        <v>487</v>
      </c>
      <c r="B5890" t="s">
        <v>467</v>
      </c>
      <c r="C5890" t="s">
        <v>468</v>
      </c>
      <c r="D5890" t="s">
        <v>134</v>
      </c>
      <c r="E5890" t="s">
        <v>136</v>
      </c>
      <c r="F5890">
        <v>1</v>
      </c>
      <c r="G5890" t="s">
        <v>499</v>
      </c>
      <c r="H5890" s="4">
        <v>6156260</v>
      </c>
      <c r="I5890" s="4">
        <v>7642360</v>
      </c>
      <c r="J5890" s="3">
        <v>0.24139656219847766</v>
      </c>
      <c r="K5890" s="3">
        <v>-0.19445563935747595</v>
      </c>
      <c r="L5890" t="s">
        <v>54</v>
      </c>
    </row>
    <row r="5891" spans="1:12" x14ac:dyDescent="0.25">
      <c r="A5891" t="s">
        <v>487</v>
      </c>
      <c r="B5891" t="s">
        <v>467</v>
      </c>
      <c r="C5891" t="s">
        <v>468</v>
      </c>
      <c r="D5891" t="s">
        <v>134</v>
      </c>
      <c r="E5891" t="s">
        <v>138</v>
      </c>
      <c r="F5891">
        <v>2</v>
      </c>
      <c r="G5891" t="s">
        <v>488</v>
      </c>
      <c r="H5891" s="4">
        <v>10342073</v>
      </c>
      <c r="I5891" s="4">
        <v>9959484.639029175</v>
      </c>
      <c r="J5891" s="3">
        <v>0.036993392037633556</v>
      </c>
      <c r="K5891" s="3">
        <v>0.038414473724025816</v>
      </c>
      <c r="L5891" t="s">
        <v>54</v>
      </c>
    </row>
    <row r="5892" spans="1:12" x14ac:dyDescent="0.25">
      <c r="A5892" t="s">
        <v>487</v>
      </c>
      <c r="B5892" t="s">
        <v>467</v>
      </c>
      <c r="C5892" t="s">
        <v>468</v>
      </c>
      <c r="D5892" t="s">
        <v>134</v>
      </c>
      <c r="E5892" t="s">
        <v>138</v>
      </c>
      <c r="F5892">
        <v>2</v>
      </c>
      <c r="G5892" t="s">
        <v>498</v>
      </c>
      <c r="H5892" s="4">
        <v>10342073</v>
      </c>
      <c r="I5892" s="4">
        <v>9056474</v>
      </c>
      <c r="J5892" s="3">
        <v>0.1243076702320705</v>
      </c>
      <c r="K5892" s="3">
        <v>0.14195359032665472</v>
      </c>
      <c r="L5892" t="s">
        <v>54</v>
      </c>
    </row>
    <row r="5893" spans="1:12" x14ac:dyDescent="0.25">
      <c r="A5893" t="s">
        <v>487</v>
      </c>
      <c r="B5893" t="s">
        <v>467</v>
      </c>
      <c r="C5893" t="s">
        <v>468</v>
      </c>
      <c r="D5893" t="s">
        <v>134</v>
      </c>
      <c r="E5893" t="s">
        <v>138</v>
      </c>
      <c r="F5893">
        <v>2</v>
      </c>
      <c r="G5893" t="s">
        <v>499</v>
      </c>
      <c r="H5893" s="4">
        <v>10342073</v>
      </c>
      <c r="I5893" s="4">
        <v>7642360</v>
      </c>
      <c r="J5893" s="3">
        <v>0.2610417659979774</v>
      </c>
      <c r="K5893" s="3">
        <v>0.3532564548123878</v>
      </c>
      <c r="L5893" t="s">
        <v>54</v>
      </c>
    </row>
    <row r="5894" spans="1:12" x14ac:dyDescent="0.25">
      <c r="A5894" t="s">
        <v>487</v>
      </c>
      <c r="B5894" t="s">
        <v>467</v>
      </c>
      <c r="C5894" t="s">
        <v>468</v>
      </c>
      <c r="D5894" t="s">
        <v>134</v>
      </c>
      <c r="E5894" t="s">
        <v>140</v>
      </c>
      <c r="F5894">
        <v>3</v>
      </c>
      <c r="G5894" t="s">
        <v>488</v>
      </c>
      <c r="H5894" s="4">
        <v>15592914</v>
      </c>
      <c r="I5894" s="4">
        <v>14181592.441324655</v>
      </c>
      <c r="J5894" s="3">
        <v>0.0905104433126063</v>
      </c>
      <c r="K5894" s="3">
        <v>0.09951784783793421</v>
      </c>
      <c r="L5894" t="s">
        <v>54</v>
      </c>
    </row>
    <row r="5895" spans="1:12" x14ac:dyDescent="0.25">
      <c r="A5895" t="s">
        <v>487</v>
      </c>
      <c r="B5895" t="s">
        <v>467</v>
      </c>
      <c r="C5895" t="s">
        <v>468</v>
      </c>
      <c r="D5895" t="s">
        <v>134</v>
      </c>
      <c r="E5895" t="s">
        <v>140</v>
      </c>
      <c r="F5895">
        <v>3</v>
      </c>
      <c r="G5895" t="s">
        <v>498</v>
      </c>
      <c r="H5895" s="4">
        <v>15592914</v>
      </c>
      <c r="I5895" s="4">
        <v>12895770</v>
      </c>
      <c r="J5895" s="3">
        <v>0.17297241554721587</v>
      </c>
      <c r="K5895" s="3">
        <v>0.20914951181666547</v>
      </c>
      <c r="L5895" t="s">
        <v>54</v>
      </c>
    </row>
    <row r="5896" spans="1:12" x14ac:dyDescent="0.25">
      <c r="A5896" t="s">
        <v>487</v>
      </c>
      <c r="B5896" t="s">
        <v>467</v>
      </c>
      <c r="C5896" t="s">
        <v>468</v>
      </c>
      <c r="D5896" t="s">
        <v>134</v>
      </c>
      <c r="E5896" t="s">
        <v>140</v>
      </c>
      <c r="F5896">
        <v>3</v>
      </c>
      <c r="G5896" t="s">
        <v>499</v>
      </c>
      <c r="H5896" s="4">
        <v>15592914</v>
      </c>
      <c r="I5896" s="4">
        <v>7642360</v>
      </c>
      <c r="J5896" s="3">
        <v>0.5098825017568878</v>
      </c>
      <c r="K5896" s="3">
        <v>1.0403270717422366</v>
      </c>
      <c r="L5896" t="s">
        <v>54</v>
      </c>
    </row>
    <row r="5897" spans="1:12" x14ac:dyDescent="0.25">
      <c r="A5897" t="s">
        <v>487</v>
      </c>
      <c r="B5897" t="s">
        <v>467</v>
      </c>
      <c r="C5897" t="s">
        <v>468</v>
      </c>
      <c r="D5897" t="s">
        <v>136</v>
      </c>
      <c r="E5897" t="s">
        <v>138</v>
      </c>
      <c r="F5897">
        <v>1</v>
      </c>
      <c r="G5897" t="s">
        <v>488</v>
      </c>
      <c r="H5897" s="4">
        <v>10342073</v>
      </c>
      <c r="I5897" s="4">
        <v>10048733.274227422</v>
      </c>
      <c r="J5897" s="3">
        <v>0.028363726089786667</v>
      </c>
      <c r="K5897" s="3">
        <v>0.029191711807589116</v>
      </c>
      <c r="L5897" t="s">
        <v>54</v>
      </c>
    </row>
    <row r="5898" spans="1:12" x14ac:dyDescent="0.25">
      <c r="A5898" t="s">
        <v>487</v>
      </c>
      <c r="B5898" t="s">
        <v>467</v>
      </c>
      <c r="C5898" t="s">
        <v>468</v>
      </c>
      <c r="D5898" t="s">
        <v>136</v>
      </c>
      <c r="E5898" t="s">
        <v>138</v>
      </c>
      <c r="F5898">
        <v>1</v>
      </c>
      <c r="G5898" t="s">
        <v>498</v>
      </c>
      <c r="H5898" s="4">
        <v>10342073</v>
      </c>
      <c r="I5898" s="4">
        <v>9056474</v>
      </c>
      <c r="J5898" s="3">
        <v>0.1243076702320705</v>
      </c>
      <c r="K5898" s="3">
        <v>0.14195359032665472</v>
      </c>
      <c r="L5898" t="s">
        <v>54</v>
      </c>
    </row>
    <row r="5899" spans="1:12" x14ac:dyDescent="0.25">
      <c r="A5899" t="s">
        <v>487</v>
      </c>
      <c r="B5899" t="s">
        <v>467</v>
      </c>
      <c r="C5899" t="s">
        <v>468</v>
      </c>
      <c r="D5899" t="s">
        <v>136</v>
      </c>
      <c r="E5899" t="s">
        <v>138</v>
      </c>
      <c r="F5899">
        <v>1</v>
      </c>
      <c r="G5899" t="s">
        <v>499</v>
      </c>
      <c r="H5899" s="4">
        <v>10342073</v>
      </c>
      <c r="I5899" s="4">
        <v>6156260</v>
      </c>
      <c r="J5899" s="3">
        <v>0.40473636184931205</v>
      </c>
      <c r="K5899" s="3">
        <v>0.6799279107769978</v>
      </c>
      <c r="L5899" t="s">
        <v>54</v>
      </c>
    </row>
    <row r="5900" spans="1:12" x14ac:dyDescent="0.25">
      <c r="A5900" t="s">
        <v>487</v>
      </c>
      <c r="B5900" t="s">
        <v>467</v>
      </c>
      <c r="C5900" t="s">
        <v>468</v>
      </c>
      <c r="D5900" t="s">
        <v>136</v>
      </c>
      <c r="E5900" t="s">
        <v>140</v>
      </c>
      <c r="F5900">
        <v>2</v>
      </c>
      <c r="G5900" t="s">
        <v>488</v>
      </c>
      <c r="H5900" s="4">
        <v>15592914</v>
      </c>
      <c r="I5900" s="4">
        <v>14308676.10239744</v>
      </c>
      <c r="J5900" s="3">
        <v>0.08236035276039873</v>
      </c>
      <c r="K5900" s="3">
        <v>0.08975239137514504</v>
      </c>
      <c r="L5900" t="s">
        <v>54</v>
      </c>
    </row>
    <row r="5901" spans="1:12" x14ac:dyDescent="0.25">
      <c r="A5901" t="s">
        <v>487</v>
      </c>
      <c r="B5901" t="s">
        <v>467</v>
      </c>
      <c r="C5901" t="s">
        <v>468</v>
      </c>
      <c r="D5901" t="s">
        <v>136</v>
      </c>
      <c r="E5901" t="s">
        <v>140</v>
      </c>
      <c r="F5901">
        <v>2</v>
      </c>
      <c r="G5901" t="s">
        <v>498</v>
      </c>
      <c r="H5901" s="4">
        <v>15592914</v>
      </c>
      <c r="I5901" s="4">
        <v>12895770</v>
      </c>
      <c r="J5901" s="3">
        <v>0.17297241554721587</v>
      </c>
      <c r="K5901" s="3">
        <v>0.20914951181666547</v>
      </c>
      <c r="L5901" t="s">
        <v>54</v>
      </c>
    </row>
    <row r="5902" spans="1:12" x14ac:dyDescent="0.25">
      <c r="A5902" t="s">
        <v>487</v>
      </c>
      <c r="B5902" t="s">
        <v>467</v>
      </c>
      <c r="C5902" t="s">
        <v>468</v>
      </c>
      <c r="D5902" t="s">
        <v>136</v>
      </c>
      <c r="E5902" t="s">
        <v>140</v>
      </c>
      <c r="F5902">
        <v>2</v>
      </c>
      <c r="G5902" t="s">
        <v>499</v>
      </c>
      <c r="H5902" s="4">
        <v>15592914</v>
      </c>
      <c r="I5902" s="4">
        <v>6156260</v>
      </c>
      <c r="J5902" s="3">
        <v>0.6051886132380387</v>
      </c>
      <c r="K5902" s="3">
        <v>1.5328550126212992</v>
      </c>
      <c r="L5902" t="s">
        <v>54</v>
      </c>
    </row>
    <row r="5903" spans="1:12" x14ac:dyDescent="0.25">
      <c r="A5903" t="s">
        <v>487</v>
      </c>
      <c r="B5903" t="s">
        <v>467</v>
      </c>
      <c r="C5903" t="s">
        <v>468</v>
      </c>
      <c r="D5903" t="s">
        <v>136</v>
      </c>
      <c r="E5903" t="s">
        <v>142</v>
      </c>
      <c r="F5903">
        <v>3</v>
      </c>
      <c r="G5903" t="s">
        <v>488</v>
      </c>
      <c r="H5903" s="4">
        <v>14393013</v>
      </c>
      <c r="I5903" s="4">
        <v>17558589.905239325</v>
      </c>
      <c r="J5903" s="3">
        <v>0.21993844549708425</v>
      </c>
      <c r="K5903" s="3">
        <v>-0.18028651060953052</v>
      </c>
      <c r="L5903" t="s">
        <v>54</v>
      </c>
    </row>
    <row r="5904" spans="1:12" x14ac:dyDescent="0.25">
      <c r="A5904" t="s">
        <v>487</v>
      </c>
      <c r="B5904" t="s">
        <v>467</v>
      </c>
      <c r="C5904" t="s">
        <v>468</v>
      </c>
      <c r="D5904" t="s">
        <v>136</v>
      </c>
      <c r="E5904" t="s">
        <v>142</v>
      </c>
      <c r="F5904">
        <v>3</v>
      </c>
      <c r="G5904" t="s">
        <v>498</v>
      </c>
      <c r="H5904" s="4">
        <v>14393013</v>
      </c>
      <c r="I5904" s="4">
        <v>15824772</v>
      </c>
      <c r="J5904" s="3">
        <v>0.09947597490532385</v>
      </c>
      <c r="K5904" s="3">
        <v>-0.09047580590734577</v>
      </c>
      <c r="L5904" t="s">
        <v>54</v>
      </c>
    </row>
    <row r="5905" spans="1:12" x14ac:dyDescent="0.25">
      <c r="A5905" t="s">
        <v>487</v>
      </c>
      <c r="B5905" t="s">
        <v>467</v>
      </c>
      <c r="C5905" t="s">
        <v>468</v>
      </c>
      <c r="D5905" t="s">
        <v>136</v>
      </c>
      <c r="E5905" t="s">
        <v>142</v>
      </c>
      <c r="F5905">
        <v>3</v>
      </c>
      <c r="G5905" t="s">
        <v>499</v>
      </c>
      <c r="H5905" s="4">
        <v>14393013</v>
      </c>
      <c r="I5905" s="4">
        <v>6156260</v>
      </c>
      <c r="J5905" s="3">
        <v>0.5722744084230313</v>
      </c>
      <c r="K5905" s="3">
        <v>1.3379475525725035</v>
      </c>
      <c r="L5905" t="s">
        <v>54</v>
      </c>
    </row>
    <row r="5906" spans="1:12" x14ac:dyDescent="0.25">
      <c r="A5906" t="s">
        <v>487</v>
      </c>
      <c r="B5906" t="s">
        <v>467</v>
      </c>
      <c r="C5906" t="s">
        <v>468</v>
      </c>
      <c r="D5906" t="s">
        <v>138</v>
      </c>
      <c r="E5906" t="s">
        <v>140</v>
      </c>
      <c r="F5906">
        <v>1</v>
      </c>
      <c r="G5906" t="s">
        <v>488</v>
      </c>
      <c r="H5906" s="4">
        <v>15592914</v>
      </c>
      <c r="I5906" s="4">
        <v>14624029.127011226</v>
      </c>
      <c r="J5906" s="3">
        <v>0.06213622886580235</v>
      </c>
      <c r="K5906" s="3">
        <v>0.06625293649061464</v>
      </c>
      <c r="L5906" t="s">
        <v>54</v>
      </c>
    </row>
    <row r="5907" spans="1:12" x14ac:dyDescent="0.25">
      <c r="A5907" t="s">
        <v>487</v>
      </c>
      <c r="B5907" t="s">
        <v>467</v>
      </c>
      <c r="C5907" t="s">
        <v>468</v>
      </c>
      <c r="D5907" t="s">
        <v>138</v>
      </c>
      <c r="E5907" t="s">
        <v>140</v>
      </c>
      <c r="F5907">
        <v>1</v>
      </c>
      <c r="G5907" t="s">
        <v>498</v>
      </c>
      <c r="H5907" s="4">
        <v>15592914</v>
      </c>
      <c r="I5907" s="4">
        <v>12895770</v>
      </c>
      <c r="J5907" s="3">
        <v>0.17297241554721587</v>
      </c>
      <c r="K5907" s="3">
        <v>0.20914951181666547</v>
      </c>
      <c r="L5907" t="s">
        <v>54</v>
      </c>
    </row>
    <row r="5908" spans="1:12" x14ac:dyDescent="0.25">
      <c r="A5908" t="s">
        <v>487</v>
      </c>
      <c r="B5908" t="s">
        <v>467</v>
      </c>
      <c r="C5908" t="s">
        <v>468</v>
      </c>
      <c r="D5908" t="s">
        <v>138</v>
      </c>
      <c r="E5908" t="s">
        <v>140</v>
      </c>
      <c r="F5908">
        <v>1</v>
      </c>
      <c r="G5908" t="s">
        <v>499</v>
      </c>
      <c r="H5908" s="4">
        <v>15592914</v>
      </c>
      <c r="I5908" s="4">
        <v>10342073</v>
      </c>
      <c r="J5908" s="3">
        <v>0.33674533188600925</v>
      </c>
      <c r="K5908" s="3">
        <v>0.5077164897211613</v>
      </c>
      <c r="L5908" t="s">
        <v>54</v>
      </c>
    </row>
    <row r="5909" spans="1:12" x14ac:dyDescent="0.25">
      <c r="A5909" t="s">
        <v>487</v>
      </c>
      <c r="B5909" t="s">
        <v>467</v>
      </c>
      <c r="C5909" t="s">
        <v>468</v>
      </c>
      <c r="D5909" t="s">
        <v>138</v>
      </c>
      <c r="E5909" t="s">
        <v>142</v>
      </c>
      <c r="F5909">
        <v>2</v>
      </c>
      <c r="G5909" t="s">
        <v>488</v>
      </c>
      <c r="H5909" s="4">
        <v>14393013</v>
      </c>
      <c r="I5909" s="4">
        <v>17945568.714106385</v>
      </c>
      <c r="J5909" s="3">
        <v>0.24682501948038155</v>
      </c>
      <c r="K5909" s="3">
        <v>-0.19796283810798623</v>
      </c>
      <c r="L5909" t="s">
        <v>54</v>
      </c>
    </row>
    <row r="5910" spans="1:12" x14ac:dyDescent="0.25">
      <c r="A5910" t="s">
        <v>487</v>
      </c>
      <c r="B5910" t="s">
        <v>467</v>
      </c>
      <c r="C5910" t="s">
        <v>468</v>
      </c>
      <c r="D5910" t="s">
        <v>138</v>
      </c>
      <c r="E5910" t="s">
        <v>142</v>
      </c>
      <c r="F5910">
        <v>2</v>
      </c>
      <c r="G5910" t="s">
        <v>498</v>
      </c>
      <c r="H5910" s="4">
        <v>14393013</v>
      </c>
      <c r="I5910" s="4">
        <v>15824772</v>
      </c>
      <c r="J5910" s="3">
        <v>0.09947597490532385</v>
      </c>
      <c r="K5910" s="3">
        <v>-0.09047580590734577</v>
      </c>
      <c r="L5910" t="s">
        <v>54</v>
      </c>
    </row>
    <row r="5911" spans="1:12" x14ac:dyDescent="0.25">
      <c r="A5911" t="s">
        <v>487</v>
      </c>
      <c r="B5911" t="s">
        <v>467</v>
      </c>
      <c r="C5911" t="s">
        <v>468</v>
      </c>
      <c r="D5911" t="s">
        <v>138</v>
      </c>
      <c r="E5911" t="s">
        <v>142</v>
      </c>
      <c r="F5911">
        <v>2</v>
      </c>
      <c r="G5911" t="s">
        <v>499</v>
      </c>
      <c r="H5911" s="4">
        <v>14393013</v>
      </c>
      <c r="I5911" s="4">
        <v>10342073</v>
      </c>
      <c r="J5911" s="3">
        <v>0.28145184055624767</v>
      </c>
      <c r="K5911" s="3">
        <v>0.39169516594980525</v>
      </c>
      <c r="L5911" t="s">
        <v>54</v>
      </c>
    </row>
    <row r="5912" spans="1:12" x14ac:dyDescent="0.25">
      <c r="A5912" t="s">
        <v>487</v>
      </c>
      <c r="B5912" t="s">
        <v>467</v>
      </c>
      <c r="C5912" t="s">
        <v>468</v>
      </c>
      <c r="D5912" t="s">
        <v>138</v>
      </c>
      <c r="E5912" t="s">
        <v>144</v>
      </c>
      <c r="F5912">
        <v>3</v>
      </c>
      <c r="G5912" t="s">
        <v>488</v>
      </c>
      <c r="H5912" s="4">
        <v>18207010</v>
      </c>
      <c r="I5912" s="4">
        <v>18162361.111634333</v>
      </c>
      <c r="J5912" s="3">
        <v>0.0024522910881944544</v>
      </c>
      <c r="K5912" s="3">
        <v>0.0024583196034499285</v>
      </c>
      <c r="L5912" t="s">
        <v>54</v>
      </c>
    </row>
    <row r="5913" spans="1:12" x14ac:dyDescent="0.25">
      <c r="A5913" t="s">
        <v>487</v>
      </c>
      <c r="B5913" t="s">
        <v>467</v>
      </c>
      <c r="C5913" t="s">
        <v>468</v>
      </c>
      <c r="D5913" t="s">
        <v>138</v>
      </c>
      <c r="E5913" t="s">
        <v>144</v>
      </c>
      <c r="F5913">
        <v>3</v>
      </c>
      <c r="G5913" t="s">
        <v>498</v>
      </c>
      <c r="H5913" s="4">
        <v>18207010</v>
      </c>
      <c r="I5913" s="4">
        <v>16015944</v>
      </c>
      <c r="J5913" s="3">
        <v>0.12034189029390328</v>
      </c>
      <c r="K5913" s="3">
        <v>0.1368052985200248</v>
      </c>
      <c r="L5913" t="s">
        <v>54</v>
      </c>
    </row>
    <row r="5914" spans="1:12" x14ac:dyDescent="0.25">
      <c r="A5914" t="s">
        <v>487</v>
      </c>
      <c r="B5914" t="s">
        <v>467</v>
      </c>
      <c r="C5914" t="s">
        <v>468</v>
      </c>
      <c r="D5914" t="s">
        <v>138</v>
      </c>
      <c r="E5914" t="s">
        <v>144</v>
      </c>
      <c r="F5914">
        <v>3</v>
      </c>
      <c r="G5914" t="s">
        <v>499</v>
      </c>
      <c r="H5914" s="4">
        <v>18207010</v>
      </c>
      <c r="I5914" s="4">
        <v>10342073</v>
      </c>
      <c r="J5914" s="3">
        <v>0.4319730147893586</v>
      </c>
      <c r="K5914" s="3">
        <v>0.7604797413439259</v>
      </c>
      <c r="L5914" t="s">
        <v>54</v>
      </c>
    </row>
    <row r="5915" spans="1:12" x14ac:dyDescent="0.25">
      <c r="A5915" t="s">
        <v>487</v>
      </c>
      <c r="B5915" t="s">
        <v>467</v>
      </c>
      <c r="C5915" t="s">
        <v>468</v>
      </c>
      <c r="D5915" t="s">
        <v>140</v>
      </c>
      <c r="E5915" t="s">
        <v>142</v>
      </c>
      <c r="F5915">
        <v>1</v>
      </c>
      <c r="G5915" t="s">
        <v>488</v>
      </c>
      <c r="H5915" s="4">
        <v>14393013</v>
      </c>
      <c r="I5915" s="4">
        <v>18217649.47704156</v>
      </c>
      <c r="J5915" s="3">
        <v>0.26572868912447734</v>
      </c>
      <c r="K5915" s="3">
        <v>-0.20994127051689543</v>
      </c>
      <c r="L5915" t="s">
        <v>54</v>
      </c>
    </row>
    <row r="5916" spans="1:12" x14ac:dyDescent="0.25">
      <c r="A5916" t="s">
        <v>487</v>
      </c>
      <c r="B5916" t="s">
        <v>467</v>
      </c>
      <c r="C5916" t="s">
        <v>468</v>
      </c>
      <c r="D5916" t="s">
        <v>140</v>
      </c>
      <c r="E5916" t="s">
        <v>142</v>
      </c>
      <c r="F5916">
        <v>1</v>
      </c>
      <c r="G5916" t="s">
        <v>498</v>
      </c>
      <c r="H5916" s="4">
        <v>14393013</v>
      </c>
      <c r="I5916" s="4">
        <v>15824772</v>
      </c>
      <c r="J5916" s="3">
        <v>0.09947597490532385</v>
      </c>
      <c r="K5916" s="3">
        <v>-0.09047580590734577</v>
      </c>
      <c r="L5916" t="s">
        <v>54</v>
      </c>
    </row>
    <row r="5917" spans="1:12" x14ac:dyDescent="0.25">
      <c r="A5917" t="s">
        <v>487</v>
      </c>
      <c r="B5917" t="s">
        <v>467</v>
      </c>
      <c r="C5917" t="s">
        <v>468</v>
      </c>
      <c r="D5917" t="s">
        <v>140</v>
      </c>
      <c r="E5917" t="s">
        <v>142</v>
      </c>
      <c r="F5917">
        <v>1</v>
      </c>
      <c r="G5917" t="s">
        <v>499</v>
      </c>
      <c r="H5917" s="4">
        <v>14393013</v>
      </c>
      <c r="I5917" s="4">
        <v>15592914</v>
      </c>
      <c r="J5917" s="3">
        <v>0.08336690865213559</v>
      </c>
      <c r="K5917" s="3">
        <v>-0.07695168459211665</v>
      </c>
      <c r="L5917" t="s">
        <v>54</v>
      </c>
    </row>
    <row r="5918" spans="1:12" x14ac:dyDescent="0.25">
      <c r="A5918" t="s">
        <v>487</v>
      </c>
      <c r="B5918" t="s">
        <v>467</v>
      </c>
      <c r="C5918" t="s">
        <v>468</v>
      </c>
      <c r="D5918" t="s">
        <v>140</v>
      </c>
      <c r="E5918" t="s">
        <v>144</v>
      </c>
      <c r="F5918">
        <v>2</v>
      </c>
      <c r="G5918" t="s">
        <v>488</v>
      </c>
      <c r="H5918" s="4">
        <v>18207010</v>
      </c>
      <c r="I5918" s="4">
        <v>18437728.760700434</v>
      </c>
      <c r="J5918" s="3">
        <v>0.012671974184692293</v>
      </c>
      <c r="K5918" s="3">
        <v>-0.012513404644079905</v>
      </c>
      <c r="L5918" t="s">
        <v>54</v>
      </c>
    </row>
    <row r="5919" spans="1:12" x14ac:dyDescent="0.25">
      <c r="A5919" t="s">
        <v>487</v>
      </c>
      <c r="B5919" t="s">
        <v>467</v>
      </c>
      <c r="C5919" t="s">
        <v>468</v>
      </c>
      <c r="D5919" t="s">
        <v>140</v>
      </c>
      <c r="E5919" t="s">
        <v>144</v>
      </c>
      <c r="F5919">
        <v>2</v>
      </c>
      <c r="G5919" t="s">
        <v>498</v>
      </c>
      <c r="H5919" s="4">
        <v>18207010</v>
      </c>
      <c r="I5919" s="4">
        <v>16015944</v>
      </c>
      <c r="J5919" s="3">
        <v>0.12034189029390328</v>
      </c>
      <c r="K5919" s="3">
        <v>0.1368052985200248</v>
      </c>
      <c r="L5919" t="s">
        <v>54</v>
      </c>
    </row>
    <row r="5920" spans="1:12" x14ac:dyDescent="0.25">
      <c r="A5920" t="s">
        <v>487</v>
      </c>
      <c r="B5920" t="s">
        <v>467</v>
      </c>
      <c r="C5920" t="s">
        <v>468</v>
      </c>
      <c r="D5920" t="s">
        <v>140</v>
      </c>
      <c r="E5920" t="s">
        <v>144</v>
      </c>
      <c r="F5920">
        <v>2</v>
      </c>
      <c r="G5920" t="s">
        <v>499</v>
      </c>
      <c r="H5920" s="4">
        <v>18207010</v>
      </c>
      <c r="I5920" s="4">
        <v>15592914</v>
      </c>
      <c r="J5920" s="3">
        <v>0.14357634779131773</v>
      </c>
      <c r="K5920" s="3">
        <v>0.16764640656646987</v>
      </c>
      <c r="L5920" t="s">
        <v>54</v>
      </c>
    </row>
    <row r="5921" spans="1:12" x14ac:dyDescent="0.25">
      <c r="A5921" t="s">
        <v>487</v>
      </c>
      <c r="B5921" t="s">
        <v>467</v>
      </c>
      <c r="C5921" t="s">
        <v>468</v>
      </c>
      <c r="D5921" t="s">
        <v>140</v>
      </c>
      <c r="E5921" t="s">
        <v>146</v>
      </c>
      <c r="F5921">
        <v>3</v>
      </c>
      <c r="G5921" t="s">
        <v>488</v>
      </c>
      <c r="H5921" s="4">
        <v>12184999</v>
      </c>
      <c r="I5921" s="4">
        <v>14729601.43045733</v>
      </c>
      <c r="J5921" s="3">
        <v>0.208830745940753</v>
      </c>
      <c r="K5921" s="3">
        <v>-0.17275433028321416</v>
      </c>
      <c r="L5921" t="s">
        <v>54</v>
      </c>
    </row>
    <row r="5922" spans="1:12" x14ac:dyDescent="0.25">
      <c r="A5922" t="s">
        <v>487</v>
      </c>
      <c r="B5922" t="s">
        <v>467</v>
      </c>
      <c r="C5922" t="s">
        <v>468</v>
      </c>
      <c r="D5922" t="s">
        <v>140</v>
      </c>
      <c r="E5922" t="s">
        <v>146</v>
      </c>
      <c r="F5922">
        <v>3</v>
      </c>
      <c r="G5922" t="s">
        <v>498</v>
      </c>
      <c r="H5922" s="4">
        <v>12184999</v>
      </c>
      <c r="I5922" s="4">
        <v>12794877</v>
      </c>
      <c r="J5922" s="3">
        <v>0.050051542884820915</v>
      </c>
      <c r="K5922" s="3">
        <v>-0.04766579624016706</v>
      </c>
      <c r="L5922" t="s">
        <v>54</v>
      </c>
    </row>
    <row r="5923" spans="1:12" x14ac:dyDescent="0.25">
      <c r="A5923" t="s">
        <v>487</v>
      </c>
      <c r="B5923" t="s">
        <v>467</v>
      </c>
      <c r="C5923" t="s">
        <v>468</v>
      </c>
      <c r="D5923" t="s">
        <v>140</v>
      </c>
      <c r="E5923" t="s">
        <v>146</v>
      </c>
      <c r="F5923">
        <v>3</v>
      </c>
      <c r="G5923" t="s">
        <v>499</v>
      </c>
      <c r="H5923" s="4">
        <v>12184999</v>
      </c>
      <c r="I5923" s="4">
        <v>15592914</v>
      </c>
      <c r="J5923" s="3">
        <v>0.2796811883201632</v>
      </c>
      <c r="K5923" s="3">
        <v>-0.218555364314842</v>
      </c>
      <c r="L5923" t="s">
        <v>54</v>
      </c>
    </row>
    <row r="5924" spans="1:12" x14ac:dyDescent="0.25">
      <c r="A5924" t="s">
        <v>487</v>
      </c>
      <c r="B5924" t="s">
        <v>467</v>
      </c>
      <c r="C5924" t="s">
        <v>468</v>
      </c>
      <c r="D5924" t="s">
        <v>142</v>
      </c>
      <c r="E5924" t="s">
        <v>144</v>
      </c>
      <c r="F5924">
        <v>1</v>
      </c>
      <c r="G5924" t="s">
        <v>488</v>
      </c>
      <c r="H5924" s="4">
        <v>18207010</v>
      </c>
      <c r="I5924" s="4">
        <v>18181156.65419897</v>
      </c>
      <c r="J5924" s="3">
        <v>0.0014199665843556606</v>
      </c>
      <c r="K5924" s="3">
        <v>0.0014219857566134812</v>
      </c>
      <c r="L5924" t="s">
        <v>54</v>
      </c>
    </row>
    <row r="5925" spans="1:12" x14ac:dyDescent="0.25">
      <c r="A5925" t="s">
        <v>487</v>
      </c>
      <c r="B5925" t="s">
        <v>467</v>
      </c>
      <c r="C5925" t="s">
        <v>468</v>
      </c>
      <c r="D5925" t="s">
        <v>142</v>
      </c>
      <c r="E5925" t="s">
        <v>144</v>
      </c>
      <c r="F5925">
        <v>1</v>
      </c>
      <c r="G5925" t="s">
        <v>498</v>
      </c>
      <c r="H5925" s="4">
        <v>18207010</v>
      </c>
      <c r="I5925" s="4">
        <v>16015944</v>
      </c>
      <c r="J5925" s="3">
        <v>0.12034189029390328</v>
      </c>
      <c r="K5925" s="3">
        <v>0.1368052985200248</v>
      </c>
      <c r="L5925" t="s">
        <v>54</v>
      </c>
    </row>
    <row r="5926" spans="1:12" x14ac:dyDescent="0.25">
      <c r="A5926" t="s">
        <v>487</v>
      </c>
      <c r="B5926" t="s">
        <v>467</v>
      </c>
      <c r="C5926" t="s">
        <v>468</v>
      </c>
      <c r="D5926" t="s">
        <v>142</v>
      </c>
      <c r="E5926" t="s">
        <v>144</v>
      </c>
      <c r="F5926">
        <v>1</v>
      </c>
      <c r="G5926" t="s">
        <v>499</v>
      </c>
      <c r="H5926" s="4">
        <v>18207010</v>
      </c>
      <c r="I5926" s="4">
        <v>14393013</v>
      </c>
      <c r="J5926" s="3">
        <v>0.20947959055330886</v>
      </c>
      <c r="K5926" s="3">
        <v>0.26498947788069116</v>
      </c>
      <c r="L5926" t="s">
        <v>54</v>
      </c>
    </row>
    <row r="5927" spans="1:12" x14ac:dyDescent="0.25">
      <c r="A5927" t="s">
        <v>487</v>
      </c>
      <c r="B5927" t="s">
        <v>467</v>
      </c>
      <c r="C5927" t="s">
        <v>468</v>
      </c>
      <c r="D5927" t="s">
        <v>142</v>
      </c>
      <c r="E5927" t="s">
        <v>146</v>
      </c>
      <c r="F5927">
        <v>2</v>
      </c>
      <c r="G5927" t="s">
        <v>488</v>
      </c>
      <c r="H5927" s="4">
        <v>12184999</v>
      </c>
      <c r="I5927" s="4">
        <v>14524630.15031817</v>
      </c>
      <c r="J5927" s="3">
        <v>0.19200913765509295</v>
      </c>
      <c r="K5927" s="3">
        <v>-0.16108025650945193</v>
      </c>
      <c r="L5927" t="s">
        <v>54</v>
      </c>
    </row>
    <row r="5928" spans="1:12" x14ac:dyDescent="0.25">
      <c r="A5928" t="s">
        <v>487</v>
      </c>
      <c r="B5928" t="s">
        <v>467</v>
      </c>
      <c r="C5928" t="s">
        <v>468</v>
      </c>
      <c r="D5928" t="s">
        <v>142</v>
      </c>
      <c r="E5928" t="s">
        <v>146</v>
      </c>
      <c r="F5928">
        <v>2</v>
      </c>
      <c r="G5928" t="s">
        <v>498</v>
      </c>
      <c r="H5928" s="4">
        <v>12184999</v>
      </c>
      <c r="I5928" s="4">
        <v>12794877</v>
      </c>
      <c r="J5928" s="3">
        <v>0.050051542884820915</v>
      </c>
      <c r="K5928" s="3">
        <v>-0.04766579624016706</v>
      </c>
      <c r="L5928" t="s">
        <v>54</v>
      </c>
    </row>
    <row r="5929" spans="1:12" x14ac:dyDescent="0.25">
      <c r="A5929" t="s">
        <v>487</v>
      </c>
      <c r="B5929" t="s">
        <v>467</v>
      </c>
      <c r="C5929" t="s">
        <v>468</v>
      </c>
      <c r="D5929" t="s">
        <v>142</v>
      </c>
      <c r="E5929" t="s">
        <v>146</v>
      </c>
      <c r="F5929">
        <v>2</v>
      </c>
      <c r="G5929" t="s">
        <v>499</v>
      </c>
      <c r="H5929" s="4">
        <v>12184999</v>
      </c>
      <c r="I5929" s="4">
        <v>14393013</v>
      </c>
      <c r="J5929" s="3">
        <v>0.18120756513808495</v>
      </c>
      <c r="K5929" s="3">
        <v>-0.15340874075497604</v>
      </c>
      <c r="L5929" t="s">
        <v>54</v>
      </c>
    </row>
    <row r="5930" spans="1:12" x14ac:dyDescent="0.25">
      <c r="A5930" t="s">
        <v>487</v>
      </c>
      <c r="B5930" t="s">
        <v>467</v>
      </c>
      <c r="C5930" t="s">
        <v>468</v>
      </c>
      <c r="D5930" t="s">
        <v>142</v>
      </c>
      <c r="E5930" t="s">
        <v>148</v>
      </c>
      <c r="F5930">
        <v>3</v>
      </c>
      <c r="G5930" t="s">
        <v>488</v>
      </c>
      <c r="H5930" s="4">
        <v>10677217</v>
      </c>
      <c r="I5930" s="4">
        <v>8833463.225024154</v>
      </c>
      <c r="J5930" s="3">
        <v>0.1726811185888463</v>
      </c>
      <c r="K5930" s="3">
        <v>0.20872377322551247</v>
      </c>
      <c r="L5930" t="s">
        <v>54</v>
      </c>
    </row>
    <row r="5931" spans="1:12" x14ac:dyDescent="0.25">
      <c r="A5931" t="s">
        <v>487</v>
      </c>
      <c r="B5931" t="s">
        <v>467</v>
      </c>
      <c r="C5931" t="s">
        <v>468</v>
      </c>
      <c r="D5931" t="s">
        <v>142</v>
      </c>
      <c r="E5931" t="s">
        <v>148</v>
      </c>
      <c r="F5931">
        <v>3</v>
      </c>
      <c r="G5931" t="s">
        <v>498</v>
      </c>
      <c r="H5931" s="4">
        <v>10677217</v>
      </c>
      <c r="I5931" s="4">
        <v>7781477</v>
      </c>
      <c r="J5931" s="3">
        <v>0.2712073754799589</v>
      </c>
      <c r="K5931" s="3">
        <v>0.3721324370681813</v>
      </c>
      <c r="L5931" t="s">
        <v>54</v>
      </c>
    </row>
    <row r="5932" spans="1:12" x14ac:dyDescent="0.25">
      <c r="A5932" t="s">
        <v>487</v>
      </c>
      <c r="B5932" t="s">
        <v>467</v>
      </c>
      <c r="C5932" t="s">
        <v>468</v>
      </c>
      <c r="D5932" t="s">
        <v>142</v>
      </c>
      <c r="E5932" t="s">
        <v>148</v>
      </c>
      <c r="F5932">
        <v>3</v>
      </c>
      <c r="G5932" t="s">
        <v>499</v>
      </c>
      <c r="H5932" s="4">
        <v>10677217</v>
      </c>
      <c r="I5932" s="4">
        <v>14393013</v>
      </c>
      <c r="J5932" s="3">
        <v>0.3480116588433109</v>
      </c>
      <c r="K5932" s="3">
        <v>-0.2581666535005561</v>
      </c>
      <c r="L5932" t="s">
        <v>54</v>
      </c>
    </row>
    <row r="5933" spans="1:12" x14ac:dyDescent="0.25">
      <c r="A5933" t="s">
        <v>487</v>
      </c>
      <c r="B5933" t="s">
        <v>467</v>
      </c>
      <c r="C5933" t="s">
        <v>468</v>
      </c>
      <c r="D5933" t="s">
        <v>144</v>
      </c>
      <c r="E5933" t="s">
        <v>146</v>
      </c>
      <c r="F5933">
        <v>1</v>
      </c>
      <c r="G5933" t="s">
        <v>488</v>
      </c>
      <c r="H5933" s="4">
        <v>12184999</v>
      </c>
      <c r="I5933" s="4">
        <v>14367621.796344915</v>
      </c>
      <c r="J5933" s="3">
        <v>0.1791237567064975</v>
      </c>
      <c r="K5933" s="3">
        <v>-0.15191260093581868</v>
      </c>
      <c r="L5933" t="s">
        <v>54</v>
      </c>
    </row>
    <row r="5934" spans="1:12" x14ac:dyDescent="0.25">
      <c r="A5934" t="s">
        <v>487</v>
      </c>
      <c r="B5934" t="s">
        <v>467</v>
      </c>
      <c r="C5934" t="s">
        <v>468</v>
      </c>
      <c r="D5934" t="s">
        <v>144</v>
      </c>
      <c r="E5934" t="s">
        <v>146</v>
      </c>
      <c r="F5934">
        <v>1</v>
      </c>
      <c r="G5934" t="s">
        <v>498</v>
      </c>
      <c r="H5934" s="4">
        <v>12184999</v>
      </c>
      <c r="I5934" s="4">
        <v>12794877</v>
      </c>
      <c r="J5934" s="3">
        <v>0.050051542884820915</v>
      </c>
      <c r="K5934" s="3">
        <v>-0.04766579624016706</v>
      </c>
      <c r="L5934" t="s">
        <v>54</v>
      </c>
    </row>
    <row r="5935" spans="1:12" x14ac:dyDescent="0.25">
      <c r="A5935" t="s">
        <v>487</v>
      </c>
      <c r="B5935" t="s">
        <v>467</v>
      </c>
      <c r="C5935" t="s">
        <v>468</v>
      </c>
      <c r="D5935" t="s">
        <v>144</v>
      </c>
      <c r="E5935" t="s">
        <v>146</v>
      </c>
      <c r="F5935">
        <v>1</v>
      </c>
      <c r="G5935" t="s">
        <v>499</v>
      </c>
      <c r="H5935" s="4">
        <v>12184999</v>
      </c>
      <c r="I5935" s="4">
        <v>18207010</v>
      </c>
      <c r="J5935" s="3">
        <v>0.49421514109274856</v>
      </c>
      <c r="K5935" s="3">
        <v>-0.3307523311076338</v>
      </c>
      <c r="L5935" t="s">
        <v>54</v>
      </c>
    </row>
    <row r="5936" spans="1:12" x14ac:dyDescent="0.25">
      <c r="A5936" t="s">
        <v>487</v>
      </c>
      <c r="B5936" t="s">
        <v>467</v>
      </c>
      <c r="C5936" t="s">
        <v>468</v>
      </c>
      <c r="D5936" t="s">
        <v>144</v>
      </c>
      <c r="E5936" t="s">
        <v>148</v>
      </c>
      <c r="F5936">
        <v>2</v>
      </c>
      <c r="G5936" t="s">
        <v>488</v>
      </c>
      <c r="H5936" s="4">
        <v>10677217</v>
      </c>
      <c r="I5936" s="4">
        <v>8737975.250012692</v>
      </c>
      <c r="J5936" s="3">
        <v>0.1816242706303813</v>
      </c>
      <c r="K5936" s="3">
        <v>0.22193262105938</v>
      </c>
      <c r="L5936" t="s">
        <v>54</v>
      </c>
    </row>
    <row r="5937" spans="1:12" x14ac:dyDescent="0.25">
      <c r="A5937" t="s">
        <v>487</v>
      </c>
      <c r="B5937" t="s">
        <v>467</v>
      </c>
      <c r="C5937" t="s">
        <v>468</v>
      </c>
      <c r="D5937" t="s">
        <v>144</v>
      </c>
      <c r="E5937" t="s">
        <v>148</v>
      </c>
      <c r="F5937">
        <v>2</v>
      </c>
      <c r="G5937" t="s">
        <v>498</v>
      </c>
      <c r="H5937" s="4">
        <v>10677217</v>
      </c>
      <c r="I5937" s="4">
        <v>7781477</v>
      </c>
      <c r="J5937" s="3">
        <v>0.2712073754799589</v>
      </c>
      <c r="K5937" s="3">
        <v>0.3721324370681813</v>
      </c>
      <c r="L5937" t="s">
        <v>54</v>
      </c>
    </row>
    <row r="5938" spans="1:12" x14ac:dyDescent="0.25">
      <c r="A5938" t="s">
        <v>487</v>
      </c>
      <c r="B5938" t="s">
        <v>467</v>
      </c>
      <c r="C5938" t="s">
        <v>468</v>
      </c>
      <c r="D5938" t="s">
        <v>144</v>
      </c>
      <c r="E5938" t="s">
        <v>148</v>
      </c>
      <c r="F5938">
        <v>2</v>
      </c>
      <c r="G5938" t="s">
        <v>499</v>
      </c>
      <c r="H5938" s="4">
        <v>10677217</v>
      </c>
      <c r="I5938" s="4">
        <v>18207010</v>
      </c>
      <c r="J5938" s="3">
        <v>0.7052205644972843</v>
      </c>
      <c r="K5938" s="3">
        <v>-0.41356559918405056</v>
      </c>
      <c r="L5938" t="s">
        <v>54</v>
      </c>
    </row>
    <row r="5939" spans="1:12" x14ac:dyDescent="0.25">
      <c r="A5939" t="s">
        <v>487</v>
      </c>
      <c r="B5939" t="s">
        <v>467</v>
      </c>
      <c r="C5939" t="s">
        <v>468</v>
      </c>
      <c r="D5939" t="s">
        <v>144</v>
      </c>
      <c r="E5939" t="s">
        <v>150</v>
      </c>
      <c r="F5939">
        <v>3</v>
      </c>
      <c r="G5939" t="s">
        <v>488</v>
      </c>
      <c r="H5939" s="4">
        <v>11691014</v>
      </c>
      <c r="I5939" s="4">
        <v>9677417.885387361</v>
      </c>
      <c r="J5939" s="3">
        <v>0.17223451401329593</v>
      </c>
      <c r="K5939" s="3">
        <v>0.2080716301042569</v>
      </c>
      <c r="L5939" t="s">
        <v>54</v>
      </c>
    </row>
    <row r="5940" spans="1:12" x14ac:dyDescent="0.25">
      <c r="A5940" t="s">
        <v>487</v>
      </c>
      <c r="B5940" t="s">
        <v>467</v>
      </c>
      <c r="C5940" t="s">
        <v>468</v>
      </c>
      <c r="D5940" t="s">
        <v>144</v>
      </c>
      <c r="E5940" t="s">
        <v>150</v>
      </c>
      <c r="F5940">
        <v>3</v>
      </c>
      <c r="G5940" t="s">
        <v>498</v>
      </c>
      <c r="H5940" s="4">
        <v>11691014</v>
      </c>
      <c r="I5940" s="4">
        <v>8618084</v>
      </c>
      <c r="J5940" s="3">
        <v>0.2628454640461469</v>
      </c>
      <c r="K5940" s="3">
        <v>0.35656765471304297</v>
      </c>
      <c r="L5940" t="s">
        <v>54</v>
      </c>
    </row>
    <row r="5941" spans="1:12" x14ac:dyDescent="0.25">
      <c r="A5941" t="s">
        <v>487</v>
      </c>
      <c r="B5941" t="s">
        <v>467</v>
      </c>
      <c r="C5941" t="s">
        <v>468</v>
      </c>
      <c r="D5941" t="s">
        <v>144</v>
      </c>
      <c r="E5941" t="s">
        <v>150</v>
      </c>
      <c r="F5941">
        <v>3</v>
      </c>
      <c r="G5941" t="s">
        <v>499</v>
      </c>
      <c r="H5941" s="4">
        <v>11691014</v>
      </c>
      <c r="I5941" s="4">
        <v>18207010</v>
      </c>
      <c r="J5941" s="3">
        <v>0.557350799511488</v>
      </c>
      <c r="K5941" s="3">
        <v>-0.3578839139430362</v>
      </c>
      <c r="L5941" t="s">
        <v>54</v>
      </c>
    </row>
    <row r="5942" spans="1:12" x14ac:dyDescent="0.25">
      <c r="A5942" t="s">
        <v>487</v>
      </c>
      <c r="B5942" t="s">
        <v>467</v>
      </c>
      <c r="C5942" t="s">
        <v>468</v>
      </c>
      <c r="D5942" t="s">
        <v>146</v>
      </c>
      <c r="E5942" t="s">
        <v>148</v>
      </c>
      <c r="F5942">
        <v>1</v>
      </c>
      <c r="G5942" t="s">
        <v>488</v>
      </c>
      <c r="H5942" s="4">
        <v>10677217</v>
      </c>
      <c r="I5942" s="4">
        <v>8389719.123751529</v>
      </c>
      <c r="J5942" s="3">
        <v>0.21424102144299131</v>
      </c>
      <c r="K5942" s="3">
        <v>0.27265488182703296</v>
      </c>
      <c r="L5942" t="s">
        <v>54</v>
      </c>
    </row>
    <row r="5943" spans="1:12" x14ac:dyDescent="0.25">
      <c r="A5943" t="s">
        <v>487</v>
      </c>
      <c r="B5943" t="s">
        <v>467</v>
      </c>
      <c r="C5943" t="s">
        <v>468</v>
      </c>
      <c r="D5943" t="s">
        <v>146</v>
      </c>
      <c r="E5943" t="s">
        <v>148</v>
      </c>
      <c r="F5943">
        <v>1</v>
      </c>
      <c r="G5943" t="s">
        <v>498</v>
      </c>
      <c r="H5943" s="4">
        <v>10677217</v>
      </c>
      <c r="I5943" s="4">
        <v>7781477</v>
      </c>
      <c r="J5943" s="3">
        <v>0.2712073754799589</v>
      </c>
      <c r="K5943" s="3">
        <v>0.3721324370681813</v>
      </c>
      <c r="L5943" t="s">
        <v>54</v>
      </c>
    </row>
    <row r="5944" spans="1:12" x14ac:dyDescent="0.25">
      <c r="A5944" t="s">
        <v>487</v>
      </c>
      <c r="B5944" t="s">
        <v>467</v>
      </c>
      <c r="C5944" t="s">
        <v>468</v>
      </c>
      <c r="D5944" t="s">
        <v>146</v>
      </c>
      <c r="E5944" t="s">
        <v>148</v>
      </c>
      <c r="F5944">
        <v>1</v>
      </c>
      <c r="G5944" t="s">
        <v>499</v>
      </c>
      <c r="H5944" s="4">
        <v>10677217</v>
      </c>
      <c r="I5944" s="4">
        <v>12184999</v>
      </c>
      <c r="J5944" s="3">
        <v>0.14121488773713226</v>
      </c>
      <c r="K5944" s="3">
        <v>-0.12374083904315462</v>
      </c>
      <c r="L5944" t="s">
        <v>54</v>
      </c>
    </row>
    <row r="5945" spans="1:12" x14ac:dyDescent="0.25">
      <c r="A5945" t="s">
        <v>487</v>
      </c>
      <c r="B5945" t="s">
        <v>467</v>
      </c>
      <c r="C5945" t="s">
        <v>468</v>
      </c>
      <c r="D5945" t="s">
        <v>146</v>
      </c>
      <c r="E5945" t="s">
        <v>150</v>
      </c>
      <c r="F5945">
        <v>2</v>
      </c>
      <c r="G5945" t="s">
        <v>488</v>
      </c>
      <c r="H5945" s="4">
        <v>11691014</v>
      </c>
      <c r="I5945" s="4">
        <v>9291719.829654071</v>
      </c>
      <c r="J5945" s="3">
        <v>0.20522549800606932</v>
      </c>
      <c r="K5945" s="3">
        <v>0.2582185229787814</v>
      </c>
      <c r="L5945" t="s">
        <v>54</v>
      </c>
    </row>
    <row r="5946" spans="1:12" x14ac:dyDescent="0.25">
      <c r="A5946" t="s">
        <v>487</v>
      </c>
      <c r="B5946" t="s">
        <v>467</v>
      </c>
      <c r="C5946" t="s">
        <v>468</v>
      </c>
      <c r="D5946" t="s">
        <v>146</v>
      </c>
      <c r="E5946" t="s">
        <v>150</v>
      </c>
      <c r="F5946">
        <v>2</v>
      </c>
      <c r="G5946" t="s">
        <v>498</v>
      </c>
      <c r="H5946" s="4">
        <v>11691014</v>
      </c>
      <c r="I5946" s="4">
        <v>8618084</v>
      </c>
      <c r="J5946" s="3">
        <v>0.2628454640461469</v>
      </c>
      <c r="K5946" s="3">
        <v>0.35656765471304297</v>
      </c>
      <c r="L5946" t="s">
        <v>54</v>
      </c>
    </row>
    <row r="5947" spans="1:12" x14ac:dyDescent="0.25">
      <c r="A5947" t="s">
        <v>487</v>
      </c>
      <c r="B5947" t="s">
        <v>467</v>
      </c>
      <c r="C5947" t="s">
        <v>468</v>
      </c>
      <c r="D5947" t="s">
        <v>146</v>
      </c>
      <c r="E5947" t="s">
        <v>150</v>
      </c>
      <c r="F5947">
        <v>2</v>
      </c>
      <c r="G5947" t="s">
        <v>499</v>
      </c>
      <c r="H5947" s="4">
        <v>11691014</v>
      </c>
      <c r="I5947" s="4">
        <v>12184999</v>
      </c>
      <c r="J5947" s="3">
        <v>0.042253392220726105</v>
      </c>
      <c r="K5947" s="3">
        <v>-0.040540421874470406</v>
      </c>
      <c r="L5947" t="s">
        <v>54</v>
      </c>
    </row>
    <row r="5948" spans="1:12" x14ac:dyDescent="0.25">
      <c r="A5948" t="s">
        <v>487</v>
      </c>
      <c r="B5948" t="s">
        <v>467</v>
      </c>
      <c r="C5948" t="s">
        <v>468</v>
      </c>
      <c r="D5948" t="s">
        <v>146</v>
      </c>
      <c r="E5948" t="s">
        <v>152</v>
      </c>
      <c r="F5948">
        <v>3</v>
      </c>
      <c r="G5948" t="s">
        <v>488</v>
      </c>
      <c r="H5948" s="4">
        <v>16449559</v>
      </c>
      <c r="I5948" s="4">
        <v>13936701.039694617</v>
      </c>
      <c r="J5948" s="3">
        <v>0.15276141812101973</v>
      </c>
      <c r="K5948" s="3">
        <v>0.1803050774461074</v>
      </c>
      <c r="L5948" t="s">
        <v>54</v>
      </c>
    </row>
    <row r="5949" spans="1:12" x14ac:dyDescent="0.25">
      <c r="A5949" t="s">
        <v>487</v>
      </c>
      <c r="B5949" t="s">
        <v>467</v>
      </c>
      <c r="C5949" t="s">
        <v>468</v>
      </c>
      <c r="D5949" t="s">
        <v>146</v>
      </c>
      <c r="E5949" t="s">
        <v>152</v>
      </c>
      <c r="F5949">
        <v>3</v>
      </c>
      <c r="G5949" t="s">
        <v>498</v>
      </c>
      <c r="H5949" s="4">
        <v>16449559</v>
      </c>
      <c r="I5949" s="4">
        <v>12926311</v>
      </c>
      <c r="J5949" s="3">
        <v>0.21418495170600013</v>
      </c>
      <c r="K5949" s="3">
        <v>0.27256407493212875</v>
      </c>
      <c r="L5949" t="s">
        <v>54</v>
      </c>
    </row>
    <row r="5950" spans="1:12" x14ac:dyDescent="0.25">
      <c r="A5950" t="s">
        <v>487</v>
      </c>
      <c r="B5950" t="s">
        <v>467</v>
      </c>
      <c r="C5950" t="s">
        <v>468</v>
      </c>
      <c r="D5950" t="s">
        <v>146</v>
      </c>
      <c r="E5950" t="s">
        <v>152</v>
      </c>
      <c r="F5950">
        <v>3</v>
      </c>
      <c r="G5950" t="s">
        <v>499</v>
      </c>
      <c r="H5950" s="4">
        <v>16449559</v>
      </c>
      <c r="I5950" s="4">
        <v>12184999</v>
      </c>
      <c r="J5950" s="3">
        <v>0.2592507191226221</v>
      </c>
      <c r="K5950" s="3">
        <v>0.3499844357804215</v>
      </c>
      <c r="L5950" t="s">
        <v>54</v>
      </c>
    </row>
    <row r="5951" spans="1:12" x14ac:dyDescent="0.25">
      <c r="A5951" t="s">
        <v>487</v>
      </c>
      <c r="B5951" t="s">
        <v>467</v>
      </c>
      <c r="C5951" t="s">
        <v>468</v>
      </c>
      <c r="D5951" t="s">
        <v>148</v>
      </c>
      <c r="E5951" t="s">
        <v>150</v>
      </c>
      <c r="F5951">
        <v>1</v>
      </c>
      <c r="G5951" t="s">
        <v>488</v>
      </c>
      <c r="H5951" s="4">
        <v>11691014</v>
      </c>
      <c r="I5951" s="4">
        <v>9441196.603512097</v>
      </c>
      <c r="J5951" s="3">
        <v>0.19243988558117395</v>
      </c>
      <c r="K5951" s="3">
        <v>0.23829790766680756</v>
      </c>
      <c r="L5951" t="s">
        <v>54</v>
      </c>
    </row>
    <row r="5952" spans="1:12" x14ac:dyDescent="0.25">
      <c r="A5952" t="s">
        <v>487</v>
      </c>
      <c r="B5952" t="s">
        <v>467</v>
      </c>
      <c r="C5952" t="s">
        <v>468</v>
      </c>
      <c r="D5952" t="s">
        <v>148</v>
      </c>
      <c r="E5952" t="s">
        <v>150</v>
      </c>
      <c r="F5952">
        <v>1</v>
      </c>
      <c r="G5952" t="s">
        <v>498</v>
      </c>
      <c r="H5952" s="4">
        <v>11691014</v>
      </c>
      <c r="I5952" s="4">
        <v>8618084</v>
      </c>
      <c r="J5952" s="3">
        <v>0.2628454640461469</v>
      </c>
      <c r="K5952" s="3">
        <v>0.35656765471304297</v>
      </c>
      <c r="L5952" t="s">
        <v>54</v>
      </c>
    </row>
    <row r="5953" spans="1:12" x14ac:dyDescent="0.25">
      <c r="A5953" t="s">
        <v>487</v>
      </c>
      <c r="B5953" t="s">
        <v>467</v>
      </c>
      <c r="C5953" t="s">
        <v>468</v>
      </c>
      <c r="D5953" t="s">
        <v>148</v>
      </c>
      <c r="E5953" t="s">
        <v>150</v>
      </c>
      <c r="F5953">
        <v>1</v>
      </c>
      <c r="G5953" t="s">
        <v>499</v>
      </c>
      <c r="H5953" s="4">
        <v>11691014</v>
      </c>
      <c r="I5953" s="4">
        <v>10677217</v>
      </c>
      <c r="J5953" s="3">
        <v>0.08671591702824066</v>
      </c>
      <c r="K5953" s="3">
        <v>0.09494955473884253</v>
      </c>
      <c r="L5953" t="s">
        <v>54</v>
      </c>
    </row>
    <row r="5954" spans="1:12" x14ac:dyDescent="0.25">
      <c r="A5954" t="s">
        <v>487</v>
      </c>
      <c r="B5954" t="s">
        <v>467</v>
      </c>
      <c r="C5954" t="s">
        <v>468</v>
      </c>
      <c r="D5954" t="s">
        <v>148</v>
      </c>
      <c r="E5954" t="s">
        <v>152</v>
      </c>
      <c r="F5954">
        <v>2</v>
      </c>
      <c r="G5954" t="s">
        <v>488</v>
      </c>
      <c r="H5954" s="4">
        <v>16449559</v>
      </c>
      <c r="I5954" s="4">
        <v>14160902.064674824</v>
      </c>
      <c r="J5954" s="3">
        <v>0.13913181109142048</v>
      </c>
      <c r="K5954" s="3">
        <v>0.16161801874432566</v>
      </c>
      <c r="L5954" t="s">
        <v>54</v>
      </c>
    </row>
    <row r="5955" spans="1:12" x14ac:dyDescent="0.25">
      <c r="A5955" t="s">
        <v>487</v>
      </c>
      <c r="B5955" t="s">
        <v>467</v>
      </c>
      <c r="C5955" t="s">
        <v>468</v>
      </c>
      <c r="D5955" t="s">
        <v>148</v>
      </c>
      <c r="E5955" t="s">
        <v>152</v>
      </c>
      <c r="F5955">
        <v>2</v>
      </c>
      <c r="G5955" t="s">
        <v>498</v>
      </c>
      <c r="H5955" s="4">
        <v>16449559</v>
      </c>
      <c r="I5955" s="4">
        <v>12926311</v>
      </c>
      <c r="J5955" s="3">
        <v>0.21418495170600013</v>
      </c>
      <c r="K5955" s="3">
        <v>0.27256407493212875</v>
      </c>
      <c r="L5955" t="s">
        <v>54</v>
      </c>
    </row>
    <row r="5956" spans="1:12" x14ac:dyDescent="0.25">
      <c r="A5956" t="s">
        <v>487</v>
      </c>
      <c r="B5956" t="s">
        <v>467</v>
      </c>
      <c r="C5956" t="s">
        <v>468</v>
      </c>
      <c r="D5956" t="s">
        <v>148</v>
      </c>
      <c r="E5956" t="s">
        <v>152</v>
      </c>
      <c r="F5956">
        <v>2</v>
      </c>
      <c r="G5956" t="s">
        <v>499</v>
      </c>
      <c r="H5956" s="4">
        <v>16449559</v>
      </c>
      <c r="I5956" s="4">
        <v>10677217</v>
      </c>
      <c r="J5956" s="3">
        <v>0.3509116566590022</v>
      </c>
      <c r="K5956" s="3">
        <v>0.5406223363260295</v>
      </c>
      <c r="L5956" t="s">
        <v>54</v>
      </c>
    </row>
    <row r="5957" spans="1:12" x14ac:dyDescent="0.25">
      <c r="A5957" t="s">
        <v>487</v>
      </c>
      <c r="B5957" t="s">
        <v>467</v>
      </c>
      <c r="C5957" t="s">
        <v>468</v>
      </c>
      <c r="D5957" t="s">
        <v>148</v>
      </c>
      <c r="E5957" t="s">
        <v>154</v>
      </c>
      <c r="F5957">
        <v>3</v>
      </c>
      <c r="G5957" t="s">
        <v>488</v>
      </c>
      <c r="H5957" s="4">
        <v>15689133</v>
      </c>
      <c r="I5957" s="4">
        <v>17520510.036976647</v>
      </c>
      <c r="J5957" s="3">
        <v>0.11672901472481918</v>
      </c>
      <c r="K5957" s="3">
        <v>-0.1045276098190958</v>
      </c>
      <c r="L5957" t="s">
        <v>54</v>
      </c>
    </row>
    <row r="5958" spans="1:12" x14ac:dyDescent="0.25">
      <c r="A5958" t="s">
        <v>487</v>
      </c>
      <c r="B5958" t="s">
        <v>467</v>
      </c>
      <c r="C5958" t="s">
        <v>468</v>
      </c>
      <c r="D5958" t="s">
        <v>148</v>
      </c>
      <c r="E5958" t="s">
        <v>154</v>
      </c>
      <c r="F5958">
        <v>3</v>
      </c>
      <c r="G5958" t="s">
        <v>498</v>
      </c>
      <c r="H5958" s="4">
        <v>15689133</v>
      </c>
      <c r="I5958" s="4">
        <v>15993018</v>
      </c>
      <c r="J5958" s="3">
        <v>0.019369139135986674</v>
      </c>
      <c r="K5958" s="3">
        <v>-0.019001104106804608</v>
      </c>
      <c r="L5958" t="s">
        <v>54</v>
      </c>
    </row>
    <row r="5959" spans="1:12" x14ac:dyDescent="0.25">
      <c r="A5959" t="s">
        <v>487</v>
      </c>
      <c r="B5959" t="s">
        <v>467</v>
      </c>
      <c r="C5959" t="s">
        <v>468</v>
      </c>
      <c r="D5959" t="s">
        <v>148</v>
      </c>
      <c r="E5959" t="s">
        <v>154</v>
      </c>
      <c r="F5959">
        <v>3</v>
      </c>
      <c r="G5959" t="s">
        <v>499</v>
      </c>
      <c r="H5959" s="4">
        <v>15689133</v>
      </c>
      <c r="I5959" s="4">
        <v>10677217</v>
      </c>
      <c r="J5959" s="3">
        <v>0.31945143176490376</v>
      </c>
      <c r="K5959" s="3">
        <v>0.46940284158315787</v>
      </c>
      <c r="L5959" t="s">
        <v>54</v>
      </c>
    </row>
    <row r="5960" spans="1:12" x14ac:dyDescent="0.25">
      <c r="A5960" t="s">
        <v>487</v>
      </c>
      <c r="B5960" t="s">
        <v>467</v>
      </c>
      <c r="C5960" t="s">
        <v>468</v>
      </c>
      <c r="D5960" t="s">
        <v>150</v>
      </c>
      <c r="E5960" t="s">
        <v>152</v>
      </c>
      <c r="F5960">
        <v>1</v>
      </c>
      <c r="G5960" t="s">
        <v>488</v>
      </c>
      <c r="H5960" s="4">
        <v>16449559</v>
      </c>
      <c r="I5960" s="4">
        <v>14621308.514047349</v>
      </c>
      <c r="J5960" s="3">
        <v>0.11114282674402706</v>
      </c>
      <c r="K5960" s="3">
        <v>0.12504014153016255</v>
      </c>
      <c r="L5960" t="s">
        <v>54</v>
      </c>
    </row>
    <row r="5961" spans="1:12" x14ac:dyDescent="0.25">
      <c r="A5961" t="s">
        <v>487</v>
      </c>
      <c r="B5961" t="s">
        <v>467</v>
      </c>
      <c r="C5961" t="s">
        <v>468</v>
      </c>
      <c r="D5961" t="s">
        <v>150</v>
      </c>
      <c r="E5961" t="s">
        <v>152</v>
      </c>
      <c r="F5961">
        <v>1</v>
      </c>
      <c r="G5961" t="s">
        <v>498</v>
      </c>
      <c r="H5961" s="4">
        <v>16449559</v>
      </c>
      <c r="I5961" s="4">
        <v>12926311</v>
      </c>
      <c r="J5961" s="3">
        <v>0.21418495170600013</v>
      </c>
      <c r="K5961" s="3">
        <v>0.27256407493212875</v>
      </c>
      <c r="L5961" t="s">
        <v>54</v>
      </c>
    </row>
    <row r="5962" spans="1:12" x14ac:dyDescent="0.25">
      <c r="A5962" t="s">
        <v>487</v>
      </c>
      <c r="B5962" t="s">
        <v>467</v>
      </c>
      <c r="C5962" t="s">
        <v>468</v>
      </c>
      <c r="D5962" t="s">
        <v>150</v>
      </c>
      <c r="E5962" t="s">
        <v>152</v>
      </c>
      <c r="F5962">
        <v>1</v>
      </c>
      <c r="G5962" t="s">
        <v>499</v>
      </c>
      <c r="H5962" s="4">
        <v>16449559</v>
      </c>
      <c r="I5962" s="4">
        <v>11691014</v>
      </c>
      <c r="J5962" s="3">
        <v>0.28928100747260155</v>
      </c>
      <c r="K5962" s="3">
        <v>0.4070258576373273</v>
      </c>
      <c r="L5962" t="s">
        <v>54</v>
      </c>
    </row>
    <row r="5963" spans="1:12" x14ac:dyDescent="0.25">
      <c r="A5963" t="s">
        <v>487</v>
      </c>
      <c r="B5963" t="s">
        <v>467</v>
      </c>
      <c r="C5963" t="s">
        <v>468</v>
      </c>
      <c r="D5963" t="s">
        <v>150</v>
      </c>
      <c r="E5963" t="s">
        <v>154</v>
      </c>
      <c r="F5963">
        <v>2</v>
      </c>
      <c r="G5963" t="s">
        <v>488</v>
      </c>
      <c r="H5963" s="4">
        <v>15689133</v>
      </c>
      <c r="I5963" s="4">
        <v>18090145.769254085</v>
      </c>
      <c r="J5963" s="3">
        <v>0.15303667635771107</v>
      </c>
      <c r="K5963" s="3">
        <v>-0.13272489895215953</v>
      </c>
      <c r="L5963" t="s">
        <v>54</v>
      </c>
    </row>
    <row r="5964" spans="1:12" x14ac:dyDescent="0.25">
      <c r="A5964" t="s">
        <v>487</v>
      </c>
      <c r="B5964" t="s">
        <v>467</v>
      </c>
      <c r="C5964" t="s">
        <v>468</v>
      </c>
      <c r="D5964" t="s">
        <v>150</v>
      </c>
      <c r="E5964" t="s">
        <v>154</v>
      </c>
      <c r="F5964">
        <v>2</v>
      </c>
      <c r="G5964" t="s">
        <v>498</v>
      </c>
      <c r="H5964" s="4">
        <v>15689133</v>
      </c>
      <c r="I5964" s="4">
        <v>15993018</v>
      </c>
      <c r="J5964" s="3">
        <v>0.019369139135986674</v>
      </c>
      <c r="K5964" s="3">
        <v>-0.019001104106804608</v>
      </c>
      <c r="L5964" t="s">
        <v>54</v>
      </c>
    </row>
    <row r="5965" spans="1:12" x14ac:dyDescent="0.25">
      <c r="A5965" t="s">
        <v>487</v>
      </c>
      <c r="B5965" t="s">
        <v>467</v>
      </c>
      <c r="C5965" t="s">
        <v>468</v>
      </c>
      <c r="D5965" t="s">
        <v>150</v>
      </c>
      <c r="E5965" t="s">
        <v>154</v>
      </c>
      <c r="F5965">
        <v>2</v>
      </c>
      <c r="G5965" t="s">
        <v>499</v>
      </c>
      <c r="H5965" s="4">
        <v>15689133</v>
      </c>
      <c r="I5965" s="4">
        <v>11691014</v>
      </c>
      <c r="J5965" s="3">
        <v>0.2548336482328246</v>
      </c>
      <c r="K5965" s="3">
        <v>0.3419822266913717</v>
      </c>
      <c r="L5965" t="s">
        <v>54</v>
      </c>
    </row>
    <row r="5966" spans="1:12" x14ac:dyDescent="0.25">
      <c r="A5966" t="s">
        <v>487</v>
      </c>
      <c r="B5966" t="s">
        <v>467</v>
      </c>
      <c r="C5966" t="s">
        <v>468</v>
      </c>
      <c r="D5966" t="s">
        <v>150</v>
      </c>
      <c r="E5966" t="s">
        <v>156</v>
      </c>
      <c r="F5966">
        <v>3</v>
      </c>
      <c r="G5966" t="s">
        <v>488</v>
      </c>
      <c r="H5966" s="4">
        <v>13856747</v>
      </c>
      <c r="I5966" s="4">
        <v>13949262.560803685</v>
      </c>
      <c r="J5966" s="3">
        <v>0.006676571406238805</v>
      </c>
      <c r="K5966" s="3">
        <v>-0.0066322904454925585</v>
      </c>
      <c r="L5966" t="s">
        <v>54</v>
      </c>
    </row>
    <row r="5967" spans="1:12" x14ac:dyDescent="0.25">
      <c r="A5967" t="s">
        <v>487</v>
      </c>
      <c r="B5967" t="s">
        <v>467</v>
      </c>
      <c r="C5967" t="s">
        <v>468</v>
      </c>
      <c r="D5967" t="s">
        <v>150</v>
      </c>
      <c r="E5967" t="s">
        <v>156</v>
      </c>
      <c r="F5967">
        <v>3</v>
      </c>
      <c r="G5967" t="s">
        <v>498</v>
      </c>
      <c r="H5967" s="4">
        <v>13856747</v>
      </c>
      <c r="I5967" s="4">
        <v>12332173</v>
      </c>
      <c r="J5967" s="3">
        <v>0.11002394717894468</v>
      </c>
      <c r="K5967" s="3">
        <v>0.1236257389512781</v>
      </c>
      <c r="L5967" t="s">
        <v>54</v>
      </c>
    </row>
    <row r="5968" spans="1:12" x14ac:dyDescent="0.25">
      <c r="A5968" t="s">
        <v>487</v>
      </c>
      <c r="B5968" t="s">
        <v>467</v>
      </c>
      <c r="C5968" t="s">
        <v>468</v>
      </c>
      <c r="D5968" t="s">
        <v>150</v>
      </c>
      <c r="E5968" t="s">
        <v>156</v>
      </c>
      <c r="F5968">
        <v>3</v>
      </c>
      <c r="G5968" t="s">
        <v>499</v>
      </c>
      <c r="H5968" s="4">
        <v>13856747</v>
      </c>
      <c r="I5968" s="4">
        <v>11691014</v>
      </c>
      <c r="J5968" s="3">
        <v>0.15629447517516196</v>
      </c>
      <c r="K5968" s="3">
        <v>0.18524766115240304</v>
      </c>
      <c r="L5968" t="s">
        <v>54</v>
      </c>
    </row>
    <row r="5969" spans="1:12" x14ac:dyDescent="0.25">
      <c r="A5969" t="s">
        <v>487</v>
      </c>
      <c r="B5969" t="s">
        <v>467</v>
      </c>
      <c r="C5969" t="s">
        <v>468</v>
      </c>
      <c r="D5969" t="s">
        <v>152</v>
      </c>
      <c r="E5969" t="s">
        <v>154</v>
      </c>
      <c r="F5969">
        <v>1</v>
      </c>
      <c r="G5969" t="s">
        <v>488</v>
      </c>
      <c r="H5969" s="4">
        <v>15689133</v>
      </c>
      <c r="I5969" s="4">
        <v>18245781.32805925</v>
      </c>
      <c r="J5969" s="3">
        <v>0.1629566355297803</v>
      </c>
      <c r="K5969" s="3">
        <v>-0.14012271012628605</v>
      </c>
      <c r="L5969" t="s">
        <v>54</v>
      </c>
    </row>
    <row r="5970" spans="1:12" x14ac:dyDescent="0.25">
      <c r="A5970" t="s">
        <v>487</v>
      </c>
      <c r="B5970" t="s">
        <v>467</v>
      </c>
      <c r="C5970" t="s">
        <v>468</v>
      </c>
      <c r="D5970" t="s">
        <v>152</v>
      </c>
      <c r="E5970" t="s">
        <v>154</v>
      </c>
      <c r="F5970">
        <v>1</v>
      </c>
      <c r="G5970" t="s">
        <v>498</v>
      </c>
      <c r="H5970" s="4">
        <v>15689133</v>
      </c>
      <c r="I5970" s="4">
        <v>15993018</v>
      </c>
      <c r="J5970" s="3">
        <v>0.019369139135986674</v>
      </c>
      <c r="K5970" s="3">
        <v>-0.019001104106804608</v>
      </c>
      <c r="L5970" t="s">
        <v>54</v>
      </c>
    </row>
    <row r="5971" spans="1:12" x14ac:dyDescent="0.25">
      <c r="A5971" t="s">
        <v>487</v>
      </c>
      <c r="B5971" t="s">
        <v>467</v>
      </c>
      <c r="C5971" t="s">
        <v>468</v>
      </c>
      <c r="D5971" t="s">
        <v>152</v>
      </c>
      <c r="E5971" t="s">
        <v>154</v>
      </c>
      <c r="F5971">
        <v>1</v>
      </c>
      <c r="G5971" t="s">
        <v>499</v>
      </c>
      <c r="H5971" s="4">
        <v>15689133</v>
      </c>
      <c r="I5971" s="4">
        <v>16449559</v>
      </c>
      <c r="J5971" s="3">
        <v>0.04846832517768827</v>
      </c>
      <c r="K5971" s="3">
        <v>-0.04622774385623347</v>
      </c>
      <c r="L5971" t="s">
        <v>54</v>
      </c>
    </row>
    <row r="5972" spans="1:12" x14ac:dyDescent="0.25">
      <c r="A5972" t="s">
        <v>487</v>
      </c>
      <c r="B5972" t="s">
        <v>467</v>
      </c>
      <c r="C5972" t="s">
        <v>468</v>
      </c>
      <c r="D5972" t="s">
        <v>152</v>
      </c>
      <c r="E5972" t="s">
        <v>156</v>
      </c>
      <c r="F5972">
        <v>2</v>
      </c>
      <c r="G5972" t="s">
        <v>488</v>
      </c>
      <c r="H5972" s="4">
        <v>13856747</v>
      </c>
      <c r="I5972" s="4">
        <v>14069272.719995463</v>
      </c>
      <c r="J5972" s="3">
        <v>0.015337345770653333</v>
      </c>
      <c r="K5972" s="3">
        <v>-0.015105664964004749</v>
      </c>
      <c r="L5972" t="s">
        <v>54</v>
      </c>
    </row>
    <row r="5973" spans="1:12" x14ac:dyDescent="0.25">
      <c r="A5973" t="s">
        <v>487</v>
      </c>
      <c r="B5973" t="s">
        <v>467</v>
      </c>
      <c r="C5973" t="s">
        <v>468</v>
      </c>
      <c r="D5973" t="s">
        <v>152</v>
      </c>
      <c r="E5973" t="s">
        <v>156</v>
      </c>
      <c r="F5973">
        <v>2</v>
      </c>
      <c r="G5973" t="s">
        <v>498</v>
      </c>
      <c r="H5973" s="4">
        <v>13856747</v>
      </c>
      <c r="I5973" s="4">
        <v>12332173</v>
      </c>
      <c r="J5973" s="3">
        <v>0.11002394717894468</v>
      </c>
      <c r="K5973" s="3">
        <v>0.1236257389512781</v>
      </c>
      <c r="L5973" t="s">
        <v>54</v>
      </c>
    </row>
    <row r="5974" spans="1:12" x14ac:dyDescent="0.25">
      <c r="A5974" t="s">
        <v>487</v>
      </c>
      <c r="B5974" t="s">
        <v>467</v>
      </c>
      <c r="C5974" t="s">
        <v>468</v>
      </c>
      <c r="D5974" t="s">
        <v>152</v>
      </c>
      <c r="E5974" t="s">
        <v>156</v>
      </c>
      <c r="F5974">
        <v>2</v>
      </c>
      <c r="G5974" t="s">
        <v>499</v>
      </c>
      <c r="H5974" s="4">
        <v>13856747</v>
      </c>
      <c r="I5974" s="4">
        <v>16449559</v>
      </c>
      <c r="J5974" s="3">
        <v>0.18711548966001906</v>
      </c>
      <c r="K5974" s="3">
        <v>-0.15762197637030878</v>
      </c>
      <c r="L5974" t="s">
        <v>54</v>
      </c>
    </row>
    <row r="5975" spans="1:12" x14ac:dyDescent="0.25">
      <c r="A5975" t="s">
        <v>487</v>
      </c>
      <c r="B5975" t="s">
        <v>467</v>
      </c>
      <c r="C5975" t="s">
        <v>468</v>
      </c>
      <c r="D5975" t="s">
        <v>152</v>
      </c>
      <c r="E5975" t="s">
        <v>158</v>
      </c>
      <c r="F5975">
        <v>3</v>
      </c>
      <c r="G5975" t="s">
        <v>488</v>
      </c>
      <c r="H5975" s="4">
        <v>9233899</v>
      </c>
      <c r="I5975" s="4">
        <v>8718856.527911548</v>
      </c>
      <c r="J5975" s="3">
        <v>0.055777356032208326</v>
      </c>
      <c r="K5975" s="3">
        <v>0.05907224994925132</v>
      </c>
      <c r="L5975" t="s">
        <v>54</v>
      </c>
    </row>
    <row r="5976" spans="1:12" x14ac:dyDescent="0.25">
      <c r="A5976" t="s">
        <v>487</v>
      </c>
      <c r="B5976" t="s">
        <v>467</v>
      </c>
      <c r="C5976" t="s">
        <v>468</v>
      </c>
      <c r="D5976" t="s">
        <v>152</v>
      </c>
      <c r="E5976" t="s">
        <v>158</v>
      </c>
      <c r="F5976">
        <v>3</v>
      </c>
      <c r="G5976" t="s">
        <v>498</v>
      </c>
      <c r="H5976" s="4">
        <v>9233899</v>
      </c>
      <c r="I5976" s="4">
        <v>7642360</v>
      </c>
      <c r="J5976" s="3">
        <v>0.1723582854869866</v>
      </c>
      <c r="K5976" s="3">
        <v>0.20825229379406363</v>
      </c>
      <c r="L5976" t="s">
        <v>54</v>
      </c>
    </row>
    <row r="5977" spans="1:12" x14ac:dyDescent="0.25">
      <c r="A5977" t="s">
        <v>487</v>
      </c>
      <c r="B5977" t="s">
        <v>467</v>
      </c>
      <c r="C5977" t="s">
        <v>468</v>
      </c>
      <c r="D5977" t="s">
        <v>152</v>
      </c>
      <c r="E5977" t="s">
        <v>158</v>
      </c>
      <c r="F5977">
        <v>3</v>
      </c>
      <c r="G5977" t="s">
        <v>499</v>
      </c>
      <c r="H5977" s="4">
        <v>9233899</v>
      </c>
      <c r="I5977" s="4">
        <v>16449559</v>
      </c>
      <c r="J5977" s="3">
        <v>0.7814315491213408</v>
      </c>
      <c r="K5977" s="3">
        <v>-0.43865370494126926</v>
      </c>
      <c r="L5977" t="s">
        <v>54</v>
      </c>
    </row>
    <row r="5978" spans="1:12" x14ac:dyDescent="0.25">
      <c r="A5978" t="s">
        <v>487</v>
      </c>
      <c r="B5978" t="s">
        <v>467</v>
      </c>
      <c r="C5978" t="s">
        <v>468</v>
      </c>
      <c r="D5978" t="s">
        <v>154</v>
      </c>
      <c r="E5978" t="s">
        <v>156</v>
      </c>
      <c r="F5978">
        <v>1</v>
      </c>
      <c r="G5978" t="s">
        <v>488</v>
      </c>
      <c r="H5978" s="4">
        <v>13856747</v>
      </c>
      <c r="I5978" s="4">
        <v>13942218.01259698</v>
      </c>
      <c r="J5978" s="3">
        <v>0.006168187425012504</v>
      </c>
      <c r="K5978" s="3">
        <v>-0.006130374128403066</v>
      </c>
      <c r="L5978" t="s">
        <v>54</v>
      </c>
    </row>
    <row r="5979" spans="1:12" x14ac:dyDescent="0.25">
      <c r="A5979" t="s">
        <v>487</v>
      </c>
      <c r="B5979" t="s">
        <v>467</v>
      </c>
      <c r="C5979" t="s">
        <v>468</v>
      </c>
      <c r="D5979" t="s">
        <v>154</v>
      </c>
      <c r="E5979" t="s">
        <v>156</v>
      </c>
      <c r="F5979">
        <v>1</v>
      </c>
      <c r="G5979" t="s">
        <v>498</v>
      </c>
      <c r="H5979" s="4">
        <v>13856747</v>
      </c>
      <c r="I5979" s="4">
        <v>12332173</v>
      </c>
      <c r="J5979" s="3">
        <v>0.11002394717894468</v>
      </c>
      <c r="K5979" s="3">
        <v>0.1236257389512781</v>
      </c>
      <c r="L5979" t="s">
        <v>54</v>
      </c>
    </row>
    <row r="5980" spans="1:12" x14ac:dyDescent="0.25">
      <c r="A5980" t="s">
        <v>487</v>
      </c>
      <c r="B5980" t="s">
        <v>467</v>
      </c>
      <c r="C5980" t="s">
        <v>468</v>
      </c>
      <c r="D5980" t="s">
        <v>154</v>
      </c>
      <c r="E5980" t="s">
        <v>156</v>
      </c>
      <c r="F5980">
        <v>1</v>
      </c>
      <c r="G5980" t="s">
        <v>499</v>
      </c>
      <c r="H5980" s="4">
        <v>13856747</v>
      </c>
      <c r="I5980" s="4">
        <v>15689133</v>
      </c>
      <c r="J5980" s="3">
        <v>0.13223781887624853</v>
      </c>
      <c r="K5980" s="3">
        <v>-0.11679332439848653</v>
      </c>
      <c r="L5980" t="s">
        <v>54</v>
      </c>
    </row>
    <row r="5981" spans="1:12" x14ac:dyDescent="0.25">
      <c r="A5981" t="s">
        <v>487</v>
      </c>
      <c r="B5981" t="s">
        <v>467</v>
      </c>
      <c r="C5981" t="s">
        <v>468</v>
      </c>
      <c r="D5981" t="s">
        <v>154</v>
      </c>
      <c r="E5981" t="s">
        <v>158</v>
      </c>
      <c r="F5981">
        <v>2</v>
      </c>
      <c r="G5981" t="s">
        <v>488</v>
      </c>
      <c r="H5981" s="4">
        <v>9233899</v>
      </c>
      <c r="I5981" s="4">
        <v>8640119.567796418</v>
      </c>
      <c r="J5981" s="3">
        <v>0.06430430224584237</v>
      </c>
      <c r="K5981" s="3">
        <v>0.0687235202643173</v>
      </c>
      <c r="L5981" t="s">
        <v>54</v>
      </c>
    </row>
    <row r="5982" spans="1:12" x14ac:dyDescent="0.25">
      <c r="A5982" t="s">
        <v>487</v>
      </c>
      <c r="B5982" t="s">
        <v>467</v>
      </c>
      <c r="C5982" t="s">
        <v>468</v>
      </c>
      <c r="D5982" t="s">
        <v>154</v>
      </c>
      <c r="E5982" t="s">
        <v>158</v>
      </c>
      <c r="F5982">
        <v>2</v>
      </c>
      <c r="G5982" t="s">
        <v>498</v>
      </c>
      <c r="H5982" s="4">
        <v>9233899</v>
      </c>
      <c r="I5982" s="4">
        <v>7642360</v>
      </c>
      <c r="J5982" s="3">
        <v>0.1723582854869866</v>
      </c>
      <c r="K5982" s="3">
        <v>0.20825229379406363</v>
      </c>
      <c r="L5982" t="s">
        <v>54</v>
      </c>
    </row>
    <row r="5983" spans="1:12" x14ac:dyDescent="0.25">
      <c r="A5983" t="s">
        <v>487</v>
      </c>
      <c r="B5983" t="s">
        <v>467</v>
      </c>
      <c r="C5983" t="s">
        <v>468</v>
      </c>
      <c r="D5983" t="s">
        <v>154</v>
      </c>
      <c r="E5983" t="s">
        <v>158</v>
      </c>
      <c r="F5983">
        <v>2</v>
      </c>
      <c r="G5983" t="s">
        <v>499</v>
      </c>
      <c r="H5983" s="4">
        <v>9233899</v>
      </c>
      <c r="I5983" s="4">
        <v>15689133</v>
      </c>
      <c r="J5983" s="3">
        <v>0.6990799877711463</v>
      </c>
      <c r="K5983" s="3">
        <v>-0.4114461901750721</v>
      </c>
      <c r="L5983" t="s">
        <v>54</v>
      </c>
    </row>
    <row r="5984" spans="1:12" x14ac:dyDescent="0.25">
      <c r="A5984" t="s">
        <v>487</v>
      </c>
      <c r="B5984" t="s">
        <v>467</v>
      </c>
      <c r="C5984" t="s">
        <v>468</v>
      </c>
      <c r="D5984" t="s">
        <v>154</v>
      </c>
      <c r="E5984" t="s">
        <v>160</v>
      </c>
      <c r="F5984">
        <v>3</v>
      </c>
      <c r="G5984" t="s">
        <v>488</v>
      </c>
      <c r="H5984" s="4">
        <v>6723272</v>
      </c>
      <c r="I5984" s="4">
        <v>6959999.593115526</v>
      </c>
      <c r="J5984" s="3">
        <v>0.03521017640153875</v>
      </c>
      <c r="K5984" s="3">
        <v>-0.034012587206137916</v>
      </c>
      <c r="L5984" t="s">
        <v>54</v>
      </c>
    </row>
    <row r="5985" spans="1:12" x14ac:dyDescent="0.25">
      <c r="A5985" t="s">
        <v>487</v>
      </c>
      <c r="B5985" t="s">
        <v>467</v>
      </c>
      <c r="C5985" t="s">
        <v>468</v>
      </c>
      <c r="D5985" t="s">
        <v>154</v>
      </c>
      <c r="E5985" t="s">
        <v>160</v>
      </c>
      <c r="F5985">
        <v>3</v>
      </c>
      <c r="G5985" t="s">
        <v>498</v>
      </c>
      <c r="H5985" s="4">
        <v>6723272</v>
      </c>
      <c r="I5985" s="4">
        <v>6156260</v>
      </c>
      <c r="J5985" s="3">
        <v>0.08433572224952374</v>
      </c>
      <c r="K5985" s="3">
        <v>0.09210332247176045</v>
      </c>
      <c r="L5985" t="s">
        <v>54</v>
      </c>
    </row>
    <row r="5986" spans="1:12" x14ac:dyDescent="0.25">
      <c r="A5986" t="s">
        <v>487</v>
      </c>
      <c r="B5986" t="s">
        <v>467</v>
      </c>
      <c r="C5986" t="s">
        <v>468</v>
      </c>
      <c r="D5986" t="s">
        <v>154</v>
      </c>
      <c r="E5986" t="s">
        <v>160</v>
      </c>
      <c r="F5986">
        <v>3</v>
      </c>
      <c r="G5986" t="s">
        <v>499</v>
      </c>
      <c r="H5986" s="4">
        <v>6723272</v>
      </c>
      <c r="I5986" s="4">
        <v>15689133</v>
      </c>
      <c r="J5986" s="3">
        <v>1.3335561910926703</v>
      </c>
      <c r="K5986" s="3">
        <v>-0.5714695005772467</v>
      </c>
      <c r="L5986" t="s">
        <v>54</v>
      </c>
    </row>
    <row r="5987" spans="1:12" x14ac:dyDescent="0.25">
      <c r="A5987" t="s">
        <v>487</v>
      </c>
      <c r="B5987" t="s">
        <v>467</v>
      </c>
      <c r="C5987" t="s">
        <v>468</v>
      </c>
      <c r="D5987" t="s">
        <v>156</v>
      </c>
      <c r="E5987" t="s">
        <v>158</v>
      </c>
      <c r="F5987">
        <v>1</v>
      </c>
      <c r="G5987" t="s">
        <v>488</v>
      </c>
      <c r="H5987" s="4">
        <v>9233899</v>
      </c>
      <c r="I5987" s="4">
        <v>8593220.985495292</v>
      </c>
      <c r="J5987" s="3">
        <v>0.06938325993220289</v>
      </c>
      <c r="K5987" s="3">
        <v>0.07455621304120125</v>
      </c>
      <c r="L5987" t="s">
        <v>54</v>
      </c>
    </row>
    <row r="5988" spans="1:12" x14ac:dyDescent="0.25">
      <c r="A5988" t="s">
        <v>487</v>
      </c>
      <c r="B5988" t="s">
        <v>467</v>
      </c>
      <c r="C5988" t="s">
        <v>468</v>
      </c>
      <c r="D5988" t="s">
        <v>156</v>
      </c>
      <c r="E5988" t="s">
        <v>158</v>
      </c>
      <c r="F5988">
        <v>1</v>
      </c>
      <c r="G5988" t="s">
        <v>498</v>
      </c>
      <c r="H5988" s="4">
        <v>9233899</v>
      </c>
      <c r="I5988" s="4">
        <v>7642360</v>
      </c>
      <c r="J5988" s="3">
        <v>0.1723582854869866</v>
      </c>
      <c r="K5988" s="3">
        <v>0.20825229379406363</v>
      </c>
      <c r="L5988" t="s">
        <v>54</v>
      </c>
    </row>
    <row r="5989" spans="1:12" x14ac:dyDescent="0.25">
      <c r="A5989" t="s">
        <v>487</v>
      </c>
      <c r="B5989" t="s">
        <v>467</v>
      </c>
      <c r="C5989" t="s">
        <v>468</v>
      </c>
      <c r="D5989" t="s">
        <v>156</v>
      </c>
      <c r="E5989" t="s">
        <v>158</v>
      </c>
      <c r="F5989">
        <v>1</v>
      </c>
      <c r="G5989" t="s">
        <v>499</v>
      </c>
      <c r="H5989" s="4">
        <v>9233899</v>
      </c>
      <c r="I5989" s="4">
        <v>13856747</v>
      </c>
      <c r="J5989" s="3">
        <v>0.5006387875804142</v>
      </c>
      <c r="K5989" s="3">
        <v>-0.3336171180725173</v>
      </c>
      <c r="L5989" t="s">
        <v>54</v>
      </c>
    </row>
    <row r="5990" spans="1:12" x14ac:dyDescent="0.25">
      <c r="A5990" t="s">
        <v>487</v>
      </c>
      <c r="B5990" t="s">
        <v>467</v>
      </c>
      <c r="C5990" t="s">
        <v>468</v>
      </c>
      <c r="D5990" t="s">
        <v>156</v>
      </c>
      <c r="E5990" t="s">
        <v>160</v>
      </c>
      <c r="F5990">
        <v>2</v>
      </c>
      <c r="G5990" t="s">
        <v>488</v>
      </c>
      <c r="H5990" s="4">
        <v>6723272</v>
      </c>
      <c r="I5990" s="4">
        <v>6922220.7046207255</v>
      </c>
      <c r="J5990" s="3">
        <v>0.029591053972042997</v>
      </c>
      <c r="K5990" s="3">
        <v>-0.02874058963302385</v>
      </c>
      <c r="L5990" t="s">
        <v>54</v>
      </c>
    </row>
    <row r="5991" spans="1:12" x14ac:dyDescent="0.25">
      <c r="A5991" t="s">
        <v>487</v>
      </c>
      <c r="B5991" t="s">
        <v>467</v>
      </c>
      <c r="C5991" t="s">
        <v>468</v>
      </c>
      <c r="D5991" t="s">
        <v>156</v>
      </c>
      <c r="E5991" t="s">
        <v>160</v>
      </c>
      <c r="F5991">
        <v>2</v>
      </c>
      <c r="G5991" t="s">
        <v>498</v>
      </c>
      <c r="H5991" s="4">
        <v>6723272</v>
      </c>
      <c r="I5991" s="4">
        <v>6156260</v>
      </c>
      <c r="J5991" s="3">
        <v>0.08433572224952374</v>
      </c>
      <c r="K5991" s="3">
        <v>0.09210332247176045</v>
      </c>
      <c r="L5991" t="s">
        <v>54</v>
      </c>
    </row>
    <row r="5992" spans="1:12" x14ac:dyDescent="0.25">
      <c r="A5992" t="s">
        <v>487</v>
      </c>
      <c r="B5992" t="s">
        <v>467</v>
      </c>
      <c r="C5992" t="s">
        <v>468</v>
      </c>
      <c r="D5992" t="s">
        <v>156</v>
      </c>
      <c r="E5992" t="s">
        <v>160</v>
      </c>
      <c r="F5992">
        <v>2</v>
      </c>
      <c r="G5992" t="s">
        <v>499</v>
      </c>
      <c r="H5992" s="4">
        <v>6723272</v>
      </c>
      <c r="I5992" s="4">
        <v>13856747</v>
      </c>
      <c r="J5992" s="3">
        <v>1.0610124058642876</v>
      </c>
      <c r="K5992" s="3">
        <v>-0.5148015620116323</v>
      </c>
      <c r="L5992" t="s">
        <v>54</v>
      </c>
    </row>
    <row r="5993" spans="1:12" x14ac:dyDescent="0.25">
      <c r="A5993" t="s">
        <v>487</v>
      </c>
      <c r="B5993" t="s">
        <v>467</v>
      </c>
      <c r="C5993" t="s">
        <v>468</v>
      </c>
      <c r="D5993" t="s">
        <v>156</v>
      </c>
      <c r="E5993" t="s">
        <v>162</v>
      </c>
      <c r="F5993">
        <v>3</v>
      </c>
      <c r="G5993" t="s">
        <v>488</v>
      </c>
      <c r="H5993" s="4">
        <v>11988697</v>
      </c>
      <c r="I5993" s="4">
        <v>11628831.766250772</v>
      </c>
      <c r="J5993" s="3">
        <v>0.0300170430322184</v>
      </c>
      <c r="K5993" s="3">
        <v>0.030945948912394577</v>
      </c>
      <c r="L5993" t="s">
        <v>54</v>
      </c>
    </row>
    <row r="5994" spans="1:12" x14ac:dyDescent="0.25">
      <c r="A5994" t="s">
        <v>487</v>
      </c>
      <c r="B5994" t="s">
        <v>467</v>
      </c>
      <c r="C5994" t="s">
        <v>468</v>
      </c>
      <c r="D5994" t="s">
        <v>156</v>
      </c>
      <c r="E5994" t="s">
        <v>162</v>
      </c>
      <c r="F5994">
        <v>3</v>
      </c>
      <c r="G5994" t="s">
        <v>498</v>
      </c>
      <c r="H5994" s="4">
        <v>11988697</v>
      </c>
      <c r="I5994" s="4">
        <v>10342073</v>
      </c>
      <c r="J5994" s="3">
        <v>0.13734803707191867</v>
      </c>
      <c r="K5994" s="3">
        <v>0.1592160488521015</v>
      </c>
      <c r="L5994" t="s">
        <v>54</v>
      </c>
    </row>
    <row r="5995" spans="1:12" x14ac:dyDescent="0.25">
      <c r="A5995" t="s">
        <v>487</v>
      </c>
      <c r="B5995" t="s">
        <v>467</v>
      </c>
      <c r="C5995" t="s">
        <v>468</v>
      </c>
      <c r="D5995" t="s">
        <v>156</v>
      </c>
      <c r="E5995" t="s">
        <v>162</v>
      </c>
      <c r="F5995">
        <v>3</v>
      </c>
      <c r="G5995" t="s">
        <v>499</v>
      </c>
      <c r="H5995" s="4">
        <v>11988697</v>
      </c>
      <c r="I5995" s="4">
        <v>13856747</v>
      </c>
      <c r="J5995" s="3">
        <v>0.15581760052823088</v>
      </c>
      <c r="K5995" s="3">
        <v>-0.13481158312264777</v>
      </c>
      <c r="L5995" t="s">
        <v>54</v>
      </c>
    </row>
    <row r="5996" spans="1:12" x14ac:dyDescent="0.25">
      <c r="A5996" t="s">
        <v>487</v>
      </c>
      <c r="B5996" t="s">
        <v>467</v>
      </c>
      <c r="C5996" t="s">
        <v>468</v>
      </c>
      <c r="D5996" t="s">
        <v>158</v>
      </c>
      <c r="E5996" t="s">
        <v>160</v>
      </c>
      <c r="F5996">
        <v>1</v>
      </c>
      <c r="G5996" t="s">
        <v>488</v>
      </c>
      <c r="H5996" s="4">
        <v>6723272</v>
      </c>
      <c r="I5996" s="4">
        <v>7028809.340658062</v>
      </c>
      <c r="J5996" s="3">
        <v>0.04544473890957589</v>
      </c>
      <c r="K5996" s="3">
        <v>-0.0434692884455814</v>
      </c>
      <c r="L5996" t="s">
        <v>54</v>
      </c>
    </row>
    <row r="5997" spans="1:12" x14ac:dyDescent="0.25">
      <c r="A5997" t="s">
        <v>487</v>
      </c>
      <c r="B5997" t="s">
        <v>467</v>
      </c>
      <c r="C5997" t="s">
        <v>468</v>
      </c>
      <c r="D5997" t="s">
        <v>158</v>
      </c>
      <c r="E5997" t="s">
        <v>160</v>
      </c>
      <c r="F5997">
        <v>1</v>
      </c>
      <c r="G5997" t="s">
        <v>498</v>
      </c>
      <c r="H5997" s="4">
        <v>6723272</v>
      </c>
      <c r="I5997" s="4">
        <v>6156260</v>
      </c>
      <c r="J5997" s="3">
        <v>0.08433572224952374</v>
      </c>
      <c r="K5997" s="3">
        <v>0.09210332247176045</v>
      </c>
      <c r="L5997" t="s">
        <v>54</v>
      </c>
    </row>
    <row r="5998" spans="1:12" x14ac:dyDescent="0.25">
      <c r="A5998" t="s">
        <v>487</v>
      </c>
      <c r="B5998" t="s">
        <v>467</v>
      </c>
      <c r="C5998" t="s">
        <v>468</v>
      </c>
      <c r="D5998" t="s">
        <v>158</v>
      </c>
      <c r="E5998" t="s">
        <v>160</v>
      </c>
      <c r="F5998">
        <v>1</v>
      </c>
      <c r="G5998" t="s">
        <v>499</v>
      </c>
      <c r="H5998" s="4">
        <v>6723272</v>
      </c>
      <c r="I5998" s="4">
        <v>9233899</v>
      </c>
      <c r="J5998" s="3">
        <v>0.3734233867081385</v>
      </c>
      <c r="K5998" s="3">
        <v>-0.2718924042812251</v>
      </c>
      <c r="L5998" t="s">
        <v>54</v>
      </c>
    </row>
    <row r="5999" spans="1:12" x14ac:dyDescent="0.25">
      <c r="A5999" t="s">
        <v>487</v>
      </c>
      <c r="B5999" t="s">
        <v>467</v>
      </c>
      <c r="C5999" t="s">
        <v>468</v>
      </c>
      <c r="D5999" t="s">
        <v>158</v>
      </c>
      <c r="E5999" t="s">
        <v>162</v>
      </c>
      <c r="F5999">
        <v>2</v>
      </c>
      <c r="G5999" t="s">
        <v>488</v>
      </c>
      <c r="H5999" s="4">
        <v>11988697</v>
      </c>
      <c r="I5999" s="4">
        <v>11807892.990901545</v>
      </c>
      <c r="J5999" s="3">
        <v>0.015081205997487076</v>
      </c>
      <c r="K5999" s="3">
        <v>0.015312131405473614</v>
      </c>
      <c r="L5999" t="s">
        <v>54</v>
      </c>
    </row>
    <row r="6000" spans="1:12" x14ac:dyDescent="0.25">
      <c r="A6000" t="s">
        <v>487</v>
      </c>
      <c r="B6000" t="s">
        <v>467</v>
      </c>
      <c r="C6000" t="s">
        <v>468</v>
      </c>
      <c r="D6000" t="s">
        <v>158</v>
      </c>
      <c r="E6000" t="s">
        <v>162</v>
      </c>
      <c r="F6000">
        <v>2</v>
      </c>
      <c r="G6000" t="s">
        <v>498</v>
      </c>
      <c r="H6000" s="4">
        <v>11988697</v>
      </c>
      <c r="I6000" s="4">
        <v>10342073</v>
      </c>
      <c r="J6000" s="3">
        <v>0.13734803707191867</v>
      </c>
      <c r="K6000" s="3">
        <v>0.1592160488521015</v>
      </c>
      <c r="L6000" t="s">
        <v>54</v>
      </c>
    </row>
    <row r="6001" spans="1:12" x14ac:dyDescent="0.25">
      <c r="A6001" t="s">
        <v>487</v>
      </c>
      <c r="B6001" t="s">
        <v>467</v>
      </c>
      <c r="C6001" t="s">
        <v>468</v>
      </c>
      <c r="D6001" t="s">
        <v>158</v>
      </c>
      <c r="E6001" t="s">
        <v>162</v>
      </c>
      <c r="F6001">
        <v>2</v>
      </c>
      <c r="G6001" t="s">
        <v>499</v>
      </c>
      <c r="H6001" s="4">
        <v>11988697</v>
      </c>
      <c r="I6001" s="4">
        <v>9233899</v>
      </c>
      <c r="J6001" s="3">
        <v>0.22978293637748956</v>
      </c>
      <c r="K6001" s="3">
        <v>0.2983352969314479</v>
      </c>
      <c r="L6001" t="s">
        <v>54</v>
      </c>
    </row>
    <row r="6002" spans="1:12" x14ac:dyDescent="0.25">
      <c r="A6002" t="s">
        <v>487</v>
      </c>
      <c r="B6002" t="s">
        <v>467</v>
      </c>
      <c r="C6002" t="s">
        <v>468</v>
      </c>
      <c r="D6002" t="s">
        <v>158</v>
      </c>
      <c r="E6002" t="s">
        <v>164</v>
      </c>
      <c r="F6002">
        <v>3</v>
      </c>
      <c r="G6002" t="s">
        <v>488</v>
      </c>
      <c r="H6002" s="4">
        <v>17310718</v>
      </c>
      <c r="I6002" s="4">
        <v>17802954.97124518</v>
      </c>
      <c r="J6002" s="3">
        <v>0.028435387327387623</v>
      </c>
      <c r="K6002" s="3">
        <v>-0.027649172400886695</v>
      </c>
      <c r="L6002" t="s">
        <v>54</v>
      </c>
    </row>
    <row r="6003" spans="1:12" x14ac:dyDescent="0.25">
      <c r="A6003" t="s">
        <v>487</v>
      </c>
      <c r="B6003" t="s">
        <v>467</v>
      </c>
      <c r="C6003" t="s">
        <v>468</v>
      </c>
      <c r="D6003" t="s">
        <v>158</v>
      </c>
      <c r="E6003" t="s">
        <v>164</v>
      </c>
      <c r="F6003">
        <v>3</v>
      </c>
      <c r="G6003" t="s">
        <v>498</v>
      </c>
      <c r="H6003" s="4">
        <v>17310718</v>
      </c>
      <c r="I6003" s="4">
        <v>15592914</v>
      </c>
      <c r="J6003" s="3">
        <v>0.09923354998908769</v>
      </c>
      <c r="K6003" s="3">
        <v>0.1101656816679679</v>
      </c>
      <c r="L6003" t="s">
        <v>54</v>
      </c>
    </row>
    <row r="6004" spans="1:12" x14ac:dyDescent="0.25">
      <c r="A6004" t="s">
        <v>487</v>
      </c>
      <c r="B6004" t="s">
        <v>467</v>
      </c>
      <c r="C6004" t="s">
        <v>468</v>
      </c>
      <c r="D6004" t="s">
        <v>158</v>
      </c>
      <c r="E6004" t="s">
        <v>164</v>
      </c>
      <c r="F6004">
        <v>3</v>
      </c>
      <c r="G6004" t="s">
        <v>499</v>
      </c>
      <c r="H6004" s="4">
        <v>17310718</v>
      </c>
      <c r="I6004" s="4">
        <v>9233899</v>
      </c>
      <c r="J6004" s="3">
        <v>0.46657908701418394</v>
      </c>
      <c r="K6004" s="3">
        <v>0.87469215333631</v>
      </c>
      <c r="L6004" t="s">
        <v>54</v>
      </c>
    </row>
    <row r="6005" spans="1:12" x14ac:dyDescent="0.25">
      <c r="A6005" t="s">
        <v>487</v>
      </c>
      <c r="B6005" t="s">
        <v>467</v>
      </c>
      <c r="C6005" t="s">
        <v>468</v>
      </c>
      <c r="D6005" t="s">
        <v>160</v>
      </c>
      <c r="E6005" t="s">
        <v>162</v>
      </c>
      <c r="F6005">
        <v>1</v>
      </c>
      <c r="G6005" t="s">
        <v>488</v>
      </c>
      <c r="H6005" s="4">
        <v>11988697</v>
      </c>
      <c r="I6005" s="4">
        <v>11855472.682350144</v>
      </c>
      <c r="J6005" s="3">
        <v>0.011112493513670102</v>
      </c>
      <c r="K6005" s="3">
        <v>0.011237368700464736</v>
      </c>
      <c r="L6005" t="s">
        <v>54</v>
      </c>
    </row>
    <row r="6006" spans="1:12" x14ac:dyDescent="0.25">
      <c r="A6006" t="s">
        <v>487</v>
      </c>
      <c r="B6006" t="s">
        <v>467</v>
      </c>
      <c r="C6006" t="s">
        <v>468</v>
      </c>
      <c r="D6006" t="s">
        <v>160</v>
      </c>
      <c r="E6006" t="s">
        <v>162</v>
      </c>
      <c r="F6006">
        <v>1</v>
      </c>
      <c r="G6006" t="s">
        <v>498</v>
      </c>
      <c r="H6006" s="4">
        <v>11988697</v>
      </c>
      <c r="I6006" s="4">
        <v>10342073</v>
      </c>
      <c r="J6006" s="3">
        <v>0.13734803707191867</v>
      </c>
      <c r="K6006" s="3">
        <v>0.1592160488521015</v>
      </c>
      <c r="L6006" t="s">
        <v>54</v>
      </c>
    </row>
    <row r="6007" spans="1:12" x14ac:dyDescent="0.25">
      <c r="A6007" t="s">
        <v>487</v>
      </c>
      <c r="B6007" t="s">
        <v>467</v>
      </c>
      <c r="C6007" t="s">
        <v>468</v>
      </c>
      <c r="D6007" t="s">
        <v>160</v>
      </c>
      <c r="E6007" t="s">
        <v>162</v>
      </c>
      <c r="F6007">
        <v>1</v>
      </c>
      <c r="G6007" t="s">
        <v>499</v>
      </c>
      <c r="H6007" s="4">
        <v>11988697</v>
      </c>
      <c r="I6007" s="4">
        <v>6723272</v>
      </c>
      <c r="J6007" s="3">
        <v>0.43919910562423925</v>
      </c>
      <c r="K6007" s="3">
        <v>0.7831640605943059</v>
      </c>
      <c r="L6007" t="s">
        <v>54</v>
      </c>
    </row>
    <row r="6008" spans="1:12" x14ac:dyDescent="0.25">
      <c r="A6008" t="s">
        <v>487</v>
      </c>
      <c r="B6008" t="s">
        <v>467</v>
      </c>
      <c r="C6008" t="s">
        <v>468</v>
      </c>
      <c r="D6008" t="s">
        <v>160</v>
      </c>
      <c r="E6008" t="s">
        <v>164</v>
      </c>
      <c r="F6008">
        <v>2</v>
      </c>
      <c r="G6008" t="s">
        <v>488</v>
      </c>
      <c r="H6008" s="4">
        <v>17310718</v>
      </c>
      <c r="I6008" s="4">
        <v>17874691.656618077</v>
      </c>
      <c r="J6008" s="3">
        <v>0.03257944913770054</v>
      </c>
      <c r="K6008" s="3">
        <v>-0.031551518059852346</v>
      </c>
      <c r="L6008" t="s">
        <v>54</v>
      </c>
    </row>
    <row r="6009" spans="1:12" x14ac:dyDescent="0.25">
      <c r="A6009" t="s">
        <v>487</v>
      </c>
      <c r="B6009" t="s">
        <v>467</v>
      </c>
      <c r="C6009" t="s">
        <v>468</v>
      </c>
      <c r="D6009" t="s">
        <v>160</v>
      </c>
      <c r="E6009" t="s">
        <v>164</v>
      </c>
      <c r="F6009">
        <v>2</v>
      </c>
      <c r="G6009" t="s">
        <v>498</v>
      </c>
      <c r="H6009" s="4">
        <v>17310718</v>
      </c>
      <c r="I6009" s="4">
        <v>15592914</v>
      </c>
      <c r="J6009" s="3">
        <v>0.09923354998908769</v>
      </c>
      <c r="K6009" s="3">
        <v>0.1101656816679679</v>
      </c>
      <c r="L6009" t="s">
        <v>54</v>
      </c>
    </row>
    <row r="6010" spans="1:12" x14ac:dyDescent="0.25">
      <c r="A6010" t="s">
        <v>487</v>
      </c>
      <c r="B6010" t="s">
        <v>467</v>
      </c>
      <c r="C6010" t="s">
        <v>468</v>
      </c>
      <c r="D6010" t="s">
        <v>160</v>
      </c>
      <c r="E6010" t="s">
        <v>164</v>
      </c>
      <c r="F6010">
        <v>2</v>
      </c>
      <c r="G6010" t="s">
        <v>499</v>
      </c>
      <c r="H6010" s="4">
        <v>17310718</v>
      </c>
      <c r="I6010" s="4">
        <v>6723272</v>
      </c>
      <c r="J6010" s="3">
        <v>0.6116121815397836</v>
      </c>
      <c r="K6010" s="3">
        <v>1.574746046270328</v>
      </c>
      <c r="L6010" t="s">
        <v>54</v>
      </c>
    </row>
    <row r="6011" spans="1:12" x14ac:dyDescent="0.25">
      <c r="A6011" t="s">
        <v>487</v>
      </c>
      <c r="B6011" t="s">
        <v>467</v>
      </c>
      <c r="C6011" t="s">
        <v>468</v>
      </c>
      <c r="D6011" t="s">
        <v>160</v>
      </c>
      <c r="E6011" t="s">
        <v>166</v>
      </c>
      <c r="F6011">
        <v>3</v>
      </c>
      <c r="G6011" t="s">
        <v>488</v>
      </c>
      <c r="H6011" s="4">
        <v>16359868</v>
      </c>
      <c r="I6011" s="4">
        <v>16499204.022076664</v>
      </c>
      <c r="J6011" s="3">
        <v>0.008516940483667992</v>
      </c>
      <c r="K6011" s="3">
        <v>-0.008445014795272956</v>
      </c>
      <c r="L6011" t="s">
        <v>54</v>
      </c>
    </row>
    <row r="6012" spans="1:12" x14ac:dyDescent="0.25">
      <c r="A6012" t="s">
        <v>487</v>
      </c>
      <c r="B6012" t="s">
        <v>467</v>
      </c>
      <c r="C6012" t="s">
        <v>468</v>
      </c>
      <c r="D6012" t="s">
        <v>160</v>
      </c>
      <c r="E6012" t="s">
        <v>166</v>
      </c>
      <c r="F6012">
        <v>3</v>
      </c>
      <c r="G6012" t="s">
        <v>498</v>
      </c>
      <c r="H6012" s="4">
        <v>16359868</v>
      </c>
      <c r="I6012" s="4">
        <v>14393013</v>
      </c>
      <c r="J6012" s="3">
        <v>0.12022438078351243</v>
      </c>
      <c r="K6012" s="3">
        <v>0.13665345817446284</v>
      </c>
      <c r="L6012" t="s">
        <v>54</v>
      </c>
    </row>
    <row r="6013" spans="1:12" x14ac:dyDescent="0.25">
      <c r="A6013" t="s">
        <v>487</v>
      </c>
      <c r="B6013" t="s">
        <v>467</v>
      </c>
      <c r="C6013" t="s">
        <v>468</v>
      </c>
      <c r="D6013" t="s">
        <v>160</v>
      </c>
      <c r="E6013" t="s">
        <v>166</v>
      </c>
      <c r="F6013">
        <v>3</v>
      </c>
      <c r="G6013" t="s">
        <v>499</v>
      </c>
      <c r="H6013" s="4">
        <v>16359868</v>
      </c>
      <c r="I6013" s="4">
        <v>6723272</v>
      </c>
      <c r="J6013" s="3">
        <v>0.5890387379653674</v>
      </c>
      <c r="K6013" s="3">
        <v>1.4333193718772645</v>
      </c>
      <c r="L6013" t="s">
        <v>54</v>
      </c>
    </row>
    <row r="6014" spans="1:12" x14ac:dyDescent="0.25">
      <c r="A6014" t="s">
        <v>487</v>
      </c>
      <c r="B6014" t="s">
        <v>467</v>
      </c>
      <c r="C6014" t="s">
        <v>468</v>
      </c>
      <c r="D6014" t="s">
        <v>162</v>
      </c>
      <c r="E6014" t="s">
        <v>164</v>
      </c>
      <c r="F6014">
        <v>1</v>
      </c>
      <c r="G6014" t="s">
        <v>488</v>
      </c>
      <c r="H6014" s="4">
        <v>17310718</v>
      </c>
      <c r="I6014" s="4">
        <v>17897122.659219403</v>
      </c>
      <c r="J6014" s="3">
        <v>0.03387523609473638</v>
      </c>
      <c r="K6014" s="3">
        <v>-0.0327653036963082</v>
      </c>
      <c r="L6014" t="s">
        <v>54</v>
      </c>
    </row>
    <row r="6015" spans="1:12" x14ac:dyDescent="0.25">
      <c r="A6015" t="s">
        <v>487</v>
      </c>
      <c r="B6015" t="s">
        <v>467</v>
      </c>
      <c r="C6015" t="s">
        <v>468</v>
      </c>
      <c r="D6015" t="s">
        <v>162</v>
      </c>
      <c r="E6015" t="s">
        <v>164</v>
      </c>
      <c r="F6015">
        <v>1</v>
      </c>
      <c r="G6015" t="s">
        <v>498</v>
      </c>
      <c r="H6015" s="4">
        <v>17310718</v>
      </c>
      <c r="I6015" s="4">
        <v>15592914</v>
      </c>
      <c r="J6015" s="3">
        <v>0.09923354998908769</v>
      </c>
      <c r="K6015" s="3">
        <v>0.1101656816679679</v>
      </c>
      <c r="L6015" t="s">
        <v>54</v>
      </c>
    </row>
    <row r="6016" spans="1:12" x14ac:dyDescent="0.25">
      <c r="A6016" t="s">
        <v>487</v>
      </c>
      <c r="B6016" t="s">
        <v>467</v>
      </c>
      <c r="C6016" t="s">
        <v>468</v>
      </c>
      <c r="D6016" t="s">
        <v>162</v>
      </c>
      <c r="E6016" t="s">
        <v>164</v>
      </c>
      <c r="F6016">
        <v>1</v>
      </c>
      <c r="G6016" t="s">
        <v>499</v>
      </c>
      <c r="H6016" s="4">
        <v>17310718</v>
      </c>
      <c r="I6016" s="4">
        <v>11988697</v>
      </c>
      <c r="J6016" s="3">
        <v>0.30744080054911643</v>
      </c>
      <c r="K6016" s="3">
        <v>0.4439198855388538</v>
      </c>
      <c r="L6016" t="s">
        <v>54</v>
      </c>
    </row>
    <row r="6017" spans="1:12" x14ac:dyDescent="0.25">
      <c r="A6017" t="s">
        <v>487</v>
      </c>
      <c r="B6017" t="s">
        <v>467</v>
      </c>
      <c r="C6017" t="s">
        <v>468</v>
      </c>
      <c r="D6017" t="s">
        <v>162</v>
      </c>
      <c r="E6017" t="s">
        <v>166</v>
      </c>
      <c r="F6017">
        <v>2</v>
      </c>
      <c r="G6017" t="s">
        <v>488</v>
      </c>
      <c r="H6017" s="4">
        <v>16359868</v>
      </c>
      <c r="I6017" s="4">
        <v>16519908.921240726</v>
      </c>
      <c r="J6017" s="3">
        <v>0.009782531328536789</v>
      </c>
      <c r="K6017" s="3">
        <v>-0.009687760507865234</v>
      </c>
      <c r="L6017" t="s">
        <v>54</v>
      </c>
    </row>
    <row r="6018" spans="1:12" x14ac:dyDescent="0.25">
      <c r="A6018" t="s">
        <v>487</v>
      </c>
      <c r="B6018" t="s">
        <v>467</v>
      </c>
      <c r="C6018" t="s">
        <v>468</v>
      </c>
      <c r="D6018" t="s">
        <v>162</v>
      </c>
      <c r="E6018" t="s">
        <v>166</v>
      </c>
      <c r="F6018">
        <v>2</v>
      </c>
      <c r="G6018" t="s">
        <v>498</v>
      </c>
      <c r="H6018" s="4">
        <v>16359868</v>
      </c>
      <c r="I6018" s="4">
        <v>14393013</v>
      </c>
      <c r="J6018" s="3">
        <v>0.12022438078351243</v>
      </c>
      <c r="K6018" s="3">
        <v>0.13665345817446284</v>
      </c>
      <c r="L6018" t="s">
        <v>54</v>
      </c>
    </row>
    <row r="6019" spans="1:12" x14ac:dyDescent="0.25">
      <c r="A6019" t="s">
        <v>487</v>
      </c>
      <c r="B6019" t="s">
        <v>467</v>
      </c>
      <c r="C6019" t="s">
        <v>468</v>
      </c>
      <c r="D6019" t="s">
        <v>162</v>
      </c>
      <c r="E6019" t="s">
        <v>166</v>
      </c>
      <c r="F6019">
        <v>2</v>
      </c>
      <c r="G6019" t="s">
        <v>499</v>
      </c>
      <c r="H6019" s="4">
        <v>16359868</v>
      </c>
      <c r="I6019" s="4">
        <v>11988697</v>
      </c>
      <c r="J6019" s="3">
        <v>0.26718864724336405</v>
      </c>
      <c r="K6019" s="3">
        <v>0.3646076800506344</v>
      </c>
      <c r="L6019" t="s">
        <v>54</v>
      </c>
    </row>
    <row r="6020" spans="1:12" x14ac:dyDescent="0.25">
      <c r="A6020" t="s">
        <v>487</v>
      </c>
      <c r="B6020" t="s">
        <v>467</v>
      </c>
      <c r="C6020" t="s">
        <v>468</v>
      </c>
      <c r="D6020" t="s">
        <v>162</v>
      </c>
      <c r="E6020" t="s">
        <v>168</v>
      </c>
      <c r="F6020">
        <v>3</v>
      </c>
      <c r="G6020" t="s">
        <v>488</v>
      </c>
      <c r="H6020" s="4">
        <v>17714210</v>
      </c>
      <c r="I6020" s="4">
        <v>20897510.960916877</v>
      </c>
      <c r="J6020" s="3">
        <v>0.1797032416865825</v>
      </c>
      <c r="K6020" s="3">
        <v>-0.15232919206839404</v>
      </c>
      <c r="L6020" t="s">
        <v>54</v>
      </c>
    </row>
    <row r="6021" spans="1:12" x14ac:dyDescent="0.25">
      <c r="A6021" t="s">
        <v>487</v>
      </c>
      <c r="B6021" t="s">
        <v>467</v>
      </c>
      <c r="C6021" t="s">
        <v>468</v>
      </c>
      <c r="D6021" t="s">
        <v>162</v>
      </c>
      <c r="E6021" t="s">
        <v>168</v>
      </c>
      <c r="F6021">
        <v>3</v>
      </c>
      <c r="G6021" t="s">
        <v>498</v>
      </c>
      <c r="H6021" s="4">
        <v>17714210</v>
      </c>
      <c r="I6021" s="4">
        <v>18207010</v>
      </c>
      <c r="J6021" s="3">
        <v>0.027819473744524877</v>
      </c>
      <c r="K6021" s="3">
        <v>-0.02706649801367715</v>
      </c>
      <c r="L6021" t="s">
        <v>54</v>
      </c>
    </row>
    <row r="6022" spans="1:12" x14ac:dyDescent="0.25">
      <c r="A6022" t="s">
        <v>487</v>
      </c>
      <c r="B6022" t="s">
        <v>467</v>
      </c>
      <c r="C6022" t="s">
        <v>468</v>
      </c>
      <c r="D6022" t="s">
        <v>162</v>
      </c>
      <c r="E6022" t="s">
        <v>168</v>
      </c>
      <c r="F6022">
        <v>3</v>
      </c>
      <c r="G6022" t="s">
        <v>499</v>
      </c>
      <c r="H6022" s="4">
        <v>17714210</v>
      </c>
      <c r="I6022" s="4">
        <v>11988697</v>
      </c>
      <c r="J6022" s="3">
        <v>0.3232158250353812</v>
      </c>
      <c r="K6022" s="3">
        <v>0.477575920052029</v>
      </c>
      <c r="L6022" t="s">
        <v>54</v>
      </c>
    </row>
    <row r="6023" spans="1:12" x14ac:dyDescent="0.25">
      <c r="A6023" t="s">
        <v>487</v>
      </c>
      <c r="B6023" t="s">
        <v>467</v>
      </c>
      <c r="C6023" t="s">
        <v>468</v>
      </c>
      <c r="D6023" t="s">
        <v>164</v>
      </c>
      <c r="E6023" t="s">
        <v>166</v>
      </c>
      <c r="F6023">
        <v>1</v>
      </c>
      <c r="G6023" t="s">
        <v>488</v>
      </c>
      <c r="H6023" s="4">
        <v>16359868</v>
      </c>
      <c r="I6023" s="4">
        <v>16401185.958397394</v>
      </c>
      <c r="J6023" s="3">
        <v>0.0025255679567459865</v>
      </c>
      <c r="K6023" s="3">
        <v>-0.0025192055319779656</v>
      </c>
      <c r="L6023" t="s">
        <v>54</v>
      </c>
    </row>
    <row r="6024" spans="1:12" x14ac:dyDescent="0.25">
      <c r="A6024" t="s">
        <v>487</v>
      </c>
      <c r="B6024" t="s">
        <v>467</v>
      </c>
      <c r="C6024" t="s">
        <v>468</v>
      </c>
      <c r="D6024" t="s">
        <v>164</v>
      </c>
      <c r="E6024" t="s">
        <v>166</v>
      </c>
      <c r="F6024">
        <v>1</v>
      </c>
      <c r="G6024" t="s">
        <v>498</v>
      </c>
      <c r="H6024" s="4">
        <v>16359868</v>
      </c>
      <c r="I6024" s="4">
        <v>14393013</v>
      </c>
      <c r="J6024" s="3">
        <v>0.12022438078351243</v>
      </c>
      <c r="K6024" s="3">
        <v>0.13665345817446284</v>
      </c>
      <c r="L6024" t="s">
        <v>54</v>
      </c>
    </row>
    <row r="6025" spans="1:12" x14ac:dyDescent="0.25">
      <c r="A6025" t="s">
        <v>487</v>
      </c>
      <c r="B6025" t="s">
        <v>467</v>
      </c>
      <c r="C6025" t="s">
        <v>468</v>
      </c>
      <c r="D6025" t="s">
        <v>164</v>
      </c>
      <c r="E6025" t="s">
        <v>166</v>
      </c>
      <c r="F6025">
        <v>1</v>
      </c>
      <c r="G6025" t="s">
        <v>499</v>
      </c>
      <c r="H6025" s="4">
        <v>16359868</v>
      </c>
      <c r="I6025" s="4">
        <v>17310718</v>
      </c>
      <c r="J6025" s="3">
        <v>0.05812088459393438</v>
      </c>
      <c r="K6025" s="3">
        <v>-0.05492839753960523</v>
      </c>
      <c r="L6025" t="s">
        <v>54</v>
      </c>
    </row>
    <row r="6026" spans="1:12" x14ac:dyDescent="0.25">
      <c r="A6026" t="s">
        <v>487</v>
      </c>
      <c r="B6026" t="s">
        <v>467</v>
      </c>
      <c r="C6026" t="s">
        <v>468</v>
      </c>
      <c r="D6026" t="s">
        <v>164</v>
      </c>
      <c r="E6026" t="s">
        <v>168</v>
      </c>
      <c r="F6026">
        <v>2</v>
      </c>
      <c r="G6026" t="s">
        <v>488</v>
      </c>
      <c r="H6026" s="4">
        <v>17714210</v>
      </c>
      <c r="I6026" s="4">
        <v>20747327.66213724</v>
      </c>
      <c r="J6026" s="3">
        <v>0.17122511600219487</v>
      </c>
      <c r="K6026" s="3">
        <v>-0.14619317299704662</v>
      </c>
      <c r="L6026" t="s">
        <v>54</v>
      </c>
    </row>
    <row r="6027" spans="1:12" x14ac:dyDescent="0.25">
      <c r="A6027" t="s">
        <v>487</v>
      </c>
      <c r="B6027" t="s">
        <v>467</v>
      </c>
      <c r="C6027" t="s">
        <v>468</v>
      </c>
      <c r="D6027" t="s">
        <v>164</v>
      </c>
      <c r="E6027" t="s">
        <v>168</v>
      </c>
      <c r="F6027">
        <v>2</v>
      </c>
      <c r="G6027" t="s">
        <v>498</v>
      </c>
      <c r="H6027" s="4">
        <v>17714210</v>
      </c>
      <c r="I6027" s="4">
        <v>18207010</v>
      </c>
      <c r="J6027" s="3">
        <v>0.027819473744524877</v>
      </c>
      <c r="K6027" s="3">
        <v>-0.02706649801367715</v>
      </c>
      <c r="L6027" t="s">
        <v>54</v>
      </c>
    </row>
    <row r="6028" spans="1:12" x14ac:dyDescent="0.25">
      <c r="A6028" t="s">
        <v>487</v>
      </c>
      <c r="B6028" t="s">
        <v>467</v>
      </c>
      <c r="C6028" t="s">
        <v>468</v>
      </c>
      <c r="D6028" t="s">
        <v>164</v>
      </c>
      <c r="E6028" t="s">
        <v>168</v>
      </c>
      <c r="F6028">
        <v>2</v>
      </c>
      <c r="G6028" t="s">
        <v>499</v>
      </c>
      <c r="H6028" s="4">
        <v>17714210</v>
      </c>
      <c r="I6028" s="4">
        <v>17310718</v>
      </c>
      <c r="J6028" s="3">
        <v>0.022777871550580014</v>
      </c>
      <c r="K6028" s="3">
        <v>0.023308796319135926</v>
      </c>
      <c r="L6028" t="s">
        <v>54</v>
      </c>
    </row>
    <row r="6029" spans="1:12" x14ac:dyDescent="0.25">
      <c r="A6029" t="s">
        <v>487</v>
      </c>
      <c r="B6029" t="s">
        <v>467</v>
      </c>
      <c r="C6029" t="s">
        <v>468</v>
      </c>
      <c r="D6029" t="s">
        <v>164</v>
      </c>
      <c r="E6029" t="s">
        <v>170</v>
      </c>
      <c r="F6029">
        <v>3</v>
      </c>
      <c r="G6029" t="s">
        <v>488</v>
      </c>
      <c r="H6029" s="4">
        <v>14265248</v>
      </c>
      <c r="I6029" s="4">
        <v>13885100.673631454</v>
      </c>
      <c r="J6029" s="3">
        <v>0.02664849053928443</v>
      </c>
      <c r="K6029" s="3">
        <v>0.027378074909493896</v>
      </c>
      <c r="L6029" t="s">
        <v>54</v>
      </c>
    </row>
    <row r="6030" spans="1:12" x14ac:dyDescent="0.25">
      <c r="A6030" t="s">
        <v>487</v>
      </c>
      <c r="B6030" t="s">
        <v>467</v>
      </c>
      <c r="C6030" t="s">
        <v>468</v>
      </c>
      <c r="D6030" t="s">
        <v>164</v>
      </c>
      <c r="E6030" t="s">
        <v>170</v>
      </c>
      <c r="F6030">
        <v>3</v>
      </c>
      <c r="G6030" t="s">
        <v>498</v>
      </c>
      <c r="H6030" s="4">
        <v>14265248</v>
      </c>
      <c r="I6030" s="4">
        <v>12184999</v>
      </c>
      <c r="J6030" s="3">
        <v>0.1458263466572751</v>
      </c>
      <c r="K6030" s="3">
        <v>0.17072213136825043</v>
      </c>
      <c r="L6030" t="s">
        <v>54</v>
      </c>
    </row>
    <row r="6031" spans="1:12" x14ac:dyDescent="0.25">
      <c r="A6031" t="s">
        <v>487</v>
      </c>
      <c r="B6031" t="s">
        <v>467</v>
      </c>
      <c r="C6031" t="s">
        <v>468</v>
      </c>
      <c r="D6031" t="s">
        <v>164</v>
      </c>
      <c r="E6031" t="s">
        <v>170</v>
      </c>
      <c r="F6031">
        <v>3</v>
      </c>
      <c r="G6031" t="s">
        <v>499</v>
      </c>
      <c r="H6031" s="4">
        <v>14265248</v>
      </c>
      <c r="I6031" s="4">
        <v>17310718</v>
      </c>
      <c r="J6031" s="3">
        <v>0.21348875252641944</v>
      </c>
      <c r="K6031" s="3">
        <v>-0.17592973324387814</v>
      </c>
      <c r="L6031" t="s">
        <v>54</v>
      </c>
    </row>
    <row r="6032" spans="1:12" x14ac:dyDescent="0.25">
      <c r="A6032" t="s">
        <v>487</v>
      </c>
      <c r="B6032" t="s">
        <v>467</v>
      </c>
      <c r="C6032" t="s">
        <v>468</v>
      </c>
      <c r="D6032" t="s">
        <v>166</v>
      </c>
      <c r="E6032" t="s">
        <v>168</v>
      </c>
      <c r="F6032">
        <v>1</v>
      </c>
      <c r="G6032" t="s">
        <v>488</v>
      </c>
      <c r="H6032" s="4">
        <v>17714210</v>
      </c>
      <c r="I6032" s="4">
        <v>21091939.72733975</v>
      </c>
      <c r="J6032" s="3">
        <v>0.19067910605890684</v>
      </c>
      <c r="K6032" s="3">
        <v>-0.1601431528348943</v>
      </c>
      <c r="L6032" t="s">
        <v>54</v>
      </c>
    </row>
    <row r="6033" spans="1:12" x14ac:dyDescent="0.25">
      <c r="A6033" t="s">
        <v>487</v>
      </c>
      <c r="B6033" t="s">
        <v>467</v>
      </c>
      <c r="C6033" t="s">
        <v>468</v>
      </c>
      <c r="D6033" t="s">
        <v>166</v>
      </c>
      <c r="E6033" t="s">
        <v>168</v>
      </c>
      <c r="F6033">
        <v>1</v>
      </c>
      <c r="G6033" t="s">
        <v>498</v>
      </c>
      <c r="H6033" s="4">
        <v>17714210</v>
      </c>
      <c r="I6033" s="4">
        <v>18207010</v>
      </c>
      <c r="J6033" s="3">
        <v>0.027819473744524877</v>
      </c>
      <c r="K6033" s="3">
        <v>-0.02706649801367715</v>
      </c>
      <c r="L6033" t="s">
        <v>54</v>
      </c>
    </row>
    <row r="6034" spans="1:12" x14ac:dyDescent="0.25">
      <c r="A6034" t="s">
        <v>487</v>
      </c>
      <c r="B6034" t="s">
        <v>467</v>
      </c>
      <c r="C6034" t="s">
        <v>468</v>
      </c>
      <c r="D6034" t="s">
        <v>166</v>
      </c>
      <c r="E6034" t="s">
        <v>168</v>
      </c>
      <c r="F6034">
        <v>1</v>
      </c>
      <c r="G6034" t="s">
        <v>499</v>
      </c>
      <c r="H6034" s="4">
        <v>17714210</v>
      </c>
      <c r="I6034" s="4">
        <v>16359868</v>
      </c>
      <c r="J6034" s="3">
        <v>0.07645511710654893</v>
      </c>
      <c r="K6034" s="3">
        <v>0.08278440877395832</v>
      </c>
      <c r="L6034" t="s">
        <v>54</v>
      </c>
    </row>
    <row r="6035" spans="1:12" x14ac:dyDescent="0.25">
      <c r="A6035" t="s">
        <v>487</v>
      </c>
      <c r="B6035" t="s">
        <v>467</v>
      </c>
      <c r="C6035" t="s">
        <v>468</v>
      </c>
      <c r="D6035" t="s">
        <v>166</v>
      </c>
      <c r="E6035" t="s">
        <v>170</v>
      </c>
      <c r="F6035">
        <v>2</v>
      </c>
      <c r="G6035" t="s">
        <v>488</v>
      </c>
      <c r="H6035" s="4">
        <v>14265248</v>
      </c>
      <c r="I6035" s="4">
        <v>14115731.494940417</v>
      </c>
      <c r="J6035" s="3">
        <v>0.010481171099134282</v>
      </c>
      <c r="K6035" s="3">
        <v>0.010592189651182807</v>
      </c>
      <c r="L6035" t="s">
        <v>54</v>
      </c>
    </row>
    <row r="6036" spans="1:12" x14ac:dyDescent="0.25">
      <c r="A6036" t="s">
        <v>487</v>
      </c>
      <c r="B6036" t="s">
        <v>467</v>
      </c>
      <c r="C6036" t="s">
        <v>468</v>
      </c>
      <c r="D6036" t="s">
        <v>166</v>
      </c>
      <c r="E6036" t="s">
        <v>170</v>
      </c>
      <c r="F6036">
        <v>2</v>
      </c>
      <c r="G6036" t="s">
        <v>498</v>
      </c>
      <c r="H6036" s="4">
        <v>14265248</v>
      </c>
      <c r="I6036" s="4">
        <v>12184999</v>
      </c>
      <c r="J6036" s="3">
        <v>0.1458263466572751</v>
      </c>
      <c r="K6036" s="3">
        <v>0.17072213136825043</v>
      </c>
      <c r="L6036" t="s">
        <v>54</v>
      </c>
    </row>
    <row r="6037" spans="1:12" x14ac:dyDescent="0.25">
      <c r="A6037" t="s">
        <v>487</v>
      </c>
      <c r="B6037" t="s">
        <v>467</v>
      </c>
      <c r="C6037" t="s">
        <v>468</v>
      </c>
      <c r="D6037" t="s">
        <v>166</v>
      </c>
      <c r="E6037" t="s">
        <v>170</v>
      </c>
      <c r="F6037">
        <v>2</v>
      </c>
      <c r="G6037" t="s">
        <v>499</v>
      </c>
      <c r="H6037" s="4">
        <v>14265248</v>
      </c>
      <c r="I6037" s="4">
        <v>16359868</v>
      </c>
      <c r="J6037" s="3">
        <v>0.14683375991780864</v>
      </c>
      <c r="K6037" s="3">
        <v>-0.1280340403724529</v>
      </c>
      <c r="L6037" t="s">
        <v>54</v>
      </c>
    </row>
    <row r="6038" spans="1:12" x14ac:dyDescent="0.25">
      <c r="A6038" t="s">
        <v>487</v>
      </c>
      <c r="B6038" t="s">
        <v>467</v>
      </c>
      <c r="C6038" t="s">
        <v>468</v>
      </c>
      <c r="D6038" t="s">
        <v>166</v>
      </c>
      <c r="E6038" t="s">
        <v>172</v>
      </c>
      <c r="F6038">
        <v>3</v>
      </c>
      <c r="G6038" t="s">
        <v>488</v>
      </c>
      <c r="H6038" s="4">
        <v>10464125</v>
      </c>
      <c r="I6038" s="4">
        <v>12369039.036048606</v>
      </c>
      <c r="J6038" s="3">
        <v>0.18204236245731067</v>
      </c>
      <c r="K6038" s="3">
        <v>-0.15400663143651513</v>
      </c>
      <c r="L6038" t="s">
        <v>54</v>
      </c>
    </row>
    <row r="6039" spans="1:12" x14ac:dyDescent="0.25">
      <c r="A6039" t="s">
        <v>487</v>
      </c>
      <c r="B6039" t="s">
        <v>467</v>
      </c>
      <c r="C6039" t="s">
        <v>468</v>
      </c>
      <c r="D6039" t="s">
        <v>166</v>
      </c>
      <c r="E6039" t="s">
        <v>172</v>
      </c>
      <c r="F6039">
        <v>3</v>
      </c>
      <c r="G6039" t="s">
        <v>498</v>
      </c>
      <c r="H6039" s="4">
        <v>10464125</v>
      </c>
      <c r="I6039" s="4">
        <v>10677217</v>
      </c>
      <c r="J6039" s="3">
        <v>0.020364053372833372</v>
      </c>
      <c r="K6039" s="3">
        <v>-0.019957635027929094</v>
      </c>
      <c r="L6039" t="s">
        <v>54</v>
      </c>
    </row>
    <row r="6040" spans="1:12" x14ac:dyDescent="0.25">
      <c r="A6040" t="s">
        <v>487</v>
      </c>
      <c r="B6040" t="s">
        <v>467</v>
      </c>
      <c r="C6040" t="s">
        <v>468</v>
      </c>
      <c r="D6040" t="s">
        <v>166</v>
      </c>
      <c r="E6040" t="s">
        <v>172</v>
      </c>
      <c r="F6040">
        <v>3</v>
      </c>
      <c r="G6040" t="s">
        <v>499</v>
      </c>
      <c r="H6040" s="4">
        <v>10464125</v>
      </c>
      <c r="I6040" s="4">
        <v>16359868</v>
      </c>
      <c r="J6040" s="3">
        <v>0.563424366585835</v>
      </c>
      <c r="K6040" s="3">
        <v>-0.36037839669611027</v>
      </c>
      <c r="L6040" t="s">
        <v>54</v>
      </c>
    </row>
    <row r="6041" spans="1:12" x14ac:dyDescent="0.25">
      <c r="A6041" t="s">
        <v>487</v>
      </c>
      <c r="B6041" t="s">
        <v>467</v>
      </c>
      <c r="C6041" t="s">
        <v>468</v>
      </c>
      <c r="D6041" t="s">
        <v>168</v>
      </c>
      <c r="E6041" t="s">
        <v>170</v>
      </c>
      <c r="F6041">
        <v>1</v>
      </c>
      <c r="G6041" t="s">
        <v>488</v>
      </c>
      <c r="H6041" s="4">
        <v>14265248</v>
      </c>
      <c r="I6041" s="4">
        <v>13949333.355199471</v>
      </c>
      <c r="J6041" s="3">
        <v>0.022145752026219864</v>
      </c>
      <c r="K6041" s="3">
        <v>0.02264729336924011</v>
      </c>
      <c r="L6041" t="s">
        <v>54</v>
      </c>
    </row>
    <row r="6042" spans="1:12" x14ac:dyDescent="0.25">
      <c r="A6042" t="s">
        <v>487</v>
      </c>
      <c r="B6042" t="s">
        <v>467</v>
      </c>
      <c r="C6042" t="s">
        <v>468</v>
      </c>
      <c r="D6042" t="s">
        <v>168</v>
      </c>
      <c r="E6042" t="s">
        <v>170</v>
      </c>
      <c r="F6042">
        <v>1</v>
      </c>
      <c r="G6042" t="s">
        <v>498</v>
      </c>
      <c r="H6042" s="4">
        <v>14265248</v>
      </c>
      <c r="I6042" s="4">
        <v>12184999</v>
      </c>
      <c r="J6042" s="3">
        <v>0.1458263466572751</v>
      </c>
      <c r="K6042" s="3">
        <v>0.17072213136825043</v>
      </c>
      <c r="L6042" t="s">
        <v>54</v>
      </c>
    </row>
    <row r="6043" spans="1:12" x14ac:dyDescent="0.25">
      <c r="A6043" t="s">
        <v>487</v>
      </c>
      <c r="B6043" t="s">
        <v>467</v>
      </c>
      <c r="C6043" t="s">
        <v>468</v>
      </c>
      <c r="D6043" t="s">
        <v>168</v>
      </c>
      <c r="E6043" t="s">
        <v>170</v>
      </c>
      <c r="F6043">
        <v>1</v>
      </c>
      <c r="G6043" t="s">
        <v>499</v>
      </c>
      <c r="H6043" s="4">
        <v>14265248</v>
      </c>
      <c r="I6043" s="4">
        <v>17714210</v>
      </c>
      <c r="J6043" s="3">
        <v>0.2417737146946201</v>
      </c>
      <c r="K6043" s="3">
        <v>-0.1947002999287013</v>
      </c>
      <c r="L6043" t="s">
        <v>54</v>
      </c>
    </row>
    <row r="6044" spans="1:12" x14ac:dyDescent="0.25">
      <c r="A6044" t="s">
        <v>487</v>
      </c>
      <c r="B6044" t="s">
        <v>467</v>
      </c>
      <c r="C6044" t="s">
        <v>468</v>
      </c>
      <c r="D6044" t="s">
        <v>168</v>
      </c>
      <c r="E6044" t="s">
        <v>172</v>
      </c>
      <c r="F6044">
        <v>2</v>
      </c>
      <c r="G6044" t="s">
        <v>488</v>
      </c>
      <c r="H6044" s="4">
        <v>10464125</v>
      </c>
      <c r="I6044" s="4">
        <v>12223231.141734425</v>
      </c>
      <c r="J6044" s="3">
        <v>0.1681082882452594</v>
      </c>
      <c r="K6044" s="3">
        <v>-0.143914986253366</v>
      </c>
      <c r="L6044" t="s">
        <v>54</v>
      </c>
    </row>
    <row r="6045" spans="1:12" x14ac:dyDescent="0.25">
      <c r="A6045" t="s">
        <v>487</v>
      </c>
      <c r="B6045" t="s">
        <v>467</v>
      </c>
      <c r="C6045" t="s">
        <v>468</v>
      </c>
      <c r="D6045" t="s">
        <v>168</v>
      </c>
      <c r="E6045" t="s">
        <v>172</v>
      </c>
      <c r="F6045">
        <v>2</v>
      </c>
      <c r="G6045" t="s">
        <v>498</v>
      </c>
      <c r="H6045" s="4">
        <v>10464125</v>
      </c>
      <c r="I6045" s="4">
        <v>10677217</v>
      </c>
      <c r="J6045" s="3">
        <v>0.020364053372833372</v>
      </c>
      <c r="K6045" s="3">
        <v>-0.019957635027929094</v>
      </c>
      <c r="L6045" t="s">
        <v>54</v>
      </c>
    </row>
    <row r="6046" spans="1:12" x14ac:dyDescent="0.25">
      <c r="A6046" t="s">
        <v>487</v>
      </c>
      <c r="B6046" t="s">
        <v>467</v>
      </c>
      <c r="C6046" t="s">
        <v>468</v>
      </c>
      <c r="D6046" t="s">
        <v>168</v>
      </c>
      <c r="E6046" t="s">
        <v>172</v>
      </c>
      <c r="F6046">
        <v>2</v>
      </c>
      <c r="G6046" t="s">
        <v>499</v>
      </c>
      <c r="H6046" s="4">
        <v>10464125</v>
      </c>
      <c r="I6046" s="4">
        <v>17714210</v>
      </c>
      <c r="J6046" s="3">
        <v>0.6928515284364436</v>
      </c>
      <c r="K6046" s="3">
        <v>-0.4092807412805877</v>
      </c>
      <c r="L6046" t="s">
        <v>54</v>
      </c>
    </row>
    <row r="6047" spans="1:12" x14ac:dyDescent="0.25">
      <c r="A6047" t="s">
        <v>487</v>
      </c>
      <c r="B6047" t="s">
        <v>467</v>
      </c>
      <c r="C6047" t="s">
        <v>468</v>
      </c>
      <c r="D6047" t="s">
        <v>168</v>
      </c>
      <c r="E6047" t="s">
        <v>174</v>
      </c>
      <c r="F6047">
        <v>3</v>
      </c>
      <c r="G6047" t="s">
        <v>488</v>
      </c>
      <c r="H6047" s="4">
        <v>13596935</v>
      </c>
      <c r="I6047" s="4">
        <v>13383821.496112062</v>
      </c>
      <c r="J6047" s="3">
        <v>0.01567364291201939</v>
      </c>
      <c r="K6047" s="3">
        <v>0.015923217740900594</v>
      </c>
      <c r="L6047" t="s">
        <v>54</v>
      </c>
    </row>
    <row r="6048" spans="1:12" x14ac:dyDescent="0.25">
      <c r="A6048" t="s">
        <v>487</v>
      </c>
      <c r="B6048" t="s">
        <v>467</v>
      </c>
      <c r="C6048" t="s">
        <v>468</v>
      </c>
      <c r="D6048" t="s">
        <v>168</v>
      </c>
      <c r="E6048" t="s">
        <v>174</v>
      </c>
      <c r="F6048">
        <v>3</v>
      </c>
      <c r="G6048" t="s">
        <v>498</v>
      </c>
      <c r="H6048" s="4">
        <v>13596935</v>
      </c>
      <c r="I6048" s="4">
        <v>11691014</v>
      </c>
      <c r="J6048" s="3">
        <v>0.14017284042322772</v>
      </c>
      <c r="K6048" s="3">
        <v>0.16302443911195386</v>
      </c>
      <c r="L6048" t="s">
        <v>54</v>
      </c>
    </row>
    <row r="6049" spans="1:12" x14ac:dyDescent="0.25">
      <c r="A6049" t="s">
        <v>487</v>
      </c>
      <c r="B6049" t="s">
        <v>467</v>
      </c>
      <c r="C6049" t="s">
        <v>468</v>
      </c>
      <c r="D6049" t="s">
        <v>168</v>
      </c>
      <c r="E6049" t="s">
        <v>174</v>
      </c>
      <c r="F6049">
        <v>3</v>
      </c>
      <c r="G6049" t="s">
        <v>499</v>
      </c>
      <c r="H6049" s="4">
        <v>13596935</v>
      </c>
      <c r="I6049" s="4">
        <v>17714210</v>
      </c>
      <c r="J6049" s="3">
        <v>0.30280905218712895</v>
      </c>
      <c r="K6049" s="3">
        <v>-0.23242780795756626</v>
      </c>
      <c r="L6049" t="s">
        <v>54</v>
      </c>
    </row>
    <row r="6050" spans="1:12" x14ac:dyDescent="0.25">
      <c r="A6050" t="s">
        <v>487</v>
      </c>
      <c r="B6050" t="s">
        <v>467</v>
      </c>
      <c r="C6050" t="s">
        <v>468</v>
      </c>
      <c r="D6050" t="s">
        <v>170</v>
      </c>
      <c r="E6050" t="s">
        <v>172</v>
      </c>
      <c r="F6050">
        <v>1</v>
      </c>
      <c r="G6050" t="s">
        <v>488</v>
      </c>
      <c r="H6050" s="4">
        <v>10464125</v>
      </c>
      <c r="I6050" s="4">
        <v>12417545.749505706</v>
      </c>
      <c r="J6050" s="3">
        <v>0.18667788749711095</v>
      </c>
      <c r="K6050" s="3">
        <v>-0.15731133904487238</v>
      </c>
      <c r="L6050" t="s">
        <v>54</v>
      </c>
    </row>
    <row r="6051" spans="1:12" x14ac:dyDescent="0.25">
      <c r="A6051" t="s">
        <v>487</v>
      </c>
      <c r="B6051" t="s">
        <v>467</v>
      </c>
      <c r="C6051" t="s">
        <v>468</v>
      </c>
      <c r="D6051" t="s">
        <v>170</v>
      </c>
      <c r="E6051" t="s">
        <v>172</v>
      </c>
      <c r="F6051">
        <v>1</v>
      </c>
      <c r="G6051" t="s">
        <v>498</v>
      </c>
      <c r="H6051" s="4">
        <v>10464125</v>
      </c>
      <c r="I6051" s="4">
        <v>10677217</v>
      </c>
      <c r="J6051" s="3">
        <v>0.020364053372833372</v>
      </c>
      <c r="K6051" s="3">
        <v>-0.019957635027929094</v>
      </c>
      <c r="L6051" t="s">
        <v>54</v>
      </c>
    </row>
    <row r="6052" spans="1:12" x14ac:dyDescent="0.25">
      <c r="A6052" t="s">
        <v>487</v>
      </c>
      <c r="B6052" t="s">
        <v>467</v>
      </c>
      <c r="C6052" t="s">
        <v>468</v>
      </c>
      <c r="D6052" t="s">
        <v>170</v>
      </c>
      <c r="E6052" t="s">
        <v>172</v>
      </c>
      <c r="F6052">
        <v>1</v>
      </c>
      <c r="G6052" t="s">
        <v>499</v>
      </c>
      <c r="H6052" s="4">
        <v>10464125</v>
      </c>
      <c r="I6052" s="4">
        <v>14265248</v>
      </c>
      <c r="J6052" s="3">
        <v>0.36325282811510756</v>
      </c>
      <c r="K6052" s="3">
        <v>-0.2664603517583431</v>
      </c>
      <c r="L6052" t="s">
        <v>54</v>
      </c>
    </row>
    <row r="6053" spans="1:12" x14ac:dyDescent="0.25">
      <c r="A6053" t="s">
        <v>487</v>
      </c>
      <c r="B6053" t="s">
        <v>467</v>
      </c>
      <c r="C6053" t="s">
        <v>468</v>
      </c>
      <c r="D6053" t="s">
        <v>170</v>
      </c>
      <c r="E6053" t="s">
        <v>174</v>
      </c>
      <c r="F6053">
        <v>2</v>
      </c>
      <c r="G6053" t="s">
        <v>488</v>
      </c>
      <c r="H6053" s="4">
        <v>13596935</v>
      </c>
      <c r="I6053" s="4">
        <v>13596586.18937048</v>
      </c>
      <c r="J6053" s="3">
        <v>0.00002565362190233058</v>
      </c>
      <c r="K6053" s="3">
        <v>0.000025654280027530585</v>
      </c>
      <c r="L6053" t="s">
        <v>54</v>
      </c>
    </row>
    <row r="6054" spans="1:12" x14ac:dyDescent="0.25">
      <c r="A6054" t="s">
        <v>487</v>
      </c>
      <c r="B6054" t="s">
        <v>467</v>
      </c>
      <c r="C6054" t="s">
        <v>468</v>
      </c>
      <c r="D6054" t="s">
        <v>170</v>
      </c>
      <c r="E6054" t="s">
        <v>174</v>
      </c>
      <c r="F6054">
        <v>2</v>
      </c>
      <c r="G6054" t="s">
        <v>498</v>
      </c>
      <c r="H6054" s="4">
        <v>13596935</v>
      </c>
      <c r="I6054" s="4">
        <v>11691014</v>
      </c>
      <c r="J6054" s="3">
        <v>0.14017284042322772</v>
      </c>
      <c r="K6054" s="3">
        <v>0.16302443911195386</v>
      </c>
      <c r="L6054" t="s">
        <v>54</v>
      </c>
    </row>
    <row r="6055" spans="1:12" x14ac:dyDescent="0.25">
      <c r="A6055" t="s">
        <v>487</v>
      </c>
      <c r="B6055" t="s">
        <v>467</v>
      </c>
      <c r="C6055" t="s">
        <v>468</v>
      </c>
      <c r="D6055" t="s">
        <v>170</v>
      </c>
      <c r="E6055" t="s">
        <v>174</v>
      </c>
      <c r="F6055">
        <v>2</v>
      </c>
      <c r="G6055" t="s">
        <v>499</v>
      </c>
      <c r="H6055" s="4">
        <v>13596935</v>
      </c>
      <c r="I6055" s="4">
        <v>14265248</v>
      </c>
      <c r="J6055" s="3">
        <v>0.04915173897646786</v>
      </c>
      <c r="K6055" s="3">
        <v>-0.046849027791174745</v>
      </c>
      <c r="L6055" t="s">
        <v>54</v>
      </c>
    </row>
    <row r="6056" spans="1:12" x14ac:dyDescent="0.25">
      <c r="A6056" t="s">
        <v>487</v>
      </c>
      <c r="B6056" t="s">
        <v>467</v>
      </c>
      <c r="C6056" t="s">
        <v>468</v>
      </c>
      <c r="D6056" t="s">
        <v>170</v>
      </c>
      <c r="E6056" t="s">
        <v>176</v>
      </c>
      <c r="F6056">
        <v>3</v>
      </c>
      <c r="G6056" t="s">
        <v>488</v>
      </c>
      <c r="H6056" s="4">
        <v>15902065</v>
      </c>
      <c r="I6056" s="4">
        <v>19130748.344038837</v>
      </c>
      <c r="J6056" s="3">
        <v>0.20303547646414705</v>
      </c>
      <c r="K6056" s="3">
        <v>-0.1687693176438076</v>
      </c>
      <c r="L6056" t="s">
        <v>54</v>
      </c>
    </row>
    <row r="6057" spans="1:12" x14ac:dyDescent="0.25">
      <c r="A6057" t="s">
        <v>487</v>
      </c>
      <c r="B6057" t="s">
        <v>467</v>
      </c>
      <c r="C6057" t="s">
        <v>468</v>
      </c>
      <c r="D6057" t="s">
        <v>170</v>
      </c>
      <c r="E6057" t="s">
        <v>176</v>
      </c>
      <c r="F6057">
        <v>3</v>
      </c>
      <c r="G6057" t="s">
        <v>498</v>
      </c>
      <c r="H6057" s="4">
        <v>15902065</v>
      </c>
      <c r="I6057" s="4">
        <v>16449559</v>
      </c>
      <c r="J6057" s="3">
        <v>0.03442911345161776</v>
      </c>
      <c r="K6057" s="3">
        <v>-0.033283202303478164</v>
      </c>
      <c r="L6057" t="s">
        <v>54</v>
      </c>
    </row>
    <row r="6058" spans="1:12" x14ac:dyDescent="0.25">
      <c r="A6058" t="s">
        <v>487</v>
      </c>
      <c r="B6058" t="s">
        <v>467</v>
      </c>
      <c r="C6058" t="s">
        <v>468</v>
      </c>
      <c r="D6058" t="s">
        <v>170</v>
      </c>
      <c r="E6058" t="s">
        <v>176</v>
      </c>
      <c r="F6058">
        <v>3</v>
      </c>
      <c r="G6058" t="s">
        <v>499</v>
      </c>
      <c r="H6058" s="4">
        <v>15902065</v>
      </c>
      <c r="I6058" s="4">
        <v>14265248</v>
      </c>
      <c r="J6058" s="3">
        <v>0.10293109731346212</v>
      </c>
      <c r="K6058" s="3">
        <v>0.11474157336766946</v>
      </c>
      <c r="L6058" t="s">
        <v>54</v>
      </c>
    </row>
    <row r="6059" spans="1:12" x14ac:dyDescent="0.25">
      <c r="A6059" t="s">
        <v>487</v>
      </c>
      <c r="B6059" t="s">
        <v>467</v>
      </c>
      <c r="C6059" t="s">
        <v>468</v>
      </c>
      <c r="D6059" t="s">
        <v>172</v>
      </c>
      <c r="E6059" t="s">
        <v>174</v>
      </c>
      <c r="F6059">
        <v>1</v>
      </c>
      <c r="G6059" t="s">
        <v>488</v>
      </c>
      <c r="H6059" s="4">
        <v>13596935</v>
      </c>
      <c r="I6059" s="4">
        <v>13214591.979192426</v>
      </c>
      <c r="J6059" s="3">
        <v>0.02811979470428987</v>
      </c>
      <c r="K6059" s="3">
        <v>0.028933395855854447</v>
      </c>
      <c r="L6059" t="s">
        <v>54</v>
      </c>
    </row>
    <row r="6060" spans="1:12" x14ac:dyDescent="0.25">
      <c r="A6060" t="s">
        <v>487</v>
      </c>
      <c r="B6060" t="s">
        <v>467</v>
      </c>
      <c r="C6060" t="s">
        <v>468</v>
      </c>
      <c r="D6060" t="s">
        <v>172</v>
      </c>
      <c r="E6060" t="s">
        <v>174</v>
      </c>
      <c r="F6060">
        <v>1</v>
      </c>
      <c r="G6060" t="s">
        <v>498</v>
      </c>
      <c r="H6060" s="4">
        <v>13596935</v>
      </c>
      <c r="I6060" s="4">
        <v>11691014</v>
      </c>
      <c r="J6060" s="3">
        <v>0.14017284042322772</v>
      </c>
      <c r="K6060" s="3">
        <v>0.16302443911195386</v>
      </c>
      <c r="L6060" t="s">
        <v>54</v>
      </c>
    </row>
    <row r="6061" spans="1:12" x14ac:dyDescent="0.25">
      <c r="A6061" t="s">
        <v>487</v>
      </c>
      <c r="B6061" t="s">
        <v>467</v>
      </c>
      <c r="C6061" t="s">
        <v>468</v>
      </c>
      <c r="D6061" t="s">
        <v>172</v>
      </c>
      <c r="E6061" t="s">
        <v>174</v>
      </c>
      <c r="F6061">
        <v>1</v>
      </c>
      <c r="G6061" t="s">
        <v>499</v>
      </c>
      <c r="H6061" s="4">
        <v>13596935</v>
      </c>
      <c r="I6061" s="4">
        <v>10464125</v>
      </c>
      <c r="J6061" s="3">
        <v>0.2304056024390791</v>
      </c>
      <c r="K6061" s="3">
        <v>0.29938575848434534</v>
      </c>
      <c r="L6061" t="s">
        <v>54</v>
      </c>
    </row>
    <row r="6062" spans="1:12" x14ac:dyDescent="0.25">
      <c r="A6062" t="s">
        <v>487</v>
      </c>
      <c r="B6062" t="s">
        <v>467</v>
      </c>
      <c r="C6062" t="s">
        <v>468</v>
      </c>
      <c r="D6062" t="s">
        <v>172</v>
      </c>
      <c r="E6062" t="s">
        <v>176</v>
      </c>
      <c r="F6062">
        <v>2</v>
      </c>
      <c r="G6062" t="s">
        <v>488</v>
      </c>
      <c r="H6062" s="4">
        <v>15902065</v>
      </c>
      <c r="I6062" s="4">
        <v>18593272.61285057</v>
      </c>
      <c r="J6062" s="3">
        <v>0.1692363609915171</v>
      </c>
      <c r="K6062" s="3">
        <v>-0.14474093231928228</v>
      </c>
      <c r="L6062" t="s">
        <v>54</v>
      </c>
    </row>
    <row r="6063" spans="1:12" x14ac:dyDescent="0.25">
      <c r="A6063" t="s">
        <v>487</v>
      </c>
      <c r="B6063" t="s">
        <v>467</v>
      </c>
      <c r="C6063" t="s">
        <v>468</v>
      </c>
      <c r="D6063" t="s">
        <v>172</v>
      </c>
      <c r="E6063" t="s">
        <v>176</v>
      </c>
      <c r="F6063">
        <v>2</v>
      </c>
      <c r="G6063" t="s">
        <v>498</v>
      </c>
      <c r="H6063" s="4">
        <v>15902065</v>
      </c>
      <c r="I6063" s="4">
        <v>16449559</v>
      </c>
      <c r="J6063" s="3">
        <v>0.03442911345161776</v>
      </c>
      <c r="K6063" s="3">
        <v>-0.033283202303478164</v>
      </c>
      <c r="L6063" t="s">
        <v>54</v>
      </c>
    </row>
    <row r="6064" spans="1:12" x14ac:dyDescent="0.25">
      <c r="A6064" t="s">
        <v>487</v>
      </c>
      <c r="B6064" t="s">
        <v>467</v>
      </c>
      <c r="C6064" t="s">
        <v>468</v>
      </c>
      <c r="D6064" t="s">
        <v>172</v>
      </c>
      <c r="E6064" t="s">
        <v>176</v>
      </c>
      <c r="F6064">
        <v>2</v>
      </c>
      <c r="G6064" t="s">
        <v>499</v>
      </c>
      <c r="H6064" s="4">
        <v>15902065</v>
      </c>
      <c r="I6064" s="4">
        <v>10464125</v>
      </c>
      <c r="J6064" s="3">
        <v>0.34196439267478784</v>
      </c>
      <c r="K6064" s="3">
        <v>0.5196746025109601</v>
      </c>
      <c r="L6064" t="s">
        <v>54</v>
      </c>
    </row>
    <row r="6065" spans="1:12" x14ac:dyDescent="0.25">
      <c r="A6065" t="s">
        <v>487</v>
      </c>
      <c r="B6065" t="s">
        <v>467</v>
      </c>
      <c r="C6065" t="s">
        <v>468</v>
      </c>
      <c r="D6065" t="s">
        <v>172</v>
      </c>
      <c r="E6065" t="s">
        <v>178</v>
      </c>
      <c r="F6065">
        <v>3</v>
      </c>
      <c r="G6065" t="s">
        <v>488</v>
      </c>
      <c r="H6065" s="4">
        <v>15180574</v>
      </c>
      <c r="I6065" s="4">
        <v>17733747.569054592</v>
      </c>
      <c r="J6065" s="3">
        <v>0.1681868926072619</v>
      </c>
      <c r="K6065" s="3">
        <v>-0.14397259006381047</v>
      </c>
      <c r="L6065" t="s">
        <v>54</v>
      </c>
    </row>
    <row r="6066" spans="1:12" x14ac:dyDescent="0.25">
      <c r="A6066" t="s">
        <v>487</v>
      </c>
      <c r="B6066" t="s">
        <v>467</v>
      </c>
      <c r="C6066" t="s">
        <v>468</v>
      </c>
      <c r="D6066" t="s">
        <v>172</v>
      </c>
      <c r="E6066" t="s">
        <v>178</v>
      </c>
      <c r="F6066">
        <v>3</v>
      </c>
      <c r="G6066" t="s">
        <v>498</v>
      </c>
      <c r="H6066" s="4">
        <v>15180574</v>
      </c>
      <c r="I6066" s="4">
        <v>15689133</v>
      </c>
      <c r="J6066" s="3">
        <v>0.03350064365155099</v>
      </c>
      <c r="K6066" s="3">
        <v>-0.03241472935438816</v>
      </c>
      <c r="L6066" t="s">
        <v>54</v>
      </c>
    </row>
    <row r="6067" spans="1:12" x14ac:dyDescent="0.25">
      <c r="A6067" t="s">
        <v>487</v>
      </c>
      <c r="B6067" t="s">
        <v>467</v>
      </c>
      <c r="C6067" t="s">
        <v>468</v>
      </c>
      <c r="D6067" t="s">
        <v>172</v>
      </c>
      <c r="E6067" t="s">
        <v>178</v>
      </c>
      <c r="F6067">
        <v>3</v>
      </c>
      <c r="G6067" t="s">
        <v>499</v>
      </c>
      <c r="H6067" s="4">
        <v>15180574</v>
      </c>
      <c r="I6067" s="4">
        <v>10464125</v>
      </c>
      <c r="J6067" s="3">
        <v>0.3106897670667789</v>
      </c>
      <c r="K6067" s="3">
        <v>0.45072559817471597</v>
      </c>
      <c r="L6067" t="s">
        <v>54</v>
      </c>
    </row>
    <row r="6068" spans="1:12" x14ac:dyDescent="0.25">
      <c r="A6068" t="s">
        <v>487</v>
      </c>
      <c r="B6068" t="s">
        <v>467</v>
      </c>
      <c r="C6068" t="s">
        <v>468</v>
      </c>
      <c r="D6068" t="s">
        <v>174</v>
      </c>
      <c r="E6068" t="s">
        <v>176</v>
      </c>
      <c r="F6068">
        <v>1</v>
      </c>
      <c r="G6068" t="s">
        <v>488</v>
      </c>
      <c r="H6068" s="4">
        <v>15902065</v>
      </c>
      <c r="I6068" s="4">
        <v>18327964.23417725</v>
      </c>
      <c r="J6068" s="3">
        <v>0.15255246624744964</v>
      </c>
      <c r="K6068" s="3">
        <v>-0.13236053951117666</v>
      </c>
      <c r="L6068" t="s">
        <v>54</v>
      </c>
    </row>
    <row r="6069" spans="1:12" x14ac:dyDescent="0.25">
      <c r="A6069" t="s">
        <v>487</v>
      </c>
      <c r="B6069" t="s">
        <v>467</v>
      </c>
      <c r="C6069" t="s">
        <v>468</v>
      </c>
      <c r="D6069" t="s">
        <v>174</v>
      </c>
      <c r="E6069" t="s">
        <v>176</v>
      </c>
      <c r="F6069">
        <v>1</v>
      </c>
      <c r="G6069" t="s">
        <v>498</v>
      </c>
      <c r="H6069" s="4">
        <v>15902065</v>
      </c>
      <c r="I6069" s="4">
        <v>16449559</v>
      </c>
      <c r="J6069" s="3">
        <v>0.03442911345161776</v>
      </c>
      <c r="K6069" s="3">
        <v>-0.033283202303478164</v>
      </c>
      <c r="L6069" t="s">
        <v>54</v>
      </c>
    </row>
    <row r="6070" spans="1:12" x14ac:dyDescent="0.25">
      <c r="A6070" t="s">
        <v>487</v>
      </c>
      <c r="B6070" t="s">
        <v>467</v>
      </c>
      <c r="C6070" t="s">
        <v>468</v>
      </c>
      <c r="D6070" t="s">
        <v>174</v>
      </c>
      <c r="E6070" t="s">
        <v>176</v>
      </c>
      <c r="F6070">
        <v>1</v>
      </c>
      <c r="G6070" t="s">
        <v>499</v>
      </c>
      <c r="H6070" s="4">
        <v>15902065</v>
      </c>
      <c r="I6070" s="4">
        <v>13596935</v>
      </c>
      <c r="J6070" s="3">
        <v>0.14495790326602237</v>
      </c>
      <c r="K6070" s="3">
        <v>0.16953306020805425</v>
      </c>
      <c r="L6070" t="s">
        <v>54</v>
      </c>
    </row>
    <row r="6071" spans="1:12" x14ac:dyDescent="0.25">
      <c r="A6071" t="s">
        <v>487</v>
      </c>
      <c r="B6071" t="s">
        <v>467</v>
      </c>
      <c r="C6071" t="s">
        <v>468</v>
      </c>
      <c r="D6071" t="s">
        <v>174</v>
      </c>
      <c r="E6071" t="s">
        <v>178</v>
      </c>
      <c r="F6071">
        <v>2</v>
      </c>
      <c r="G6071" t="s">
        <v>488</v>
      </c>
      <c r="H6071" s="4">
        <v>15180574</v>
      </c>
      <c r="I6071" s="4">
        <v>17480703.798153497</v>
      </c>
      <c r="J6071" s="3">
        <v>0.151517972782419</v>
      </c>
      <c r="K6071" s="3">
        <v>-0.13158107503637595</v>
      </c>
      <c r="L6071" t="s">
        <v>54</v>
      </c>
    </row>
    <row r="6072" spans="1:12" x14ac:dyDescent="0.25">
      <c r="A6072" t="s">
        <v>487</v>
      </c>
      <c r="B6072" t="s">
        <v>467</v>
      </c>
      <c r="C6072" t="s">
        <v>468</v>
      </c>
      <c r="D6072" t="s">
        <v>174</v>
      </c>
      <c r="E6072" t="s">
        <v>178</v>
      </c>
      <c r="F6072">
        <v>2</v>
      </c>
      <c r="G6072" t="s">
        <v>498</v>
      </c>
      <c r="H6072" s="4">
        <v>15180574</v>
      </c>
      <c r="I6072" s="4">
        <v>15689133</v>
      </c>
      <c r="J6072" s="3">
        <v>0.03350064365155099</v>
      </c>
      <c r="K6072" s="3">
        <v>-0.03241472935438816</v>
      </c>
      <c r="L6072" t="s">
        <v>54</v>
      </c>
    </row>
    <row r="6073" spans="1:12" x14ac:dyDescent="0.25">
      <c r="A6073" t="s">
        <v>487</v>
      </c>
      <c r="B6073" t="s">
        <v>467</v>
      </c>
      <c r="C6073" t="s">
        <v>468</v>
      </c>
      <c r="D6073" t="s">
        <v>174</v>
      </c>
      <c r="E6073" t="s">
        <v>178</v>
      </c>
      <c r="F6073">
        <v>2</v>
      </c>
      <c r="G6073" t="s">
        <v>499</v>
      </c>
      <c r="H6073" s="4">
        <v>15180574</v>
      </c>
      <c r="I6073" s="4">
        <v>13596935</v>
      </c>
      <c r="J6073" s="3">
        <v>0.10432010014904575</v>
      </c>
      <c r="K6073" s="3">
        <v>0.11647029275347716</v>
      </c>
      <c r="L6073" t="s">
        <v>54</v>
      </c>
    </row>
    <row r="6074" spans="1:12" x14ac:dyDescent="0.25">
      <c r="A6074" t="s">
        <v>487</v>
      </c>
      <c r="B6074" t="s">
        <v>467</v>
      </c>
      <c r="C6074" t="s">
        <v>468</v>
      </c>
      <c r="D6074" t="s">
        <v>174</v>
      </c>
      <c r="E6074" t="s">
        <v>180</v>
      </c>
      <c r="F6074">
        <v>3</v>
      </c>
      <c r="G6074" t="s">
        <v>488</v>
      </c>
      <c r="H6074" s="4">
        <v>10609442</v>
      </c>
      <c r="I6074" s="4">
        <v>15439074.2887419</v>
      </c>
      <c r="J6074" s="3">
        <v>0.4552201980784569</v>
      </c>
      <c r="K6074" s="3">
        <v>-0.31281877387322665</v>
      </c>
      <c r="L6074" t="s">
        <v>54</v>
      </c>
    </row>
    <row r="6075" spans="1:12" x14ac:dyDescent="0.25">
      <c r="A6075" t="s">
        <v>487</v>
      </c>
      <c r="B6075" t="s">
        <v>467</v>
      </c>
      <c r="C6075" t="s">
        <v>468</v>
      </c>
      <c r="D6075" t="s">
        <v>174</v>
      </c>
      <c r="E6075" t="s">
        <v>180</v>
      </c>
      <c r="F6075">
        <v>3</v>
      </c>
      <c r="G6075" t="s">
        <v>498</v>
      </c>
      <c r="H6075" s="4">
        <v>10609442</v>
      </c>
      <c r="I6075" s="4">
        <v>13856747</v>
      </c>
      <c r="J6075" s="3">
        <v>0.3060768888693675</v>
      </c>
      <c r="K6075" s="3">
        <v>-0.23434829256823408</v>
      </c>
      <c r="L6075" t="s">
        <v>54</v>
      </c>
    </row>
    <row r="6076" spans="1:12" x14ac:dyDescent="0.25">
      <c r="A6076" t="s">
        <v>487</v>
      </c>
      <c r="B6076" t="s">
        <v>467</v>
      </c>
      <c r="C6076" t="s">
        <v>468</v>
      </c>
      <c r="D6076" t="s">
        <v>174</v>
      </c>
      <c r="E6076" t="s">
        <v>180</v>
      </c>
      <c r="F6076">
        <v>3</v>
      </c>
      <c r="G6076" t="s">
        <v>499</v>
      </c>
      <c r="H6076" s="4">
        <v>10609442</v>
      </c>
      <c r="I6076" s="4">
        <v>13596935</v>
      </c>
      <c r="J6076" s="3">
        <v>0.28158813630349266</v>
      </c>
      <c r="K6076" s="3">
        <v>-0.219718120296964</v>
      </c>
      <c r="L6076" t="s">
        <v>54</v>
      </c>
    </row>
    <row r="6077" spans="1:12" x14ac:dyDescent="0.25">
      <c r="A6077" t="s">
        <v>487</v>
      </c>
      <c r="B6077" t="s">
        <v>467</v>
      </c>
      <c r="C6077" t="s">
        <v>468</v>
      </c>
      <c r="D6077" t="s">
        <v>176</v>
      </c>
      <c r="E6077" t="s">
        <v>178</v>
      </c>
      <c r="F6077">
        <v>1</v>
      </c>
      <c r="G6077" t="s">
        <v>488</v>
      </c>
      <c r="H6077" s="4">
        <v>15180574</v>
      </c>
      <c r="I6077" s="4">
        <v>17080830.58063372</v>
      </c>
      <c r="J6077" s="3">
        <v>0.12517685962557928</v>
      </c>
      <c r="K6077" s="3">
        <v>-0.11125083008482231</v>
      </c>
      <c r="L6077" t="s">
        <v>54</v>
      </c>
    </row>
    <row r="6078" spans="1:12" x14ac:dyDescent="0.25">
      <c r="A6078" t="s">
        <v>487</v>
      </c>
      <c r="B6078" t="s">
        <v>467</v>
      </c>
      <c r="C6078" t="s">
        <v>468</v>
      </c>
      <c r="D6078" t="s">
        <v>176</v>
      </c>
      <c r="E6078" t="s">
        <v>178</v>
      </c>
      <c r="F6078">
        <v>1</v>
      </c>
      <c r="G6078" t="s">
        <v>498</v>
      </c>
      <c r="H6078" s="4">
        <v>15180574</v>
      </c>
      <c r="I6078" s="4">
        <v>15689133</v>
      </c>
      <c r="J6078" s="3">
        <v>0.03350064365155099</v>
      </c>
      <c r="K6078" s="3">
        <v>-0.03241472935438816</v>
      </c>
      <c r="L6078" t="s">
        <v>54</v>
      </c>
    </row>
    <row r="6079" spans="1:12" x14ac:dyDescent="0.25">
      <c r="A6079" t="s">
        <v>487</v>
      </c>
      <c r="B6079" t="s">
        <v>467</v>
      </c>
      <c r="C6079" t="s">
        <v>468</v>
      </c>
      <c r="D6079" t="s">
        <v>176</v>
      </c>
      <c r="E6079" t="s">
        <v>178</v>
      </c>
      <c r="F6079">
        <v>1</v>
      </c>
      <c r="G6079" t="s">
        <v>499</v>
      </c>
      <c r="H6079" s="4">
        <v>15180574</v>
      </c>
      <c r="I6079" s="4">
        <v>15902065</v>
      </c>
      <c r="J6079" s="3">
        <v>0.047527254239530074</v>
      </c>
      <c r="K6079" s="3">
        <v>-0.04537089994286905</v>
      </c>
      <c r="L6079" t="s">
        <v>54</v>
      </c>
    </row>
    <row r="6080" spans="1:12" x14ac:dyDescent="0.25">
      <c r="A6080" t="s">
        <v>487</v>
      </c>
      <c r="B6080" t="s">
        <v>467</v>
      </c>
      <c r="C6080" t="s">
        <v>468</v>
      </c>
      <c r="D6080" t="s">
        <v>176</v>
      </c>
      <c r="E6080" t="s">
        <v>180</v>
      </c>
      <c r="F6080">
        <v>2</v>
      </c>
      <c r="G6080" t="s">
        <v>488</v>
      </c>
      <c r="H6080" s="4">
        <v>10609442</v>
      </c>
      <c r="I6080" s="4">
        <v>15085903.593634175</v>
      </c>
      <c r="J6080" s="3">
        <v>0.4219318597183693</v>
      </c>
      <c r="K6080" s="3">
        <v>-0.2967314198881077</v>
      </c>
      <c r="L6080" t="s">
        <v>54</v>
      </c>
    </row>
    <row r="6081" spans="1:12" x14ac:dyDescent="0.25">
      <c r="A6081" t="s">
        <v>487</v>
      </c>
      <c r="B6081" t="s">
        <v>467</v>
      </c>
      <c r="C6081" t="s">
        <v>468</v>
      </c>
      <c r="D6081" t="s">
        <v>176</v>
      </c>
      <c r="E6081" t="s">
        <v>180</v>
      </c>
      <c r="F6081">
        <v>2</v>
      </c>
      <c r="G6081" t="s">
        <v>498</v>
      </c>
      <c r="H6081" s="4">
        <v>10609442</v>
      </c>
      <c r="I6081" s="4">
        <v>13856747</v>
      </c>
      <c r="J6081" s="3">
        <v>0.3060768888693675</v>
      </c>
      <c r="K6081" s="3">
        <v>-0.23434829256823408</v>
      </c>
      <c r="L6081" t="s">
        <v>54</v>
      </c>
    </row>
    <row r="6082" spans="1:12" x14ac:dyDescent="0.25">
      <c r="A6082" t="s">
        <v>487</v>
      </c>
      <c r="B6082" t="s">
        <v>467</v>
      </c>
      <c r="C6082" t="s">
        <v>468</v>
      </c>
      <c r="D6082" t="s">
        <v>176</v>
      </c>
      <c r="E6082" t="s">
        <v>180</v>
      </c>
      <c r="F6082">
        <v>2</v>
      </c>
      <c r="G6082" t="s">
        <v>499</v>
      </c>
      <c r="H6082" s="4">
        <v>10609442</v>
      </c>
      <c r="I6082" s="4">
        <v>15902065</v>
      </c>
      <c r="J6082" s="3">
        <v>0.4988596949773607</v>
      </c>
      <c r="K6082" s="3">
        <v>-0.3328261455351868</v>
      </c>
      <c r="L6082" t="s">
        <v>54</v>
      </c>
    </row>
    <row r="6083" spans="1:12" x14ac:dyDescent="0.25">
      <c r="A6083" t="s">
        <v>487</v>
      </c>
      <c r="B6083" t="s">
        <v>467</v>
      </c>
      <c r="C6083" t="s">
        <v>468</v>
      </c>
      <c r="D6083" t="s">
        <v>176</v>
      </c>
      <c r="E6083" t="s">
        <v>182</v>
      </c>
      <c r="F6083">
        <v>3</v>
      </c>
      <c r="G6083" t="s">
        <v>488</v>
      </c>
      <c r="H6083" s="4">
        <v>8516440</v>
      </c>
      <c r="I6083" s="4">
        <v>10052987.91320611</v>
      </c>
      <c r="J6083" s="3">
        <v>0.18042138654251186</v>
      </c>
      <c r="K6083" s="3">
        <v>-0.15284489810115293</v>
      </c>
      <c r="L6083" t="s">
        <v>54</v>
      </c>
    </row>
    <row r="6084" spans="1:12" x14ac:dyDescent="0.25">
      <c r="A6084" t="s">
        <v>487</v>
      </c>
      <c r="B6084" t="s">
        <v>467</v>
      </c>
      <c r="C6084" t="s">
        <v>468</v>
      </c>
      <c r="D6084" t="s">
        <v>176</v>
      </c>
      <c r="E6084" t="s">
        <v>182</v>
      </c>
      <c r="F6084">
        <v>3</v>
      </c>
      <c r="G6084" t="s">
        <v>498</v>
      </c>
      <c r="H6084" s="4">
        <v>8516440</v>
      </c>
      <c r="I6084" s="4">
        <v>9233899</v>
      </c>
      <c r="J6084" s="3">
        <v>0.08424400336290751</v>
      </c>
      <c r="K6084" s="3">
        <v>-0.07769838071653155</v>
      </c>
      <c r="L6084" t="s">
        <v>54</v>
      </c>
    </row>
    <row r="6085" spans="1:12" x14ac:dyDescent="0.25">
      <c r="A6085" t="s">
        <v>487</v>
      </c>
      <c r="B6085" t="s">
        <v>467</v>
      </c>
      <c r="C6085" t="s">
        <v>468</v>
      </c>
      <c r="D6085" t="s">
        <v>176</v>
      </c>
      <c r="E6085" t="s">
        <v>182</v>
      </c>
      <c r="F6085">
        <v>3</v>
      </c>
      <c r="G6085" t="s">
        <v>499</v>
      </c>
      <c r="H6085" s="4">
        <v>8516440</v>
      </c>
      <c r="I6085" s="4">
        <v>15902065</v>
      </c>
      <c r="J6085" s="3">
        <v>0.8672197537938388</v>
      </c>
      <c r="K6085" s="3">
        <v>-0.46444439763011913</v>
      </c>
      <c r="L6085" t="s">
        <v>54</v>
      </c>
    </row>
    <row r="6086" spans="1:12" x14ac:dyDescent="0.25">
      <c r="A6086" t="s">
        <v>487</v>
      </c>
      <c r="B6086" t="s">
        <v>467</v>
      </c>
      <c r="C6086" t="s">
        <v>468</v>
      </c>
      <c r="D6086" t="s">
        <v>178</v>
      </c>
      <c r="E6086" t="s">
        <v>180</v>
      </c>
      <c r="F6086">
        <v>1</v>
      </c>
      <c r="G6086" t="s">
        <v>488</v>
      </c>
      <c r="H6086" s="4">
        <v>10609442</v>
      </c>
      <c r="I6086" s="4">
        <v>15070414.492683461</v>
      </c>
      <c r="J6086" s="3">
        <v>0.4204719242240507</v>
      </c>
      <c r="K6086" s="3">
        <v>-0.2960086130908489</v>
      </c>
      <c r="L6086" t="s">
        <v>54</v>
      </c>
    </row>
    <row r="6087" spans="1:12" x14ac:dyDescent="0.25">
      <c r="A6087" t="s">
        <v>487</v>
      </c>
      <c r="B6087" t="s">
        <v>467</v>
      </c>
      <c r="C6087" t="s">
        <v>468</v>
      </c>
      <c r="D6087" t="s">
        <v>178</v>
      </c>
      <c r="E6087" t="s">
        <v>180</v>
      </c>
      <c r="F6087">
        <v>1</v>
      </c>
      <c r="G6087" t="s">
        <v>498</v>
      </c>
      <c r="H6087" s="4">
        <v>10609442</v>
      </c>
      <c r="I6087" s="4">
        <v>13856747</v>
      </c>
      <c r="J6087" s="3">
        <v>0.3060768888693675</v>
      </c>
      <c r="K6087" s="3">
        <v>-0.23434829256823408</v>
      </c>
      <c r="L6087" t="s">
        <v>54</v>
      </c>
    </row>
    <row r="6088" spans="1:12" x14ac:dyDescent="0.25">
      <c r="A6088" t="s">
        <v>487</v>
      </c>
      <c r="B6088" t="s">
        <v>467</v>
      </c>
      <c r="C6088" t="s">
        <v>468</v>
      </c>
      <c r="D6088" t="s">
        <v>178</v>
      </c>
      <c r="E6088" t="s">
        <v>180</v>
      </c>
      <c r="F6088">
        <v>1</v>
      </c>
      <c r="G6088" t="s">
        <v>499</v>
      </c>
      <c r="H6088" s="4">
        <v>10609442</v>
      </c>
      <c r="I6088" s="4">
        <v>15180574</v>
      </c>
      <c r="J6088" s="3">
        <v>0.4308550817281437</v>
      </c>
      <c r="K6088" s="3">
        <v>-0.3011172041320704</v>
      </c>
      <c r="L6088" t="s">
        <v>54</v>
      </c>
    </row>
    <row r="6089" spans="1:12" x14ac:dyDescent="0.25">
      <c r="A6089" t="s">
        <v>487</v>
      </c>
      <c r="B6089" t="s">
        <v>467</v>
      </c>
      <c r="C6089" t="s">
        <v>468</v>
      </c>
      <c r="D6089" t="s">
        <v>178</v>
      </c>
      <c r="E6089" t="s">
        <v>182</v>
      </c>
      <c r="F6089">
        <v>2</v>
      </c>
      <c r="G6089" t="s">
        <v>488</v>
      </c>
      <c r="H6089" s="4">
        <v>8516440</v>
      </c>
      <c r="I6089" s="4">
        <v>10042666.241476107</v>
      </c>
      <c r="J6089" s="3">
        <v>0.17920941631434112</v>
      </c>
      <c r="K6089" s="3">
        <v>-0.15197420732482464</v>
      </c>
      <c r="L6089" t="s">
        <v>54</v>
      </c>
    </row>
    <row r="6090" spans="1:12" x14ac:dyDescent="0.25">
      <c r="A6090" t="s">
        <v>487</v>
      </c>
      <c r="B6090" t="s">
        <v>467</v>
      </c>
      <c r="C6090" t="s">
        <v>468</v>
      </c>
      <c r="D6090" t="s">
        <v>178</v>
      </c>
      <c r="E6090" t="s">
        <v>182</v>
      </c>
      <c r="F6090">
        <v>2</v>
      </c>
      <c r="G6090" t="s">
        <v>498</v>
      </c>
      <c r="H6090" s="4">
        <v>8516440</v>
      </c>
      <c r="I6090" s="4">
        <v>9233899</v>
      </c>
      <c r="J6090" s="3">
        <v>0.08424400336290751</v>
      </c>
      <c r="K6090" s="3">
        <v>-0.07769838071653155</v>
      </c>
      <c r="L6090" t="s">
        <v>54</v>
      </c>
    </row>
    <row r="6091" spans="1:12" x14ac:dyDescent="0.25">
      <c r="A6091" t="s">
        <v>487</v>
      </c>
      <c r="B6091" t="s">
        <v>467</v>
      </c>
      <c r="C6091" t="s">
        <v>468</v>
      </c>
      <c r="D6091" t="s">
        <v>178</v>
      </c>
      <c r="E6091" t="s">
        <v>182</v>
      </c>
      <c r="F6091">
        <v>2</v>
      </c>
      <c r="G6091" t="s">
        <v>499</v>
      </c>
      <c r="H6091" s="4">
        <v>8516440</v>
      </c>
      <c r="I6091" s="4">
        <v>15180574</v>
      </c>
      <c r="J6091" s="3">
        <v>0.7825023131731099</v>
      </c>
      <c r="K6091" s="3">
        <v>-0.4389909103568811</v>
      </c>
      <c r="L6091" t="s">
        <v>54</v>
      </c>
    </row>
    <row r="6092" spans="1:12" x14ac:dyDescent="0.25">
      <c r="A6092" t="s">
        <v>487</v>
      </c>
      <c r="B6092" t="s">
        <v>467</v>
      </c>
      <c r="C6092" t="s">
        <v>468</v>
      </c>
      <c r="D6092" t="s">
        <v>178</v>
      </c>
      <c r="E6092" t="s">
        <v>184</v>
      </c>
      <c r="F6092">
        <v>3</v>
      </c>
      <c r="G6092" t="s">
        <v>488</v>
      </c>
      <c r="H6092" s="4">
        <v>12491187</v>
      </c>
      <c r="I6092" s="4">
        <v>7312141.571687274</v>
      </c>
      <c r="J6092" s="3">
        <v>0.4146159550980004</v>
      </c>
      <c r="K6092" s="3">
        <v>0.7082802456076713</v>
      </c>
      <c r="L6092" t="s">
        <v>54</v>
      </c>
    </row>
    <row r="6093" spans="1:12" x14ac:dyDescent="0.25">
      <c r="A6093" t="s">
        <v>487</v>
      </c>
      <c r="B6093" t="s">
        <v>467</v>
      </c>
      <c r="C6093" t="s">
        <v>468</v>
      </c>
      <c r="D6093" t="s">
        <v>178</v>
      </c>
      <c r="E6093" t="s">
        <v>184</v>
      </c>
      <c r="F6093">
        <v>3</v>
      </c>
      <c r="G6093" t="s">
        <v>498</v>
      </c>
      <c r="H6093" s="4">
        <v>12491187</v>
      </c>
      <c r="I6093" s="4">
        <v>6723272</v>
      </c>
      <c r="J6093" s="3">
        <v>0.46175875839501884</v>
      </c>
      <c r="K6093" s="3">
        <v>0.8579029674836894</v>
      </c>
      <c r="L6093" t="s">
        <v>54</v>
      </c>
    </row>
    <row r="6094" spans="1:12" x14ac:dyDescent="0.25">
      <c r="A6094" t="s">
        <v>487</v>
      </c>
      <c r="B6094" t="s">
        <v>467</v>
      </c>
      <c r="C6094" t="s">
        <v>468</v>
      </c>
      <c r="D6094" t="s">
        <v>178</v>
      </c>
      <c r="E6094" t="s">
        <v>184</v>
      </c>
      <c r="F6094">
        <v>3</v>
      </c>
      <c r="G6094" t="s">
        <v>499</v>
      </c>
      <c r="H6094" s="4">
        <v>12491187</v>
      </c>
      <c r="I6094" s="4">
        <v>15180574</v>
      </c>
      <c r="J6094" s="3">
        <v>0.21530275705583465</v>
      </c>
      <c r="K6094" s="3">
        <v>-0.17715977011145956</v>
      </c>
      <c r="L6094" t="s">
        <v>54</v>
      </c>
    </row>
    <row r="6095" spans="1:12" x14ac:dyDescent="0.25">
      <c r="A6095" t="s">
        <v>487</v>
      </c>
      <c r="B6095" t="s">
        <v>467</v>
      </c>
      <c r="C6095" t="s">
        <v>468</v>
      </c>
      <c r="D6095" t="s">
        <v>180</v>
      </c>
      <c r="E6095" t="s">
        <v>182</v>
      </c>
      <c r="F6095">
        <v>1</v>
      </c>
      <c r="G6095" t="s">
        <v>488</v>
      </c>
      <c r="H6095" s="4">
        <v>8516440</v>
      </c>
      <c r="I6095" s="4">
        <v>9767208.237169942</v>
      </c>
      <c r="J6095" s="3">
        <v>0.14686514989478489</v>
      </c>
      <c r="K6095" s="3">
        <v>-0.12805790629199826</v>
      </c>
      <c r="L6095" t="s">
        <v>54</v>
      </c>
    </row>
    <row r="6096" spans="1:12" x14ac:dyDescent="0.25">
      <c r="A6096" t="s">
        <v>487</v>
      </c>
      <c r="B6096" t="s">
        <v>467</v>
      </c>
      <c r="C6096" t="s">
        <v>468</v>
      </c>
      <c r="D6096" t="s">
        <v>180</v>
      </c>
      <c r="E6096" t="s">
        <v>182</v>
      </c>
      <c r="F6096">
        <v>1</v>
      </c>
      <c r="G6096" t="s">
        <v>498</v>
      </c>
      <c r="H6096" s="4">
        <v>8516440</v>
      </c>
      <c r="I6096" s="4">
        <v>9233899</v>
      </c>
      <c r="J6096" s="3">
        <v>0.08424400336290751</v>
      </c>
      <c r="K6096" s="3">
        <v>-0.07769838071653155</v>
      </c>
      <c r="L6096" t="s">
        <v>54</v>
      </c>
    </row>
    <row r="6097" spans="1:12" x14ac:dyDescent="0.25">
      <c r="A6097" t="s">
        <v>487</v>
      </c>
      <c r="B6097" t="s">
        <v>467</v>
      </c>
      <c r="C6097" t="s">
        <v>468</v>
      </c>
      <c r="D6097" t="s">
        <v>180</v>
      </c>
      <c r="E6097" t="s">
        <v>182</v>
      </c>
      <c r="F6097">
        <v>1</v>
      </c>
      <c r="G6097" t="s">
        <v>499</v>
      </c>
      <c r="H6097" s="4">
        <v>8516440</v>
      </c>
      <c r="I6097" s="4">
        <v>10609442</v>
      </c>
      <c r="J6097" s="3">
        <v>0.24576020027147494</v>
      </c>
      <c r="K6097" s="3">
        <v>-0.19727729318846363</v>
      </c>
      <c r="L6097" t="s">
        <v>54</v>
      </c>
    </row>
    <row r="6098" spans="1:12" x14ac:dyDescent="0.25">
      <c r="A6098" t="s">
        <v>487</v>
      </c>
      <c r="B6098" t="s">
        <v>467</v>
      </c>
      <c r="C6098" t="s">
        <v>468</v>
      </c>
      <c r="D6098" t="s">
        <v>180</v>
      </c>
      <c r="E6098" t="s">
        <v>184</v>
      </c>
      <c r="F6098">
        <v>2</v>
      </c>
      <c r="G6098" t="s">
        <v>488</v>
      </c>
      <c r="H6098" s="4">
        <v>12491187</v>
      </c>
      <c r="I6098" s="4">
        <v>7111578.50645042</v>
      </c>
      <c r="J6098" s="3">
        <v>0.43067232069695055</v>
      </c>
      <c r="K6098" s="3">
        <v>0.7564577243533358</v>
      </c>
      <c r="L6098" t="s">
        <v>54</v>
      </c>
    </row>
    <row r="6099" spans="1:12" x14ac:dyDescent="0.25">
      <c r="A6099" t="s">
        <v>487</v>
      </c>
      <c r="B6099" t="s">
        <v>467</v>
      </c>
      <c r="C6099" t="s">
        <v>468</v>
      </c>
      <c r="D6099" t="s">
        <v>180</v>
      </c>
      <c r="E6099" t="s">
        <v>184</v>
      </c>
      <c r="F6099">
        <v>2</v>
      </c>
      <c r="G6099" t="s">
        <v>498</v>
      </c>
      <c r="H6099" s="4">
        <v>12491187</v>
      </c>
      <c r="I6099" s="4">
        <v>6723272</v>
      </c>
      <c r="J6099" s="3">
        <v>0.46175875839501884</v>
      </c>
      <c r="K6099" s="3">
        <v>0.8579029674836894</v>
      </c>
      <c r="L6099" t="s">
        <v>54</v>
      </c>
    </row>
    <row r="6100" spans="1:12" x14ac:dyDescent="0.25">
      <c r="A6100" t="s">
        <v>487</v>
      </c>
      <c r="B6100" t="s">
        <v>467</v>
      </c>
      <c r="C6100" t="s">
        <v>468</v>
      </c>
      <c r="D6100" t="s">
        <v>180</v>
      </c>
      <c r="E6100" t="s">
        <v>184</v>
      </c>
      <c r="F6100">
        <v>2</v>
      </c>
      <c r="G6100" t="s">
        <v>499</v>
      </c>
      <c r="H6100" s="4">
        <v>12491187</v>
      </c>
      <c r="I6100" s="4">
        <v>10609442</v>
      </c>
      <c r="J6100" s="3">
        <v>0.15064581132281504</v>
      </c>
      <c r="K6100" s="3">
        <v>0.17736512438637206</v>
      </c>
      <c r="L6100" t="s">
        <v>54</v>
      </c>
    </row>
    <row r="6101" spans="1:12" x14ac:dyDescent="0.25">
      <c r="A6101" t="s">
        <v>487</v>
      </c>
      <c r="B6101" t="s">
        <v>467</v>
      </c>
      <c r="C6101" t="s">
        <v>468</v>
      </c>
      <c r="D6101" t="s">
        <v>180</v>
      </c>
      <c r="E6101" t="s">
        <v>186</v>
      </c>
      <c r="F6101">
        <v>3</v>
      </c>
      <c r="G6101" t="s">
        <v>488</v>
      </c>
      <c r="H6101" s="4">
        <v>12267293</v>
      </c>
      <c r="I6101" s="4">
        <v>12681111.20679732</v>
      </c>
      <c r="J6101" s="3">
        <v>0.03373345747894995</v>
      </c>
      <c r="K6101" s="3">
        <v>-0.03263264551891208</v>
      </c>
      <c r="L6101" t="s">
        <v>54</v>
      </c>
    </row>
    <row r="6102" spans="1:12" x14ac:dyDescent="0.25">
      <c r="A6102" t="s">
        <v>487</v>
      </c>
      <c r="B6102" t="s">
        <v>467</v>
      </c>
      <c r="C6102" t="s">
        <v>468</v>
      </c>
      <c r="D6102" t="s">
        <v>180</v>
      </c>
      <c r="E6102" t="s">
        <v>186</v>
      </c>
      <c r="F6102">
        <v>3</v>
      </c>
      <c r="G6102" t="s">
        <v>498</v>
      </c>
      <c r="H6102" s="4">
        <v>12267293</v>
      </c>
      <c r="I6102" s="4">
        <v>11988697</v>
      </c>
      <c r="J6102" s="3">
        <v>0.02271047084307842</v>
      </c>
      <c r="K6102" s="3">
        <v>0.0232382218017521</v>
      </c>
      <c r="L6102" t="s">
        <v>54</v>
      </c>
    </row>
    <row r="6103" spans="1:12" x14ac:dyDescent="0.25">
      <c r="A6103" t="s">
        <v>487</v>
      </c>
      <c r="B6103" t="s">
        <v>467</v>
      </c>
      <c r="C6103" t="s">
        <v>468</v>
      </c>
      <c r="D6103" t="s">
        <v>180</v>
      </c>
      <c r="E6103" t="s">
        <v>186</v>
      </c>
      <c r="F6103">
        <v>3</v>
      </c>
      <c r="G6103" t="s">
        <v>499</v>
      </c>
      <c r="H6103" s="4">
        <v>12267293</v>
      </c>
      <c r="I6103" s="4">
        <v>10609442</v>
      </c>
      <c r="J6103" s="3">
        <v>0.13514399631605767</v>
      </c>
      <c r="K6103" s="3">
        <v>0.1562618467587645</v>
      </c>
      <c r="L6103" t="s">
        <v>54</v>
      </c>
    </row>
    <row r="6104" spans="1:12" x14ac:dyDescent="0.25">
      <c r="A6104" t="s">
        <v>487</v>
      </c>
      <c r="B6104" t="s">
        <v>467</v>
      </c>
      <c r="C6104" t="s">
        <v>468</v>
      </c>
      <c r="D6104" t="s">
        <v>182</v>
      </c>
      <c r="E6104" t="s">
        <v>184</v>
      </c>
      <c r="F6104">
        <v>1</v>
      </c>
      <c r="G6104" t="s">
        <v>488</v>
      </c>
      <c r="H6104" s="4">
        <v>12491187</v>
      </c>
      <c r="I6104" s="4">
        <v>6951368.159507236</v>
      </c>
      <c r="J6104" s="3">
        <v>0.44349819120414763</v>
      </c>
      <c r="K6104" s="3">
        <v>0.79693935256703</v>
      </c>
      <c r="L6104" t="s">
        <v>54</v>
      </c>
    </row>
    <row r="6105" spans="1:12" x14ac:dyDescent="0.25">
      <c r="A6105" t="s">
        <v>487</v>
      </c>
      <c r="B6105" t="s">
        <v>467</v>
      </c>
      <c r="C6105" t="s">
        <v>468</v>
      </c>
      <c r="D6105" t="s">
        <v>182</v>
      </c>
      <c r="E6105" t="s">
        <v>184</v>
      </c>
      <c r="F6105">
        <v>1</v>
      </c>
      <c r="G6105" t="s">
        <v>498</v>
      </c>
      <c r="H6105" s="4">
        <v>12491187</v>
      </c>
      <c r="I6105" s="4">
        <v>6723272</v>
      </c>
      <c r="J6105" s="3">
        <v>0.46175875839501884</v>
      </c>
      <c r="K6105" s="3">
        <v>0.8579029674836894</v>
      </c>
      <c r="L6105" t="s">
        <v>54</v>
      </c>
    </row>
    <row r="6106" spans="1:12" x14ac:dyDescent="0.25">
      <c r="A6106" t="s">
        <v>487</v>
      </c>
      <c r="B6106" t="s">
        <v>467</v>
      </c>
      <c r="C6106" t="s">
        <v>468</v>
      </c>
      <c r="D6106" t="s">
        <v>182</v>
      </c>
      <c r="E6106" t="s">
        <v>184</v>
      </c>
      <c r="F6106">
        <v>1</v>
      </c>
      <c r="G6106" t="s">
        <v>499</v>
      </c>
      <c r="H6106" s="4">
        <v>12491187</v>
      </c>
      <c r="I6106" s="4">
        <v>8516440</v>
      </c>
      <c r="J6106" s="3">
        <v>0.3182041066233337</v>
      </c>
      <c r="K6106" s="3">
        <v>0.4667146131482169</v>
      </c>
      <c r="L6106" t="s">
        <v>54</v>
      </c>
    </row>
    <row r="6107" spans="1:12" x14ac:dyDescent="0.25">
      <c r="A6107" t="s">
        <v>487</v>
      </c>
      <c r="B6107" t="s">
        <v>467</v>
      </c>
      <c r="C6107" t="s">
        <v>468</v>
      </c>
      <c r="D6107" t="s">
        <v>182</v>
      </c>
      <c r="E6107" t="s">
        <v>186</v>
      </c>
      <c r="F6107">
        <v>2</v>
      </c>
      <c r="G6107" t="s">
        <v>488</v>
      </c>
      <c r="H6107" s="4">
        <v>12267293</v>
      </c>
      <c r="I6107" s="4">
        <v>12395429.87399289</v>
      </c>
      <c r="J6107" s="3">
        <v>0.010445407474402878</v>
      </c>
      <c r="K6107" s="3">
        <v>-0.010337428818159567</v>
      </c>
      <c r="L6107" t="s">
        <v>54</v>
      </c>
    </row>
    <row r="6108" spans="1:12" x14ac:dyDescent="0.25">
      <c r="A6108" t="s">
        <v>487</v>
      </c>
      <c r="B6108" t="s">
        <v>467</v>
      </c>
      <c r="C6108" t="s">
        <v>468</v>
      </c>
      <c r="D6108" t="s">
        <v>182</v>
      </c>
      <c r="E6108" t="s">
        <v>186</v>
      </c>
      <c r="F6108">
        <v>2</v>
      </c>
      <c r="G6108" t="s">
        <v>498</v>
      </c>
      <c r="H6108" s="4">
        <v>12267293</v>
      </c>
      <c r="I6108" s="4">
        <v>11988697</v>
      </c>
      <c r="J6108" s="3">
        <v>0.02271047084307842</v>
      </c>
      <c r="K6108" s="3">
        <v>0.0232382218017521</v>
      </c>
      <c r="L6108" t="s">
        <v>54</v>
      </c>
    </row>
    <row r="6109" spans="1:12" x14ac:dyDescent="0.25">
      <c r="A6109" t="s">
        <v>487</v>
      </c>
      <c r="B6109" t="s">
        <v>467</v>
      </c>
      <c r="C6109" t="s">
        <v>468</v>
      </c>
      <c r="D6109" t="s">
        <v>182</v>
      </c>
      <c r="E6109" t="s">
        <v>186</v>
      </c>
      <c r="F6109">
        <v>2</v>
      </c>
      <c r="G6109" t="s">
        <v>499</v>
      </c>
      <c r="H6109" s="4">
        <v>12267293</v>
      </c>
      <c r="I6109" s="4">
        <v>8516440</v>
      </c>
      <c r="J6109" s="3">
        <v>0.3057604477206177</v>
      </c>
      <c r="K6109" s="3">
        <v>0.4404249897844639</v>
      </c>
      <c r="L6109" t="s">
        <v>54</v>
      </c>
    </row>
    <row r="6110" spans="1:12" x14ac:dyDescent="0.25">
      <c r="A6110" t="s">
        <v>487</v>
      </c>
      <c r="B6110" t="s">
        <v>467</v>
      </c>
      <c r="C6110" t="s">
        <v>468</v>
      </c>
      <c r="D6110" t="s">
        <v>182</v>
      </c>
      <c r="E6110" t="s">
        <v>188</v>
      </c>
      <c r="F6110">
        <v>3</v>
      </c>
      <c r="G6110" t="s">
        <v>488</v>
      </c>
      <c r="H6110" s="4">
        <v>14824004</v>
      </c>
      <c r="I6110" s="4">
        <v>17898007.684860703</v>
      </c>
      <c r="J6110" s="3">
        <v>0.20736662543134113</v>
      </c>
      <c r="K6110" s="3">
        <v>-0.1717511657714224</v>
      </c>
      <c r="L6110" t="s">
        <v>54</v>
      </c>
    </row>
    <row r="6111" spans="1:12" x14ac:dyDescent="0.25">
      <c r="A6111" t="s">
        <v>487</v>
      </c>
      <c r="B6111" t="s">
        <v>467</v>
      </c>
      <c r="C6111" t="s">
        <v>468</v>
      </c>
      <c r="D6111" t="s">
        <v>182</v>
      </c>
      <c r="E6111" t="s">
        <v>188</v>
      </c>
      <c r="F6111">
        <v>3</v>
      </c>
      <c r="G6111" t="s">
        <v>498</v>
      </c>
      <c r="H6111" s="4">
        <v>14824004</v>
      </c>
      <c r="I6111" s="4">
        <v>17310718</v>
      </c>
      <c r="J6111" s="3">
        <v>0.16774914523768342</v>
      </c>
      <c r="K6111" s="3">
        <v>-0.1436516960186169</v>
      </c>
      <c r="L6111" t="s">
        <v>54</v>
      </c>
    </row>
    <row r="6112" spans="1:12" x14ac:dyDescent="0.25">
      <c r="A6112" t="s">
        <v>487</v>
      </c>
      <c r="B6112" t="s">
        <v>467</v>
      </c>
      <c r="C6112" t="s">
        <v>468</v>
      </c>
      <c r="D6112" t="s">
        <v>182</v>
      </c>
      <c r="E6112" t="s">
        <v>188</v>
      </c>
      <c r="F6112">
        <v>3</v>
      </c>
      <c r="G6112" t="s">
        <v>499</v>
      </c>
      <c r="H6112" s="4">
        <v>14824004</v>
      </c>
      <c r="I6112" s="4">
        <v>8516440</v>
      </c>
      <c r="J6112" s="3">
        <v>0.4254966471946446</v>
      </c>
      <c r="K6112" s="3">
        <v>0.740633879884083</v>
      </c>
      <c r="L6112" t="s">
        <v>54</v>
      </c>
    </row>
    <row r="6113" spans="1:12" x14ac:dyDescent="0.25">
      <c r="A6113" t="s">
        <v>487</v>
      </c>
      <c r="B6113" t="s">
        <v>467</v>
      </c>
      <c r="C6113" t="s">
        <v>468</v>
      </c>
      <c r="D6113" t="s">
        <v>184</v>
      </c>
      <c r="E6113" t="s">
        <v>186</v>
      </c>
      <c r="F6113">
        <v>1</v>
      </c>
      <c r="G6113" t="s">
        <v>488</v>
      </c>
      <c r="H6113" s="4">
        <v>12267293</v>
      </c>
      <c r="I6113" s="4">
        <v>13160508.199555855</v>
      </c>
      <c r="J6113" s="3">
        <v>0.07281273868292339</v>
      </c>
      <c r="K6113" s="3">
        <v>-0.06787087443826825</v>
      </c>
      <c r="L6113" t="s">
        <v>54</v>
      </c>
    </row>
    <row r="6114" spans="1:12" x14ac:dyDescent="0.25">
      <c r="A6114" t="s">
        <v>487</v>
      </c>
      <c r="B6114" t="s">
        <v>467</v>
      </c>
      <c r="C6114" t="s">
        <v>468</v>
      </c>
      <c r="D6114" t="s">
        <v>184</v>
      </c>
      <c r="E6114" t="s">
        <v>186</v>
      </c>
      <c r="F6114">
        <v>1</v>
      </c>
      <c r="G6114" t="s">
        <v>498</v>
      </c>
      <c r="H6114" s="4">
        <v>12267293</v>
      </c>
      <c r="I6114" s="4">
        <v>11988697</v>
      </c>
      <c r="J6114" s="3">
        <v>0.02271047084307842</v>
      </c>
      <c r="K6114" s="3">
        <v>0.0232382218017521</v>
      </c>
      <c r="L6114" t="s">
        <v>54</v>
      </c>
    </row>
    <row r="6115" spans="1:12" x14ac:dyDescent="0.25">
      <c r="A6115" t="s">
        <v>487</v>
      </c>
      <c r="B6115" t="s">
        <v>467</v>
      </c>
      <c r="C6115" t="s">
        <v>468</v>
      </c>
      <c r="D6115" t="s">
        <v>184</v>
      </c>
      <c r="E6115" t="s">
        <v>186</v>
      </c>
      <c r="F6115">
        <v>1</v>
      </c>
      <c r="G6115" t="s">
        <v>499</v>
      </c>
      <c r="H6115" s="4">
        <v>12267293</v>
      </c>
      <c r="I6115" s="4">
        <v>12491187</v>
      </c>
      <c r="J6115" s="3">
        <v>0.018251296353645422</v>
      </c>
      <c r="K6115" s="3">
        <v>-0.017924157247826006</v>
      </c>
      <c r="L6115" t="s">
        <v>54</v>
      </c>
    </row>
    <row r="6116" spans="1:12" x14ac:dyDescent="0.25">
      <c r="A6116" t="s">
        <v>487</v>
      </c>
      <c r="B6116" t="s">
        <v>467</v>
      </c>
      <c r="C6116" t="s">
        <v>468</v>
      </c>
      <c r="D6116" t="s">
        <v>184</v>
      </c>
      <c r="E6116" t="s">
        <v>188</v>
      </c>
      <c r="F6116">
        <v>2</v>
      </c>
      <c r="G6116" t="s">
        <v>488</v>
      </c>
      <c r="H6116" s="4">
        <v>14824004</v>
      </c>
      <c r="I6116" s="4">
        <v>19002719.493135836</v>
      </c>
      <c r="J6116" s="3">
        <v>0.2818884488385079</v>
      </c>
      <c r="K6116" s="3">
        <v>-0.21990091968916722</v>
      </c>
      <c r="L6116" t="s">
        <v>54</v>
      </c>
    </row>
    <row r="6117" spans="1:12" x14ac:dyDescent="0.25">
      <c r="A6117" t="s">
        <v>487</v>
      </c>
      <c r="B6117" t="s">
        <v>467</v>
      </c>
      <c r="C6117" t="s">
        <v>468</v>
      </c>
      <c r="D6117" t="s">
        <v>184</v>
      </c>
      <c r="E6117" t="s">
        <v>188</v>
      </c>
      <c r="F6117">
        <v>2</v>
      </c>
      <c r="G6117" t="s">
        <v>498</v>
      </c>
      <c r="H6117" s="4">
        <v>14824004</v>
      </c>
      <c r="I6117" s="4">
        <v>17310718</v>
      </c>
      <c r="J6117" s="3">
        <v>0.16774914523768342</v>
      </c>
      <c r="K6117" s="3">
        <v>-0.1436516960186169</v>
      </c>
      <c r="L6117" t="s">
        <v>54</v>
      </c>
    </row>
    <row r="6118" spans="1:12" x14ac:dyDescent="0.25">
      <c r="A6118" t="s">
        <v>487</v>
      </c>
      <c r="B6118" t="s">
        <v>467</v>
      </c>
      <c r="C6118" t="s">
        <v>468</v>
      </c>
      <c r="D6118" t="s">
        <v>184</v>
      </c>
      <c r="E6118" t="s">
        <v>188</v>
      </c>
      <c r="F6118">
        <v>2</v>
      </c>
      <c r="G6118" t="s">
        <v>499</v>
      </c>
      <c r="H6118" s="4">
        <v>14824004</v>
      </c>
      <c r="I6118" s="4">
        <v>12491187</v>
      </c>
      <c r="J6118" s="3">
        <v>0.15736753713773957</v>
      </c>
      <c r="K6118" s="3">
        <v>0.18675703117726122</v>
      </c>
      <c r="L6118" t="s">
        <v>54</v>
      </c>
    </row>
    <row r="6119" spans="1:12" x14ac:dyDescent="0.25">
      <c r="A6119" t="s">
        <v>487</v>
      </c>
      <c r="B6119" t="s">
        <v>467</v>
      </c>
      <c r="C6119" t="s">
        <v>468</v>
      </c>
      <c r="D6119" t="s">
        <v>184</v>
      </c>
      <c r="E6119" t="s">
        <v>190</v>
      </c>
      <c r="F6119">
        <v>3</v>
      </c>
      <c r="G6119" t="s">
        <v>488</v>
      </c>
      <c r="H6119" s="4">
        <v>18914742</v>
      </c>
      <c r="I6119" s="4">
        <v>17958930.562483266</v>
      </c>
      <c r="J6119" s="3">
        <v>0.05053261828877888</v>
      </c>
      <c r="K6119" s="3">
        <v>0.05322206877471046</v>
      </c>
      <c r="L6119" t="s">
        <v>54</v>
      </c>
    </row>
    <row r="6120" spans="1:12" x14ac:dyDescent="0.25">
      <c r="A6120" t="s">
        <v>487</v>
      </c>
      <c r="B6120" t="s">
        <v>467</v>
      </c>
      <c r="C6120" t="s">
        <v>468</v>
      </c>
      <c r="D6120" t="s">
        <v>184</v>
      </c>
      <c r="E6120" t="s">
        <v>190</v>
      </c>
      <c r="F6120">
        <v>3</v>
      </c>
      <c r="G6120" t="s">
        <v>498</v>
      </c>
      <c r="H6120" s="4">
        <v>18914742</v>
      </c>
      <c r="I6120" s="4">
        <v>16359868</v>
      </c>
      <c r="J6120" s="3">
        <v>0.1350731614525855</v>
      </c>
      <c r="K6120" s="3">
        <v>0.15616715244890728</v>
      </c>
      <c r="L6120" t="s">
        <v>54</v>
      </c>
    </row>
    <row r="6121" spans="1:12" x14ac:dyDescent="0.25">
      <c r="A6121" t="s">
        <v>487</v>
      </c>
      <c r="B6121" t="s">
        <v>467</v>
      </c>
      <c r="C6121" t="s">
        <v>468</v>
      </c>
      <c r="D6121" t="s">
        <v>184</v>
      </c>
      <c r="E6121" t="s">
        <v>190</v>
      </c>
      <c r="F6121">
        <v>3</v>
      </c>
      <c r="G6121" t="s">
        <v>499</v>
      </c>
      <c r="H6121" s="4">
        <v>18914742</v>
      </c>
      <c r="I6121" s="4">
        <v>12491187</v>
      </c>
      <c r="J6121" s="3">
        <v>0.3396057424415305</v>
      </c>
      <c r="K6121" s="3">
        <v>0.514246964679978</v>
      </c>
      <c r="L6121" t="s">
        <v>54</v>
      </c>
    </row>
    <row r="6122" spans="1:12" x14ac:dyDescent="0.25">
      <c r="A6122" t="s">
        <v>487</v>
      </c>
      <c r="B6122" t="s">
        <v>467</v>
      </c>
      <c r="C6122" t="s">
        <v>468</v>
      </c>
      <c r="D6122" t="s">
        <v>186</v>
      </c>
      <c r="E6122" t="s">
        <v>188</v>
      </c>
      <c r="F6122">
        <v>1</v>
      </c>
      <c r="G6122" t="s">
        <v>488</v>
      </c>
      <c r="H6122" s="4">
        <v>14824004</v>
      </c>
      <c r="I6122" s="4">
        <v>18806563.341609057</v>
      </c>
      <c r="J6122" s="3">
        <v>0.2686561162293977</v>
      </c>
      <c r="K6122" s="3">
        <v>-0.21176433297612343</v>
      </c>
      <c r="L6122" t="s">
        <v>54</v>
      </c>
    </row>
    <row r="6123" spans="1:12" x14ac:dyDescent="0.25">
      <c r="A6123" t="s">
        <v>487</v>
      </c>
      <c r="B6123" t="s">
        <v>467</v>
      </c>
      <c r="C6123" t="s">
        <v>468</v>
      </c>
      <c r="D6123" t="s">
        <v>186</v>
      </c>
      <c r="E6123" t="s">
        <v>188</v>
      </c>
      <c r="F6123">
        <v>1</v>
      </c>
      <c r="G6123" t="s">
        <v>498</v>
      </c>
      <c r="H6123" s="4">
        <v>14824004</v>
      </c>
      <c r="I6123" s="4">
        <v>17310718</v>
      </c>
      <c r="J6123" s="3">
        <v>0.16774914523768342</v>
      </c>
      <c r="K6123" s="3">
        <v>-0.1436516960186169</v>
      </c>
      <c r="L6123" t="s">
        <v>54</v>
      </c>
    </row>
    <row r="6124" spans="1:12" x14ac:dyDescent="0.25">
      <c r="A6124" t="s">
        <v>487</v>
      </c>
      <c r="B6124" t="s">
        <v>467</v>
      </c>
      <c r="C6124" t="s">
        <v>468</v>
      </c>
      <c r="D6124" t="s">
        <v>186</v>
      </c>
      <c r="E6124" t="s">
        <v>188</v>
      </c>
      <c r="F6124">
        <v>1</v>
      </c>
      <c r="G6124" t="s">
        <v>499</v>
      </c>
      <c r="H6124" s="4">
        <v>14824004</v>
      </c>
      <c r="I6124" s="4">
        <v>12267293</v>
      </c>
      <c r="J6124" s="3">
        <v>0.17247101390420563</v>
      </c>
      <c r="K6124" s="3">
        <v>0.20841688545304982</v>
      </c>
      <c r="L6124" t="s">
        <v>54</v>
      </c>
    </row>
    <row r="6125" spans="1:12" x14ac:dyDescent="0.25">
      <c r="A6125" t="s">
        <v>487</v>
      </c>
      <c r="B6125" t="s">
        <v>467</v>
      </c>
      <c r="C6125" t="s">
        <v>468</v>
      </c>
      <c r="D6125" t="s">
        <v>186</v>
      </c>
      <c r="E6125" t="s">
        <v>190</v>
      </c>
      <c r="F6125">
        <v>2</v>
      </c>
      <c r="G6125" t="s">
        <v>488</v>
      </c>
      <c r="H6125" s="4">
        <v>18914742</v>
      </c>
      <c r="I6125" s="4">
        <v>17773548.95402739</v>
      </c>
      <c r="J6125" s="3">
        <v>0.060333524294045975</v>
      </c>
      <c r="K6125" s="3">
        <v>0.06420738193167795</v>
      </c>
      <c r="L6125" t="s">
        <v>54</v>
      </c>
    </row>
    <row r="6126" spans="1:12" x14ac:dyDescent="0.25">
      <c r="A6126" t="s">
        <v>487</v>
      </c>
      <c r="B6126" t="s">
        <v>467</v>
      </c>
      <c r="C6126" t="s">
        <v>468</v>
      </c>
      <c r="D6126" t="s">
        <v>186</v>
      </c>
      <c r="E6126" t="s">
        <v>190</v>
      </c>
      <c r="F6126">
        <v>2</v>
      </c>
      <c r="G6126" t="s">
        <v>498</v>
      </c>
      <c r="H6126" s="4">
        <v>18914742</v>
      </c>
      <c r="I6126" s="4">
        <v>16359868</v>
      </c>
      <c r="J6126" s="3">
        <v>0.1350731614525855</v>
      </c>
      <c r="K6126" s="3">
        <v>0.15616715244890728</v>
      </c>
      <c r="L6126" t="s">
        <v>54</v>
      </c>
    </row>
    <row r="6127" spans="1:12" x14ac:dyDescent="0.25">
      <c r="A6127" t="s">
        <v>487</v>
      </c>
      <c r="B6127" t="s">
        <v>467</v>
      </c>
      <c r="C6127" t="s">
        <v>468</v>
      </c>
      <c r="D6127" t="s">
        <v>186</v>
      </c>
      <c r="E6127" t="s">
        <v>190</v>
      </c>
      <c r="F6127">
        <v>2</v>
      </c>
      <c r="G6127" t="s">
        <v>499</v>
      </c>
      <c r="H6127" s="4">
        <v>18914742</v>
      </c>
      <c r="I6127" s="4">
        <v>12267293</v>
      </c>
      <c r="J6127" s="3">
        <v>0.35144275295956984</v>
      </c>
      <c r="K6127" s="3">
        <v>0.5418839347849603</v>
      </c>
      <c r="L6127" t="s">
        <v>54</v>
      </c>
    </row>
    <row r="6128" spans="1:12" x14ac:dyDescent="0.25">
      <c r="A6128" t="s">
        <v>487</v>
      </c>
      <c r="B6128" t="s">
        <v>467</v>
      </c>
      <c r="C6128" t="s">
        <v>468</v>
      </c>
      <c r="D6128" t="s">
        <v>186</v>
      </c>
      <c r="E6128" t="s">
        <v>192</v>
      </c>
      <c r="F6128">
        <v>3</v>
      </c>
      <c r="G6128" t="s">
        <v>488</v>
      </c>
      <c r="H6128" s="4">
        <v>18899457</v>
      </c>
      <c r="I6128" s="4">
        <v>19244921.696001552</v>
      </c>
      <c r="J6128" s="3">
        <v>0.01827908050488181</v>
      </c>
      <c r="K6128" s="3">
        <v>-0.01795095357926699</v>
      </c>
      <c r="L6128" t="s">
        <v>54</v>
      </c>
    </row>
    <row r="6129" spans="1:12" x14ac:dyDescent="0.25">
      <c r="A6129" t="s">
        <v>487</v>
      </c>
      <c r="B6129" t="s">
        <v>467</v>
      </c>
      <c r="C6129" t="s">
        <v>468</v>
      </c>
      <c r="D6129" t="s">
        <v>186</v>
      </c>
      <c r="E6129" t="s">
        <v>192</v>
      </c>
      <c r="F6129">
        <v>3</v>
      </c>
      <c r="G6129" t="s">
        <v>498</v>
      </c>
      <c r="H6129" s="4">
        <v>18899457</v>
      </c>
      <c r="I6129" s="4">
        <v>17714210</v>
      </c>
      <c r="J6129" s="3">
        <v>0.06271328324406357</v>
      </c>
      <c r="K6129" s="3">
        <v>0.06690939082239626</v>
      </c>
      <c r="L6129" t="s">
        <v>54</v>
      </c>
    </row>
    <row r="6130" spans="1:12" x14ac:dyDescent="0.25">
      <c r="A6130" t="s">
        <v>487</v>
      </c>
      <c r="B6130" t="s">
        <v>467</v>
      </c>
      <c r="C6130" t="s">
        <v>468</v>
      </c>
      <c r="D6130" t="s">
        <v>186</v>
      </c>
      <c r="E6130" t="s">
        <v>192</v>
      </c>
      <c r="F6130">
        <v>3</v>
      </c>
      <c r="G6130" t="s">
        <v>499</v>
      </c>
      <c r="H6130" s="4">
        <v>18899457</v>
      </c>
      <c r="I6130" s="4">
        <v>12267293</v>
      </c>
      <c r="J6130" s="3">
        <v>0.35091823008459977</v>
      </c>
      <c r="K6130" s="3">
        <v>0.5406379386226448</v>
      </c>
      <c r="L6130" t="s">
        <v>54</v>
      </c>
    </row>
    <row r="6131" spans="1:12" x14ac:dyDescent="0.25">
      <c r="A6131" t="s">
        <v>487</v>
      </c>
      <c r="B6131" t="s">
        <v>467</v>
      </c>
      <c r="C6131" t="s">
        <v>468</v>
      </c>
      <c r="D6131" t="s">
        <v>188</v>
      </c>
      <c r="E6131" t="s">
        <v>190</v>
      </c>
      <c r="F6131">
        <v>1</v>
      </c>
      <c r="G6131" t="s">
        <v>488</v>
      </c>
      <c r="H6131" s="4">
        <v>18914742</v>
      </c>
      <c r="I6131" s="4">
        <v>17427514.05443917</v>
      </c>
      <c r="J6131" s="3">
        <v>0.07862797946495023</v>
      </c>
      <c r="K6131" s="3">
        <v>0.085337928342224</v>
      </c>
      <c r="L6131" t="s">
        <v>54</v>
      </c>
    </row>
    <row r="6132" spans="1:12" x14ac:dyDescent="0.25">
      <c r="A6132" t="s">
        <v>487</v>
      </c>
      <c r="B6132" t="s">
        <v>467</v>
      </c>
      <c r="C6132" t="s">
        <v>468</v>
      </c>
      <c r="D6132" t="s">
        <v>188</v>
      </c>
      <c r="E6132" t="s">
        <v>190</v>
      </c>
      <c r="F6132">
        <v>1</v>
      </c>
      <c r="G6132" t="s">
        <v>498</v>
      </c>
      <c r="H6132" s="4">
        <v>18914742</v>
      </c>
      <c r="I6132" s="4">
        <v>16359868</v>
      </c>
      <c r="J6132" s="3">
        <v>0.1350731614525855</v>
      </c>
      <c r="K6132" s="3">
        <v>0.15616715244890728</v>
      </c>
      <c r="L6132" t="s">
        <v>54</v>
      </c>
    </row>
    <row r="6133" spans="1:12" x14ac:dyDescent="0.25">
      <c r="A6133" t="s">
        <v>487</v>
      </c>
      <c r="B6133" t="s">
        <v>467</v>
      </c>
      <c r="C6133" t="s">
        <v>468</v>
      </c>
      <c r="D6133" t="s">
        <v>188</v>
      </c>
      <c r="E6133" t="s">
        <v>190</v>
      </c>
      <c r="F6133">
        <v>1</v>
      </c>
      <c r="G6133" t="s">
        <v>499</v>
      </c>
      <c r="H6133" s="4">
        <v>18914742</v>
      </c>
      <c r="I6133" s="4">
        <v>14824004</v>
      </c>
      <c r="J6133" s="3">
        <v>0.21627247149339918</v>
      </c>
      <c r="K6133" s="3">
        <v>0.2759536492299921</v>
      </c>
      <c r="L6133" t="s">
        <v>54</v>
      </c>
    </row>
    <row r="6134" spans="1:12" x14ac:dyDescent="0.25">
      <c r="A6134" t="s">
        <v>487</v>
      </c>
      <c r="B6134" t="s">
        <v>467</v>
      </c>
      <c r="C6134" t="s">
        <v>468</v>
      </c>
      <c r="D6134" t="s">
        <v>188</v>
      </c>
      <c r="E6134" t="s">
        <v>192</v>
      </c>
      <c r="F6134">
        <v>2</v>
      </c>
      <c r="G6134" t="s">
        <v>488</v>
      </c>
      <c r="H6134" s="4">
        <v>18899457</v>
      </c>
      <c r="I6134" s="4">
        <v>18870240.501835763</v>
      </c>
      <c r="J6134" s="3">
        <v>0.0015458908774065067</v>
      </c>
      <c r="K6134" s="3">
        <v>0.0015482843560681837</v>
      </c>
      <c r="L6134" t="s">
        <v>54</v>
      </c>
    </row>
    <row r="6135" spans="1:12" x14ac:dyDescent="0.25">
      <c r="A6135" t="s">
        <v>487</v>
      </c>
      <c r="B6135" t="s">
        <v>467</v>
      </c>
      <c r="C6135" t="s">
        <v>468</v>
      </c>
      <c r="D6135" t="s">
        <v>188</v>
      </c>
      <c r="E6135" t="s">
        <v>192</v>
      </c>
      <c r="F6135">
        <v>2</v>
      </c>
      <c r="G6135" t="s">
        <v>498</v>
      </c>
      <c r="H6135" s="4">
        <v>18899457</v>
      </c>
      <c r="I6135" s="4">
        <v>17714210</v>
      </c>
      <c r="J6135" s="3">
        <v>0.06271328324406357</v>
      </c>
      <c r="K6135" s="3">
        <v>0.06690939082239626</v>
      </c>
      <c r="L6135" t="s">
        <v>54</v>
      </c>
    </row>
    <row r="6136" spans="1:12" x14ac:dyDescent="0.25">
      <c r="A6136" t="s">
        <v>487</v>
      </c>
      <c r="B6136" t="s">
        <v>467</v>
      </c>
      <c r="C6136" t="s">
        <v>468</v>
      </c>
      <c r="D6136" t="s">
        <v>188</v>
      </c>
      <c r="E6136" t="s">
        <v>192</v>
      </c>
      <c r="F6136">
        <v>2</v>
      </c>
      <c r="G6136" t="s">
        <v>499</v>
      </c>
      <c r="H6136" s="4">
        <v>18899457</v>
      </c>
      <c r="I6136" s="4">
        <v>14824004</v>
      </c>
      <c r="J6136" s="3">
        <v>0.215638629194479</v>
      </c>
      <c r="K6136" s="3">
        <v>0.2749225512891119</v>
      </c>
      <c r="L6136" t="s">
        <v>54</v>
      </c>
    </row>
    <row r="6137" spans="1:12" x14ac:dyDescent="0.25">
      <c r="A6137" t="s">
        <v>487</v>
      </c>
      <c r="B6137" t="s">
        <v>467</v>
      </c>
      <c r="C6137" t="s">
        <v>468</v>
      </c>
      <c r="D6137" t="s">
        <v>188</v>
      </c>
      <c r="E6137" t="s">
        <v>194</v>
      </c>
      <c r="F6137">
        <v>3</v>
      </c>
      <c r="G6137" t="s">
        <v>488</v>
      </c>
      <c r="H6137" s="4">
        <v>13000382</v>
      </c>
      <c r="I6137" s="4">
        <v>15196199.016401613</v>
      </c>
      <c r="J6137" s="3">
        <v>0.16890403808146662</v>
      </c>
      <c r="K6137" s="3">
        <v>-0.14449777961131047</v>
      </c>
      <c r="L6137" t="s">
        <v>54</v>
      </c>
    </row>
    <row r="6138" spans="1:12" x14ac:dyDescent="0.25">
      <c r="A6138" t="s">
        <v>487</v>
      </c>
      <c r="B6138" t="s">
        <v>467</v>
      </c>
      <c r="C6138" t="s">
        <v>468</v>
      </c>
      <c r="D6138" t="s">
        <v>188</v>
      </c>
      <c r="E6138" t="s">
        <v>194</v>
      </c>
      <c r="F6138">
        <v>3</v>
      </c>
      <c r="G6138" t="s">
        <v>498</v>
      </c>
      <c r="H6138" s="4">
        <v>13000382</v>
      </c>
      <c r="I6138" s="4">
        <v>14265248</v>
      </c>
      <c r="J6138" s="3">
        <v>0.09729452565316926</v>
      </c>
      <c r="K6138" s="3">
        <v>-0.08866764882040606</v>
      </c>
      <c r="L6138" t="s">
        <v>54</v>
      </c>
    </row>
    <row r="6139" spans="1:12" x14ac:dyDescent="0.25">
      <c r="A6139" t="s">
        <v>487</v>
      </c>
      <c r="B6139" t="s">
        <v>467</v>
      </c>
      <c r="C6139" t="s">
        <v>468</v>
      </c>
      <c r="D6139" t="s">
        <v>188</v>
      </c>
      <c r="E6139" t="s">
        <v>194</v>
      </c>
      <c r="F6139">
        <v>3</v>
      </c>
      <c r="G6139" t="s">
        <v>499</v>
      </c>
      <c r="H6139" s="4">
        <v>13000382</v>
      </c>
      <c r="I6139" s="4">
        <v>14824004</v>
      </c>
      <c r="J6139" s="3">
        <v>0.14027449347257642</v>
      </c>
      <c r="K6139" s="3">
        <v>-0.12301818051317309</v>
      </c>
      <c r="L6139" t="s">
        <v>54</v>
      </c>
    </row>
    <row r="6140" spans="1:12" x14ac:dyDescent="0.25">
      <c r="A6140" t="s">
        <v>487</v>
      </c>
      <c r="B6140" t="s">
        <v>467</v>
      </c>
      <c r="C6140" t="s">
        <v>468</v>
      </c>
      <c r="D6140" t="s">
        <v>190</v>
      </c>
      <c r="E6140" t="s">
        <v>192</v>
      </c>
      <c r="F6140">
        <v>1</v>
      </c>
      <c r="G6140" t="s">
        <v>488</v>
      </c>
      <c r="H6140" s="4">
        <v>18899457</v>
      </c>
      <c r="I6140" s="4">
        <v>18899046.30835687</v>
      </c>
      <c r="J6140" s="3">
        <v>0.000021730340883869533</v>
      </c>
      <c r="K6140" s="3">
        <v>0.000021730813101845918</v>
      </c>
      <c r="L6140" t="s">
        <v>54</v>
      </c>
    </row>
    <row r="6141" spans="1:12" x14ac:dyDescent="0.25">
      <c r="A6141" t="s">
        <v>487</v>
      </c>
      <c r="B6141" t="s">
        <v>467</v>
      </c>
      <c r="C6141" t="s">
        <v>468</v>
      </c>
      <c r="D6141" t="s">
        <v>190</v>
      </c>
      <c r="E6141" t="s">
        <v>192</v>
      </c>
      <c r="F6141">
        <v>1</v>
      </c>
      <c r="G6141" t="s">
        <v>498</v>
      </c>
      <c r="H6141" s="4">
        <v>18899457</v>
      </c>
      <c r="I6141" s="4">
        <v>17714210</v>
      </c>
      <c r="J6141" s="3">
        <v>0.06271328324406357</v>
      </c>
      <c r="K6141" s="3">
        <v>0.06690939082239626</v>
      </c>
      <c r="L6141" t="s">
        <v>54</v>
      </c>
    </row>
    <row r="6142" spans="1:12" x14ac:dyDescent="0.25">
      <c r="A6142" t="s">
        <v>487</v>
      </c>
      <c r="B6142" t="s">
        <v>467</v>
      </c>
      <c r="C6142" t="s">
        <v>468</v>
      </c>
      <c r="D6142" t="s">
        <v>190</v>
      </c>
      <c r="E6142" t="s">
        <v>192</v>
      </c>
      <c r="F6142">
        <v>1</v>
      </c>
      <c r="G6142" t="s">
        <v>499</v>
      </c>
      <c r="H6142" s="4">
        <v>18899457</v>
      </c>
      <c r="I6142" s="4">
        <v>18914742</v>
      </c>
      <c r="J6142" s="3">
        <v>0.0008087533943435518</v>
      </c>
      <c r="K6142" s="3">
        <v>-0.0008080998408542924</v>
      </c>
      <c r="L6142" t="s">
        <v>54</v>
      </c>
    </row>
    <row r="6143" spans="1:12" x14ac:dyDescent="0.25">
      <c r="A6143" t="s">
        <v>487</v>
      </c>
      <c r="B6143" t="s">
        <v>467</v>
      </c>
      <c r="C6143" t="s">
        <v>468</v>
      </c>
      <c r="D6143" t="s">
        <v>190</v>
      </c>
      <c r="E6143" t="s">
        <v>194</v>
      </c>
      <c r="F6143">
        <v>2</v>
      </c>
      <c r="G6143" t="s">
        <v>488</v>
      </c>
      <c r="H6143" s="4">
        <v>13000382</v>
      </c>
      <c r="I6143" s="4">
        <v>15219396.323753372</v>
      </c>
      <c r="J6143" s="3">
        <v>0.17068839390668458</v>
      </c>
      <c r="K6143" s="3">
        <v>-0.14580173066983537</v>
      </c>
      <c r="L6143" t="s">
        <v>54</v>
      </c>
    </row>
    <row r="6144" spans="1:12" x14ac:dyDescent="0.25">
      <c r="A6144" t="s">
        <v>487</v>
      </c>
      <c r="B6144" t="s">
        <v>467</v>
      </c>
      <c r="C6144" t="s">
        <v>468</v>
      </c>
      <c r="D6144" t="s">
        <v>190</v>
      </c>
      <c r="E6144" t="s">
        <v>194</v>
      </c>
      <c r="F6144">
        <v>2</v>
      </c>
      <c r="G6144" t="s">
        <v>498</v>
      </c>
      <c r="H6144" s="4">
        <v>13000382</v>
      </c>
      <c r="I6144" s="4">
        <v>14265248</v>
      </c>
      <c r="J6144" s="3">
        <v>0.09729452565316926</v>
      </c>
      <c r="K6144" s="3">
        <v>-0.08866764882040606</v>
      </c>
      <c r="L6144" t="s">
        <v>54</v>
      </c>
    </row>
    <row r="6145" spans="1:12" x14ac:dyDescent="0.25">
      <c r="A6145" t="s">
        <v>487</v>
      </c>
      <c r="B6145" t="s">
        <v>467</v>
      </c>
      <c r="C6145" t="s">
        <v>468</v>
      </c>
      <c r="D6145" t="s">
        <v>190</v>
      </c>
      <c r="E6145" t="s">
        <v>194</v>
      </c>
      <c r="F6145">
        <v>2</v>
      </c>
      <c r="G6145" t="s">
        <v>499</v>
      </c>
      <c r="H6145" s="4">
        <v>13000382</v>
      </c>
      <c r="I6145" s="4">
        <v>18914742</v>
      </c>
      <c r="J6145" s="3">
        <v>0.4549374010702147</v>
      </c>
      <c r="K6145" s="3">
        <v>-0.3126852060683672</v>
      </c>
      <c r="L6145" t="s">
        <v>54</v>
      </c>
    </row>
    <row r="6146" spans="1:12" x14ac:dyDescent="0.25">
      <c r="A6146" t="s">
        <v>487</v>
      </c>
      <c r="B6146" t="s">
        <v>467</v>
      </c>
      <c r="C6146" t="s">
        <v>468</v>
      </c>
      <c r="D6146" t="s">
        <v>190</v>
      </c>
      <c r="E6146" t="s">
        <v>196</v>
      </c>
      <c r="F6146">
        <v>3</v>
      </c>
      <c r="G6146" t="s">
        <v>488</v>
      </c>
      <c r="H6146" s="4">
        <v>9507921</v>
      </c>
      <c r="I6146" s="4">
        <v>11164030.625776414</v>
      </c>
      <c r="J6146" s="3">
        <v>0.1741820978294218</v>
      </c>
      <c r="K6146" s="3">
        <v>-0.14834334312489741</v>
      </c>
      <c r="L6146" t="s">
        <v>54</v>
      </c>
    </row>
    <row r="6147" spans="1:12" x14ac:dyDescent="0.25">
      <c r="A6147" t="s">
        <v>487</v>
      </c>
      <c r="B6147" t="s">
        <v>467</v>
      </c>
      <c r="C6147" t="s">
        <v>468</v>
      </c>
      <c r="D6147" t="s">
        <v>190</v>
      </c>
      <c r="E6147" t="s">
        <v>196</v>
      </c>
      <c r="F6147">
        <v>3</v>
      </c>
      <c r="G6147" t="s">
        <v>498</v>
      </c>
      <c r="H6147" s="4">
        <v>9507921</v>
      </c>
      <c r="I6147" s="4">
        <v>10464125</v>
      </c>
      <c r="J6147" s="3">
        <v>0.10056919909199918</v>
      </c>
      <c r="K6147" s="3">
        <v>-0.09137926009102529</v>
      </c>
      <c r="L6147" t="s">
        <v>54</v>
      </c>
    </row>
    <row r="6148" spans="1:12" x14ac:dyDescent="0.25">
      <c r="A6148" t="s">
        <v>487</v>
      </c>
      <c r="B6148" t="s">
        <v>467</v>
      </c>
      <c r="C6148" t="s">
        <v>468</v>
      </c>
      <c r="D6148" t="s">
        <v>190</v>
      </c>
      <c r="E6148" t="s">
        <v>196</v>
      </c>
      <c r="F6148">
        <v>3</v>
      </c>
      <c r="G6148" t="s">
        <v>499</v>
      </c>
      <c r="H6148" s="4">
        <v>9507921</v>
      </c>
      <c r="I6148" s="4">
        <v>18914742</v>
      </c>
      <c r="J6148" s="3">
        <v>0.9893667606199084</v>
      </c>
      <c r="K6148" s="3">
        <v>-0.4973274813899127</v>
      </c>
      <c r="L6148" t="s">
        <v>54</v>
      </c>
    </row>
    <row r="6149" spans="1:12" x14ac:dyDescent="0.25">
      <c r="A6149" t="s">
        <v>487</v>
      </c>
      <c r="B6149" t="s">
        <v>467</v>
      </c>
      <c r="C6149" t="s">
        <v>468</v>
      </c>
      <c r="D6149" t="s">
        <v>192</v>
      </c>
      <c r="E6149" t="s">
        <v>194</v>
      </c>
      <c r="F6149">
        <v>1</v>
      </c>
      <c r="G6149" t="s">
        <v>488</v>
      </c>
      <c r="H6149" s="4">
        <v>13000382</v>
      </c>
      <c r="I6149" s="4">
        <v>15331112.103775622</v>
      </c>
      <c r="J6149" s="3">
        <v>0.17928166293695233</v>
      </c>
      <c r="K6149" s="3">
        <v>-0.15202616013756948</v>
      </c>
      <c r="L6149" t="s">
        <v>54</v>
      </c>
    </row>
    <row r="6150" spans="1:12" x14ac:dyDescent="0.25">
      <c r="A6150" t="s">
        <v>487</v>
      </c>
      <c r="B6150" t="s">
        <v>467</v>
      </c>
      <c r="C6150" t="s">
        <v>468</v>
      </c>
      <c r="D6150" t="s">
        <v>192</v>
      </c>
      <c r="E6150" t="s">
        <v>194</v>
      </c>
      <c r="F6150">
        <v>1</v>
      </c>
      <c r="G6150" t="s">
        <v>498</v>
      </c>
      <c r="H6150" s="4">
        <v>13000382</v>
      </c>
      <c r="I6150" s="4">
        <v>14265248</v>
      </c>
      <c r="J6150" s="3">
        <v>0.09729452565316926</v>
      </c>
      <c r="K6150" s="3">
        <v>-0.08866764882040606</v>
      </c>
      <c r="L6150" t="s">
        <v>54</v>
      </c>
    </row>
    <row r="6151" spans="1:12" x14ac:dyDescent="0.25">
      <c r="A6151" t="s">
        <v>487</v>
      </c>
      <c r="B6151" t="s">
        <v>467</v>
      </c>
      <c r="C6151" t="s">
        <v>468</v>
      </c>
      <c r="D6151" t="s">
        <v>192</v>
      </c>
      <c r="E6151" t="s">
        <v>194</v>
      </c>
      <c r="F6151">
        <v>1</v>
      </c>
      <c r="G6151" t="s">
        <v>499</v>
      </c>
      <c r="H6151" s="4">
        <v>13000382</v>
      </c>
      <c r="I6151" s="4">
        <v>18899457</v>
      </c>
      <c r="J6151" s="3">
        <v>0.4537616663879569</v>
      </c>
      <c r="K6151" s="3">
        <v>-0.31212933789579245</v>
      </c>
      <c r="L6151" t="s">
        <v>54</v>
      </c>
    </row>
    <row r="6152" spans="1:12" x14ac:dyDescent="0.25">
      <c r="A6152" t="s">
        <v>487</v>
      </c>
      <c r="B6152" t="s">
        <v>467</v>
      </c>
      <c r="C6152" t="s">
        <v>468</v>
      </c>
      <c r="D6152" t="s">
        <v>192</v>
      </c>
      <c r="E6152" t="s">
        <v>196</v>
      </c>
      <c r="F6152">
        <v>2</v>
      </c>
      <c r="G6152" t="s">
        <v>488</v>
      </c>
      <c r="H6152" s="4">
        <v>9507921</v>
      </c>
      <c r="I6152" s="4">
        <v>11245978.579756979</v>
      </c>
      <c r="J6152" s="3">
        <v>0.1828010118886115</v>
      </c>
      <c r="K6152" s="3">
        <v>-0.15454925219985058</v>
      </c>
      <c r="L6152" t="s">
        <v>54</v>
      </c>
    </row>
    <row r="6153" spans="1:12" x14ac:dyDescent="0.25">
      <c r="A6153" t="s">
        <v>487</v>
      </c>
      <c r="B6153" t="s">
        <v>467</v>
      </c>
      <c r="C6153" t="s">
        <v>468</v>
      </c>
      <c r="D6153" t="s">
        <v>192</v>
      </c>
      <c r="E6153" t="s">
        <v>196</v>
      </c>
      <c r="F6153">
        <v>2</v>
      </c>
      <c r="G6153" t="s">
        <v>498</v>
      </c>
      <c r="H6153" s="4">
        <v>9507921</v>
      </c>
      <c r="I6153" s="4">
        <v>10464125</v>
      </c>
      <c r="J6153" s="3">
        <v>0.10056919909199918</v>
      </c>
      <c r="K6153" s="3">
        <v>-0.09137926009102529</v>
      </c>
      <c r="L6153" t="s">
        <v>54</v>
      </c>
    </row>
    <row r="6154" spans="1:12" x14ac:dyDescent="0.25">
      <c r="A6154" t="s">
        <v>487</v>
      </c>
      <c r="B6154" t="s">
        <v>467</v>
      </c>
      <c r="C6154" t="s">
        <v>468</v>
      </c>
      <c r="D6154" t="s">
        <v>192</v>
      </c>
      <c r="E6154" t="s">
        <v>196</v>
      </c>
      <c r="F6154">
        <v>2</v>
      </c>
      <c r="G6154" t="s">
        <v>499</v>
      </c>
      <c r="H6154" s="4">
        <v>9507921</v>
      </c>
      <c r="I6154" s="4">
        <v>18899457</v>
      </c>
      <c r="J6154" s="3">
        <v>0.9877591536572506</v>
      </c>
      <c r="K6154" s="3">
        <v>-0.4969209432842436</v>
      </c>
      <c r="L6154" t="s">
        <v>54</v>
      </c>
    </row>
    <row r="6155" spans="1:12" x14ac:dyDescent="0.25">
      <c r="A6155" t="s">
        <v>487</v>
      </c>
      <c r="B6155" t="s">
        <v>467</v>
      </c>
      <c r="C6155" t="s">
        <v>468</v>
      </c>
      <c r="D6155" t="s">
        <v>192</v>
      </c>
      <c r="E6155" t="s">
        <v>198</v>
      </c>
      <c r="F6155">
        <v>3</v>
      </c>
      <c r="G6155" t="s">
        <v>488</v>
      </c>
      <c r="H6155" s="4">
        <v>11945295</v>
      </c>
      <c r="I6155" s="4">
        <v>14612864.406756224</v>
      </c>
      <c r="J6155" s="3">
        <v>0.22331549005329915</v>
      </c>
      <c r="K6155" s="3">
        <v>-0.18254938474094645</v>
      </c>
      <c r="L6155" t="s">
        <v>54</v>
      </c>
    </row>
    <row r="6156" spans="1:12" x14ac:dyDescent="0.25">
      <c r="A6156" t="s">
        <v>487</v>
      </c>
      <c r="B6156" t="s">
        <v>467</v>
      </c>
      <c r="C6156" t="s">
        <v>468</v>
      </c>
      <c r="D6156" t="s">
        <v>192</v>
      </c>
      <c r="E6156" t="s">
        <v>198</v>
      </c>
      <c r="F6156">
        <v>3</v>
      </c>
      <c r="G6156" t="s">
        <v>498</v>
      </c>
      <c r="H6156" s="4">
        <v>11945295</v>
      </c>
      <c r="I6156" s="4">
        <v>13596935</v>
      </c>
      <c r="J6156" s="3">
        <v>0.13826699131331624</v>
      </c>
      <c r="K6156" s="3">
        <v>-0.12147149339170923</v>
      </c>
      <c r="L6156" t="s">
        <v>54</v>
      </c>
    </row>
    <row r="6157" spans="1:12" x14ac:dyDescent="0.25">
      <c r="A6157" t="s">
        <v>487</v>
      </c>
      <c r="B6157" t="s">
        <v>467</v>
      </c>
      <c r="C6157" t="s">
        <v>468</v>
      </c>
      <c r="D6157" t="s">
        <v>192</v>
      </c>
      <c r="E6157" t="s">
        <v>198</v>
      </c>
      <c r="F6157">
        <v>3</v>
      </c>
      <c r="G6157" t="s">
        <v>499</v>
      </c>
      <c r="H6157" s="4">
        <v>11945295</v>
      </c>
      <c r="I6157" s="4">
        <v>18899457</v>
      </c>
      <c r="J6157" s="3">
        <v>0.5821674558895364</v>
      </c>
      <c r="K6157" s="3">
        <v>-0.3679556507893322</v>
      </c>
      <c r="L6157" t="s">
        <v>54</v>
      </c>
    </row>
    <row r="6158" spans="1:12" x14ac:dyDescent="0.25">
      <c r="A6158" t="s">
        <v>487</v>
      </c>
      <c r="B6158" t="s">
        <v>467</v>
      </c>
      <c r="C6158" t="s">
        <v>468</v>
      </c>
      <c r="D6158" t="s">
        <v>194</v>
      </c>
      <c r="E6158" t="s">
        <v>196</v>
      </c>
      <c r="F6158">
        <v>1</v>
      </c>
      <c r="G6158" t="s">
        <v>488</v>
      </c>
      <c r="H6158" s="4">
        <v>9507921</v>
      </c>
      <c r="I6158" s="4">
        <v>11019787.989455596</v>
      </c>
      <c r="J6158" s="3">
        <v>0.15901131166903842</v>
      </c>
      <c r="K6158" s="3">
        <v>-0.13719565121418326</v>
      </c>
      <c r="L6158" t="s">
        <v>54</v>
      </c>
    </row>
    <row r="6159" spans="1:12" x14ac:dyDescent="0.25">
      <c r="A6159" t="s">
        <v>487</v>
      </c>
      <c r="B6159" t="s">
        <v>467</v>
      </c>
      <c r="C6159" t="s">
        <v>468</v>
      </c>
      <c r="D6159" t="s">
        <v>194</v>
      </c>
      <c r="E6159" t="s">
        <v>196</v>
      </c>
      <c r="F6159">
        <v>1</v>
      </c>
      <c r="G6159" t="s">
        <v>498</v>
      </c>
      <c r="H6159" s="4">
        <v>9507921</v>
      </c>
      <c r="I6159" s="4">
        <v>10464125</v>
      </c>
      <c r="J6159" s="3">
        <v>0.10056919909199918</v>
      </c>
      <c r="K6159" s="3">
        <v>-0.09137926009102529</v>
      </c>
      <c r="L6159" t="s">
        <v>54</v>
      </c>
    </row>
    <row r="6160" spans="1:12" x14ac:dyDescent="0.25">
      <c r="A6160" t="s">
        <v>487</v>
      </c>
      <c r="B6160" t="s">
        <v>467</v>
      </c>
      <c r="C6160" t="s">
        <v>468</v>
      </c>
      <c r="D6160" t="s">
        <v>194</v>
      </c>
      <c r="E6160" t="s">
        <v>196</v>
      </c>
      <c r="F6160">
        <v>1</v>
      </c>
      <c r="G6160" t="s">
        <v>499</v>
      </c>
      <c r="H6160" s="4">
        <v>9507921</v>
      </c>
      <c r="I6160" s="4">
        <v>13000382</v>
      </c>
      <c r="J6160" s="3">
        <v>0.36732120512991223</v>
      </c>
      <c r="K6160" s="3">
        <v>-0.26864295218402046</v>
      </c>
      <c r="L6160" t="s">
        <v>54</v>
      </c>
    </row>
    <row r="6161" spans="1:12" x14ac:dyDescent="0.25">
      <c r="A6161" t="s">
        <v>487</v>
      </c>
      <c r="B6161" t="s">
        <v>467</v>
      </c>
      <c r="C6161" t="s">
        <v>468</v>
      </c>
      <c r="D6161" t="s">
        <v>194</v>
      </c>
      <c r="E6161" t="s">
        <v>198</v>
      </c>
      <c r="F6161">
        <v>2</v>
      </c>
      <c r="G6161" t="s">
        <v>488</v>
      </c>
      <c r="H6161" s="4">
        <v>11945295</v>
      </c>
      <c r="I6161" s="4">
        <v>14318955.575015437</v>
      </c>
      <c r="J6161" s="3">
        <v>0.1987109213305688</v>
      </c>
      <c r="K6161" s="3">
        <v>-0.16577051046635977</v>
      </c>
      <c r="L6161" t="s">
        <v>54</v>
      </c>
    </row>
    <row r="6162" spans="1:12" x14ac:dyDescent="0.25">
      <c r="A6162" t="s">
        <v>487</v>
      </c>
      <c r="B6162" t="s">
        <v>467</v>
      </c>
      <c r="C6162" t="s">
        <v>468</v>
      </c>
      <c r="D6162" t="s">
        <v>194</v>
      </c>
      <c r="E6162" t="s">
        <v>198</v>
      </c>
      <c r="F6162">
        <v>2</v>
      </c>
      <c r="G6162" t="s">
        <v>498</v>
      </c>
      <c r="H6162" s="4">
        <v>11945295</v>
      </c>
      <c r="I6162" s="4">
        <v>13596935</v>
      </c>
      <c r="J6162" s="3">
        <v>0.13826699131331624</v>
      </c>
      <c r="K6162" s="3">
        <v>-0.12147149339170923</v>
      </c>
      <c r="L6162" t="s">
        <v>54</v>
      </c>
    </row>
    <row r="6163" spans="1:12" x14ac:dyDescent="0.25">
      <c r="A6163" t="s">
        <v>487</v>
      </c>
      <c r="B6163" t="s">
        <v>467</v>
      </c>
      <c r="C6163" t="s">
        <v>468</v>
      </c>
      <c r="D6163" t="s">
        <v>194</v>
      </c>
      <c r="E6163" t="s">
        <v>198</v>
      </c>
      <c r="F6163">
        <v>2</v>
      </c>
      <c r="G6163" t="s">
        <v>499</v>
      </c>
      <c r="H6163" s="4">
        <v>11945295</v>
      </c>
      <c r="I6163" s="4">
        <v>13000382</v>
      </c>
      <c r="J6163" s="3">
        <v>0.088326575442465</v>
      </c>
      <c r="K6163" s="3">
        <v>-0.08115815366040782</v>
      </c>
      <c r="L6163" t="s">
        <v>54</v>
      </c>
    </row>
    <row r="6164" spans="1:12" x14ac:dyDescent="0.25">
      <c r="A6164" t="s">
        <v>487</v>
      </c>
      <c r="B6164" t="s">
        <v>467</v>
      </c>
      <c r="C6164" t="s">
        <v>468</v>
      </c>
      <c r="D6164" t="s">
        <v>194</v>
      </c>
      <c r="E6164" t="s">
        <v>200</v>
      </c>
      <c r="F6164">
        <v>3</v>
      </c>
      <c r="G6164" t="s">
        <v>488</v>
      </c>
      <c r="H6164" s="4">
        <v>14379474</v>
      </c>
      <c r="I6164" s="4">
        <v>16746491.932630982</v>
      </c>
      <c r="J6164" s="3">
        <v>0.16461088441976265</v>
      </c>
      <c r="K6164" s="3">
        <v>-0.1413441061061144</v>
      </c>
      <c r="L6164" t="s">
        <v>54</v>
      </c>
    </row>
    <row r="6165" spans="1:12" x14ac:dyDescent="0.25">
      <c r="A6165" t="s">
        <v>487</v>
      </c>
      <c r="B6165" t="s">
        <v>467</v>
      </c>
      <c r="C6165" t="s">
        <v>468</v>
      </c>
      <c r="D6165" t="s">
        <v>194</v>
      </c>
      <c r="E6165" t="s">
        <v>200</v>
      </c>
      <c r="F6165">
        <v>3</v>
      </c>
      <c r="G6165" t="s">
        <v>498</v>
      </c>
      <c r="H6165" s="4">
        <v>14379474</v>
      </c>
      <c r="I6165" s="4">
        <v>15902065</v>
      </c>
      <c r="J6165" s="3">
        <v>0.10588641837663881</v>
      </c>
      <c r="K6165" s="3">
        <v>-0.09574800505468944</v>
      </c>
      <c r="L6165" t="s">
        <v>54</v>
      </c>
    </row>
    <row r="6166" spans="1:12" x14ac:dyDescent="0.25">
      <c r="A6166" t="s">
        <v>487</v>
      </c>
      <c r="B6166" t="s">
        <v>467</v>
      </c>
      <c r="C6166" t="s">
        <v>468</v>
      </c>
      <c r="D6166" t="s">
        <v>194</v>
      </c>
      <c r="E6166" t="s">
        <v>200</v>
      </c>
      <c r="F6166">
        <v>3</v>
      </c>
      <c r="G6166" t="s">
        <v>499</v>
      </c>
      <c r="H6166" s="4">
        <v>14379474</v>
      </c>
      <c r="I6166" s="4">
        <v>13000382</v>
      </c>
      <c r="J6166" s="3">
        <v>0.09590698519292153</v>
      </c>
      <c r="K6166" s="3">
        <v>0.10608088285405767</v>
      </c>
      <c r="L6166" t="s">
        <v>54</v>
      </c>
    </row>
    <row r="6167" spans="1:12" x14ac:dyDescent="0.25">
      <c r="A6167" t="s">
        <v>487</v>
      </c>
      <c r="B6167" t="s">
        <v>467</v>
      </c>
      <c r="C6167" t="s">
        <v>468</v>
      </c>
      <c r="D6167" t="s">
        <v>196</v>
      </c>
      <c r="E6167" t="s">
        <v>198</v>
      </c>
      <c r="F6167">
        <v>1</v>
      </c>
      <c r="G6167" t="s">
        <v>488</v>
      </c>
      <c r="H6167" s="4">
        <v>11945295</v>
      </c>
      <c r="I6167" s="4">
        <v>14238029.308883997</v>
      </c>
      <c r="J6167" s="3">
        <v>0.19193618147429567</v>
      </c>
      <c r="K6167" s="3">
        <v>-0.16102890780351298</v>
      </c>
      <c r="L6167" t="s">
        <v>54</v>
      </c>
    </row>
    <row r="6168" spans="1:12" x14ac:dyDescent="0.25">
      <c r="A6168" t="s">
        <v>487</v>
      </c>
      <c r="B6168" t="s">
        <v>467</v>
      </c>
      <c r="C6168" t="s">
        <v>468</v>
      </c>
      <c r="D6168" t="s">
        <v>196</v>
      </c>
      <c r="E6168" t="s">
        <v>198</v>
      </c>
      <c r="F6168">
        <v>1</v>
      </c>
      <c r="G6168" t="s">
        <v>498</v>
      </c>
      <c r="H6168" s="4">
        <v>11945295</v>
      </c>
      <c r="I6168" s="4">
        <v>13596935</v>
      </c>
      <c r="J6168" s="3">
        <v>0.13826699131331624</v>
      </c>
      <c r="K6168" s="3">
        <v>-0.12147149339170923</v>
      </c>
      <c r="L6168" t="s">
        <v>54</v>
      </c>
    </row>
    <row r="6169" spans="1:12" x14ac:dyDescent="0.25">
      <c r="A6169" t="s">
        <v>487</v>
      </c>
      <c r="B6169" t="s">
        <v>467</v>
      </c>
      <c r="C6169" t="s">
        <v>468</v>
      </c>
      <c r="D6169" t="s">
        <v>196</v>
      </c>
      <c r="E6169" t="s">
        <v>198</v>
      </c>
      <c r="F6169">
        <v>1</v>
      </c>
      <c r="G6169" t="s">
        <v>499</v>
      </c>
      <c r="H6169" s="4">
        <v>11945295</v>
      </c>
      <c r="I6169" s="4">
        <v>9507921</v>
      </c>
      <c r="J6169" s="3">
        <v>0.20404468872472384</v>
      </c>
      <c r="K6169" s="3">
        <v>0.25635194066084477</v>
      </c>
      <c r="L6169" t="s">
        <v>54</v>
      </c>
    </row>
    <row r="6170" spans="1:12" x14ac:dyDescent="0.25">
      <c r="A6170" t="s">
        <v>487</v>
      </c>
      <c r="B6170" t="s">
        <v>467</v>
      </c>
      <c r="C6170" t="s">
        <v>468</v>
      </c>
      <c r="D6170" t="s">
        <v>196</v>
      </c>
      <c r="E6170" t="s">
        <v>200</v>
      </c>
      <c r="F6170">
        <v>2</v>
      </c>
      <c r="G6170" t="s">
        <v>488</v>
      </c>
      <c r="H6170" s="4">
        <v>14379474</v>
      </c>
      <c r="I6170" s="4">
        <v>16651845.988951067</v>
      </c>
      <c r="J6170" s="3">
        <v>0.15802886732512375</v>
      </c>
      <c r="K6170" s="3">
        <v>-0.1364636683800009</v>
      </c>
      <c r="L6170" t="s">
        <v>54</v>
      </c>
    </row>
    <row r="6171" spans="1:12" x14ac:dyDescent="0.25">
      <c r="A6171" t="s">
        <v>487</v>
      </c>
      <c r="B6171" t="s">
        <v>467</v>
      </c>
      <c r="C6171" t="s">
        <v>468</v>
      </c>
      <c r="D6171" t="s">
        <v>196</v>
      </c>
      <c r="E6171" t="s">
        <v>200</v>
      </c>
      <c r="F6171">
        <v>2</v>
      </c>
      <c r="G6171" t="s">
        <v>498</v>
      </c>
      <c r="H6171" s="4">
        <v>14379474</v>
      </c>
      <c r="I6171" s="4">
        <v>15902065</v>
      </c>
      <c r="J6171" s="3">
        <v>0.10588641837663881</v>
      </c>
      <c r="K6171" s="3">
        <v>-0.09574800505468944</v>
      </c>
      <c r="L6171" t="s">
        <v>54</v>
      </c>
    </row>
    <row r="6172" spans="1:12" x14ac:dyDescent="0.25">
      <c r="A6172" t="s">
        <v>487</v>
      </c>
      <c r="B6172" t="s">
        <v>467</v>
      </c>
      <c r="C6172" t="s">
        <v>468</v>
      </c>
      <c r="D6172" t="s">
        <v>196</v>
      </c>
      <c r="E6172" t="s">
        <v>200</v>
      </c>
      <c r="F6172">
        <v>2</v>
      </c>
      <c r="G6172" t="s">
        <v>499</v>
      </c>
      <c r="H6172" s="4">
        <v>14379474</v>
      </c>
      <c r="I6172" s="4">
        <v>9507921</v>
      </c>
      <c r="J6172" s="3">
        <v>0.3387852017396464</v>
      </c>
      <c r="K6172" s="3">
        <v>0.5123678457151674</v>
      </c>
      <c r="L6172" t="s">
        <v>54</v>
      </c>
    </row>
    <row r="6173" spans="1:12" x14ac:dyDescent="0.25">
      <c r="A6173" t="s">
        <v>487</v>
      </c>
      <c r="B6173" t="s">
        <v>467</v>
      </c>
      <c r="C6173" t="s">
        <v>468</v>
      </c>
      <c r="D6173" t="s">
        <v>196</v>
      </c>
      <c r="E6173" t="s">
        <v>202</v>
      </c>
      <c r="F6173">
        <v>3</v>
      </c>
      <c r="G6173" t="s">
        <v>488</v>
      </c>
      <c r="H6173" s="4">
        <v>14643020</v>
      </c>
      <c r="I6173" s="4">
        <v>15896336.750722304</v>
      </c>
      <c r="J6173" s="3">
        <v>0.08559141152045849</v>
      </c>
      <c r="K6173" s="3">
        <v>-0.07884311778091611</v>
      </c>
      <c r="L6173" t="s">
        <v>54</v>
      </c>
    </row>
    <row r="6174" spans="1:12" x14ac:dyDescent="0.25">
      <c r="A6174" t="s">
        <v>487</v>
      </c>
      <c r="B6174" t="s">
        <v>467</v>
      </c>
      <c r="C6174" t="s">
        <v>468</v>
      </c>
      <c r="D6174" t="s">
        <v>196</v>
      </c>
      <c r="E6174" t="s">
        <v>202</v>
      </c>
      <c r="F6174">
        <v>3</v>
      </c>
      <c r="G6174" t="s">
        <v>498</v>
      </c>
      <c r="H6174" s="4">
        <v>14643020</v>
      </c>
      <c r="I6174" s="4">
        <v>15180574</v>
      </c>
      <c r="J6174" s="3">
        <v>0.03671059658458433</v>
      </c>
      <c r="K6174" s="3">
        <v>-0.03541065048001479</v>
      </c>
      <c r="L6174" t="s">
        <v>54</v>
      </c>
    </row>
    <row r="6175" spans="1:12" x14ac:dyDescent="0.25">
      <c r="A6175" t="s">
        <v>487</v>
      </c>
      <c r="B6175" t="s">
        <v>467</v>
      </c>
      <c r="C6175" t="s">
        <v>468</v>
      </c>
      <c r="D6175" t="s">
        <v>196</v>
      </c>
      <c r="E6175" t="s">
        <v>202</v>
      </c>
      <c r="F6175">
        <v>3</v>
      </c>
      <c r="G6175" t="s">
        <v>499</v>
      </c>
      <c r="H6175" s="4">
        <v>14643020</v>
      </c>
      <c r="I6175" s="4">
        <v>9507921</v>
      </c>
      <c r="J6175" s="3">
        <v>0.3506857874946562</v>
      </c>
      <c r="K6175" s="3">
        <v>0.540086418471504</v>
      </c>
      <c r="L6175" t="s">
        <v>54</v>
      </c>
    </row>
    <row r="6176" spans="1:12" x14ac:dyDescent="0.25">
      <c r="A6176" t="s">
        <v>487</v>
      </c>
      <c r="B6176" t="s">
        <v>467</v>
      </c>
      <c r="C6176" t="s">
        <v>468</v>
      </c>
      <c r="D6176" t="s">
        <v>198</v>
      </c>
      <c r="E6176" t="s">
        <v>200</v>
      </c>
      <c r="F6176">
        <v>1</v>
      </c>
      <c r="G6176" t="s">
        <v>488</v>
      </c>
      <c r="H6176" s="4">
        <v>14379474</v>
      </c>
      <c r="I6176" s="4">
        <v>16274839.921375327</v>
      </c>
      <c r="J6176" s="3">
        <v>0.13181051833852384</v>
      </c>
      <c r="K6176" s="3">
        <v>-0.1164598810514848</v>
      </c>
      <c r="L6176" t="s">
        <v>54</v>
      </c>
    </row>
    <row r="6177" spans="1:12" x14ac:dyDescent="0.25">
      <c r="A6177" t="s">
        <v>487</v>
      </c>
      <c r="B6177" t="s">
        <v>467</v>
      </c>
      <c r="C6177" t="s">
        <v>468</v>
      </c>
      <c r="D6177" t="s">
        <v>198</v>
      </c>
      <c r="E6177" t="s">
        <v>200</v>
      </c>
      <c r="F6177">
        <v>1</v>
      </c>
      <c r="G6177" t="s">
        <v>498</v>
      </c>
      <c r="H6177" s="4">
        <v>14379474</v>
      </c>
      <c r="I6177" s="4">
        <v>15902065</v>
      </c>
      <c r="J6177" s="3">
        <v>0.10588641837663881</v>
      </c>
      <c r="K6177" s="3">
        <v>-0.09574800505468944</v>
      </c>
      <c r="L6177" t="s">
        <v>54</v>
      </c>
    </row>
    <row r="6178" spans="1:12" x14ac:dyDescent="0.25">
      <c r="A6178" t="s">
        <v>487</v>
      </c>
      <c r="B6178" t="s">
        <v>467</v>
      </c>
      <c r="C6178" t="s">
        <v>468</v>
      </c>
      <c r="D6178" t="s">
        <v>198</v>
      </c>
      <c r="E6178" t="s">
        <v>200</v>
      </c>
      <c r="F6178">
        <v>1</v>
      </c>
      <c r="G6178" t="s">
        <v>499</v>
      </c>
      <c r="H6178" s="4">
        <v>14379474</v>
      </c>
      <c r="I6178" s="4">
        <v>11945295</v>
      </c>
      <c r="J6178" s="3">
        <v>0.16928150501193576</v>
      </c>
      <c r="K6178" s="3">
        <v>0.2037772193989349</v>
      </c>
      <c r="L6178" t="s">
        <v>54</v>
      </c>
    </row>
    <row r="6179" spans="1:12" x14ac:dyDescent="0.25">
      <c r="A6179" t="s">
        <v>487</v>
      </c>
      <c r="B6179" t="s">
        <v>467</v>
      </c>
      <c r="C6179" t="s">
        <v>468</v>
      </c>
      <c r="D6179" t="s">
        <v>198</v>
      </c>
      <c r="E6179" t="s">
        <v>202</v>
      </c>
      <c r="F6179">
        <v>2</v>
      </c>
      <c r="G6179" t="s">
        <v>488</v>
      </c>
      <c r="H6179" s="4">
        <v>14643020</v>
      </c>
      <c r="I6179" s="4">
        <v>15536435.787716396</v>
      </c>
      <c r="J6179" s="3">
        <v>0.061013082527811624</v>
      </c>
      <c r="K6179" s="3">
        <v>-0.05750455251923091</v>
      </c>
      <c r="L6179" t="s">
        <v>54</v>
      </c>
    </row>
    <row r="6180" spans="1:12" x14ac:dyDescent="0.25">
      <c r="A6180" t="s">
        <v>487</v>
      </c>
      <c r="B6180" t="s">
        <v>467</v>
      </c>
      <c r="C6180" t="s">
        <v>468</v>
      </c>
      <c r="D6180" t="s">
        <v>198</v>
      </c>
      <c r="E6180" t="s">
        <v>202</v>
      </c>
      <c r="F6180">
        <v>2</v>
      </c>
      <c r="G6180" t="s">
        <v>498</v>
      </c>
      <c r="H6180" s="4">
        <v>14643020</v>
      </c>
      <c r="I6180" s="4">
        <v>15180574</v>
      </c>
      <c r="J6180" s="3">
        <v>0.03671059658458433</v>
      </c>
      <c r="K6180" s="3">
        <v>-0.03541065048001479</v>
      </c>
      <c r="L6180" t="s">
        <v>54</v>
      </c>
    </row>
    <row r="6181" spans="1:12" x14ac:dyDescent="0.25">
      <c r="A6181" t="s">
        <v>487</v>
      </c>
      <c r="B6181" t="s">
        <v>467</v>
      </c>
      <c r="C6181" t="s">
        <v>468</v>
      </c>
      <c r="D6181" t="s">
        <v>198</v>
      </c>
      <c r="E6181" t="s">
        <v>202</v>
      </c>
      <c r="F6181">
        <v>2</v>
      </c>
      <c r="G6181" t="s">
        <v>499</v>
      </c>
      <c r="H6181" s="4">
        <v>14643020</v>
      </c>
      <c r="I6181" s="4">
        <v>11945295</v>
      </c>
      <c r="J6181" s="3">
        <v>0.1842328290202431</v>
      </c>
      <c r="K6181" s="3">
        <v>0.22583996460531114</v>
      </c>
      <c r="L6181" t="s">
        <v>54</v>
      </c>
    </row>
    <row r="6182" spans="1:12" x14ac:dyDescent="0.25">
      <c r="A6182" t="s">
        <v>487</v>
      </c>
      <c r="B6182" t="s">
        <v>467</v>
      </c>
      <c r="C6182" t="s">
        <v>468</v>
      </c>
      <c r="D6182" t="s">
        <v>198</v>
      </c>
      <c r="E6182" t="s">
        <v>204</v>
      </c>
      <c r="F6182">
        <v>3</v>
      </c>
      <c r="G6182" t="s">
        <v>488</v>
      </c>
      <c r="H6182" s="4">
        <v>15258284</v>
      </c>
      <c r="I6182" s="4">
        <v>10858147.681141796</v>
      </c>
      <c r="J6182" s="3">
        <v>0.28837687900278985</v>
      </c>
      <c r="K6182" s="3">
        <v>0.40523820895347273</v>
      </c>
      <c r="L6182" t="s">
        <v>54</v>
      </c>
    </row>
    <row r="6183" spans="1:12" x14ac:dyDescent="0.25">
      <c r="A6183" t="s">
        <v>487</v>
      </c>
      <c r="B6183" t="s">
        <v>467</v>
      </c>
      <c r="C6183" t="s">
        <v>468</v>
      </c>
      <c r="D6183" t="s">
        <v>198</v>
      </c>
      <c r="E6183" t="s">
        <v>204</v>
      </c>
      <c r="F6183">
        <v>3</v>
      </c>
      <c r="G6183" t="s">
        <v>498</v>
      </c>
      <c r="H6183" s="4">
        <v>15258284</v>
      </c>
      <c r="I6183" s="4">
        <v>10609442</v>
      </c>
      <c r="J6183" s="3">
        <v>0.30467659403901515</v>
      </c>
      <c r="K6183" s="3">
        <v>0.43817968937480406</v>
      </c>
      <c r="L6183" t="s">
        <v>54</v>
      </c>
    </row>
    <row r="6184" spans="1:12" x14ac:dyDescent="0.25">
      <c r="A6184" t="s">
        <v>487</v>
      </c>
      <c r="B6184" t="s">
        <v>467</v>
      </c>
      <c r="C6184" t="s">
        <v>468</v>
      </c>
      <c r="D6184" t="s">
        <v>198</v>
      </c>
      <c r="E6184" t="s">
        <v>204</v>
      </c>
      <c r="F6184">
        <v>3</v>
      </c>
      <c r="G6184" t="s">
        <v>499</v>
      </c>
      <c r="H6184" s="4">
        <v>15258284</v>
      </c>
      <c r="I6184" s="4">
        <v>11945295</v>
      </c>
      <c r="J6184" s="3">
        <v>0.2171272339668078</v>
      </c>
      <c r="K6184" s="3">
        <v>0.2773467712601489</v>
      </c>
      <c r="L6184" t="s">
        <v>54</v>
      </c>
    </row>
    <row r="6185" spans="1:12" x14ac:dyDescent="0.25">
      <c r="A6185" t="s">
        <v>487</v>
      </c>
      <c r="B6185" t="s">
        <v>467</v>
      </c>
      <c r="C6185" t="s">
        <v>468</v>
      </c>
      <c r="D6185" t="s">
        <v>200</v>
      </c>
      <c r="E6185" t="s">
        <v>202</v>
      </c>
      <c r="F6185">
        <v>1</v>
      </c>
      <c r="G6185" t="s">
        <v>488</v>
      </c>
      <c r="H6185" s="4">
        <v>14643020</v>
      </c>
      <c r="I6185" s="4">
        <v>15457414.824336385</v>
      </c>
      <c r="J6185" s="3">
        <v>0.05561658895066628</v>
      </c>
      <c r="K6185" s="3">
        <v>-0.05268635367501362</v>
      </c>
      <c r="L6185" t="s">
        <v>54</v>
      </c>
    </row>
    <row r="6186" spans="1:12" x14ac:dyDescent="0.25">
      <c r="A6186" t="s">
        <v>487</v>
      </c>
      <c r="B6186" t="s">
        <v>467</v>
      </c>
      <c r="C6186" t="s">
        <v>468</v>
      </c>
      <c r="D6186" t="s">
        <v>200</v>
      </c>
      <c r="E6186" t="s">
        <v>202</v>
      </c>
      <c r="F6186">
        <v>1</v>
      </c>
      <c r="G6186" t="s">
        <v>498</v>
      </c>
      <c r="H6186" s="4">
        <v>14643020</v>
      </c>
      <c r="I6186" s="4">
        <v>15180574</v>
      </c>
      <c r="J6186" s="3">
        <v>0.03671059658458433</v>
      </c>
      <c r="K6186" s="3">
        <v>-0.03541065048001479</v>
      </c>
      <c r="L6186" t="s">
        <v>54</v>
      </c>
    </row>
    <row r="6187" spans="1:12" x14ac:dyDescent="0.25">
      <c r="A6187" t="s">
        <v>487</v>
      </c>
      <c r="B6187" t="s">
        <v>467</v>
      </c>
      <c r="C6187" t="s">
        <v>468</v>
      </c>
      <c r="D6187" t="s">
        <v>200</v>
      </c>
      <c r="E6187" t="s">
        <v>202</v>
      </c>
      <c r="F6187">
        <v>1</v>
      </c>
      <c r="G6187" t="s">
        <v>499</v>
      </c>
      <c r="H6187" s="4">
        <v>14643020</v>
      </c>
      <c r="I6187" s="4">
        <v>14379474</v>
      </c>
      <c r="J6187" s="3">
        <v>0.017998063241052735</v>
      </c>
      <c r="K6187" s="3">
        <v>0.018327930493145995</v>
      </c>
      <c r="L6187" t="s">
        <v>54</v>
      </c>
    </row>
    <row r="6188" spans="1:12" x14ac:dyDescent="0.25">
      <c r="A6188" t="s">
        <v>487</v>
      </c>
      <c r="B6188" t="s">
        <v>467</v>
      </c>
      <c r="C6188" t="s">
        <v>468</v>
      </c>
      <c r="D6188" t="s">
        <v>200</v>
      </c>
      <c r="E6188" t="s">
        <v>204</v>
      </c>
      <c r="F6188">
        <v>2</v>
      </c>
      <c r="G6188" t="s">
        <v>488</v>
      </c>
      <c r="H6188" s="4">
        <v>15258284</v>
      </c>
      <c r="I6188" s="4">
        <v>10802921.289322596</v>
      </c>
      <c r="J6188" s="3">
        <v>0.29199631561959416</v>
      </c>
      <c r="K6188" s="3">
        <v>0.4124220283897653</v>
      </c>
      <c r="L6188" t="s">
        <v>54</v>
      </c>
    </row>
    <row r="6189" spans="1:12" x14ac:dyDescent="0.25">
      <c r="A6189" t="s">
        <v>487</v>
      </c>
      <c r="B6189" t="s">
        <v>467</v>
      </c>
      <c r="C6189" t="s">
        <v>468</v>
      </c>
      <c r="D6189" t="s">
        <v>200</v>
      </c>
      <c r="E6189" t="s">
        <v>204</v>
      </c>
      <c r="F6189">
        <v>2</v>
      </c>
      <c r="G6189" t="s">
        <v>498</v>
      </c>
      <c r="H6189" s="4">
        <v>15258284</v>
      </c>
      <c r="I6189" s="4">
        <v>10609442</v>
      </c>
      <c r="J6189" s="3">
        <v>0.30467659403901515</v>
      </c>
      <c r="K6189" s="3">
        <v>0.43817968937480406</v>
      </c>
      <c r="L6189" t="s">
        <v>54</v>
      </c>
    </row>
    <row r="6190" spans="1:12" x14ac:dyDescent="0.25">
      <c r="A6190" t="s">
        <v>487</v>
      </c>
      <c r="B6190" t="s">
        <v>467</v>
      </c>
      <c r="C6190" t="s">
        <v>468</v>
      </c>
      <c r="D6190" t="s">
        <v>200</v>
      </c>
      <c r="E6190" t="s">
        <v>204</v>
      </c>
      <c r="F6190">
        <v>2</v>
      </c>
      <c r="G6190" t="s">
        <v>499</v>
      </c>
      <c r="H6190" s="4">
        <v>15258284</v>
      </c>
      <c r="I6190" s="4">
        <v>14379474</v>
      </c>
      <c r="J6190" s="3">
        <v>0.05759559856141097</v>
      </c>
      <c r="K6190" s="3">
        <v>0.061115587399094014</v>
      </c>
      <c r="L6190" t="s">
        <v>54</v>
      </c>
    </row>
    <row r="6191" spans="1:12" x14ac:dyDescent="0.25">
      <c r="A6191" t="s">
        <v>487</v>
      </c>
      <c r="B6191" t="s">
        <v>467</v>
      </c>
      <c r="C6191" t="s">
        <v>468</v>
      </c>
      <c r="D6191" t="s">
        <v>200</v>
      </c>
      <c r="E6191" t="s">
        <v>206</v>
      </c>
      <c r="F6191">
        <v>3</v>
      </c>
      <c r="G6191" t="s">
        <v>488</v>
      </c>
      <c r="H6191" s="4">
        <v>8160143</v>
      </c>
      <c r="I6191" s="4">
        <v>8671750.218837006</v>
      </c>
      <c r="J6191" s="3">
        <v>0.06269586437848038</v>
      </c>
      <c r="K6191" s="3">
        <v>-0.05899699667613572</v>
      </c>
      <c r="L6191" t="s">
        <v>54</v>
      </c>
    </row>
    <row r="6192" spans="1:12" x14ac:dyDescent="0.25">
      <c r="A6192" t="s">
        <v>487</v>
      </c>
      <c r="B6192" t="s">
        <v>467</v>
      </c>
      <c r="C6192" t="s">
        <v>468</v>
      </c>
      <c r="D6192" t="s">
        <v>200</v>
      </c>
      <c r="E6192" t="s">
        <v>206</v>
      </c>
      <c r="F6192">
        <v>3</v>
      </c>
      <c r="G6192" t="s">
        <v>498</v>
      </c>
      <c r="H6192" s="4">
        <v>8160143</v>
      </c>
      <c r="I6192" s="4">
        <v>8516440</v>
      </c>
      <c r="J6192" s="3">
        <v>0.04366308286509195</v>
      </c>
      <c r="K6192" s="3">
        <v>-0.04183637764136188</v>
      </c>
      <c r="L6192" t="s">
        <v>54</v>
      </c>
    </row>
    <row r="6193" spans="1:12" x14ac:dyDescent="0.25">
      <c r="A6193" t="s">
        <v>487</v>
      </c>
      <c r="B6193" t="s">
        <v>467</v>
      </c>
      <c r="C6193" t="s">
        <v>468</v>
      </c>
      <c r="D6193" t="s">
        <v>200</v>
      </c>
      <c r="E6193" t="s">
        <v>206</v>
      </c>
      <c r="F6193">
        <v>3</v>
      </c>
      <c r="G6193" t="s">
        <v>499</v>
      </c>
      <c r="H6193" s="4">
        <v>8160143</v>
      </c>
      <c r="I6193" s="4">
        <v>14379474</v>
      </c>
      <c r="J6193" s="3">
        <v>0.7621595601939819</v>
      </c>
      <c r="K6193" s="3">
        <v>-0.43251449948725523</v>
      </c>
      <c r="L6193" t="s">
        <v>54</v>
      </c>
    </row>
    <row r="6194" spans="1:12" x14ac:dyDescent="0.25">
      <c r="A6194" t="s">
        <v>487</v>
      </c>
      <c r="B6194" t="s">
        <v>467</v>
      </c>
      <c r="C6194" t="s">
        <v>468</v>
      </c>
      <c r="D6194" t="s">
        <v>202</v>
      </c>
      <c r="E6194" t="s">
        <v>204</v>
      </c>
      <c r="F6194">
        <v>1</v>
      </c>
      <c r="G6194" t="s">
        <v>488</v>
      </c>
      <c r="H6194" s="4">
        <v>15258284</v>
      </c>
      <c r="I6194" s="4">
        <v>10800272.535037687</v>
      </c>
      <c r="J6194" s="3">
        <v>0.29216991012634924</v>
      </c>
      <c r="K6194" s="3">
        <v>0.4127684232504191</v>
      </c>
      <c r="L6194" t="s">
        <v>54</v>
      </c>
    </row>
    <row r="6195" spans="1:12" x14ac:dyDescent="0.25">
      <c r="A6195" t="s">
        <v>487</v>
      </c>
      <c r="B6195" t="s">
        <v>467</v>
      </c>
      <c r="C6195" t="s">
        <v>468</v>
      </c>
      <c r="D6195" t="s">
        <v>202</v>
      </c>
      <c r="E6195" t="s">
        <v>204</v>
      </c>
      <c r="F6195">
        <v>1</v>
      </c>
      <c r="G6195" t="s">
        <v>498</v>
      </c>
      <c r="H6195" s="4">
        <v>15258284</v>
      </c>
      <c r="I6195" s="4">
        <v>10609442</v>
      </c>
      <c r="J6195" s="3">
        <v>0.30467659403901515</v>
      </c>
      <c r="K6195" s="3">
        <v>0.43817968937480406</v>
      </c>
      <c r="L6195" t="s">
        <v>54</v>
      </c>
    </row>
    <row r="6196" spans="1:12" x14ac:dyDescent="0.25">
      <c r="A6196" t="s">
        <v>487</v>
      </c>
      <c r="B6196" t="s">
        <v>467</v>
      </c>
      <c r="C6196" t="s">
        <v>468</v>
      </c>
      <c r="D6196" t="s">
        <v>202</v>
      </c>
      <c r="E6196" t="s">
        <v>204</v>
      </c>
      <c r="F6196">
        <v>1</v>
      </c>
      <c r="G6196" t="s">
        <v>499</v>
      </c>
      <c r="H6196" s="4">
        <v>15258284</v>
      </c>
      <c r="I6196" s="4">
        <v>14643020</v>
      </c>
      <c r="J6196" s="3">
        <v>0.04032327619540965</v>
      </c>
      <c r="K6196" s="3">
        <v>0.0420175619510183</v>
      </c>
      <c r="L6196" t="s">
        <v>54</v>
      </c>
    </row>
    <row r="6197" spans="1:12" x14ac:dyDescent="0.25">
      <c r="A6197" t="s">
        <v>487</v>
      </c>
      <c r="B6197" t="s">
        <v>467</v>
      </c>
      <c r="C6197" t="s">
        <v>468</v>
      </c>
      <c r="D6197" t="s">
        <v>202</v>
      </c>
      <c r="E6197" t="s">
        <v>206</v>
      </c>
      <c r="F6197">
        <v>2</v>
      </c>
      <c r="G6197" t="s">
        <v>488</v>
      </c>
      <c r="H6197" s="4">
        <v>8160143</v>
      </c>
      <c r="I6197" s="4">
        <v>8669624.003627745</v>
      </c>
      <c r="J6197" s="3">
        <v>0.062435303355314414</v>
      </c>
      <c r="K6197" s="3">
        <v>-0.058766216783398745</v>
      </c>
      <c r="L6197" t="s">
        <v>54</v>
      </c>
    </row>
    <row r="6198" spans="1:12" x14ac:dyDescent="0.25">
      <c r="A6198" t="s">
        <v>487</v>
      </c>
      <c r="B6198" t="s">
        <v>467</v>
      </c>
      <c r="C6198" t="s">
        <v>468</v>
      </c>
      <c r="D6198" t="s">
        <v>202</v>
      </c>
      <c r="E6198" t="s">
        <v>206</v>
      </c>
      <c r="F6198">
        <v>2</v>
      </c>
      <c r="G6198" t="s">
        <v>498</v>
      </c>
      <c r="H6198" s="4">
        <v>8160143</v>
      </c>
      <c r="I6198" s="4">
        <v>8516440</v>
      </c>
      <c r="J6198" s="3">
        <v>0.04366308286509195</v>
      </c>
      <c r="K6198" s="3">
        <v>-0.04183637764136188</v>
      </c>
      <c r="L6198" t="s">
        <v>54</v>
      </c>
    </row>
    <row r="6199" spans="1:12" x14ac:dyDescent="0.25">
      <c r="A6199" t="s">
        <v>487</v>
      </c>
      <c r="B6199" t="s">
        <v>467</v>
      </c>
      <c r="C6199" t="s">
        <v>468</v>
      </c>
      <c r="D6199" t="s">
        <v>202</v>
      </c>
      <c r="E6199" t="s">
        <v>206</v>
      </c>
      <c r="F6199">
        <v>2</v>
      </c>
      <c r="G6199" t="s">
        <v>499</v>
      </c>
      <c r="H6199" s="4">
        <v>8160143</v>
      </c>
      <c r="I6199" s="4">
        <v>14643020</v>
      </c>
      <c r="J6199" s="3">
        <v>0.7944562981310499</v>
      </c>
      <c r="K6199" s="3">
        <v>-0.4427281394138641</v>
      </c>
      <c r="L6199" t="s">
        <v>54</v>
      </c>
    </row>
    <row r="6200" spans="1:12" x14ac:dyDescent="0.25">
      <c r="A6200" t="s">
        <v>487</v>
      </c>
      <c r="B6200" t="s">
        <v>467</v>
      </c>
      <c r="C6200" t="s">
        <v>468</v>
      </c>
      <c r="D6200" t="s">
        <v>202</v>
      </c>
      <c r="E6200" t="s">
        <v>208</v>
      </c>
      <c r="F6200">
        <v>3</v>
      </c>
      <c r="G6200" t="s">
        <v>488</v>
      </c>
      <c r="H6200" s="4">
        <v>8394372</v>
      </c>
      <c r="I6200" s="4">
        <v>12715864.216621364</v>
      </c>
      <c r="J6200" s="3">
        <v>0.5148082806696396</v>
      </c>
      <c r="K6200" s="3">
        <v>-0.3398504531821428</v>
      </c>
      <c r="L6200" t="s">
        <v>54</v>
      </c>
    </row>
    <row r="6201" spans="1:12" x14ac:dyDescent="0.25">
      <c r="A6201" t="s">
        <v>487</v>
      </c>
      <c r="B6201" t="s">
        <v>467</v>
      </c>
      <c r="C6201" t="s">
        <v>468</v>
      </c>
      <c r="D6201" t="s">
        <v>202</v>
      </c>
      <c r="E6201" t="s">
        <v>208</v>
      </c>
      <c r="F6201">
        <v>3</v>
      </c>
      <c r="G6201" t="s">
        <v>498</v>
      </c>
      <c r="H6201" s="4">
        <v>8394372</v>
      </c>
      <c r="I6201" s="4">
        <v>12491187</v>
      </c>
      <c r="J6201" s="3">
        <v>0.48804306027895833</v>
      </c>
      <c r="K6201" s="3">
        <v>-0.32797643650679476</v>
      </c>
      <c r="L6201" t="s">
        <v>54</v>
      </c>
    </row>
    <row r="6202" spans="1:12" x14ac:dyDescent="0.25">
      <c r="A6202" t="s">
        <v>487</v>
      </c>
      <c r="B6202" t="s">
        <v>467</v>
      </c>
      <c r="C6202" t="s">
        <v>468</v>
      </c>
      <c r="D6202" t="s">
        <v>202</v>
      </c>
      <c r="E6202" t="s">
        <v>208</v>
      </c>
      <c r="F6202">
        <v>3</v>
      </c>
      <c r="G6202" t="s">
        <v>499</v>
      </c>
      <c r="H6202" s="4">
        <v>8394372</v>
      </c>
      <c r="I6202" s="4">
        <v>14643020</v>
      </c>
      <c r="J6202" s="3">
        <v>0.7443854048879416</v>
      </c>
      <c r="K6202" s="3">
        <v>-0.42673219049075944</v>
      </c>
      <c r="L6202" t="s">
        <v>54</v>
      </c>
    </row>
    <row r="6203" spans="1:12" x14ac:dyDescent="0.25">
      <c r="A6203" t="s">
        <v>487</v>
      </c>
      <c r="B6203" t="s">
        <v>467</v>
      </c>
      <c r="C6203" t="s">
        <v>468</v>
      </c>
      <c r="D6203" t="s">
        <v>204</v>
      </c>
      <c r="E6203" t="s">
        <v>206</v>
      </c>
      <c r="F6203">
        <v>1</v>
      </c>
      <c r="G6203" t="s">
        <v>488</v>
      </c>
      <c r="H6203" s="4">
        <v>8160143</v>
      </c>
      <c r="I6203" s="4">
        <v>9146919.354172658</v>
      </c>
      <c r="J6203" s="3">
        <v>0.12092635560095677</v>
      </c>
      <c r="K6203" s="3">
        <v>-0.10788073185782586</v>
      </c>
      <c r="L6203" t="s">
        <v>54</v>
      </c>
    </row>
    <row r="6204" spans="1:12" x14ac:dyDescent="0.25">
      <c r="A6204" t="s">
        <v>487</v>
      </c>
      <c r="B6204" t="s">
        <v>467</v>
      </c>
      <c r="C6204" t="s">
        <v>468</v>
      </c>
      <c r="D6204" t="s">
        <v>204</v>
      </c>
      <c r="E6204" t="s">
        <v>206</v>
      </c>
      <c r="F6204">
        <v>1</v>
      </c>
      <c r="G6204" t="s">
        <v>498</v>
      </c>
      <c r="H6204" s="4">
        <v>8160143</v>
      </c>
      <c r="I6204" s="4">
        <v>8516440</v>
      </c>
      <c r="J6204" s="3">
        <v>0.04366308286509195</v>
      </c>
      <c r="K6204" s="3">
        <v>-0.04183637764136188</v>
      </c>
      <c r="L6204" t="s">
        <v>54</v>
      </c>
    </row>
    <row r="6205" spans="1:12" x14ac:dyDescent="0.25">
      <c r="A6205" t="s">
        <v>487</v>
      </c>
      <c r="B6205" t="s">
        <v>467</v>
      </c>
      <c r="C6205" t="s">
        <v>468</v>
      </c>
      <c r="D6205" t="s">
        <v>204</v>
      </c>
      <c r="E6205" t="s">
        <v>206</v>
      </c>
      <c r="F6205">
        <v>1</v>
      </c>
      <c r="G6205" t="s">
        <v>499</v>
      </c>
      <c r="H6205" s="4">
        <v>8160143</v>
      </c>
      <c r="I6205" s="4">
        <v>15258284</v>
      </c>
      <c r="J6205" s="3">
        <v>0.8698549768061663</v>
      </c>
      <c r="K6205" s="3">
        <v>-0.4651991665642087</v>
      </c>
      <c r="L6205" t="s">
        <v>54</v>
      </c>
    </row>
    <row r="6206" spans="1:12" x14ac:dyDescent="0.25">
      <c r="A6206" t="s">
        <v>487</v>
      </c>
      <c r="B6206" t="s">
        <v>467</v>
      </c>
      <c r="C6206" t="s">
        <v>468</v>
      </c>
      <c r="D6206" t="s">
        <v>204</v>
      </c>
      <c r="E6206" t="s">
        <v>208</v>
      </c>
      <c r="F6206">
        <v>2</v>
      </c>
      <c r="G6206" t="s">
        <v>488</v>
      </c>
      <c r="H6206" s="4">
        <v>8394372</v>
      </c>
      <c r="I6206" s="4">
        <v>13415920.282053286</v>
      </c>
      <c r="J6206" s="3">
        <v>0.598204163700785</v>
      </c>
      <c r="K6206" s="3">
        <v>-0.37429771320053984</v>
      </c>
      <c r="L6206" t="s">
        <v>54</v>
      </c>
    </row>
    <row r="6207" spans="1:12" x14ac:dyDescent="0.25">
      <c r="A6207" t="s">
        <v>487</v>
      </c>
      <c r="B6207" t="s">
        <v>467</v>
      </c>
      <c r="C6207" t="s">
        <v>468</v>
      </c>
      <c r="D6207" t="s">
        <v>204</v>
      </c>
      <c r="E6207" t="s">
        <v>208</v>
      </c>
      <c r="F6207">
        <v>2</v>
      </c>
      <c r="G6207" t="s">
        <v>498</v>
      </c>
      <c r="H6207" s="4">
        <v>8394372</v>
      </c>
      <c r="I6207" s="4">
        <v>12491187</v>
      </c>
      <c r="J6207" s="3">
        <v>0.48804306027895833</v>
      </c>
      <c r="K6207" s="3">
        <v>-0.32797643650679476</v>
      </c>
      <c r="L6207" t="s">
        <v>54</v>
      </c>
    </row>
    <row r="6208" spans="1:12" x14ac:dyDescent="0.25">
      <c r="A6208" t="s">
        <v>487</v>
      </c>
      <c r="B6208" t="s">
        <v>467</v>
      </c>
      <c r="C6208" t="s">
        <v>468</v>
      </c>
      <c r="D6208" t="s">
        <v>204</v>
      </c>
      <c r="E6208" t="s">
        <v>208</v>
      </c>
      <c r="F6208">
        <v>2</v>
      </c>
      <c r="G6208" t="s">
        <v>499</v>
      </c>
      <c r="H6208" s="4">
        <v>8394372</v>
      </c>
      <c r="I6208" s="4">
        <v>15258284</v>
      </c>
      <c r="J6208" s="3">
        <v>0.8176802267042728</v>
      </c>
      <c r="K6208" s="3">
        <v>-0.449848226707538</v>
      </c>
      <c r="L6208" t="s">
        <v>54</v>
      </c>
    </row>
    <row r="6209" spans="1:12" x14ac:dyDescent="0.25">
      <c r="A6209" t="s">
        <v>487</v>
      </c>
      <c r="B6209" t="s">
        <v>467</v>
      </c>
      <c r="C6209" t="s">
        <v>468</v>
      </c>
      <c r="D6209" t="s">
        <v>204</v>
      </c>
      <c r="E6209" t="s">
        <v>210</v>
      </c>
      <c r="F6209">
        <v>3</v>
      </c>
      <c r="G6209" t="s">
        <v>488</v>
      </c>
      <c r="H6209" s="4">
        <v>9841326</v>
      </c>
      <c r="I6209" s="4">
        <v>13175451.217293466</v>
      </c>
      <c r="J6209" s="3">
        <v>0.33878820976903573</v>
      </c>
      <c r="K6209" s="3">
        <v>-0.25305586596664353</v>
      </c>
      <c r="L6209" t="s">
        <v>54</v>
      </c>
    </row>
    <row r="6210" spans="1:12" x14ac:dyDescent="0.25">
      <c r="A6210" t="s">
        <v>487</v>
      </c>
      <c r="B6210" t="s">
        <v>467</v>
      </c>
      <c r="C6210" t="s">
        <v>468</v>
      </c>
      <c r="D6210" t="s">
        <v>204</v>
      </c>
      <c r="E6210" t="s">
        <v>210</v>
      </c>
      <c r="F6210">
        <v>3</v>
      </c>
      <c r="G6210" t="s">
        <v>498</v>
      </c>
      <c r="H6210" s="4">
        <v>9841326</v>
      </c>
      <c r="I6210" s="4">
        <v>12267293</v>
      </c>
      <c r="J6210" s="3">
        <v>0.246508143313208</v>
      </c>
      <c r="K6210" s="3">
        <v>-0.1977589513839769</v>
      </c>
      <c r="L6210" t="s">
        <v>54</v>
      </c>
    </row>
    <row r="6211" spans="1:12" x14ac:dyDescent="0.25">
      <c r="A6211" t="s">
        <v>487</v>
      </c>
      <c r="B6211" t="s">
        <v>467</v>
      </c>
      <c r="C6211" t="s">
        <v>468</v>
      </c>
      <c r="D6211" t="s">
        <v>204</v>
      </c>
      <c r="E6211" t="s">
        <v>210</v>
      </c>
      <c r="F6211">
        <v>3</v>
      </c>
      <c r="G6211" t="s">
        <v>499</v>
      </c>
      <c r="H6211" s="4">
        <v>9841326</v>
      </c>
      <c r="I6211" s="4">
        <v>15258284</v>
      </c>
      <c r="J6211" s="3">
        <v>0.550429688031877</v>
      </c>
      <c r="K6211" s="3">
        <v>-0.35501751048807323</v>
      </c>
      <c r="L6211" t="s">
        <v>54</v>
      </c>
    </row>
    <row r="6212" spans="1:12" x14ac:dyDescent="0.25">
      <c r="A6212" t="s">
        <v>487</v>
      </c>
      <c r="B6212" t="s">
        <v>467</v>
      </c>
      <c r="C6212" t="s">
        <v>468</v>
      </c>
      <c r="D6212" t="s">
        <v>206</v>
      </c>
      <c r="E6212" t="s">
        <v>208</v>
      </c>
      <c r="F6212">
        <v>1</v>
      </c>
      <c r="G6212" t="s">
        <v>488</v>
      </c>
      <c r="H6212" s="4">
        <v>8394372</v>
      </c>
      <c r="I6212" s="4">
        <v>13453250.197603831</v>
      </c>
      <c r="J6212" s="3">
        <v>0.6026511807677609</v>
      </c>
      <c r="K6212" s="3">
        <v>-0.3760339043203754</v>
      </c>
      <c r="L6212" t="s">
        <v>54</v>
      </c>
    </row>
    <row r="6213" spans="1:12" x14ac:dyDescent="0.25">
      <c r="A6213" t="s">
        <v>487</v>
      </c>
      <c r="B6213" t="s">
        <v>467</v>
      </c>
      <c r="C6213" t="s">
        <v>468</v>
      </c>
      <c r="D6213" t="s">
        <v>206</v>
      </c>
      <c r="E6213" t="s">
        <v>208</v>
      </c>
      <c r="F6213">
        <v>1</v>
      </c>
      <c r="G6213" t="s">
        <v>498</v>
      </c>
      <c r="H6213" s="4">
        <v>8394372</v>
      </c>
      <c r="I6213" s="4">
        <v>12491187</v>
      </c>
      <c r="J6213" s="3">
        <v>0.48804306027895833</v>
      </c>
      <c r="K6213" s="3">
        <v>-0.32797643650679476</v>
      </c>
      <c r="L6213" t="s">
        <v>54</v>
      </c>
    </row>
    <row r="6214" spans="1:12" x14ac:dyDescent="0.25">
      <c r="A6214" t="s">
        <v>487</v>
      </c>
      <c r="B6214" t="s">
        <v>467</v>
      </c>
      <c r="C6214" t="s">
        <v>468</v>
      </c>
      <c r="D6214" t="s">
        <v>206</v>
      </c>
      <c r="E6214" t="s">
        <v>208</v>
      </c>
      <c r="F6214">
        <v>1</v>
      </c>
      <c r="G6214" t="s">
        <v>499</v>
      </c>
      <c r="H6214" s="4">
        <v>8394372</v>
      </c>
      <c r="I6214" s="4">
        <v>8160143</v>
      </c>
      <c r="J6214" s="3">
        <v>0.027903099838796755</v>
      </c>
      <c r="K6214" s="3">
        <v>0.02870403128964774</v>
      </c>
      <c r="L6214" t="s">
        <v>54</v>
      </c>
    </row>
    <row r="6215" spans="1:12" x14ac:dyDescent="0.25">
      <c r="A6215" t="s">
        <v>487</v>
      </c>
      <c r="B6215" t="s">
        <v>467</v>
      </c>
      <c r="C6215" t="s">
        <v>468</v>
      </c>
      <c r="D6215" t="s">
        <v>206</v>
      </c>
      <c r="E6215" t="s">
        <v>210</v>
      </c>
      <c r="F6215">
        <v>2</v>
      </c>
      <c r="G6215" t="s">
        <v>488</v>
      </c>
      <c r="H6215" s="4">
        <v>9841326</v>
      </c>
      <c r="I6215" s="4">
        <v>13212112.025567634</v>
      </c>
      <c r="J6215" s="3">
        <v>0.34251339967476274</v>
      </c>
      <c r="K6215" s="3">
        <v>-0.25512847749433265</v>
      </c>
      <c r="L6215" t="s">
        <v>54</v>
      </c>
    </row>
    <row r="6216" spans="1:12" x14ac:dyDescent="0.25">
      <c r="A6216" t="s">
        <v>487</v>
      </c>
      <c r="B6216" t="s">
        <v>467</v>
      </c>
      <c r="C6216" t="s">
        <v>468</v>
      </c>
      <c r="D6216" t="s">
        <v>206</v>
      </c>
      <c r="E6216" t="s">
        <v>210</v>
      </c>
      <c r="F6216">
        <v>2</v>
      </c>
      <c r="G6216" t="s">
        <v>498</v>
      </c>
      <c r="H6216" s="4">
        <v>9841326</v>
      </c>
      <c r="I6216" s="4">
        <v>12267293</v>
      </c>
      <c r="J6216" s="3">
        <v>0.246508143313208</v>
      </c>
      <c r="K6216" s="3">
        <v>-0.1977589513839769</v>
      </c>
      <c r="L6216" t="s">
        <v>54</v>
      </c>
    </row>
    <row r="6217" spans="1:12" x14ac:dyDescent="0.25">
      <c r="A6217" t="s">
        <v>487</v>
      </c>
      <c r="B6217" t="s">
        <v>467</v>
      </c>
      <c r="C6217" t="s">
        <v>468</v>
      </c>
      <c r="D6217" t="s">
        <v>206</v>
      </c>
      <c r="E6217" t="s">
        <v>210</v>
      </c>
      <c r="F6217">
        <v>2</v>
      </c>
      <c r="G6217" t="s">
        <v>499</v>
      </c>
      <c r="H6217" s="4">
        <v>9841326</v>
      </c>
      <c r="I6217" s="4">
        <v>8160143</v>
      </c>
      <c r="J6217" s="3">
        <v>0.1708289106569582</v>
      </c>
      <c r="K6217" s="3">
        <v>0.2060237179667072</v>
      </c>
      <c r="L6217" t="s">
        <v>54</v>
      </c>
    </row>
    <row r="6218" spans="1:12" x14ac:dyDescent="0.25">
      <c r="A6218" t="s">
        <v>487</v>
      </c>
      <c r="B6218" t="s">
        <v>467</v>
      </c>
      <c r="C6218" t="s">
        <v>468</v>
      </c>
      <c r="D6218" t="s">
        <v>206</v>
      </c>
      <c r="E6218" t="s">
        <v>212</v>
      </c>
      <c r="F6218">
        <v>3</v>
      </c>
      <c r="G6218" t="s">
        <v>488</v>
      </c>
      <c r="H6218" s="4">
        <v>13222585</v>
      </c>
      <c r="I6218" s="4">
        <v>15965739.264193226</v>
      </c>
      <c r="J6218" s="3">
        <v>0.20745975648432025</v>
      </c>
      <c r="K6218" s="3">
        <v>-0.1718150483858501</v>
      </c>
      <c r="L6218" t="s">
        <v>54</v>
      </c>
    </row>
    <row r="6219" spans="1:12" x14ac:dyDescent="0.25">
      <c r="A6219" t="s">
        <v>487</v>
      </c>
      <c r="B6219" t="s">
        <v>467</v>
      </c>
      <c r="C6219" t="s">
        <v>468</v>
      </c>
      <c r="D6219" t="s">
        <v>206</v>
      </c>
      <c r="E6219" t="s">
        <v>212</v>
      </c>
      <c r="F6219">
        <v>3</v>
      </c>
      <c r="G6219" t="s">
        <v>498</v>
      </c>
      <c r="H6219" s="4">
        <v>13222585</v>
      </c>
      <c r="I6219" s="4">
        <v>14824004</v>
      </c>
      <c r="J6219" s="3">
        <v>0.12111239973121746</v>
      </c>
      <c r="K6219" s="3">
        <v>-0.10802877549142594</v>
      </c>
      <c r="L6219" t="s">
        <v>54</v>
      </c>
    </row>
    <row r="6220" spans="1:12" x14ac:dyDescent="0.25">
      <c r="A6220" t="s">
        <v>487</v>
      </c>
      <c r="B6220" t="s">
        <v>467</v>
      </c>
      <c r="C6220" t="s">
        <v>468</v>
      </c>
      <c r="D6220" t="s">
        <v>206</v>
      </c>
      <c r="E6220" t="s">
        <v>212</v>
      </c>
      <c r="F6220">
        <v>3</v>
      </c>
      <c r="G6220" t="s">
        <v>499</v>
      </c>
      <c r="H6220" s="4">
        <v>13222585</v>
      </c>
      <c r="I6220" s="4">
        <v>8160143</v>
      </c>
      <c r="J6220" s="3">
        <v>0.3828632600962671</v>
      </c>
      <c r="K6220" s="3">
        <v>0.6203864319534597</v>
      </c>
      <c r="L6220" t="s">
        <v>54</v>
      </c>
    </row>
    <row r="6221" spans="1:12" x14ac:dyDescent="0.25">
      <c r="A6221" t="s">
        <v>487</v>
      </c>
      <c r="B6221" t="s">
        <v>467</v>
      </c>
      <c r="C6221" t="s">
        <v>468</v>
      </c>
      <c r="D6221" t="s">
        <v>208</v>
      </c>
      <c r="E6221" t="s">
        <v>210</v>
      </c>
      <c r="F6221">
        <v>1</v>
      </c>
      <c r="G6221" t="s">
        <v>488</v>
      </c>
      <c r="H6221" s="4">
        <v>9841326</v>
      </c>
      <c r="I6221" s="4">
        <v>11999817.849616246</v>
      </c>
      <c r="J6221" s="3">
        <v>0.21932937183629994</v>
      </c>
      <c r="K6221" s="3">
        <v>-0.17987705119084577</v>
      </c>
      <c r="L6221" t="s">
        <v>54</v>
      </c>
    </row>
    <row r="6222" spans="1:12" x14ac:dyDescent="0.25">
      <c r="A6222" t="s">
        <v>487</v>
      </c>
      <c r="B6222" t="s">
        <v>467</v>
      </c>
      <c r="C6222" t="s">
        <v>468</v>
      </c>
      <c r="D6222" t="s">
        <v>208</v>
      </c>
      <c r="E6222" t="s">
        <v>210</v>
      </c>
      <c r="F6222">
        <v>1</v>
      </c>
      <c r="G6222" t="s">
        <v>498</v>
      </c>
      <c r="H6222" s="4">
        <v>9841326</v>
      </c>
      <c r="I6222" s="4">
        <v>12267293</v>
      </c>
      <c r="J6222" s="3">
        <v>0.246508143313208</v>
      </c>
      <c r="K6222" s="3">
        <v>-0.1977589513839769</v>
      </c>
      <c r="L6222" t="s">
        <v>54</v>
      </c>
    </row>
    <row r="6223" spans="1:12" x14ac:dyDescent="0.25">
      <c r="A6223" t="s">
        <v>487</v>
      </c>
      <c r="B6223" t="s">
        <v>467</v>
      </c>
      <c r="C6223" t="s">
        <v>468</v>
      </c>
      <c r="D6223" t="s">
        <v>208</v>
      </c>
      <c r="E6223" t="s">
        <v>210</v>
      </c>
      <c r="F6223">
        <v>1</v>
      </c>
      <c r="G6223" t="s">
        <v>499</v>
      </c>
      <c r="H6223" s="4">
        <v>9841326</v>
      </c>
      <c r="I6223" s="4">
        <v>8394372</v>
      </c>
      <c r="J6223" s="3">
        <v>0.14702835776398424</v>
      </c>
      <c r="K6223" s="3">
        <v>0.17237191775632532</v>
      </c>
      <c r="L6223" t="s">
        <v>54</v>
      </c>
    </row>
    <row r="6224" spans="1:12" x14ac:dyDescent="0.25">
      <c r="A6224" t="s">
        <v>487</v>
      </c>
      <c r="B6224" t="s">
        <v>467</v>
      </c>
      <c r="C6224" t="s">
        <v>468</v>
      </c>
      <c r="D6224" t="s">
        <v>208</v>
      </c>
      <c r="E6224" t="s">
        <v>212</v>
      </c>
      <c r="F6224">
        <v>2</v>
      </c>
      <c r="G6224" t="s">
        <v>488</v>
      </c>
      <c r="H6224" s="4">
        <v>13222585</v>
      </c>
      <c r="I6224" s="4">
        <v>14500782.511837179</v>
      </c>
      <c r="J6224" s="3">
        <v>0.09666774778435373</v>
      </c>
      <c r="K6224" s="3">
        <v>-0.08814679558111913</v>
      </c>
      <c r="L6224" t="s">
        <v>54</v>
      </c>
    </row>
    <row r="6225" spans="1:12" x14ac:dyDescent="0.25">
      <c r="A6225" t="s">
        <v>487</v>
      </c>
      <c r="B6225" t="s">
        <v>467</v>
      </c>
      <c r="C6225" t="s">
        <v>468</v>
      </c>
      <c r="D6225" t="s">
        <v>208</v>
      </c>
      <c r="E6225" t="s">
        <v>212</v>
      </c>
      <c r="F6225">
        <v>2</v>
      </c>
      <c r="G6225" t="s">
        <v>498</v>
      </c>
      <c r="H6225" s="4">
        <v>13222585</v>
      </c>
      <c r="I6225" s="4">
        <v>14824004</v>
      </c>
      <c r="J6225" s="3">
        <v>0.12111239973121746</v>
      </c>
      <c r="K6225" s="3">
        <v>-0.10802877549142594</v>
      </c>
      <c r="L6225" t="s">
        <v>54</v>
      </c>
    </row>
    <row r="6226" spans="1:12" x14ac:dyDescent="0.25">
      <c r="A6226" t="s">
        <v>487</v>
      </c>
      <c r="B6226" t="s">
        <v>467</v>
      </c>
      <c r="C6226" t="s">
        <v>468</v>
      </c>
      <c r="D6226" t="s">
        <v>208</v>
      </c>
      <c r="E6226" t="s">
        <v>212</v>
      </c>
      <c r="F6226">
        <v>2</v>
      </c>
      <c r="G6226" t="s">
        <v>499</v>
      </c>
      <c r="H6226" s="4">
        <v>13222585</v>
      </c>
      <c r="I6226" s="4">
        <v>8394372</v>
      </c>
      <c r="J6226" s="3">
        <v>0.36514894780407914</v>
      </c>
      <c r="K6226" s="3">
        <v>0.5751726275652306</v>
      </c>
      <c r="L6226" t="s">
        <v>54</v>
      </c>
    </row>
    <row r="6227" spans="1:12" x14ac:dyDescent="0.25">
      <c r="A6227" t="s">
        <v>487</v>
      </c>
      <c r="B6227" t="s">
        <v>467</v>
      </c>
      <c r="C6227" t="s">
        <v>468</v>
      </c>
      <c r="D6227" t="s">
        <v>208</v>
      </c>
      <c r="E6227" t="s">
        <v>214</v>
      </c>
      <c r="F6227">
        <v>3</v>
      </c>
      <c r="G6227" t="s">
        <v>488</v>
      </c>
      <c r="H6227" s="4">
        <v>19304303</v>
      </c>
      <c r="I6227" s="4">
        <v>18502326.3626691</v>
      </c>
      <c r="J6227" s="3">
        <v>0.041543931284693414</v>
      </c>
      <c r="K6227" s="3">
        <v>0.04334463794504216</v>
      </c>
      <c r="L6227" t="s">
        <v>54</v>
      </c>
    </row>
    <row r="6228" spans="1:12" x14ac:dyDescent="0.25">
      <c r="A6228" t="s">
        <v>487</v>
      </c>
      <c r="B6228" t="s">
        <v>467</v>
      </c>
      <c r="C6228" t="s">
        <v>468</v>
      </c>
      <c r="D6228" t="s">
        <v>208</v>
      </c>
      <c r="E6228" t="s">
        <v>214</v>
      </c>
      <c r="F6228">
        <v>3</v>
      </c>
      <c r="G6228" t="s">
        <v>498</v>
      </c>
      <c r="H6228" s="4">
        <v>19304303</v>
      </c>
      <c r="I6228" s="4">
        <v>18914742</v>
      </c>
      <c r="J6228" s="3">
        <v>0.02018000857114603</v>
      </c>
      <c r="K6228" s="3">
        <v>0.0205956285314386</v>
      </c>
      <c r="L6228" t="s">
        <v>54</v>
      </c>
    </row>
    <row r="6229" spans="1:12" x14ac:dyDescent="0.25">
      <c r="A6229" t="s">
        <v>487</v>
      </c>
      <c r="B6229" t="s">
        <v>467</v>
      </c>
      <c r="C6229" t="s">
        <v>468</v>
      </c>
      <c r="D6229" t="s">
        <v>208</v>
      </c>
      <c r="E6229" t="s">
        <v>214</v>
      </c>
      <c r="F6229">
        <v>3</v>
      </c>
      <c r="G6229" t="s">
        <v>499</v>
      </c>
      <c r="H6229" s="4">
        <v>19304303</v>
      </c>
      <c r="I6229" s="4">
        <v>8394372</v>
      </c>
      <c r="J6229" s="3">
        <v>0.565155395664894</v>
      </c>
      <c r="K6229" s="3">
        <v>1.2996720898239915</v>
      </c>
      <c r="L6229" t="s">
        <v>54</v>
      </c>
    </row>
    <row r="6230" spans="1:12" x14ac:dyDescent="0.25">
      <c r="A6230" t="s">
        <v>487</v>
      </c>
      <c r="B6230" t="s">
        <v>467</v>
      </c>
      <c r="C6230" t="s">
        <v>468</v>
      </c>
      <c r="D6230" t="s">
        <v>210</v>
      </c>
      <c r="E6230" t="s">
        <v>212</v>
      </c>
      <c r="F6230">
        <v>1</v>
      </c>
      <c r="G6230" t="s">
        <v>488</v>
      </c>
      <c r="H6230" s="4">
        <v>13222585</v>
      </c>
      <c r="I6230" s="4">
        <v>14227777.263562685</v>
      </c>
      <c r="J6230" s="3">
        <v>0.07602085852068147</v>
      </c>
      <c r="K6230" s="3">
        <v>-0.07064998593539841</v>
      </c>
      <c r="L6230" t="s">
        <v>54</v>
      </c>
    </row>
    <row r="6231" spans="1:12" x14ac:dyDescent="0.25">
      <c r="A6231" t="s">
        <v>487</v>
      </c>
      <c r="B6231" t="s">
        <v>467</v>
      </c>
      <c r="C6231" t="s">
        <v>468</v>
      </c>
      <c r="D6231" t="s">
        <v>210</v>
      </c>
      <c r="E6231" t="s">
        <v>212</v>
      </c>
      <c r="F6231">
        <v>1</v>
      </c>
      <c r="G6231" t="s">
        <v>498</v>
      </c>
      <c r="H6231" s="4">
        <v>13222585</v>
      </c>
      <c r="I6231" s="4">
        <v>14824004</v>
      </c>
      <c r="J6231" s="3">
        <v>0.12111239973121746</v>
      </c>
      <c r="K6231" s="3">
        <v>-0.10802877549142594</v>
      </c>
      <c r="L6231" t="s">
        <v>54</v>
      </c>
    </row>
    <row r="6232" spans="1:12" x14ac:dyDescent="0.25">
      <c r="A6232" t="s">
        <v>487</v>
      </c>
      <c r="B6232" t="s">
        <v>467</v>
      </c>
      <c r="C6232" t="s">
        <v>468</v>
      </c>
      <c r="D6232" t="s">
        <v>210</v>
      </c>
      <c r="E6232" t="s">
        <v>212</v>
      </c>
      <c r="F6232">
        <v>1</v>
      </c>
      <c r="G6232" t="s">
        <v>499</v>
      </c>
      <c r="H6232" s="4">
        <v>13222585</v>
      </c>
      <c r="I6232" s="4">
        <v>9841326</v>
      </c>
      <c r="J6232" s="3">
        <v>0.2557184544474473</v>
      </c>
      <c r="K6232" s="3">
        <v>0.3435775829395348</v>
      </c>
      <c r="L6232" t="s">
        <v>54</v>
      </c>
    </row>
    <row r="6233" spans="1:12" x14ac:dyDescent="0.25">
      <c r="A6233" t="s">
        <v>487</v>
      </c>
      <c r="B6233" t="s">
        <v>467</v>
      </c>
      <c r="C6233" t="s">
        <v>468</v>
      </c>
      <c r="D6233" t="s">
        <v>210</v>
      </c>
      <c r="E6233" t="s">
        <v>214</v>
      </c>
      <c r="F6233">
        <v>2</v>
      </c>
      <c r="G6233" t="s">
        <v>488</v>
      </c>
      <c r="H6233" s="4">
        <v>19304303</v>
      </c>
      <c r="I6233" s="4">
        <v>18153984.319874316</v>
      </c>
      <c r="J6233" s="3">
        <v>0.059588718646080285</v>
      </c>
      <c r="K6233" s="3">
        <v>0.06336452978348983</v>
      </c>
      <c r="L6233" t="s">
        <v>54</v>
      </c>
    </row>
    <row r="6234" spans="1:12" x14ac:dyDescent="0.25">
      <c r="A6234" t="s">
        <v>487</v>
      </c>
      <c r="B6234" t="s">
        <v>467</v>
      </c>
      <c r="C6234" t="s">
        <v>468</v>
      </c>
      <c r="D6234" t="s">
        <v>210</v>
      </c>
      <c r="E6234" t="s">
        <v>214</v>
      </c>
      <c r="F6234">
        <v>2</v>
      </c>
      <c r="G6234" t="s">
        <v>498</v>
      </c>
      <c r="H6234" s="4">
        <v>19304303</v>
      </c>
      <c r="I6234" s="4">
        <v>18914742</v>
      </c>
      <c r="J6234" s="3">
        <v>0.02018000857114603</v>
      </c>
      <c r="K6234" s="3">
        <v>0.0205956285314386</v>
      </c>
      <c r="L6234" t="s">
        <v>54</v>
      </c>
    </row>
    <row r="6235" spans="1:12" x14ac:dyDescent="0.25">
      <c r="A6235" t="s">
        <v>487</v>
      </c>
      <c r="B6235" t="s">
        <v>467</v>
      </c>
      <c r="C6235" t="s">
        <v>468</v>
      </c>
      <c r="D6235" t="s">
        <v>210</v>
      </c>
      <c r="E6235" t="s">
        <v>214</v>
      </c>
      <c r="F6235">
        <v>2</v>
      </c>
      <c r="G6235" t="s">
        <v>499</v>
      </c>
      <c r="H6235" s="4">
        <v>19304303</v>
      </c>
      <c r="I6235" s="4">
        <v>9841326</v>
      </c>
      <c r="J6235" s="3">
        <v>0.49020039728966125</v>
      </c>
      <c r="K6235" s="3">
        <v>0.9615550790615005</v>
      </c>
      <c r="L6235" t="s">
        <v>54</v>
      </c>
    </row>
    <row r="6236" spans="1:12" x14ac:dyDescent="0.25">
      <c r="A6236" t="s">
        <v>487</v>
      </c>
      <c r="B6236" t="s">
        <v>467</v>
      </c>
      <c r="C6236" t="s">
        <v>468</v>
      </c>
      <c r="D6236" t="s">
        <v>210</v>
      </c>
      <c r="E6236" t="s">
        <v>216</v>
      </c>
      <c r="F6236">
        <v>3</v>
      </c>
      <c r="G6236" t="s">
        <v>488</v>
      </c>
      <c r="H6236" s="4">
        <v>17153217</v>
      </c>
      <c r="I6236" s="4">
        <v>18139314.088034555</v>
      </c>
      <c r="J6236" s="3">
        <v>0.05748758894815797</v>
      </c>
      <c r="K6236" s="3">
        <v>-0.054362424248722056</v>
      </c>
      <c r="L6236" t="s">
        <v>54</v>
      </c>
    </row>
    <row r="6237" spans="1:12" x14ac:dyDescent="0.25">
      <c r="A6237" t="s">
        <v>487</v>
      </c>
      <c r="B6237" t="s">
        <v>467</v>
      </c>
      <c r="C6237" t="s">
        <v>468</v>
      </c>
      <c r="D6237" t="s">
        <v>210</v>
      </c>
      <c r="E6237" t="s">
        <v>216</v>
      </c>
      <c r="F6237">
        <v>3</v>
      </c>
      <c r="G6237" t="s">
        <v>498</v>
      </c>
      <c r="H6237" s="4">
        <v>17153217</v>
      </c>
      <c r="I6237" s="4">
        <v>18899457</v>
      </c>
      <c r="J6237" s="3">
        <v>0.1018024782173513</v>
      </c>
      <c r="K6237" s="3">
        <v>-0.0923963053541697</v>
      </c>
      <c r="L6237" t="s">
        <v>54</v>
      </c>
    </row>
    <row r="6238" spans="1:12" x14ac:dyDescent="0.25">
      <c r="A6238" t="s">
        <v>487</v>
      </c>
      <c r="B6238" t="s">
        <v>467</v>
      </c>
      <c r="C6238" t="s">
        <v>468</v>
      </c>
      <c r="D6238" t="s">
        <v>210</v>
      </c>
      <c r="E6238" t="s">
        <v>216</v>
      </c>
      <c r="F6238">
        <v>3</v>
      </c>
      <c r="G6238" t="s">
        <v>499</v>
      </c>
      <c r="H6238" s="4">
        <v>17153217</v>
      </c>
      <c r="I6238" s="4">
        <v>9841326</v>
      </c>
      <c r="J6238" s="3">
        <v>0.4262693697631179</v>
      </c>
      <c r="K6238" s="3">
        <v>0.7429782328113101</v>
      </c>
      <c r="L6238" t="s">
        <v>54</v>
      </c>
    </row>
    <row r="6239" spans="1:12" x14ac:dyDescent="0.25">
      <c r="A6239" t="s">
        <v>487</v>
      </c>
      <c r="B6239" t="s">
        <v>467</v>
      </c>
      <c r="C6239" t="s">
        <v>468</v>
      </c>
      <c r="D6239" t="s">
        <v>212</v>
      </c>
      <c r="E6239" t="s">
        <v>214</v>
      </c>
      <c r="F6239">
        <v>1</v>
      </c>
      <c r="G6239" t="s">
        <v>488</v>
      </c>
      <c r="H6239" s="4">
        <v>19304303</v>
      </c>
      <c r="I6239" s="4">
        <v>18210134.182462513</v>
      </c>
      <c r="J6239" s="3">
        <v>0.05668004783894485</v>
      </c>
      <c r="K6239" s="3">
        <v>0.060085708681446116</v>
      </c>
      <c r="L6239" t="s">
        <v>54</v>
      </c>
    </row>
    <row r="6240" spans="1:12" x14ac:dyDescent="0.25">
      <c r="A6240" t="s">
        <v>487</v>
      </c>
      <c r="B6240" t="s">
        <v>467</v>
      </c>
      <c r="C6240" t="s">
        <v>468</v>
      </c>
      <c r="D6240" t="s">
        <v>212</v>
      </c>
      <c r="E6240" t="s">
        <v>214</v>
      </c>
      <c r="F6240">
        <v>1</v>
      </c>
      <c r="G6240" t="s">
        <v>498</v>
      </c>
      <c r="H6240" s="4">
        <v>19304303</v>
      </c>
      <c r="I6240" s="4">
        <v>18914742</v>
      </c>
      <c r="J6240" s="3">
        <v>0.02018000857114603</v>
      </c>
      <c r="K6240" s="3">
        <v>0.0205956285314386</v>
      </c>
      <c r="L6240" t="s">
        <v>54</v>
      </c>
    </row>
    <row r="6241" spans="1:12" x14ac:dyDescent="0.25">
      <c r="A6241" t="s">
        <v>487</v>
      </c>
      <c r="B6241" t="s">
        <v>467</v>
      </c>
      <c r="C6241" t="s">
        <v>468</v>
      </c>
      <c r="D6241" t="s">
        <v>212</v>
      </c>
      <c r="E6241" t="s">
        <v>214</v>
      </c>
      <c r="F6241">
        <v>1</v>
      </c>
      <c r="G6241" t="s">
        <v>499</v>
      </c>
      <c r="H6241" s="4">
        <v>19304303</v>
      </c>
      <c r="I6241" s="4">
        <v>13222585</v>
      </c>
      <c r="J6241" s="3">
        <v>0.315044682006908</v>
      </c>
      <c r="K6241" s="3">
        <v>0.45994924593035325</v>
      </c>
      <c r="L6241" t="s">
        <v>54</v>
      </c>
    </row>
    <row r="6242" spans="1:12" x14ac:dyDescent="0.25">
      <c r="A6242" t="s">
        <v>487</v>
      </c>
      <c r="B6242" t="s">
        <v>467</v>
      </c>
      <c r="C6242" t="s">
        <v>468</v>
      </c>
      <c r="D6242" t="s">
        <v>212</v>
      </c>
      <c r="E6242" t="s">
        <v>216</v>
      </c>
      <c r="F6242">
        <v>2</v>
      </c>
      <c r="G6242" t="s">
        <v>488</v>
      </c>
      <c r="H6242" s="4">
        <v>17153217</v>
      </c>
      <c r="I6242" s="4">
        <v>18195418.575927727</v>
      </c>
      <c r="J6242" s="3">
        <v>0.06075837412467451</v>
      </c>
      <c r="K6242" s="3">
        <v>-0.057278241309960544</v>
      </c>
      <c r="L6242" t="s">
        <v>54</v>
      </c>
    </row>
    <row r="6243" spans="1:12" x14ac:dyDescent="0.25">
      <c r="A6243" t="s">
        <v>487</v>
      </c>
      <c r="B6243" t="s">
        <v>467</v>
      </c>
      <c r="C6243" t="s">
        <v>468</v>
      </c>
      <c r="D6243" t="s">
        <v>212</v>
      </c>
      <c r="E6243" t="s">
        <v>216</v>
      </c>
      <c r="F6243">
        <v>2</v>
      </c>
      <c r="G6243" t="s">
        <v>498</v>
      </c>
      <c r="H6243" s="4">
        <v>17153217</v>
      </c>
      <c r="I6243" s="4">
        <v>18899457</v>
      </c>
      <c r="J6243" s="3">
        <v>0.1018024782173513</v>
      </c>
      <c r="K6243" s="3">
        <v>-0.0923963053541697</v>
      </c>
      <c r="L6243" t="s">
        <v>54</v>
      </c>
    </row>
    <row r="6244" spans="1:12" x14ac:dyDescent="0.25">
      <c r="A6244" t="s">
        <v>487</v>
      </c>
      <c r="B6244" t="s">
        <v>467</v>
      </c>
      <c r="C6244" t="s">
        <v>468</v>
      </c>
      <c r="D6244" t="s">
        <v>212</v>
      </c>
      <c r="E6244" t="s">
        <v>216</v>
      </c>
      <c r="F6244">
        <v>2</v>
      </c>
      <c r="G6244" t="s">
        <v>499</v>
      </c>
      <c r="H6244" s="4">
        <v>17153217</v>
      </c>
      <c r="I6244" s="4">
        <v>13222585</v>
      </c>
      <c r="J6244" s="3">
        <v>0.229148386567954</v>
      </c>
      <c r="K6244" s="3">
        <v>0.29726653298125894</v>
      </c>
      <c r="L6244" t="s">
        <v>54</v>
      </c>
    </row>
    <row r="6245" spans="1:12" x14ac:dyDescent="0.25">
      <c r="A6245" t="s">
        <v>487</v>
      </c>
      <c r="B6245" t="s">
        <v>467</v>
      </c>
      <c r="C6245" t="s">
        <v>468</v>
      </c>
      <c r="D6245" t="s">
        <v>212</v>
      </c>
      <c r="E6245" t="s">
        <v>218</v>
      </c>
      <c r="F6245">
        <v>3</v>
      </c>
      <c r="G6245" t="s">
        <v>488</v>
      </c>
      <c r="H6245" s="4">
        <v>12824456</v>
      </c>
      <c r="I6245" s="4">
        <v>12516094.623086603</v>
      </c>
      <c r="J6245" s="3">
        <v>0.024044791990661955</v>
      </c>
      <c r="K6245" s="3">
        <v>0.024637188052622074</v>
      </c>
      <c r="L6245" t="s">
        <v>54</v>
      </c>
    </row>
    <row r="6246" spans="1:12" x14ac:dyDescent="0.25">
      <c r="A6246" t="s">
        <v>487</v>
      </c>
      <c r="B6246" t="s">
        <v>467</v>
      </c>
      <c r="C6246" t="s">
        <v>468</v>
      </c>
      <c r="D6246" t="s">
        <v>212</v>
      </c>
      <c r="E6246" t="s">
        <v>218</v>
      </c>
      <c r="F6246">
        <v>3</v>
      </c>
      <c r="G6246" t="s">
        <v>498</v>
      </c>
      <c r="H6246" s="4">
        <v>12824456</v>
      </c>
      <c r="I6246" s="4">
        <v>13000382</v>
      </c>
      <c r="J6246" s="3">
        <v>0.013718008779475713</v>
      </c>
      <c r="K6246" s="3">
        <v>-0.013532371587234897</v>
      </c>
      <c r="L6246" t="s">
        <v>54</v>
      </c>
    </row>
    <row r="6247" spans="1:12" x14ac:dyDescent="0.25">
      <c r="A6247" t="s">
        <v>487</v>
      </c>
      <c r="B6247" t="s">
        <v>467</v>
      </c>
      <c r="C6247" t="s">
        <v>468</v>
      </c>
      <c r="D6247" t="s">
        <v>212</v>
      </c>
      <c r="E6247" t="s">
        <v>218</v>
      </c>
      <c r="F6247">
        <v>3</v>
      </c>
      <c r="G6247" t="s">
        <v>499</v>
      </c>
      <c r="H6247" s="4">
        <v>12824456</v>
      </c>
      <c r="I6247" s="4">
        <v>13222585</v>
      </c>
      <c r="J6247" s="3">
        <v>0.031044513701010006</v>
      </c>
      <c r="K6247" s="3">
        <v>-0.03010977051764084</v>
      </c>
      <c r="L6247" t="s">
        <v>54</v>
      </c>
    </row>
    <row r="6248" spans="1:12" x14ac:dyDescent="0.25">
      <c r="A6248" t="s">
        <v>487</v>
      </c>
      <c r="B6248" t="s">
        <v>467</v>
      </c>
      <c r="C6248" t="s">
        <v>468</v>
      </c>
      <c r="D6248" t="s">
        <v>214</v>
      </c>
      <c r="E6248" t="s">
        <v>216</v>
      </c>
      <c r="F6248">
        <v>1</v>
      </c>
      <c r="G6248" t="s">
        <v>488</v>
      </c>
      <c r="H6248" s="4">
        <v>17153217</v>
      </c>
      <c r="I6248" s="4">
        <v>17981899.560369175</v>
      </c>
      <c r="J6248" s="3">
        <v>0.048310620705677244</v>
      </c>
      <c r="K6248" s="3">
        <v>-0.0460842614311745</v>
      </c>
      <c r="L6248" t="s">
        <v>54</v>
      </c>
    </row>
    <row r="6249" spans="1:12" x14ac:dyDescent="0.25">
      <c r="A6249" t="s">
        <v>487</v>
      </c>
      <c r="B6249" t="s">
        <v>467</v>
      </c>
      <c r="C6249" t="s">
        <v>468</v>
      </c>
      <c r="D6249" t="s">
        <v>214</v>
      </c>
      <c r="E6249" t="s">
        <v>216</v>
      </c>
      <c r="F6249">
        <v>1</v>
      </c>
      <c r="G6249" t="s">
        <v>498</v>
      </c>
      <c r="H6249" s="4">
        <v>17153217</v>
      </c>
      <c r="I6249" s="4">
        <v>18899457</v>
      </c>
      <c r="J6249" s="3">
        <v>0.1018024782173513</v>
      </c>
      <c r="K6249" s="3">
        <v>-0.0923963053541697</v>
      </c>
      <c r="L6249" t="s">
        <v>54</v>
      </c>
    </row>
    <row r="6250" spans="1:12" x14ac:dyDescent="0.25">
      <c r="A6250" t="s">
        <v>487</v>
      </c>
      <c r="B6250" t="s">
        <v>467</v>
      </c>
      <c r="C6250" t="s">
        <v>468</v>
      </c>
      <c r="D6250" t="s">
        <v>214</v>
      </c>
      <c r="E6250" t="s">
        <v>216</v>
      </c>
      <c r="F6250">
        <v>1</v>
      </c>
      <c r="G6250" t="s">
        <v>499</v>
      </c>
      <c r="H6250" s="4">
        <v>17153217</v>
      </c>
      <c r="I6250" s="4">
        <v>19304303</v>
      </c>
      <c r="J6250" s="3">
        <v>0.12540423175431173</v>
      </c>
      <c r="K6250" s="3">
        <v>-0.1114303893800258</v>
      </c>
      <c r="L6250" t="s">
        <v>54</v>
      </c>
    </row>
    <row r="6251" spans="1:12" x14ac:dyDescent="0.25">
      <c r="A6251" t="s">
        <v>487</v>
      </c>
      <c r="B6251" t="s">
        <v>467</v>
      </c>
      <c r="C6251" t="s">
        <v>468</v>
      </c>
      <c r="D6251" t="s">
        <v>214</v>
      </c>
      <c r="E6251" t="s">
        <v>218</v>
      </c>
      <c r="F6251">
        <v>2</v>
      </c>
      <c r="G6251" t="s">
        <v>488</v>
      </c>
      <c r="H6251" s="4">
        <v>12824456</v>
      </c>
      <c r="I6251" s="4">
        <v>12369221.156482503</v>
      </c>
      <c r="J6251" s="3">
        <v>0.03549739993006309</v>
      </c>
      <c r="K6251" s="3">
        <v>0.036803840578023474</v>
      </c>
      <c r="L6251" t="s">
        <v>54</v>
      </c>
    </row>
    <row r="6252" spans="1:12" x14ac:dyDescent="0.25">
      <c r="A6252" t="s">
        <v>487</v>
      </c>
      <c r="B6252" t="s">
        <v>467</v>
      </c>
      <c r="C6252" t="s">
        <v>468</v>
      </c>
      <c r="D6252" t="s">
        <v>214</v>
      </c>
      <c r="E6252" t="s">
        <v>218</v>
      </c>
      <c r="F6252">
        <v>2</v>
      </c>
      <c r="G6252" t="s">
        <v>498</v>
      </c>
      <c r="H6252" s="4">
        <v>12824456</v>
      </c>
      <c r="I6252" s="4">
        <v>13000382</v>
      </c>
      <c r="J6252" s="3">
        <v>0.013718008779475713</v>
      </c>
      <c r="K6252" s="3">
        <v>-0.013532371587234897</v>
      </c>
      <c r="L6252" t="s">
        <v>54</v>
      </c>
    </row>
    <row r="6253" spans="1:12" x14ac:dyDescent="0.25">
      <c r="A6253" t="s">
        <v>487</v>
      </c>
      <c r="B6253" t="s">
        <v>467</v>
      </c>
      <c r="C6253" t="s">
        <v>468</v>
      </c>
      <c r="D6253" t="s">
        <v>214</v>
      </c>
      <c r="E6253" t="s">
        <v>218</v>
      </c>
      <c r="F6253">
        <v>2</v>
      </c>
      <c r="G6253" t="s">
        <v>499</v>
      </c>
      <c r="H6253" s="4">
        <v>12824456</v>
      </c>
      <c r="I6253" s="4">
        <v>19304303</v>
      </c>
      <c r="J6253" s="3">
        <v>0.5052726602984173</v>
      </c>
      <c r="K6253" s="3">
        <v>-0.3356685294465177</v>
      </c>
      <c r="L6253" t="s">
        <v>54</v>
      </c>
    </row>
    <row r="6254" spans="1:12" x14ac:dyDescent="0.25">
      <c r="A6254" t="s">
        <v>487</v>
      </c>
      <c r="B6254" t="s">
        <v>467</v>
      </c>
      <c r="C6254" t="s">
        <v>468</v>
      </c>
      <c r="D6254" t="s">
        <v>214</v>
      </c>
      <c r="E6254" t="s">
        <v>220</v>
      </c>
      <c r="F6254">
        <v>3</v>
      </c>
      <c r="G6254" t="s">
        <v>488</v>
      </c>
      <c r="H6254" s="4">
        <v>12045460</v>
      </c>
      <c r="I6254" s="4">
        <v>9046317.068788</v>
      </c>
      <c r="J6254" s="3">
        <v>0.2489853381449941</v>
      </c>
      <c r="K6254" s="3">
        <v>0.33153192712642976</v>
      </c>
      <c r="L6254" t="s">
        <v>54</v>
      </c>
    </row>
    <row r="6255" spans="1:12" x14ac:dyDescent="0.25">
      <c r="A6255" t="s">
        <v>487</v>
      </c>
      <c r="B6255" t="s">
        <v>467</v>
      </c>
      <c r="C6255" t="s">
        <v>468</v>
      </c>
      <c r="D6255" t="s">
        <v>214</v>
      </c>
      <c r="E6255" t="s">
        <v>220</v>
      </c>
      <c r="F6255">
        <v>3</v>
      </c>
      <c r="G6255" t="s">
        <v>498</v>
      </c>
      <c r="H6255" s="4">
        <v>12045460</v>
      </c>
      <c r="I6255" s="4">
        <v>9507921</v>
      </c>
      <c r="J6255" s="3">
        <v>0.21066351969953825</v>
      </c>
      <c r="K6255" s="3">
        <v>0.2668868409823767</v>
      </c>
      <c r="L6255" t="s">
        <v>54</v>
      </c>
    </row>
    <row r="6256" spans="1:12" x14ac:dyDescent="0.25">
      <c r="A6256" t="s">
        <v>487</v>
      </c>
      <c r="B6256" t="s">
        <v>467</v>
      </c>
      <c r="C6256" t="s">
        <v>468</v>
      </c>
      <c r="D6256" t="s">
        <v>214</v>
      </c>
      <c r="E6256" t="s">
        <v>220</v>
      </c>
      <c r="F6256">
        <v>3</v>
      </c>
      <c r="G6256" t="s">
        <v>499</v>
      </c>
      <c r="H6256" s="4">
        <v>12045460</v>
      </c>
      <c r="I6256" s="4">
        <v>19304303</v>
      </c>
      <c r="J6256" s="3">
        <v>0.6026206554170617</v>
      </c>
      <c r="K6256" s="3">
        <v>-0.37602201954662645</v>
      </c>
      <c r="L6256" t="s">
        <v>54</v>
      </c>
    </row>
    <row r="6257" spans="1:12" x14ac:dyDescent="0.25">
      <c r="A6257" t="s">
        <v>487</v>
      </c>
      <c r="B6257" t="s">
        <v>467</v>
      </c>
      <c r="C6257" t="s">
        <v>468</v>
      </c>
      <c r="D6257" t="s">
        <v>216</v>
      </c>
      <c r="E6257" t="s">
        <v>218</v>
      </c>
      <c r="F6257">
        <v>1</v>
      </c>
      <c r="G6257" t="s">
        <v>488</v>
      </c>
      <c r="H6257" s="4">
        <v>12824456</v>
      </c>
      <c r="I6257" s="4">
        <v>12196634.914393226</v>
      </c>
      <c r="J6257" s="3">
        <v>0.048954987689674656</v>
      </c>
      <c r="K6257" s="3">
        <v>0.051474942884933275</v>
      </c>
      <c r="L6257" t="s">
        <v>54</v>
      </c>
    </row>
    <row r="6258" spans="1:12" x14ac:dyDescent="0.25">
      <c r="A6258" t="s">
        <v>487</v>
      </c>
      <c r="B6258" t="s">
        <v>467</v>
      </c>
      <c r="C6258" t="s">
        <v>468</v>
      </c>
      <c r="D6258" t="s">
        <v>216</v>
      </c>
      <c r="E6258" t="s">
        <v>218</v>
      </c>
      <c r="F6258">
        <v>1</v>
      </c>
      <c r="G6258" t="s">
        <v>498</v>
      </c>
      <c r="H6258" s="4">
        <v>12824456</v>
      </c>
      <c r="I6258" s="4">
        <v>13000382</v>
      </c>
      <c r="J6258" s="3">
        <v>0.013718008779475713</v>
      </c>
      <c r="K6258" s="3">
        <v>-0.013532371587234897</v>
      </c>
      <c r="L6258" t="s">
        <v>54</v>
      </c>
    </row>
    <row r="6259" spans="1:12" x14ac:dyDescent="0.25">
      <c r="A6259" t="s">
        <v>487</v>
      </c>
      <c r="B6259" t="s">
        <v>467</v>
      </c>
      <c r="C6259" t="s">
        <v>468</v>
      </c>
      <c r="D6259" t="s">
        <v>216</v>
      </c>
      <c r="E6259" t="s">
        <v>218</v>
      </c>
      <c r="F6259">
        <v>1</v>
      </c>
      <c r="G6259" t="s">
        <v>499</v>
      </c>
      <c r="H6259" s="4">
        <v>12824456</v>
      </c>
      <c r="I6259" s="4">
        <v>17153217</v>
      </c>
      <c r="J6259" s="3">
        <v>0.3375395416382574</v>
      </c>
      <c r="K6259" s="3">
        <v>-0.2523585517515461</v>
      </c>
      <c r="L6259" t="s">
        <v>54</v>
      </c>
    </row>
    <row r="6260" spans="1:12" x14ac:dyDescent="0.25">
      <c r="A6260" t="s">
        <v>487</v>
      </c>
      <c r="B6260" t="s">
        <v>467</v>
      </c>
      <c r="C6260" t="s">
        <v>468</v>
      </c>
      <c r="D6260" t="s">
        <v>216</v>
      </c>
      <c r="E6260" t="s">
        <v>220</v>
      </c>
      <c r="F6260">
        <v>2</v>
      </c>
      <c r="G6260" t="s">
        <v>488</v>
      </c>
      <c r="H6260" s="4">
        <v>12045460</v>
      </c>
      <c r="I6260" s="4">
        <v>8920094.904279932</v>
      </c>
      <c r="J6260" s="3">
        <v>0.25946415460431294</v>
      </c>
      <c r="K6260" s="3">
        <v>0.3503735250866549</v>
      </c>
      <c r="L6260" t="s">
        <v>54</v>
      </c>
    </row>
    <row r="6261" spans="1:12" x14ac:dyDescent="0.25">
      <c r="A6261" t="s">
        <v>487</v>
      </c>
      <c r="B6261" t="s">
        <v>467</v>
      </c>
      <c r="C6261" t="s">
        <v>468</v>
      </c>
      <c r="D6261" t="s">
        <v>216</v>
      </c>
      <c r="E6261" t="s">
        <v>220</v>
      </c>
      <c r="F6261">
        <v>2</v>
      </c>
      <c r="G6261" t="s">
        <v>498</v>
      </c>
      <c r="H6261" s="4">
        <v>12045460</v>
      </c>
      <c r="I6261" s="4">
        <v>9507921</v>
      </c>
      <c r="J6261" s="3">
        <v>0.21066351969953825</v>
      </c>
      <c r="K6261" s="3">
        <v>0.2668868409823767</v>
      </c>
      <c r="L6261" t="s">
        <v>54</v>
      </c>
    </row>
    <row r="6262" spans="1:12" x14ac:dyDescent="0.25">
      <c r="A6262" t="s">
        <v>487</v>
      </c>
      <c r="B6262" t="s">
        <v>467</v>
      </c>
      <c r="C6262" t="s">
        <v>468</v>
      </c>
      <c r="D6262" t="s">
        <v>216</v>
      </c>
      <c r="E6262" t="s">
        <v>220</v>
      </c>
      <c r="F6262">
        <v>2</v>
      </c>
      <c r="G6262" t="s">
        <v>499</v>
      </c>
      <c r="H6262" s="4">
        <v>12045460</v>
      </c>
      <c r="I6262" s="4">
        <v>17153217</v>
      </c>
      <c r="J6262" s="3">
        <v>0.42404001175546635</v>
      </c>
      <c r="K6262" s="3">
        <v>-0.2977725402762642</v>
      </c>
      <c r="L6262" t="s">
        <v>54</v>
      </c>
    </row>
    <row r="6263" spans="1:12" x14ac:dyDescent="0.25">
      <c r="A6263" t="s">
        <v>487</v>
      </c>
      <c r="B6263" t="s">
        <v>467</v>
      </c>
      <c r="C6263" t="s">
        <v>468</v>
      </c>
      <c r="D6263" t="s">
        <v>216</v>
      </c>
      <c r="E6263" t="s">
        <v>222</v>
      </c>
      <c r="F6263">
        <v>3</v>
      </c>
      <c r="G6263" t="s">
        <v>488</v>
      </c>
      <c r="H6263" s="4">
        <v>13782501</v>
      </c>
      <c r="I6263" s="4">
        <v>11206778.543871006</v>
      </c>
      <c r="J6263" s="3">
        <v>0.1868835312349329</v>
      </c>
      <c r="K6263" s="3">
        <v>0.229836116243919</v>
      </c>
      <c r="L6263" t="s">
        <v>54</v>
      </c>
    </row>
    <row r="6264" spans="1:12" x14ac:dyDescent="0.25">
      <c r="A6264" t="s">
        <v>487</v>
      </c>
      <c r="B6264" t="s">
        <v>467</v>
      </c>
      <c r="C6264" t="s">
        <v>468</v>
      </c>
      <c r="D6264" t="s">
        <v>216</v>
      </c>
      <c r="E6264" t="s">
        <v>222</v>
      </c>
      <c r="F6264">
        <v>3</v>
      </c>
      <c r="G6264" t="s">
        <v>498</v>
      </c>
      <c r="H6264" s="4">
        <v>13782501</v>
      </c>
      <c r="I6264" s="4">
        <v>11945295</v>
      </c>
      <c r="J6264" s="3">
        <v>0.13329989963360062</v>
      </c>
      <c r="K6264" s="3">
        <v>0.15380164324112547</v>
      </c>
      <c r="L6264" t="s">
        <v>54</v>
      </c>
    </row>
    <row r="6265" spans="1:12" x14ac:dyDescent="0.25">
      <c r="A6265" t="s">
        <v>487</v>
      </c>
      <c r="B6265" t="s">
        <v>467</v>
      </c>
      <c r="C6265" t="s">
        <v>468</v>
      </c>
      <c r="D6265" t="s">
        <v>216</v>
      </c>
      <c r="E6265" t="s">
        <v>222</v>
      </c>
      <c r="F6265">
        <v>3</v>
      </c>
      <c r="G6265" t="s">
        <v>499</v>
      </c>
      <c r="H6265" s="4">
        <v>13782501</v>
      </c>
      <c r="I6265" s="4">
        <v>17153217</v>
      </c>
      <c r="J6265" s="3">
        <v>0.24456490153710128</v>
      </c>
      <c r="K6265" s="3">
        <v>-0.19650634630227087</v>
      </c>
      <c r="L6265" t="s">
        <v>54</v>
      </c>
    </row>
    <row r="6266" spans="1:12" x14ac:dyDescent="0.25">
      <c r="A6266" t="s">
        <v>487</v>
      </c>
      <c r="B6266" t="s">
        <v>467</v>
      </c>
      <c r="C6266" t="s">
        <v>468</v>
      </c>
      <c r="D6266" t="s">
        <v>218</v>
      </c>
      <c r="E6266" t="s">
        <v>220</v>
      </c>
      <c r="F6266">
        <v>1</v>
      </c>
      <c r="G6266" t="s">
        <v>488</v>
      </c>
      <c r="H6266" s="4">
        <v>12045460</v>
      </c>
      <c r="I6266" s="4">
        <v>8979626.59430044</v>
      </c>
      <c r="J6266" s="3">
        <v>0.2545219033311771</v>
      </c>
      <c r="K6266" s="3">
        <v>0.34142103499554316</v>
      </c>
      <c r="L6266" t="s">
        <v>54</v>
      </c>
    </row>
    <row r="6267" spans="1:12" x14ac:dyDescent="0.25">
      <c r="A6267" t="s">
        <v>487</v>
      </c>
      <c r="B6267" t="s">
        <v>467</v>
      </c>
      <c r="C6267" t="s">
        <v>468</v>
      </c>
      <c r="D6267" t="s">
        <v>218</v>
      </c>
      <c r="E6267" t="s">
        <v>220</v>
      </c>
      <c r="F6267">
        <v>1</v>
      </c>
      <c r="G6267" t="s">
        <v>498</v>
      </c>
      <c r="H6267" s="4">
        <v>12045460</v>
      </c>
      <c r="I6267" s="4">
        <v>9507921</v>
      </c>
      <c r="J6267" s="3">
        <v>0.21066351969953825</v>
      </c>
      <c r="K6267" s="3">
        <v>0.2668868409823767</v>
      </c>
      <c r="L6267" t="s">
        <v>54</v>
      </c>
    </row>
    <row r="6268" spans="1:12" x14ac:dyDescent="0.25">
      <c r="A6268" t="s">
        <v>487</v>
      </c>
      <c r="B6268" t="s">
        <v>467</v>
      </c>
      <c r="C6268" t="s">
        <v>468</v>
      </c>
      <c r="D6268" t="s">
        <v>218</v>
      </c>
      <c r="E6268" t="s">
        <v>220</v>
      </c>
      <c r="F6268">
        <v>1</v>
      </c>
      <c r="G6268" t="s">
        <v>499</v>
      </c>
      <c r="H6268" s="4">
        <v>12045460</v>
      </c>
      <c r="I6268" s="4">
        <v>12824456</v>
      </c>
      <c r="J6268" s="3">
        <v>0.06467133675260223</v>
      </c>
      <c r="K6268" s="3">
        <v>-0.060743005395316574</v>
      </c>
      <c r="L6268" t="s">
        <v>54</v>
      </c>
    </row>
    <row r="6269" spans="1:12" x14ac:dyDescent="0.25">
      <c r="A6269" t="s">
        <v>487</v>
      </c>
      <c r="B6269" t="s">
        <v>467</v>
      </c>
      <c r="C6269" t="s">
        <v>468</v>
      </c>
      <c r="D6269" t="s">
        <v>218</v>
      </c>
      <c r="E6269" t="s">
        <v>222</v>
      </c>
      <c r="F6269">
        <v>2</v>
      </c>
      <c r="G6269" t="s">
        <v>488</v>
      </c>
      <c r="H6269" s="4">
        <v>13782501</v>
      </c>
      <c r="I6269" s="4">
        <v>11281571.29815909</v>
      </c>
      <c r="J6269" s="3">
        <v>0.18145688520834566</v>
      </c>
      <c r="K6269" s="3">
        <v>0.22168274575803168</v>
      </c>
      <c r="L6269" t="s">
        <v>54</v>
      </c>
    </row>
    <row r="6270" spans="1:12" x14ac:dyDescent="0.25">
      <c r="A6270" t="s">
        <v>487</v>
      </c>
      <c r="B6270" t="s">
        <v>467</v>
      </c>
      <c r="C6270" t="s">
        <v>468</v>
      </c>
      <c r="D6270" t="s">
        <v>218</v>
      </c>
      <c r="E6270" t="s">
        <v>222</v>
      </c>
      <c r="F6270">
        <v>2</v>
      </c>
      <c r="G6270" t="s">
        <v>498</v>
      </c>
      <c r="H6270" s="4">
        <v>13782501</v>
      </c>
      <c r="I6270" s="4">
        <v>11945295</v>
      </c>
      <c r="J6270" s="3">
        <v>0.13329989963360062</v>
      </c>
      <c r="K6270" s="3">
        <v>0.15380164324112547</v>
      </c>
      <c r="L6270" t="s">
        <v>54</v>
      </c>
    </row>
    <row r="6271" spans="1:12" x14ac:dyDescent="0.25">
      <c r="A6271" t="s">
        <v>487</v>
      </c>
      <c r="B6271" t="s">
        <v>467</v>
      </c>
      <c r="C6271" t="s">
        <v>468</v>
      </c>
      <c r="D6271" t="s">
        <v>218</v>
      </c>
      <c r="E6271" t="s">
        <v>222</v>
      </c>
      <c r="F6271">
        <v>2</v>
      </c>
      <c r="G6271" t="s">
        <v>499</v>
      </c>
      <c r="H6271" s="4">
        <v>13782501</v>
      </c>
      <c r="I6271" s="4">
        <v>12824456</v>
      </c>
      <c r="J6271" s="3">
        <v>0.06951169457560714</v>
      </c>
      <c r="K6271" s="3">
        <v>0.07470453327610933</v>
      </c>
      <c r="L6271" t="s">
        <v>54</v>
      </c>
    </row>
    <row r="6272" spans="1:12" x14ac:dyDescent="0.25">
      <c r="A6272" t="s">
        <v>487</v>
      </c>
      <c r="B6272" t="s">
        <v>467</v>
      </c>
      <c r="C6272" t="s">
        <v>468</v>
      </c>
      <c r="D6272" t="s">
        <v>218</v>
      </c>
      <c r="E6272" t="s">
        <v>224</v>
      </c>
      <c r="F6272">
        <v>3</v>
      </c>
      <c r="G6272" t="s">
        <v>488</v>
      </c>
      <c r="H6272" s="4">
        <v>16154795</v>
      </c>
      <c r="I6272" s="4">
        <v>13580498.527748782</v>
      </c>
      <c r="J6272" s="3">
        <v>0.1593518501628289</v>
      </c>
      <c r="K6272" s="3">
        <v>0.18955831901098516</v>
      </c>
      <c r="L6272" t="s">
        <v>54</v>
      </c>
    </row>
    <row r="6273" spans="1:12" x14ac:dyDescent="0.25">
      <c r="A6273" t="s">
        <v>487</v>
      </c>
      <c r="B6273" t="s">
        <v>467</v>
      </c>
      <c r="C6273" t="s">
        <v>468</v>
      </c>
      <c r="D6273" t="s">
        <v>218</v>
      </c>
      <c r="E6273" t="s">
        <v>224</v>
      </c>
      <c r="F6273">
        <v>3</v>
      </c>
      <c r="G6273" t="s">
        <v>498</v>
      </c>
      <c r="H6273" s="4">
        <v>16154795</v>
      </c>
      <c r="I6273" s="4">
        <v>14379474</v>
      </c>
      <c r="J6273" s="3">
        <v>0.10989436882362172</v>
      </c>
      <c r="K6273" s="3">
        <v>0.12346216558408186</v>
      </c>
      <c r="L6273" t="s">
        <v>54</v>
      </c>
    </row>
    <row r="6274" spans="1:12" x14ac:dyDescent="0.25">
      <c r="A6274" t="s">
        <v>487</v>
      </c>
      <c r="B6274" t="s">
        <v>467</v>
      </c>
      <c r="C6274" t="s">
        <v>468</v>
      </c>
      <c r="D6274" t="s">
        <v>218</v>
      </c>
      <c r="E6274" t="s">
        <v>224</v>
      </c>
      <c r="F6274">
        <v>3</v>
      </c>
      <c r="G6274" t="s">
        <v>499</v>
      </c>
      <c r="H6274" s="4">
        <v>16154795</v>
      </c>
      <c r="I6274" s="4">
        <v>12824456</v>
      </c>
      <c r="J6274" s="3">
        <v>0.20615173389696373</v>
      </c>
      <c r="K6274" s="3">
        <v>0.2596865707208165</v>
      </c>
      <c r="L6274" t="s">
        <v>54</v>
      </c>
    </row>
    <row r="6275" spans="1:12" x14ac:dyDescent="0.25">
      <c r="A6275" t="s">
        <v>487</v>
      </c>
      <c r="B6275" t="s">
        <v>467</v>
      </c>
      <c r="C6275" t="s">
        <v>468</v>
      </c>
      <c r="D6275" t="s">
        <v>220</v>
      </c>
      <c r="E6275" t="s">
        <v>222</v>
      </c>
      <c r="F6275">
        <v>1</v>
      </c>
      <c r="G6275" t="s">
        <v>488</v>
      </c>
      <c r="H6275" s="4">
        <v>13782501</v>
      </c>
      <c r="I6275" s="4">
        <v>11638204.153644225</v>
      </c>
      <c r="J6275" s="3">
        <v>0.1555811130618293</v>
      </c>
      <c r="K6275" s="3">
        <v>0.1842463680862945</v>
      </c>
      <c r="L6275" t="s">
        <v>54</v>
      </c>
    </row>
    <row r="6276" spans="1:12" x14ac:dyDescent="0.25">
      <c r="A6276" t="s">
        <v>487</v>
      </c>
      <c r="B6276" t="s">
        <v>467</v>
      </c>
      <c r="C6276" t="s">
        <v>468</v>
      </c>
      <c r="D6276" t="s">
        <v>220</v>
      </c>
      <c r="E6276" t="s">
        <v>222</v>
      </c>
      <c r="F6276">
        <v>1</v>
      </c>
      <c r="G6276" t="s">
        <v>498</v>
      </c>
      <c r="H6276" s="4">
        <v>13782501</v>
      </c>
      <c r="I6276" s="4">
        <v>11945295</v>
      </c>
      <c r="J6276" s="3">
        <v>0.13329989963360062</v>
      </c>
      <c r="K6276" s="3">
        <v>0.15380164324112547</v>
      </c>
      <c r="L6276" t="s">
        <v>54</v>
      </c>
    </row>
    <row r="6277" spans="1:12" x14ac:dyDescent="0.25">
      <c r="A6277" t="s">
        <v>487</v>
      </c>
      <c r="B6277" t="s">
        <v>467</v>
      </c>
      <c r="C6277" t="s">
        <v>468</v>
      </c>
      <c r="D6277" t="s">
        <v>220</v>
      </c>
      <c r="E6277" t="s">
        <v>222</v>
      </c>
      <c r="F6277">
        <v>1</v>
      </c>
      <c r="G6277" t="s">
        <v>499</v>
      </c>
      <c r="H6277" s="4">
        <v>13782501</v>
      </c>
      <c r="I6277" s="4">
        <v>12045460</v>
      </c>
      <c r="J6277" s="3">
        <v>0.12603235073228</v>
      </c>
      <c r="K6277" s="3">
        <v>0.1442071120571568</v>
      </c>
      <c r="L6277" t="s">
        <v>54</v>
      </c>
    </row>
    <row r="6278" spans="1:12" x14ac:dyDescent="0.25">
      <c r="A6278" t="s">
        <v>487</v>
      </c>
      <c r="B6278" t="s">
        <v>467</v>
      </c>
      <c r="C6278" t="s">
        <v>468</v>
      </c>
      <c r="D6278" t="s">
        <v>220</v>
      </c>
      <c r="E6278" t="s">
        <v>224</v>
      </c>
      <c r="F6278">
        <v>2</v>
      </c>
      <c r="G6278" t="s">
        <v>488</v>
      </c>
      <c r="H6278" s="4">
        <v>16154795</v>
      </c>
      <c r="I6278" s="4">
        <v>14009805.034870978</v>
      </c>
      <c r="J6278" s="3">
        <v>0.13277729399407553</v>
      </c>
      <c r="K6278" s="3">
        <v>0.1531063394379903</v>
      </c>
      <c r="L6278" t="s">
        <v>54</v>
      </c>
    </row>
    <row r="6279" spans="1:12" x14ac:dyDescent="0.25">
      <c r="A6279" t="s">
        <v>487</v>
      </c>
      <c r="B6279" t="s">
        <v>467</v>
      </c>
      <c r="C6279" t="s">
        <v>468</v>
      </c>
      <c r="D6279" t="s">
        <v>220</v>
      </c>
      <c r="E6279" t="s">
        <v>224</v>
      </c>
      <c r="F6279">
        <v>2</v>
      </c>
      <c r="G6279" t="s">
        <v>498</v>
      </c>
      <c r="H6279" s="4">
        <v>16154795</v>
      </c>
      <c r="I6279" s="4">
        <v>14379474</v>
      </c>
      <c r="J6279" s="3">
        <v>0.10989436882362172</v>
      </c>
      <c r="K6279" s="3">
        <v>0.12346216558408186</v>
      </c>
      <c r="L6279" t="s">
        <v>54</v>
      </c>
    </row>
    <row r="6280" spans="1:12" x14ac:dyDescent="0.25">
      <c r="A6280" t="s">
        <v>487</v>
      </c>
      <c r="B6280" t="s">
        <v>467</v>
      </c>
      <c r="C6280" t="s">
        <v>468</v>
      </c>
      <c r="D6280" t="s">
        <v>220</v>
      </c>
      <c r="E6280" t="s">
        <v>224</v>
      </c>
      <c r="F6280">
        <v>2</v>
      </c>
      <c r="G6280" t="s">
        <v>499</v>
      </c>
      <c r="H6280" s="4">
        <v>16154795</v>
      </c>
      <c r="I6280" s="4">
        <v>12045460</v>
      </c>
      <c r="J6280" s="3">
        <v>0.25437246340792313</v>
      </c>
      <c r="K6280" s="3">
        <v>0.34115218513863316</v>
      </c>
      <c r="L6280" t="s">
        <v>54</v>
      </c>
    </row>
    <row r="6281" spans="1:12" x14ac:dyDescent="0.25">
      <c r="A6281" t="s">
        <v>487</v>
      </c>
      <c r="B6281" t="s">
        <v>467</v>
      </c>
      <c r="C6281" t="s">
        <v>468</v>
      </c>
      <c r="D6281" t="s">
        <v>220</v>
      </c>
      <c r="E6281" t="s">
        <v>226</v>
      </c>
      <c r="F6281">
        <v>3</v>
      </c>
      <c r="G6281" t="s">
        <v>488</v>
      </c>
      <c r="H6281" s="4">
        <v>15012612</v>
      </c>
      <c r="I6281" s="4">
        <v>14266575.76777262</v>
      </c>
      <c r="J6281" s="3">
        <v>0.04969396612843784</v>
      </c>
      <c r="K6281" s="3">
        <v>0.05229259244622895</v>
      </c>
      <c r="L6281" t="s">
        <v>54</v>
      </c>
    </row>
    <row r="6282" spans="1:12" x14ac:dyDescent="0.25">
      <c r="A6282" t="s">
        <v>487</v>
      </c>
      <c r="B6282" t="s">
        <v>467</v>
      </c>
      <c r="C6282" t="s">
        <v>468</v>
      </c>
      <c r="D6282" t="s">
        <v>220</v>
      </c>
      <c r="E6282" t="s">
        <v>226</v>
      </c>
      <c r="F6282">
        <v>3</v>
      </c>
      <c r="G6282" t="s">
        <v>498</v>
      </c>
      <c r="H6282" s="4">
        <v>15012612</v>
      </c>
      <c r="I6282" s="4">
        <v>14643020</v>
      </c>
      <c r="J6282" s="3">
        <v>0.024618767207198855</v>
      </c>
      <c r="K6282" s="3">
        <v>0.025240148548591752</v>
      </c>
      <c r="L6282" t="s">
        <v>54</v>
      </c>
    </row>
    <row r="6283" spans="1:12" x14ac:dyDescent="0.25">
      <c r="A6283" t="s">
        <v>487</v>
      </c>
      <c r="B6283" t="s">
        <v>467</v>
      </c>
      <c r="C6283" t="s">
        <v>468</v>
      </c>
      <c r="D6283" t="s">
        <v>220</v>
      </c>
      <c r="E6283" t="s">
        <v>226</v>
      </c>
      <c r="F6283">
        <v>3</v>
      </c>
      <c r="G6283" t="s">
        <v>499</v>
      </c>
      <c r="H6283" s="4">
        <v>15012612</v>
      </c>
      <c r="I6283" s="4">
        <v>12045460</v>
      </c>
      <c r="J6283" s="3">
        <v>0.1976439542965608</v>
      </c>
      <c r="K6283" s="3">
        <v>0.24632948845457125</v>
      </c>
      <c r="L6283" t="s">
        <v>54</v>
      </c>
    </row>
    <row r="6284" spans="1:12" x14ac:dyDescent="0.25">
      <c r="A6284" t="s">
        <v>487</v>
      </c>
      <c r="B6284" t="s">
        <v>467</v>
      </c>
      <c r="C6284" t="s">
        <v>468</v>
      </c>
      <c r="D6284" t="s">
        <v>222</v>
      </c>
      <c r="E6284" t="s">
        <v>224</v>
      </c>
      <c r="F6284">
        <v>1</v>
      </c>
      <c r="G6284" t="s">
        <v>488</v>
      </c>
      <c r="H6284" s="4">
        <v>16154795</v>
      </c>
      <c r="I6284" s="4">
        <v>14339661.944130171</v>
      </c>
      <c r="J6284" s="3">
        <v>0.11235877990836955</v>
      </c>
      <c r="K6284" s="3">
        <v>0.12658130037806362</v>
      </c>
      <c r="L6284" t="s">
        <v>54</v>
      </c>
    </row>
    <row r="6285" spans="1:12" x14ac:dyDescent="0.25">
      <c r="A6285" t="s">
        <v>487</v>
      </c>
      <c r="B6285" t="s">
        <v>467</v>
      </c>
      <c r="C6285" t="s">
        <v>468</v>
      </c>
      <c r="D6285" t="s">
        <v>222</v>
      </c>
      <c r="E6285" t="s">
        <v>224</v>
      </c>
      <c r="F6285">
        <v>1</v>
      </c>
      <c r="G6285" t="s">
        <v>498</v>
      </c>
      <c r="H6285" s="4">
        <v>16154795</v>
      </c>
      <c r="I6285" s="4">
        <v>14379474</v>
      </c>
      <c r="J6285" s="3">
        <v>0.10989436882362172</v>
      </c>
      <c r="K6285" s="3">
        <v>0.12346216558408186</v>
      </c>
      <c r="L6285" t="s">
        <v>54</v>
      </c>
    </row>
    <row r="6286" spans="1:12" x14ac:dyDescent="0.25">
      <c r="A6286" t="s">
        <v>487</v>
      </c>
      <c r="B6286" t="s">
        <v>467</v>
      </c>
      <c r="C6286" t="s">
        <v>468</v>
      </c>
      <c r="D6286" t="s">
        <v>222</v>
      </c>
      <c r="E6286" t="s">
        <v>224</v>
      </c>
      <c r="F6286">
        <v>1</v>
      </c>
      <c r="G6286" t="s">
        <v>499</v>
      </c>
      <c r="H6286" s="4">
        <v>16154795</v>
      </c>
      <c r="I6286" s="4">
        <v>13782501</v>
      </c>
      <c r="J6286" s="3">
        <v>0.14684766968568774</v>
      </c>
      <c r="K6286" s="3">
        <v>0.17212362255587718</v>
      </c>
      <c r="L6286" t="s">
        <v>54</v>
      </c>
    </row>
    <row r="6287" spans="1:12" x14ac:dyDescent="0.25">
      <c r="A6287" t="s">
        <v>487</v>
      </c>
      <c r="B6287" t="s">
        <v>467</v>
      </c>
      <c r="C6287" t="s">
        <v>468</v>
      </c>
      <c r="D6287" t="s">
        <v>222</v>
      </c>
      <c r="E6287" t="s">
        <v>226</v>
      </c>
      <c r="F6287">
        <v>2</v>
      </c>
      <c r="G6287" t="s">
        <v>488</v>
      </c>
      <c r="H6287" s="4">
        <v>15012612</v>
      </c>
      <c r="I6287" s="4">
        <v>14602478.271537399</v>
      </c>
      <c r="J6287" s="3">
        <v>0.02731927851479816</v>
      </c>
      <c r="K6287" s="3">
        <v>0.028086583717917137</v>
      </c>
      <c r="L6287" t="s">
        <v>54</v>
      </c>
    </row>
    <row r="6288" spans="1:12" x14ac:dyDescent="0.25">
      <c r="A6288" t="s">
        <v>487</v>
      </c>
      <c r="B6288" t="s">
        <v>467</v>
      </c>
      <c r="C6288" t="s">
        <v>468</v>
      </c>
      <c r="D6288" t="s">
        <v>222</v>
      </c>
      <c r="E6288" t="s">
        <v>226</v>
      </c>
      <c r="F6288">
        <v>2</v>
      </c>
      <c r="G6288" t="s">
        <v>498</v>
      </c>
      <c r="H6288" s="4">
        <v>15012612</v>
      </c>
      <c r="I6288" s="4">
        <v>14643020</v>
      </c>
      <c r="J6288" s="3">
        <v>0.024618767207198855</v>
      </c>
      <c r="K6288" s="3">
        <v>0.025240148548591752</v>
      </c>
      <c r="L6288" t="s">
        <v>54</v>
      </c>
    </row>
    <row r="6289" spans="1:12" x14ac:dyDescent="0.25">
      <c r="A6289" t="s">
        <v>487</v>
      </c>
      <c r="B6289" t="s">
        <v>467</v>
      </c>
      <c r="C6289" t="s">
        <v>468</v>
      </c>
      <c r="D6289" t="s">
        <v>222</v>
      </c>
      <c r="E6289" t="s">
        <v>226</v>
      </c>
      <c r="F6289">
        <v>2</v>
      </c>
      <c r="G6289" t="s">
        <v>499</v>
      </c>
      <c r="H6289" s="4">
        <v>15012612</v>
      </c>
      <c r="I6289" s="4">
        <v>13782501</v>
      </c>
      <c r="J6289" s="3">
        <v>0.0819385061040677</v>
      </c>
      <c r="K6289" s="3">
        <v>0.08925165323768161</v>
      </c>
      <c r="L6289" t="s">
        <v>54</v>
      </c>
    </row>
    <row r="6290" spans="1:12" x14ac:dyDescent="0.25">
      <c r="A6290" t="s">
        <v>487</v>
      </c>
      <c r="B6290" t="s">
        <v>467</v>
      </c>
      <c r="C6290" t="s">
        <v>468</v>
      </c>
      <c r="D6290" t="s">
        <v>222</v>
      </c>
      <c r="E6290" t="s">
        <v>228</v>
      </c>
      <c r="F6290">
        <v>3</v>
      </c>
      <c r="G6290" t="s">
        <v>488</v>
      </c>
      <c r="H6290" s="4">
        <v>12568269</v>
      </c>
      <c r="I6290" s="4">
        <v>15216038.80695012</v>
      </c>
      <c r="J6290" s="3">
        <v>0.2106710006724172</v>
      </c>
      <c r="K6290" s="3">
        <v>-0.17401176748712796</v>
      </c>
      <c r="L6290" t="s">
        <v>54</v>
      </c>
    </row>
    <row r="6291" spans="1:12" x14ac:dyDescent="0.25">
      <c r="A6291" t="s">
        <v>487</v>
      </c>
      <c r="B6291" t="s">
        <v>467</v>
      </c>
      <c r="C6291" t="s">
        <v>468</v>
      </c>
      <c r="D6291" t="s">
        <v>222</v>
      </c>
      <c r="E6291" t="s">
        <v>228</v>
      </c>
      <c r="F6291">
        <v>3</v>
      </c>
      <c r="G6291" t="s">
        <v>498</v>
      </c>
      <c r="H6291" s="4">
        <v>12568269</v>
      </c>
      <c r="I6291" s="4">
        <v>15258284</v>
      </c>
      <c r="J6291" s="3">
        <v>0.2140322585393422</v>
      </c>
      <c r="K6291" s="3">
        <v>-0.176298658486105</v>
      </c>
      <c r="L6291" t="s">
        <v>54</v>
      </c>
    </row>
    <row r="6292" spans="1:12" x14ac:dyDescent="0.25">
      <c r="A6292" t="s">
        <v>487</v>
      </c>
      <c r="B6292" t="s">
        <v>467</v>
      </c>
      <c r="C6292" t="s">
        <v>468</v>
      </c>
      <c r="D6292" t="s">
        <v>222</v>
      </c>
      <c r="E6292" t="s">
        <v>228</v>
      </c>
      <c r="F6292">
        <v>3</v>
      </c>
      <c r="G6292" t="s">
        <v>499</v>
      </c>
      <c r="H6292" s="4">
        <v>12568269</v>
      </c>
      <c r="I6292" s="4">
        <v>13782501</v>
      </c>
      <c r="J6292" s="3">
        <v>0.09661091754162805</v>
      </c>
      <c r="K6292" s="3">
        <v>-0.08809954013426155</v>
      </c>
      <c r="L6292" t="s">
        <v>54</v>
      </c>
    </row>
    <row r="6293" spans="1:12" x14ac:dyDescent="0.25">
      <c r="A6293" t="s">
        <v>487</v>
      </c>
      <c r="B6293" t="s">
        <v>467</v>
      </c>
      <c r="C6293" t="s">
        <v>468</v>
      </c>
      <c r="D6293" t="s">
        <v>224</v>
      </c>
      <c r="E6293" t="s">
        <v>226</v>
      </c>
      <c r="F6293">
        <v>1</v>
      </c>
      <c r="G6293" t="s">
        <v>488</v>
      </c>
      <c r="H6293" s="4">
        <v>15012612</v>
      </c>
      <c r="I6293" s="4">
        <v>14869969.847609645</v>
      </c>
      <c r="J6293" s="3">
        <v>0.009501487974934358</v>
      </c>
      <c r="K6293" s="3">
        <v>0.009592632254952759</v>
      </c>
      <c r="L6293" t="s">
        <v>54</v>
      </c>
    </row>
    <row r="6294" spans="1:12" x14ac:dyDescent="0.25">
      <c r="A6294" t="s">
        <v>487</v>
      </c>
      <c r="B6294" t="s">
        <v>467</v>
      </c>
      <c r="C6294" t="s">
        <v>468</v>
      </c>
      <c r="D6294" t="s">
        <v>224</v>
      </c>
      <c r="E6294" t="s">
        <v>226</v>
      </c>
      <c r="F6294">
        <v>1</v>
      </c>
      <c r="G6294" t="s">
        <v>498</v>
      </c>
      <c r="H6294" s="4">
        <v>15012612</v>
      </c>
      <c r="I6294" s="4">
        <v>14643020</v>
      </c>
      <c r="J6294" s="3">
        <v>0.024618767207198855</v>
      </c>
      <c r="K6294" s="3">
        <v>0.025240148548591752</v>
      </c>
      <c r="L6294" t="s">
        <v>54</v>
      </c>
    </row>
    <row r="6295" spans="1:12" x14ac:dyDescent="0.25">
      <c r="A6295" t="s">
        <v>487</v>
      </c>
      <c r="B6295" t="s">
        <v>467</v>
      </c>
      <c r="C6295" t="s">
        <v>468</v>
      </c>
      <c r="D6295" t="s">
        <v>224</v>
      </c>
      <c r="E6295" t="s">
        <v>226</v>
      </c>
      <c r="F6295">
        <v>1</v>
      </c>
      <c r="G6295" t="s">
        <v>499</v>
      </c>
      <c r="H6295" s="4">
        <v>15012612</v>
      </c>
      <c r="I6295" s="4">
        <v>16154795</v>
      </c>
      <c r="J6295" s="3">
        <v>0.07608156395436051</v>
      </c>
      <c r="K6295" s="3">
        <v>-0.07070241374155475</v>
      </c>
      <c r="L6295" t="s">
        <v>54</v>
      </c>
    </row>
    <row r="6296" spans="1:12" x14ac:dyDescent="0.25">
      <c r="A6296" t="s">
        <v>487</v>
      </c>
      <c r="B6296" t="s">
        <v>467</v>
      </c>
      <c r="C6296" t="s">
        <v>468</v>
      </c>
      <c r="D6296" t="s">
        <v>224</v>
      </c>
      <c r="E6296" t="s">
        <v>228</v>
      </c>
      <c r="F6296">
        <v>2</v>
      </c>
      <c r="G6296" t="s">
        <v>488</v>
      </c>
      <c r="H6296" s="4">
        <v>12568269</v>
      </c>
      <c r="I6296" s="4">
        <v>15494769.726891356</v>
      </c>
      <c r="J6296" s="3">
        <v>0.23284835221869898</v>
      </c>
      <c r="K6296" s="3">
        <v>-0.1888702303082555</v>
      </c>
      <c r="L6296" t="s">
        <v>54</v>
      </c>
    </row>
    <row r="6297" spans="1:12" x14ac:dyDescent="0.25">
      <c r="A6297" t="s">
        <v>487</v>
      </c>
      <c r="B6297" t="s">
        <v>467</v>
      </c>
      <c r="C6297" t="s">
        <v>468</v>
      </c>
      <c r="D6297" t="s">
        <v>224</v>
      </c>
      <c r="E6297" t="s">
        <v>228</v>
      </c>
      <c r="F6297">
        <v>2</v>
      </c>
      <c r="G6297" t="s">
        <v>498</v>
      </c>
      <c r="H6297" s="4">
        <v>12568269</v>
      </c>
      <c r="I6297" s="4">
        <v>15258284</v>
      </c>
      <c r="J6297" s="3">
        <v>0.2140322585393422</v>
      </c>
      <c r="K6297" s="3">
        <v>-0.176298658486105</v>
      </c>
      <c r="L6297" t="s">
        <v>54</v>
      </c>
    </row>
    <row r="6298" spans="1:12" x14ac:dyDescent="0.25">
      <c r="A6298" t="s">
        <v>487</v>
      </c>
      <c r="B6298" t="s">
        <v>467</v>
      </c>
      <c r="C6298" t="s">
        <v>468</v>
      </c>
      <c r="D6298" t="s">
        <v>224</v>
      </c>
      <c r="E6298" t="s">
        <v>228</v>
      </c>
      <c r="F6298">
        <v>2</v>
      </c>
      <c r="G6298" t="s">
        <v>499</v>
      </c>
      <c r="H6298" s="4">
        <v>12568269</v>
      </c>
      <c r="I6298" s="4">
        <v>16154795</v>
      </c>
      <c r="J6298" s="3">
        <v>0.28536356120321743</v>
      </c>
      <c r="K6298" s="3">
        <v>-0.22200999765085228</v>
      </c>
      <c r="L6298" t="s">
        <v>54</v>
      </c>
    </row>
    <row r="6299" spans="1:12" x14ac:dyDescent="0.25">
      <c r="A6299" t="s">
        <v>487</v>
      </c>
      <c r="B6299" t="s">
        <v>467</v>
      </c>
      <c r="C6299" t="s">
        <v>468</v>
      </c>
      <c r="D6299" t="s">
        <v>224</v>
      </c>
      <c r="E6299" t="s">
        <v>230</v>
      </c>
      <c r="F6299">
        <v>3</v>
      </c>
      <c r="G6299" t="s">
        <v>488</v>
      </c>
      <c r="H6299" s="4">
        <v>8992643</v>
      </c>
      <c r="I6299" s="4">
        <v>8286615.763837166</v>
      </c>
      <c r="J6299" s="3">
        <v>0.07851164959654619</v>
      </c>
      <c r="K6299" s="3">
        <v>0.08520091389345459</v>
      </c>
      <c r="L6299" t="s">
        <v>54</v>
      </c>
    </row>
    <row r="6300" spans="1:12" x14ac:dyDescent="0.25">
      <c r="A6300" t="s">
        <v>487</v>
      </c>
      <c r="B6300" t="s">
        <v>467</v>
      </c>
      <c r="C6300" t="s">
        <v>468</v>
      </c>
      <c r="D6300" t="s">
        <v>224</v>
      </c>
      <c r="E6300" t="s">
        <v>230</v>
      </c>
      <c r="F6300">
        <v>3</v>
      </c>
      <c r="G6300" t="s">
        <v>498</v>
      </c>
      <c r="H6300" s="4">
        <v>8992643</v>
      </c>
      <c r="I6300" s="4">
        <v>8160143</v>
      </c>
      <c r="J6300" s="3">
        <v>0.09257567547160496</v>
      </c>
      <c r="K6300" s="3">
        <v>0.10202027096829062</v>
      </c>
      <c r="L6300" t="s">
        <v>54</v>
      </c>
    </row>
    <row r="6301" spans="1:12" x14ac:dyDescent="0.25">
      <c r="A6301" t="s">
        <v>487</v>
      </c>
      <c r="B6301" t="s">
        <v>467</v>
      </c>
      <c r="C6301" t="s">
        <v>468</v>
      </c>
      <c r="D6301" t="s">
        <v>224</v>
      </c>
      <c r="E6301" t="s">
        <v>230</v>
      </c>
      <c r="F6301">
        <v>3</v>
      </c>
      <c r="G6301" t="s">
        <v>499</v>
      </c>
      <c r="H6301" s="4">
        <v>8992643</v>
      </c>
      <c r="I6301" s="4">
        <v>16154795</v>
      </c>
      <c r="J6301" s="3">
        <v>0.7964457167931608</v>
      </c>
      <c r="K6301" s="3">
        <v>-0.44334527302884374</v>
      </c>
      <c r="L6301" t="s">
        <v>54</v>
      </c>
    </row>
    <row r="6302" spans="1:12" x14ac:dyDescent="0.25">
      <c r="A6302" t="s">
        <v>487</v>
      </c>
      <c r="B6302" t="s">
        <v>467</v>
      </c>
      <c r="C6302" t="s">
        <v>468</v>
      </c>
      <c r="D6302" t="s">
        <v>226</v>
      </c>
      <c r="E6302" t="s">
        <v>228</v>
      </c>
      <c r="F6302">
        <v>1</v>
      </c>
      <c r="G6302" t="s">
        <v>488</v>
      </c>
      <c r="H6302" s="4">
        <v>12568269</v>
      </c>
      <c r="I6302" s="4">
        <v>15571888.653258475</v>
      </c>
      <c r="J6302" s="3">
        <v>0.23898435442927538</v>
      </c>
      <c r="K6302" s="3">
        <v>-0.19288730610271582</v>
      </c>
      <c r="L6302" t="s">
        <v>54</v>
      </c>
    </row>
    <row r="6303" spans="1:12" x14ac:dyDescent="0.25">
      <c r="A6303" t="s">
        <v>487</v>
      </c>
      <c r="B6303" t="s">
        <v>467</v>
      </c>
      <c r="C6303" t="s">
        <v>468</v>
      </c>
      <c r="D6303" t="s">
        <v>226</v>
      </c>
      <c r="E6303" t="s">
        <v>228</v>
      </c>
      <c r="F6303">
        <v>1</v>
      </c>
      <c r="G6303" t="s">
        <v>498</v>
      </c>
      <c r="H6303" s="4">
        <v>12568269</v>
      </c>
      <c r="I6303" s="4">
        <v>15258284</v>
      </c>
      <c r="J6303" s="3">
        <v>0.2140322585393422</v>
      </c>
      <c r="K6303" s="3">
        <v>-0.176298658486105</v>
      </c>
      <c r="L6303" t="s">
        <v>54</v>
      </c>
    </row>
    <row r="6304" spans="1:12" x14ac:dyDescent="0.25">
      <c r="A6304" t="s">
        <v>487</v>
      </c>
      <c r="B6304" t="s">
        <v>467</v>
      </c>
      <c r="C6304" t="s">
        <v>468</v>
      </c>
      <c r="D6304" t="s">
        <v>226</v>
      </c>
      <c r="E6304" t="s">
        <v>228</v>
      </c>
      <c r="F6304">
        <v>1</v>
      </c>
      <c r="G6304" t="s">
        <v>499</v>
      </c>
      <c r="H6304" s="4">
        <v>12568269</v>
      </c>
      <c r="I6304" s="4">
        <v>15012612</v>
      </c>
      <c r="J6304" s="3">
        <v>0.19448525489070928</v>
      </c>
      <c r="K6304" s="3">
        <v>-0.1628193015312725</v>
      </c>
      <c r="L6304" t="s">
        <v>54</v>
      </c>
    </row>
    <row r="6305" spans="1:12" x14ac:dyDescent="0.25">
      <c r="A6305" t="s">
        <v>487</v>
      </c>
      <c r="B6305" t="s">
        <v>467</v>
      </c>
      <c r="C6305" t="s">
        <v>468</v>
      </c>
      <c r="D6305" t="s">
        <v>226</v>
      </c>
      <c r="E6305" t="s">
        <v>230</v>
      </c>
      <c r="F6305">
        <v>2</v>
      </c>
      <c r="G6305" t="s">
        <v>488</v>
      </c>
      <c r="H6305" s="4">
        <v>8992643</v>
      </c>
      <c r="I6305" s="4">
        <v>8327859.029931975</v>
      </c>
      <c r="J6305" s="3">
        <v>0.07392531540149269</v>
      </c>
      <c r="K6305" s="3">
        <v>0.07982651575616977</v>
      </c>
      <c r="L6305" t="s">
        <v>54</v>
      </c>
    </row>
    <row r="6306" spans="1:12" x14ac:dyDescent="0.25">
      <c r="A6306" t="s">
        <v>487</v>
      </c>
      <c r="B6306" t="s">
        <v>467</v>
      </c>
      <c r="C6306" t="s">
        <v>468</v>
      </c>
      <c r="D6306" t="s">
        <v>226</v>
      </c>
      <c r="E6306" t="s">
        <v>230</v>
      </c>
      <c r="F6306">
        <v>2</v>
      </c>
      <c r="G6306" t="s">
        <v>498</v>
      </c>
      <c r="H6306" s="4">
        <v>8992643</v>
      </c>
      <c r="I6306" s="4">
        <v>8160143</v>
      </c>
      <c r="J6306" s="3">
        <v>0.09257567547160496</v>
      </c>
      <c r="K6306" s="3">
        <v>0.10202027096829062</v>
      </c>
      <c r="L6306" t="s">
        <v>54</v>
      </c>
    </row>
    <row r="6307" spans="1:12" x14ac:dyDescent="0.25">
      <c r="A6307" t="s">
        <v>487</v>
      </c>
      <c r="B6307" t="s">
        <v>467</v>
      </c>
      <c r="C6307" t="s">
        <v>468</v>
      </c>
      <c r="D6307" t="s">
        <v>226</v>
      </c>
      <c r="E6307" t="s">
        <v>230</v>
      </c>
      <c r="F6307">
        <v>2</v>
      </c>
      <c r="G6307" t="s">
        <v>499</v>
      </c>
      <c r="H6307" s="4">
        <v>8992643</v>
      </c>
      <c r="I6307" s="4">
        <v>15012612</v>
      </c>
      <c r="J6307" s="3">
        <v>0.6694326684602069</v>
      </c>
      <c r="K6307" s="3">
        <v>-0.40099411081829067</v>
      </c>
      <c r="L6307" t="s">
        <v>54</v>
      </c>
    </row>
    <row r="6308" spans="1:12" x14ac:dyDescent="0.25">
      <c r="A6308" t="s">
        <v>487</v>
      </c>
      <c r="B6308" t="s">
        <v>467</v>
      </c>
      <c r="C6308" t="s">
        <v>468</v>
      </c>
      <c r="D6308" t="s">
        <v>226</v>
      </c>
      <c r="E6308" t="s">
        <v>232</v>
      </c>
      <c r="F6308">
        <v>3</v>
      </c>
      <c r="G6308" t="s">
        <v>488</v>
      </c>
      <c r="H6308" s="4">
        <v>8123095</v>
      </c>
      <c r="I6308" s="4">
        <v>8566902.156102918</v>
      </c>
      <c r="J6308" s="3">
        <v>0.054635229072529386</v>
      </c>
      <c r="K6308" s="3">
        <v>-0.051804858747774685</v>
      </c>
      <c r="L6308" t="s">
        <v>54</v>
      </c>
    </row>
    <row r="6309" spans="1:12" x14ac:dyDescent="0.25">
      <c r="A6309" t="s">
        <v>487</v>
      </c>
      <c r="B6309" t="s">
        <v>467</v>
      </c>
      <c r="C6309" t="s">
        <v>468</v>
      </c>
      <c r="D6309" t="s">
        <v>226</v>
      </c>
      <c r="E6309" t="s">
        <v>232</v>
      </c>
      <c r="F6309">
        <v>3</v>
      </c>
      <c r="G6309" t="s">
        <v>498</v>
      </c>
      <c r="H6309" s="4">
        <v>8123095</v>
      </c>
      <c r="I6309" s="4">
        <v>8394372</v>
      </c>
      <c r="J6309" s="3">
        <v>0.033395768484795516</v>
      </c>
      <c r="K6309" s="3">
        <v>-0.03231653302951072</v>
      </c>
      <c r="L6309" t="s">
        <v>54</v>
      </c>
    </row>
    <row r="6310" spans="1:12" x14ac:dyDescent="0.25">
      <c r="A6310" t="s">
        <v>487</v>
      </c>
      <c r="B6310" t="s">
        <v>467</v>
      </c>
      <c r="C6310" t="s">
        <v>468</v>
      </c>
      <c r="D6310" t="s">
        <v>226</v>
      </c>
      <c r="E6310" t="s">
        <v>232</v>
      </c>
      <c r="F6310">
        <v>3</v>
      </c>
      <c r="G6310" t="s">
        <v>499</v>
      </c>
      <c r="H6310" s="4">
        <v>8123095</v>
      </c>
      <c r="I6310" s="4">
        <v>15012612</v>
      </c>
      <c r="J6310" s="3">
        <v>0.8481394099170328</v>
      </c>
      <c r="K6310" s="3">
        <v>-0.4589152773681222</v>
      </c>
      <c r="L6310" t="s">
        <v>54</v>
      </c>
    </row>
    <row r="6311" spans="1:12" x14ac:dyDescent="0.25">
      <c r="A6311" t="s">
        <v>487</v>
      </c>
      <c r="B6311" t="s">
        <v>467</v>
      </c>
      <c r="C6311" t="s">
        <v>468</v>
      </c>
      <c r="D6311" t="s">
        <v>228</v>
      </c>
      <c r="E6311" t="s">
        <v>230</v>
      </c>
      <c r="F6311">
        <v>1</v>
      </c>
      <c r="G6311" t="s">
        <v>488</v>
      </c>
      <c r="H6311" s="4">
        <v>8992643</v>
      </c>
      <c r="I6311" s="4">
        <v>7910006.4308529105</v>
      </c>
      <c r="J6311" s="3">
        <v>0.12039136538024355</v>
      </c>
      <c r="K6311" s="3">
        <v>0.1368692400709404</v>
      </c>
      <c r="L6311" t="s">
        <v>54</v>
      </c>
    </row>
    <row r="6312" spans="1:12" x14ac:dyDescent="0.25">
      <c r="A6312" t="s">
        <v>487</v>
      </c>
      <c r="B6312" t="s">
        <v>467</v>
      </c>
      <c r="C6312" t="s">
        <v>468</v>
      </c>
      <c r="D6312" t="s">
        <v>228</v>
      </c>
      <c r="E6312" t="s">
        <v>230</v>
      </c>
      <c r="F6312">
        <v>1</v>
      </c>
      <c r="G6312" t="s">
        <v>498</v>
      </c>
      <c r="H6312" s="4">
        <v>8992643</v>
      </c>
      <c r="I6312" s="4">
        <v>8160143</v>
      </c>
      <c r="J6312" s="3">
        <v>0.09257567547160496</v>
      </c>
      <c r="K6312" s="3">
        <v>0.10202027096829062</v>
      </c>
      <c r="L6312" t="s">
        <v>54</v>
      </c>
    </row>
    <row r="6313" spans="1:12" x14ac:dyDescent="0.25">
      <c r="A6313" t="s">
        <v>487</v>
      </c>
      <c r="B6313" t="s">
        <v>467</v>
      </c>
      <c r="C6313" t="s">
        <v>468</v>
      </c>
      <c r="D6313" t="s">
        <v>228</v>
      </c>
      <c r="E6313" t="s">
        <v>230</v>
      </c>
      <c r="F6313">
        <v>1</v>
      </c>
      <c r="G6313" t="s">
        <v>499</v>
      </c>
      <c r="H6313" s="4">
        <v>8992643</v>
      </c>
      <c r="I6313" s="4">
        <v>12568269</v>
      </c>
      <c r="J6313" s="3">
        <v>0.3976168074280276</v>
      </c>
      <c r="K6313" s="3">
        <v>-0.28449629777974994</v>
      </c>
      <c r="L6313" t="s">
        <v>54</v>
      </c>
    </row>
    <row r="6314" spans="1:12" x14ac:dyDescent="0.25">
      <c r="A6314" t="s">
        <v>487</v>
      </c>
      <c r="B6314" t="s">
        <v>467</v>
      </c>
      <c r="C6314" t="s">
        <v>468</v>
      </c>
      <c r="D6314" t="s">
        <v>228</v>
      </c>
      <c r="E6314" t="s">
        <v>232</v>
      </c>
      <c r="F6314">
        <v>2</v>
      </c>
      <c r="G6314" t="s">
        <v>488</v>
      </c>
      <c r="H6314" s="4">
        <v>8123095</v>
      </c>
      <c r="I6314" s="4">
        <v>8137055.502945427</v>
      </c>
      <c r="J6314" s="3">
        <v>0.0017186186971132125</v>
      </c>
      <c r="K6314" s="3">
        <v>-0.0017156701143765667</v>
      </c>
      <c r="L6314" t="s">
        <v>54</v>
      </c>
    </row>
    <row r="6315" spans="1:12" x14ac:dyDescent="0.25">
      <c r="A6315" t="s">
        <v>487</v>
      </c>
      <c r="B6315" t="s">
        <v>467</v>
      </c>
      <c r="C6315" t="s">
        <v>468</v>
      </c>
      <c r="D6315" t="s">
        <v>228</v>
      </c>
      <c r="E6315" t="s">
        <v>232</v>
      </c>
      <c r="F6315">
        <v>2</v>
      </c>
      <c r="G6315" t="s">
        <v>498</v>
      </c>
      <c r="H6315" s="4">
        <v>8123095</v>
      </c>
      <c r="I6315" s="4">
        <v>8394372</v>
      </c>
      <c r="J6315" s="3">
        <v>0.033395768484795516</v>
      </c>
      <c r="K6315" s="3">
        <v>-0.03231653302951072</v>
      </c>
      <c r="L6315" t="s">
        <v>54</v>
      </c>
    </row>
    <row r="6316" spans="1:12" x14ac:dyDescent="0.25">
      <c r="A6316" t="s">
        <v>487</v>
      </c>
      <c r="B6316" t="s">
        <v>467</v>
      </c>
      <c r="C6316" t="s">
        <v>468</v>
      </c>
      <c r="D6316" t="s">
        <v>228</v>
      </c>
      <c r="E6316" t="s">
        <v>232</v>
      </c>
      <c r="F6316">
        <v>2</v>
      </c>
      <c r="G6316" t="s">
        <v>499</v>
      </c>
      <c r="H6316" s="4">
        <v>8123095</v>
      </c>
      <c r="I6316" s="4">
        <v>12568269</v>
      </c>
      <c r="J6316" s="3">
        <v>0.5472266420619234</v>
      </c>
      <c r="K6316" s="3">
        <v>-0.3536822771695927</v>
      </c>
      <c r="L6316" t="s">
        <v>54</v>
      </c>
    </row>
    <row r="6317" spans="1:12" x14ac:dyDescent="0.25">
      <c r="A6317" t="s">
        <v>487</v>
      </c>
      <c r="B6317" t="s">
        <v>467</v>
      </c>
      <c r="C6317" t="s">
        <v>468</v>
      </c>
      <c r="D6317" t="s">
        <v>228</v>
      </c>
      <c r="E6317" t="s">
        <v>234</v>
      </c>
      <c r="F6317">
        <v>3</v>
      </c>
      <c r="G6317" t="s">
        <v>488</v>
      </c>
      <c r="H6317" s="4">
        <v>9819787</v>
      </c>
      <c r="I6317" s="4">
        <v>9539655.36487779</v>
      </c>
      <c r="J6317" s="3">
        <v>0.028527261856312137</v>
      </c>
      <c r="K6317" s="3">
        <v>0.029364963870033733</v>
      </c>
      <c r="L6317" t="s">
        <v>54</v>
      </c>
    </row>
    <row r="6318" spans="1:12" x14ac:dyDescent="0.25">
      <c r="A6318" t="s">
        <v>487</v>
      </c>
      <c r="B6318" t="s">
        <v>467</v>
      </c>
      <c r="C6318" t="s">
        <v>468</v>
      </c>
      <c r="D6318" t="s">
        <v>228</v>
      </c>
      <c r="E6318" t="s">
        <v>234</v>
      </c>
      <c r="F6318">
        <v>3</v>
      </c>
      <c r="G6318" t="s">
        <v>498</v>
      </c>
      <c r="H6318" s="4">
        <v>9819787</v>
      </c>
      <c r="I6318" s="4">
        <v>9841326</v>
      </c>
      <c r="J6318" s="3">
        <v>0.0021934284317979605</v>
      </c>
      <c r="K6318" s="3">
        <v>-0.002188627833281816</v>
      </c>
      <c r="L6318" t="s">
        <v>54</v>
      </c>
    </row>
    <row r="6319" spans="1:12" x14ac:dyDescent="0.25">
      <c r="A6319" t="s">
        <v>487</v>
      </c>
      <c r="B6319" t="s">
        <v>467</v>
      </c>
      <c r="C6319" t="s">
        <v>468</v>
      </c>
      <c r="D6319" t="s">
        <v>228</v>
      </c>
      <c r="E6319" t="s">
        <v>234</v>
      </c>
      <c r="F6319">
        <v>3</v>
      </c>
      <c r="G6319" t="s">
        <v>499</v>
      </c>
      <c r="H6319" s="4">
        <v>9819787</v>
      </c>
      <c r="I6319" s="4">
        <v>12568269</v>
      </c>
      <c r="J6319" s="3">
        <v>0.279892221694829</v>
      </c>
      <c r="K6319" s="3">
        <v>-0.21868421180355066</v>
      </c>
      <c r="L6319" t="s">
        <v>54</v>
      </c>
    </row>
    <row r="6320" spans="1:12" x14ac:dyDescent="0.25">
      <c r="A6320" t="s">
        <v>487</v>
      </c>
      <c r="B6320" t="s">
        <v>467</v>
      </c>
      <c r="C6320" t="s">
        <v>468</v>
      </c>
      <c r="D6320" t="s">
        <v>230</v>
      </c>
      <c r="E6320" t="s">
        <v>232</v>
      </c>
      <c r="F6320">
        <v>1</v>
      </c>
      <c r="G6320" t="s">
        <v>488</v>
      </c>
      <c r="H6320" s="4">
        <v>8123095</v>
      </c>
      <c r="I6320" s="4">
        <v>8237687.688203986</v>
      </c>
      <c r="J6320" s="3">
        <v>0.014107023025581481</v>
      </c>
      <c r="K6320" s="3">
        <v>-0.01391078328546949</v>
      </c>
      <c r="L6320" t="s">
        <v>54</v>
      </c>
    </row>
    <row r="6321" spans="1:12" x14ac:dyDescent="0.25">
      <c r="A6321" t="s">
        <v>487</v>
      </c>
      <c r="B6321" t="s">
        <v>467</v>
      </c>
      <c r="C6321" t="s">
        <v>468</v>
      </c>
      <c r="D6321" t="s">
        <v>230</v>
      </c>
      <c r="E6321" t="s">
        <v>232</v>
      </c>
      <c r="F6321">
        <v>1</v>
      </c>
      <c r="G6321" t="s">
        <v>498</v>
      </c>
      <c r="H6321" s="4">
        <v>8123095</v>
      </c>
      <c r="I6321" s="4">
        <v>8394372</v>
      </c>
      <c r="J6321" s="3">
        <v>0.033395768484795516</v>
      </c>
      <c r="K6321" s="3">
        <v>-0.03231653302951072</v>
      </c>
      <c r="L6321" t="s">
        <v>54</v>
      </c>
    </row>
    <row r="6322" spans="1:12" x14ac:dyDescent="0.25">
      <c r="A6322" t="s">
        <v>487</v>
      </c>
      <c r="B6322" t="s">
        <v>467</v>
      </c>
      <c r="C6322" t="s">
        <v>468</v>
      </c>
      <c r="D6322" t="s">
        <v>230</v>
      </c>
      <c r="E6322" t="s">
        <v>232</v>
      </c>
      <c r="F6322">
        <v>1</v>
      </c>
      <c r="G6322" t="s">
        <v>499</v>
      </c>
      <c r="H6322" s="4">
        <v>8123095</v>
      </c>
      <c r="I6322" s="4">
        <v>8992643</v>
      </c>
      <c r="J6322" s="3">
        <v>0.1070463905691119</v>
      </c>
      <c r="K6322" s="3">
        <v>-0.0966954876336134</v>
      </c>
      <c r="L6322" t="s">
        <v>54</v>
      </c>
    </row>
    <row r="6323" spans="1:12" x14ac:dyDescent="0.25">
      <c r="A6323" t="s">
        <v>487</v>
      </c>
      <c r="B6323" t="s">
        <v>467</v>
      </c>
      <c r="C6323" t="s">
        <v>468</v>
      </c>
      <c r="D6323" t="s">
        <v>230</v>
      </c>
      <c r="E6323" t="s">
        <v>234</v>
      </c>
      <c r="F6323">
        <v>2</v>
      </c>
      <c r="G6323" t="s">
        <v>488</v>
      </c>
      <c r="H6323" s="4">
        <v>9819787</v>
      </c>
      <c r="I6323" s="4">
        <v>9657633.712897377</v>
      </c>
      <c r="J6323" s="3">
        <v>0.01651291286691075</v>
      </c>
      <c r="K6323" s="3">
        <v>0.01679016743884931</v>
      </c>
      <c r="L6323" t="s">
        <v>54</v>
      </c>
    </row>
    <row r="6324" spans="1:12" x14ac:dyDescent="0.25">
      <c r="A6324" t="s">
        <v>487</v>
      </c>
      <c r="B6324" t="s">
        <v>467</v>
      </c>
      <c r="C6324" t="s">
        <v>468</v>
      </c>
      <c r="D6324" t="s">
        <v>230</v>
      </c>
      <c r="E6324" t="s">
        <v>234</v>
      </c>
      <c r="F6324">
        <v>2</v>
      </c>
      <c r="G6324" t="s">
        <v>498</v>
      </c>
      <c r="H6324" s="4">
        <v>9819787</v>
      </c>
      <c r="I6324" s="4">
        <v>9841326</v>
      </c>
      <c r="J6324" s="3">
        <v>0.0021934284317979605</v>
      </c>
      <c r="K6324" s="3">
        <v>-0.002188627833281816</v>
      </c>
      <c r="L6324" t="s">
        <v>54</v>
      </c>
    </row>
    <row r="6325" spans="1:12" x14ac:dyDescent="0.25">
      <c r="A6325" t="s">
        <v>487</v>
      </c>
      <c r="B6325" t="s">
        <v>467</v>
      </c>
      <c r="C6325" t="s">
        <v>468</v>
      </c>
      <c r="D6325" t="s">
        <v>230</v>
      </c>
      <c r="E6325" t="s">
        <v>234</v>
      </c>
      <c r="F6325">
        <v>2</v>
      </c>
      <c r="G6325" t="s">
        <v>499</v>
      </c>
      <c r="H6325" s="4">
        <v>9819787</v>
      </c>
      <c r="I6325" s="4">
        <v>8992643</v>
      </c>
      <c r="J6325" s="3">
        <v>0.08423237693444878</v>
      </c>
      <c r="K6325" s="3">
        <v>0.09198007749223448</v>
      </c>
      <c r="L6325" t="s">
        <v>54</v>
      </c>
    </row>
    <row r="6326" spans="1:12" x14ac:dyDescent="0.25">
      <c r="A6326" t="s">
        <v>487</v>
      </c>
      <c r="B6326" t="s">
        <v>467</v>
      </c>
      <c r="C6326" t="s">
        <v>468</v>
      </c>
      <c r="D6326" t="s">
        <v>230</v>
      </c>
      <c r="E6326" t="s">
        <v>236</v>
      </c>
      <c r="F6326">
        <v>3</v>
      </c>
      <c r="G6326" t="s">
        <v>488</v>
      </c>
      <c r="H6326" s="4">
        <v>17780005</v>
      </c>
      <c r="I6326" s="4">
        <v>12975780.160890022</v>
      </c>
      <c r="J6326" s="3">
        <v>0.27020379573065234</v>
      </c>
      <c r="K6326" s="3">
        <v>0.3702455482091376</v>
      </c>
      <c r="L6326" t="s">
        <v>54</v>
      </c>
    </row>
    <row r="6327" spans="1:12" x14ac:dyDescent="0.25">
      <c r="A6327" t="s">
        <v>487</v>
      </c>
      <c r="B6327" t="s">
        <v>467</v>
      </c>
      <c r="C6327" t="s">
        <v>468</v>
      </c>
      <c r="D6327" t="s">
        <v>230</v>
      </c>
      <c r="E6327" t="s">
        <v>236</v>
      </c>
      <c r="F6327">
        <v>3</v>
      </c>
      <c r="G6327" t="s">
        <v>498</v>
      </c>
      <c r="H6327" s="4">
        <v>17780005</v>
      </c>
      <c r="I6327" s="4">
        <v>13222585</v>
      </c>
      <c r="J6327" s="3">
        <v>0.2563227625639025</v>
      </c>
      <c r="K6327" s="3">
        <v>0.3446693668446828</v>
      </c>
      <c r="L6327" t="s">
        <v>54</v>
      </c>
    </row>
    <row r="6328" spans="1:12" x14ac:dyDescent="0.25">
      <c r="A6328" t="s">
        <v>487</v>
      </c>
      <c r="B6328" t="s">
        <v>467</v>
      </c>
      <c r="C6328" t="s">
        <v>468</v>
      </c>
      <c r="D6328" t="s">
        <v>230</v>
      </c>
      <c r="E6328" t="s">
        <v>236</v>
      </c>
      <c r="F6328">
        <v>3</v>
      </c>
      <c r="G6328" t="s">
        <v>499</v>
      </c>
      <c r="H6328" s="4">
        <v>17780005</v>
      </c>
      <c r="I6328" s="4">
        <v>8992643</v>
      </c>
      <c r="J6328" s="3">
        <v>0.494227195099214</v>
      </c>
      <c r="K6328" s="3">
        <v>0.977172339655872</v>
      </c>
      <c r="L6328" t="s">
        <v>54</v>
      </c>
    </row>
    <row r="6329" spans="1:12" x14ac:dyDescent="0.25">
      <c r="A6329" t="s">
        <v>487</v>
      </c>
      <c r="B6329" t="s">
        <v>467</v>
      </c>
      <c r="C6329" t="s">
        <v>468</v>
      </c>
      <c r="D6329" t="s">
        <v>232</v>
      </c>
      <c r="E6329" t="s">
        <v>234</v>
      </c>
      <c r="F6329">
        <v>1</v>
      </c>
      <c r="G6329" t="s">
        <v>488</v>
      </c>
      <c r="H6329" s="4">
        <v>9819787</v>
      </c>
      <c r="I6329" s="4">
        <v>9900107.504168086</v>
      </c>
      <c r="J6329" s="3">
        <v>0.00817945482606555</v>
      </c>
      <c r="K6329" s="3">
        <v>-0.008113094139055529</v>
      </c>
      <c r="L6329" t="s">
        <v>54</v>
      </c>
    </row>
    <row r="6330" spans="1:12" x14ac:dyDescent="0.25">
      <c r="A6330" t="s">
        <v>487</v>
      </c>
      <c r="B6330" t="s">
        <v>467</v>
      </c>
      <c r="C6330" t="s">
        <v>468</v>
      </c>
      <c r="D6330" t="s">
        <v>232</v>
      </c>
      <c r="E6330" t="s">
        <v>234</v>
      </c>
      <c r="F6330">
        <v>1</v>
      </c>
      <c r="G6330" t="s">
        <v>498</v>
      </c>
      <c r="H6330" s="4">
        <v>9819787</v>
      </c>
      <c r="I6330" s="4">
        <v>9841326</v>
      </c>
      <c r="J6330" s="3">
        <v>0.0021934284317979605</v>
      </c>
      <c r="K6330" s="3">
        <v>-0.002188627833281816</v>
      </c>
      <c r="L6330" t="s">
        <v>54</v>
      </c>
    </row>
    <row r="6331" spans="1:12" x14ac:dyDescent="0.25">
      <c r="A6331" t="s">
        <v>487</v>
      </c>
      <c r="B6331" t="s">
        <v>467</v>
      </c>
      <c r="C6331" t="s">
        <v>468</v>
      </c>
      <c r="D6331" t="s">
        <v>232</v>
      </c>
      <c r="E6331" t="s">
        <v>234</v>
      </c>
      <c r="F6331">
        <v>1</v>
      </c>
      <c r="G6331" t="s">
        <v>499</v>
      </c>
      <c r="H6331" s="4">
        <v>9819787</v>
      </c>
      <c r="I6331" s="4">
        <v>8123095</v>
      </c>
      <c r="J6331" s="3">
        <v>0.1727829738058473</v>
      </c>
      <c r="K6331" s="3">
        <v>0.2088726033611573</v>
      </c>
      <c r="L6331" t="s">
        <v>54</v>
      </c>
    </row>
    <row r="6332" spans="1:12" x14ac:dyDescent="0.25">
      <c r="A6332" t="s">
        <v>487</v>
      </c>
      <c r="B6332" t="s">
        <v>467</v>
      </c>
      <c r="C6332" t="s">
        <v>468</v>
      </c>
      <c r="D6332" t="s">
        <v>232</v>
      </c>
      <c r="E6332" t="s">
        <v>236</v>
      </c>
      <c r="F6332">
        <v>2</v>
      </c>
      <c r="G6332" t="s">
        <v>488</v>
      </c>
      <c r="H6332" s="4">
        <v>17780005</v>
      </c>
      <c r="I6332" s="4">
        <v>13301562.511291705</v>
      </c>
      <c r="J6332" s="3">
        <v>0.2518808340441015</v>
      </c>
      <c r="K6332" s="3">
        <v>0.33668544465408046</v>
      </c>
      <c r="L6332" t="s">
        <v>54</v>
      </c>
    </row>
    <row r="6333" spans="1:12" x14ac:dyDescent="0.25">
      <c r="A6333" t="s">
        <v>487</v>
      </c>
      <c r="B6333" t="s">
        <v>467</v>
      </c>
      <c r="C6333" t="s">
        <v>468</v>
      </c>
      <c r="D6333" t="s">
        <v>232</v>
      </c>
      <c r="E6333" t="s">
        <v>236</v>
      </c>
      <c r="F6333">
        <v>2</v>
      </c>
      <c r="G6333" t="s">
        <v>498</v>
      </c>
      <c r="H6333" s="4">
        <v>17780005</v>
      </c>
      <c r="I6333" s="4">
        <v>13222585</v>
      </c>
      <c r="J6333" s="3">
        <v>0.2563227625639025</v>
      </c>
      <c r="K6333" s="3">
        <v>0.3446693668446828</v>
      </c>
      <c r="L6333" t="s">
        <v>54</v>
      </c>
    </row>
    <row r="6334" spans="1:12" x14ac:dyDescent="0.25">
      <c r="A6334" t="s">
        <v>487</v>
      </c>
      <c r="B6334" t="s">
        <v>467</v>
      </c>
      <c r="C6334" t="s">
        <v>468</v>
      </c>
      <c r="D6334" t="s">
        <v>232</v>
      </c>
      <c r="E6334" t="s">
        <v>236</v>
      </c>
      <c r="F6334">
        <v>2</v>
      </c>
      <c r="G6334" t="s">
        <v>499</v>
      </c>
      <c r="H6334" s="4">
        <v>17780005</v>
      </c>
      <c r="I6334" s="4">
        <v>8123095</v>
      </c>
      <c r="J6334" s="3">
        <v>0.5431331431009159</v>
      </c>
      <c r="K6334" s="3">
        <v>1.1888215021491193</v>
      </c>
      <c r="L6334" t="s">
        <v>54</v>
      </c>
    </row>
    <row r="6335" spans="1:12" x14ac:dyDescent="0.25">
      <c r="A6335" t="s">
        <v>487</v>
      </c>
      <c r="B6335" t="s">
        <v>467</v>
      </c>
      <c r="C6335" t="s">
        <v>468</v>
      </c>
      <c r="D6335" t="s">
        <v>232</v>
      </c>
      <c r="E6335" t="s">
        <v>238</v>
      </c>
      <c r="F6335">
        <v>3</v>
      </c>
      <c r="G6335" t="s">
        <v>488</v>
      </c>
      <c r="H6335" s="4">
        <v>17708550</v>
      </c>
      <c r="I6335" s="4">
        <v>19419606.158055782</v>
      </c>
      <c r="J6335" s="3">
        <v>0.0966231655361835</v>
      </c>
      <c r="K6335" s="3">
        <v>-0.08810972499285159</v>
      </c>
      <c r="L6335" t="s">
        <v>54</v>
      </c>
    </row>
    <row r="6336" spans="1:12" x14ac:dyDescent="0.25">
      <c r="A6336" t="s">
        <v>487</v>
      </c>
      <c r="B6336" t="s">
        <v>467</v>
      </c>
      <c r="C6336" t="s">
        <v>468</v>
      </c>
      <c r="D6336" t="s">
        <v>232</v>
      </c>
      <c r="E6336" t="s">
        <v>238</v>
      </c>
      <c r="F6336">
        <v>3</v>
      </c>
      <c r="G6336" t="s">
        <v>498</v>
      </c>
      <c r="H6336" s="4">
        <v>17708550</v>
      </c>
      <c r="I6336" s="4">
        <v>19304303</v>
      </c>
      <c r="J6336" s="3">
        <v>0.09011200804131338</v>
      </c>
      <c r="K6336" s="3">
        <v>-0.08266307258024286</v>
      </c>
      <c r="L6336" t="s">
        <v>54</v>
      </c>
    </row>
    <row r="6337" spans="1:12" x14ac:dyDescent="0.25">
      <c r="A6337" t="s">
        <v>487</v>
      </c>
      <c r="B6337" t="s">
        <v>467</v>
      </c>
      <c r="C6337" t="s">
        <v>468</v>
      </c>
      <c r="D6337" t="s">
        <v>232</v>
      </c>
      <c r="E6337" t="s">
        <v>238</v>
      </c>
      <c r="F6337">
        <v>3</v>
      </c>
      <c r="G6337" t="s">
        <v>499</v>
      </c>
      <c r="H6337" s="4">
        <v>17708550</v>
      </c>
      <c r="I6337" s="4">
        <v>8123095</v>
      </c>
      <c r="J6337" s="3">
        <v>0.5412896595147542</v>
      </c>
      <c r="K6337" s="3">
        <v>1.180024978164111</v>
      </c>
      <c r="L6337" t="s">
        <v>54</v>
      </c>
    </row>
    <row r="6338" spans="1:12" x14ac:dyDescent="0.25">
      <c r="A6338" t="s">
        <v>487</v>
      </c>
      <c r="B6338" t="s">
        <v>467</v>
      </c>
      <c r="C6338" t="s">
        <v>468</v>
      </c>
      <c r="D6338" t="s">
        <v>234</v>
      </c>
      <c r="E6338" t="s">
        <v>236</v>
      </c>
      <c r="F6338">
        <v>1</v>
      </c>
      <c r="G6338" t="s">
        <v>488</v>
      </c>
      <c r="H6338" s="4">
        <v>17780005</v>
      </c>
      <c r="I6338" s="4">
        <v>13517057.946843918</v>
      </c>
      <c r="J6338" s="3">
        <v>0.23976073421554614</v>
      </c>
      <c r="K6338" s="3">
        <v>0.31537536273945116</v>
      </c>
      <c r="L6338" t="s">
        <v>54</v>
      </c>
    </row>
    <row r="6339" spans="1:12" x14ac:dyDescent="0.25">
      <c r="A6339" t="s">
        <v>487</v>
      </c>
      <c r="B6339" t="s">
        <v>467</v>
      </c>
      <c r="C6339" t="s">
        <v>468</v>
      </c>
      <c r="D6339" t="s">
        <v>234</v>
      </c>
      <c r="E6339" t="s">
        <v>236</v>
      </c>
      <c r="F6339">
        <v>1</v>
      </c>
      <c r="G6339" t="s">
        <v>498</v>
      </c>
      <c r="H6339" s="4">
        <v>17780005</v>
      </c>
      <c r="I6339" s="4">
        <v>13222585</v>
      </c>
      <c r="J6339" s="3">
        <v>0.2563227625639025</v>
      </c>
      <c r="K6339" s="3">
        <v>0.3446693668446828</v>
      </c>
      <c r="L6339" t="s">
        <v>54</v>
      </c>
    </row>
    <row r="6340" spans="1:12" x14ac:dyDescent="0.25">
      <c r="A6340" t="s">
        <v>487</v>
      </c>
      <c r="B6340" t="s">
        <v>467</v>
      </c>
      <c r="C6340" t="s">
        <v>468</v>
      </c>
      <c r="D6340" t="s">
        <v>234</v>
      </c>
      <c r="E6340" t="s">
        <v>236</v>
      </c>
      <c r="F6340">
        <v>1</v>
      </c>
      <c r="G6340" t="s">
        <v>499</v>
      </c>
      <c r="H6340" s="4">
        <v>17780005</v>
      </c>
      <c r="I6340" s="4">
        <v>9819787</v>
      </c>
      <c r="J6340" s="3">
        <v>0.4477061733109749</v>
      </c>
      <c r="K6340" s="3">
        <v>0.8106304138776126</v>
      </c>
      <c r="L6340" t="s">
        <v>54</v>
      </c>
    </row>
    <row r="6341" spans="1:12" x14ac:dyDescent="0.25">
      <c r="A6341" t="s">
        <v>487</v>
      </c>
      <c r="B6341" t="s">
        <v>467</v>
      </c>
      <c r="C6341" t="s">
        <v>468</v>
      </c>
      <c r="D6341" t="s">
        <v>234</v>
      </c>
      <c r="E6341" t="s">
        <v>238</v>
      </c>
      <c r="F6341">
        <v>2</v>
      </c>
      <c r="G6341" t="s">
        <v>488</v>
      </c>
      <c r="H6341" s="4">
        <v>17708550</v>
      </c>
      <c r="I6341" s="4">
        <v>19734218.55669167</v>
      </c>
      <c r="J6341" s="3">
        <v>0.1143892953794449</v>
      </c>
      <c r="K6341" s="3">
        <v>-0.10264751811035283</v>
      </c>
      <c r="L6341" t="s">
        <v>54</v>
      </c>
    </row>
    <row r="6342" spans="1:12" x14ac:dyDescent="0.25">
      <c r="A6342" t="s">
        <v>487</v>
      </c>
      <c r="B6342" t="s">
        <v>467</v>
      </c>
      <c r="C6342" t="s">
        <v>468</v>
      </c>
      <c r="D6342" t="s">
        <v>234</v>
      </c>
      <c r="E6342" t="s">
        <v>238</v>
      </c>
      <c r="F6342">
        <v>2</v>
      </c>
      <c r="G6342" t="s">
        <v>498</v>
      </c>
      <c r="H6342" s="4">
        <v>17708550</v>
      </c>
      <c r="I6342" s="4">
        <v>19304303</v>
      </c>
      <c r="J6342" s="3">
        <v>0.09011200804131338</v>
      </c>
      <c r="K6342" s="3">
        <v>-0.08266307258024286</v>
      </c>
      <c r="L6342" t="s">
        <v>54</v>
      </c>
    </row>
    <row r="6343" spans="1:12" x14ac:dyDescent="0.25">
      <c r="A6343" t="s">
        <v>487</v>
      </c>
      <c r="B6343" t="s">
        <v>467</v>
      </c>
      <c r="C6343" t="s">
        <v>468</v>
      </c>
      <c r="D6343" t="s">
        <v>234</v>
      </c>
      <c r="E6343" t="s">
        <v>238</v>
      </c>
      <c r="F6343">
        <v>2</v>
      </c>
      <c r="G6343" t="s">
        <v>499</v>
      </c>
      <c r="H6343" s="4">
        <v>17708550</v>
      </c>
      <c r="I6343" s="4">
        <v>9819787</v>
      </c>
      <c r="J6343" s="3">
        <v>0.44547763650891803</v>
      </c>
      <c r="K6343" s="3">
        <v>0.8033537794658886</v>
      </c>
      <c r="L6343" t="s">
        <v>54</v>
      </c>
    </row>
    <row r="6344" spans="1:12" x14ac:dyDescent="0.25">
      <c r="A6344" t="s">
        <v>487</v>
      </c>
      <c r="B6344" t="s">
        <v>467</v>
      </c>
      <c r="C6344" t="s">
        <v>468</v>
      </c>
      <c r="D6344" t="s">
        <v>234</v>
      </c>
      <c r="E6344" t="s">
        <v>240</v>
      </c>
      <c r="F6344">
        <v>3</v>
      </c>
      <c r="G6344" t="s">
        <v>488</v>
      </c>
      <c r="H6344" s="4">
        <v>20721621</v>
      </c>
      <c r="I6344" s="4">
        <v>17535226.898808986</v>
      </c>
      <c r="J6344" s="3">
        <v>0.1537714689980583</v>
      </c>
      <c r="K6344" s="3">
        <v>0.1817138791290712</v>
      </c>
      <c r="L6344" t="s">
        <v>54</v>
      </c>
    </row>
    <row r="6345" spans="1:12" x14ac:dyDescent="0.25">
      <c r="A6345" t="s">
        <v>487</v>
      </c>
      <c r="B6345" t="s">
        <v>467</v>
      </c>
      <c r="C6345" t="s">
        <v>468</v>
      </c>
      <c r="D6345" t="s">
        <v>234</v>
      </c>
      <c r="E6345" t="s">
        <v>240</v>
      </c>
      <c r="F6345">
        <v>3</v>
      </c>
      <c r="G6345" t="s">
        <v>498</v>
      </c>
      <c r="H6345" s="4">
        <v>20721621</v>
      </c>
      <c r="I6345" s="4">
        <v>17153217</v>
      </c>
      <c r="J6345" s="3">
        <v>0.17220679791412072</v>
      </c>
      <c r="K6345" s="3">
        <v>0.20803118155620604</v>
      </c>
      <c r="L6345" t="s">
        <v>54</v>
      </c>
    </row>
    <row r="6346" spans="1:12" x14ac:dyDescent="0.25">
      <c r="A6346" t="s">
        <v>487</v>
      </c>
      <c r="B6346" t="s">
        <v>467</v>
      </c>
      <c r="C6346" t="s">
        <v>468</v>
      </c>
      <c r="D6346" t="s">
        <v>234</v>
      </c>
      <c r="E6346" t="s">
        <v>240</v>
      </c>
      <c r="F6346">
        <v>3</v>
      </c>
      <c r="G6346" t="s">
        <v>499</v>
      </c>
      <c r="H6346" s="4">
        <v>20721621</v>
      </c>
      <c r="I6346" s="4">
        <v>9819787</v>
      </c>
      <c r="J6346" s="3">
        <v>0.5261091301689187</v>
      </c>
      <c r="K6346" s="3">
        <v>1.1101904756182592</v>
      </c>
      <c r="L6346" t="s">
        <v>54</v>
      </c>
    </row>
    <row r="6347" spans="1:12" x14ac:dyDescent="0.25">
      <c r="A6347" t="s">
        <v>487</v>
      </c>
      <c r="B6347" t="s">
        <v>467</v>
      </c>
      <c r="C6347" t="s">
        <v>468</v>
      </c>
      <c r="D6347" t="s">
        <v>236</v>
      </c>
      <c r="E6347" t="s">
        <v>238</v>
      </c>
      <c r="F6347">
        <v>1</v>
      </c>
      <c r="G6347" t="s">
        <v>488</v>
      </c>
      <c r="H6347" s="4">
        <v>17708550</v>
      </c>
      <c r="I6347" s="4">
        <v>20462470.39895778</v>
      </c>
      <c r="J6347" s="3">
        <v>0.15551360212766044</v>
      </c>
      <c r="K6347" s="3">
        <v>-0.13458396494970848</v>
      </c>
      <c r="L6347" t="s">
        <v>54</v>
      </c>
    </row>
    <row r="6348" spans="1:12" x14ac:dyDescent="0.25">
      <c r="A6348" t="s">
        <v>487</v>
      </c>
      <c r="B6348" t="s">
        <v>467</v>
      </c>
      <c r="C6348" t="s">
        <v>468</v>
      </c>
      <c r="D6348" t="s">
        <v>236</v>
      </c>
      <c r="E6348" t="s">
        <v>238</v>
      </c>
      <c r="F6348">
        <v>1</v>
      </c>
      <c r="G6348" t="s">
        <v>498</v>
      </c>
      <c r="H6348" s="4">
        <v>17708550</v>
      </c>
      <c r="I6348" s="4">
        <v>19304303</v>
      </c>
      <c r="J6348" s="3">
        <v>0.09011200804131338</v>
      </c>
      <c r="K6348" s="3">
        <v>-0.08266307258024286</v>
      </c>
      <c r="L6348" t="s">
        <v>54</v>
      </c>
    </row>
    <row r="6349" spans="1:12" x14ac:dyDescent="0.25">
      <c r="A6349" t="s">
        <v>487</v>
      </c>
      <c r="B6349" t="s">
        <v>467</v>
      </c>
      <c r="C6349" t="s">
        <v>468</v>
      </c>
      <c r="D6349" t="s">
        <v>236</v>
      </c>
      <c r="E6349" t="s">
        <v>238</v>
      </c>
      <c r="F6349">
        <v>1</v>
      </c>
      <c r="G6349" t="s">
        <v>499</v>
      </c>
      <c r="H6349" s="4">
        <v>17708550</v>
      </c>
      <c r="I6349" s="4">
        <v>17780005</v>
      </c>
      <c r="J6349" s="3">
        <v>0.004035056512249733</v>
      </c>
      <c r="K6349" s="3">
        <v>-0.004018840264668092</v>
      </c>
      <c r="L6349" t="s">
        <v>54</v>
      </c>
    </row>
    <row r="6350" spans="1:12" x14ac:dyDescent="0.25">
      <c r="A6350" t="s">
        <v>487</v>
      </c>
      <c r="B6350" t="s">
        <v>467</v>
      </c>
      <c r="C6350" t="s">
        <v>468</v>
      </c>
      <c r="D6350" t="s">
        <v>236</v>
      </c>
      <c r="E6350" t="s">
        <v>240</v>
      </c>
      <c r="F6350">
        <v>2</v>
      </c>
      <c r="G6350" t="s">
        <v>488</v>
      </c>
      <c r="H6350" s="4">
        <v>20721621</v>
      </c>
      <c r="I6350" s="4">
        <v>18182329.354724664</v>
      </c>
      <c r="J6350" s="3">
        <v>0.12254309859616368</v>
      </c>
      <c r="K6350" s="3">
        <v>0.1396571140988326</v>
      </c>
      <c r="L6350" t="s">
        <v>54</v>
      </c>
    </row>
    <row r="6351" spans="1:12" x14ac:dyDescent="0.25">
      <c r="A6351" t="s">
        <v>487</v>
      </c>
      <c r="B6351" t="s">
        <v>467</v>
      </c>
      <c r="C6351" t="s">
        <v>468</v>
      </c>
      <c r="D6351" t="s">
        <v>236</v>
      </c>
      <c r="E6351" t="s">
        <v>240</v>
      </c>
      <c r="F6351">
        <v>2</v>
      </c>
      <c r="G6351" t="s">
        <v>498</v>
      </c>
      <c r="H6351" s="4">
        <v>20721621</v>
      </c>
      <c r="I6351" s="4">
        <v>17153217</v>
      </c>
      <c r="J6351" s="3">
        <v>0.17220679791412072</v>
      </c>
      <c r="K6351" s="3">
        <v>0.20803118155620604</v>
      </c>
      <c r="L6351" t="s">
        <v>54</v>
      </c>
    </row>
    <row r="6352" spans="1:12" x14ac:dyDescent="0.25">
      <c r="A6352" t="s">
        <v>487</v>
      </c>
      <c r="B6352" t="s">
        <v>467</v>
      </c>
      <c r="C6352" t="s">
        <v>468</v>
      </c>
      <c r="D6352" t="s">
        <v>236</v>
      </c>
      <c r="E6352" t="s">
        <v>240</v>
      </c>
      <c r="F6352">
        <v>2</v>
      </c>
      <c r="G6352" t="s">
        <v>499</v>
      </c>
      <c r="H6352" s="4">
        <v>20721621</v>
      </c>
      <c r="I6352" s="4">
        <v>17780005</v>
      </c>
      <c r="J6352" s="3">
        <v>0.14195877822492747</v>
      </c>
      <c r="K6352" s="3">
        <v>0.1654451728219424</v>
      </c>
      <c r="L6352" t="s">
        <v>54</v>
      </c>
    </row>
    <row r="6353" spans="1:12" x14ac:dyDescent="0.25">
      <c r="A6353" t="s">
        <v>487</v>
      </c>
      <c r="B6353" t="s">
        <v>467</v>
      </c>
      <c r="C6353" t="s">
        <v>468</v>
      </c>
      <c r="D6353" t="s">
        <v>236</v>
      </c>
      <c r="E6353" t="s">
        <v>242</v>
      </c>
      <c r="F6353">
        <v>3</v>
      </c>
      <c r="G6353" t="s">
        <v>488</v>
      </c>
      <c r="H6353" s="4">
        <v>13213748</v>
      </c>
      <c r="I6353" s="4">
        <v>13593863.051296724</v>
      </c>
      <c r="J6353" s="3">
        <v>0.028766633910130873</v>
      </c>
      <c r="K6353" s="3">
        <v>-0.02796225398640195</v>
      </c>
      <c r="L6353" t="s">
        <v>54</v>
      </c>
    </row>
    <row r="6354" spans="1:12" x14ac:dyDescent="0.25">
      <c r="A6354" t="s">
        <v>487</v>
      </c>
      <c r="B6354" t="s">
        <v>467</v>
      </c>
      <c r="C6354" t="s">
        <v>468</v>
      </c>
      <c r="D6354" t="s">
        <v>236</v>
      </c>
      <c r="E6354" t="s">
        <v>242</v>
      </c>
      <c r="F6354">
        <v>3</v>
      </c>
      <c r="G6354" t="s">
        <v>498</v>
      </c>
      <c r="H6354" s="4">
        <v>13213748</v>
      </c>
      <c r="I6354" s="4">
        <v>12824456</v>
      </c>
      <c r="J6354" s="3">
        <v>0.029461133964413428</v>
      </c>
      <c r="K6354" s="3">
        <v>0.030355439638141374</v>
      </c>
      <c r="L6354" t="s">
        <v>54</v>
      </c>
    </row>
    <row r="6355" spans="1:12" x14ac:dyDescent="0.25">
      <c r="A6355" t="s">
        <v>487</v>
      </c>
      <c r="B6355" t="s">
        <v>467</v>
      </c>
      <c r="C6355" t="s">
        <v>468</v>
      </c>
      <c r="D6355" t="s">
        <v>236</v>
      </c>
      <c r="E6355" t="s">
        <v>242</v>
      </c>
      <c r="F6355">
        <v>3</v>
      </c>
      <c r="G6355" t="s">
        <v>499</v>
      </c>
      <c r="H6355" s="4">
        <v>13213748</v>
      </c>
      <c r="I6355" s="4">
        <v>17780005</v>
      </c>
      <c r="J6355" s="3">
        <v>0.3455686456257528</v>
      </c>
      <c r="K6355" s="3">
        <v>-0.2568197815467431</v>
      </c>
      <c r="L6355" t="s">
        <v>54</v>
      </c>
    </row>
    <row r="6356" spans="1:12" x14ac:dyDescent="0.25">
      <c r="A6356" t="s">
        <v>487</v>
      </c>
      <c r="B6356" t="s">
        <v>467</v>
      </c>
      <c r="C6356" t="s">
        <v>468</v>
      </c>
      <c r="D6356" t="s">
        <v>238</v>
      </c>
      <c r="E6356" t="s">
        <v>240</v>
      </c>
      <c r="F6356">
        <v>1</v>
      </c>
      <c r="G6356" t="s">
        <v>488</v>
      </c>
      <c r="H6356" s="4">
        <v>20721621</v>
      </c>
      <c r="I6356" s="4">
        <v>18034727.779115763</v>
      </c>
      <c r="J6356" s="3">
        <v>0.12966616949920268</v>
      </c>
      <c r="K6356" s="3">
        <v>0.14898440685063533</v>
      </c>
      <c r="L6356" t="s">
        <v>54</v>
      </c>
    </row>
    <row r="6357" spans="1:12" x14ac:dyDescent="0.25">
      <c r="A6357" t="s">
        <v>487</v>
      </c>
      <c r="B6357" t="s">
        <v>467</v>
      </c>
      <c r="C6357" t="s">
        <v>468</v>
      </c>
      <c r="D6357" t="s">
        <v>238</v>
      </c>
      <c r="E6357" t="s">
        <v>240</v>
      </c>
      <c r="F6357">
        <v>1</v>
      </c>
      <c r="G6357" t="s">
        <v>498</v>
      </c>
      <c r="H6357" s="4">
        <v>20721621</v>
      </c>
      <c r="I6357" s="4">
        <v>17153217</v>
      </c>
      <c r="J6357" s="3">
        <v>0.17220679791412072</v>
      </c>
      <c r="K6357" s="3">
        <v>0.20803118155620604</v>
      </c>
      <c r="L6357" t="s">
        <v>54</v>
      </c>
    </row>
    <row r="6358" spans="1:12" x14ac:dyDescent="0.25">
      <c r="A6358" t="s">
        <v>487</v>
      </c>
      <c r="B6358" t="s">
        <v>467</v>
      </c>
      <c r="C6358" t="s">
        <v>468</v>
      </c>
      <c r="D6358" t="s">
        <v>238</v>
      </c>
      <c r="E6358" t="s">
        <v>240</v>
      </c>
      <c r="F6358">
        <v>1</v>
      </c>
      <c r="G6358" t="s">
        <v>499</v>
      </c>
      <c r="H6358" s="4">
        <v>20721621</v>
      </c>
      <c r="I6358" s="4">
        <v>17708550</v>
      </c>
      <c r="J6358" s="3">
        <v>0.14540710883574215</v>
      </c>
      <c r="K6358" s="3">
        <v>0.1701478099562076</v>
      </c>
      <c r="L6358" t="s">
        <v>54</v>
      </c>
    </row>
    <row r="6359" spans="1:12" x14ac:dyDescent="0.25">
      <c r="A6359" t="s">
        <v>487</v>
      </c>
      <c r="B6359" t="s">
        <v>467</v>
      </c>
      <c r="C6359" t="s">
        <v>468</v>
      </c>
      <c r="D6359" t="s">
        <v>238</v>
      </c>
      <c r="E6359" t="s">
        <v>242</v>
      </c>
      <c r="F6359">
        <v>2</v>
      </c>
      <c r="G6359" t="s">
        <v>488</v>
      </c>
      <c r="H6359" s="4">
        <v>13213748</v>
      </c>
      <c r="I6359" s="4">
        <v>13483509.995544733</v>
      </c>
      <c r="J6359" s="3">
        <v>0.02041525201969445</v>
      </c>
      <c r="K6359" s="3">
        <v>-0.020006807992419565</v>
      </c>
      <c r="L6359" t="s">
        <v>54</v>
      </c>
    </row>
    <row r="6360" spans="1:12" x14ac:dyDescent="0.25">
      <c r="A6360" t="s">
        <v>487</v>
      </c>
      <c r="B6360" t="s">
        <v>467</v>
      </c>
      <c r="C6360" t="s">
        <v>468</v>
      </c>
      <c r="D6360" t="s">
        <v>238</v>
      </c>
      <c r="E6360" t="s">
        <v>242</v>
      </c>
      <c r="F6360">
        <v>2</v>
      </c>
      <c r="G6360" t="s">
        <v>498</v>
      </c>
      <c r="H6360" s="4">
        <v>13213748</v>
      </c>
      <c r="I6360" s="4">
        <v>12824456</v>
      </c>
      <c r="J6360" s="3">
        <v>0.029461133964413428</v>
      </c>
      <c r="K6360" s="3">
        <v>0.030355439638141374</v>
      </c>
      <c r="L6360" t="s">
        <v>54</v>
      </c>
    </row>
    <row r="6361" spans="1:12" x14ac:dyDescent="0.25">
      <c r="A6361" t="s">
        <v>487</v>
      </c>
      <c r="B6361" t="s">
        <v>467</v>
      </c>
      <c r="C6361" t="s">
        <v>468</v>
      </c>
      <c r="D6361" t="s">
        <v>238</v>
      </c>
      <c r="E6361" t="s">
        <v>242</v>
      </c>
      <c r="F6361">
        <v>2</v>
      </c>
      <c r="G6361" t="s">
        <v>499</v>
      </c>
      <c r="H6361" s="4">
        <v>13213748</v>
      </c>
      <c r="I6361" s="4">
        <v>17708550</v>
      </c>
      <c r="J6361" s="3">
        <v>0.34016102017383715</v>
      </c>
      <c r="K6361" s="3">
        <v>-0.2538210073664981</v>
      </c>
      <c r="L6361" t="s">
        <v>54</v>
      </c>
    </row>
    <row r="6362" spans="1:12" x14ac:dyDescent="0.25">
      <c r="A6362" t="s">
        <v>487</v>
      </c>
      <c r="B6362" t="s">
        <v>467</v>
      </c>
      <c r="C6362" t="s">
        <v>468</v>
      </c>
      <c r="D6362" t="s">
        <v>238</v>
      </c>
      <c r="E6362" t="s">
        <v>244</v>
      </c>
      <c r="F6362">
        <v>3</v>
      </c>
      <c r="G6362" t="s">
        <v>488</v>
      </c>
      <c r="H6362" s="4">
        <v>11972722</v>
      </c>
      <c r="I6362" s="4">
        <v>12664481.075137554</v>
      </c>
      <c r="J6362" s="3">
        <v>0.05777792845583099</v>
      </c>
      <c r="K6362" s="3">
        <v>-0.054621983406457124</v>
      </c>
      <c r="L6362" t="s">
        <v>54</v>
      </c>
    </row>
    <row r="6363" spans="1:12" x14ac:dyDescent="0.25">
      <c r="A6363" t="s">
        <v>487</v>
      </c>
      <c r="B6363" t="s">
        <v>467</v>
      </c>
      <c r="C6363" t="s">
        <v>468</v>
      </c>
      <c r="D6363" t="s">
        <v>238</v>
      </c>
      <c r="E6363" t="s">
        <v>244</v>
      </c>
      <c r="F6363">
        <v>3</v>
      </c>
      <c r="G6363" t="s">
        <v>498</v>
      </c>
      <c r="H6363" s="4">
        <v>11972722</v>
      </c>
      <c r="I6363" s="4">
        <v>12045460</v>
      </c>
      <c r="J6363" s="3">
        <v>0.006075310192619523</v>
      </c>
      <c r="K6363" s="3">
        <v>-0.006038623680623239</v>
      </c>
      <c r="L6363" t="s">
        <v>54</v>
      </c>
    </row>
    <row r="6364" spans="1:12" x14ac:dyDescent="0.25">
      <c r="A6364" t="s">
        <v>487</v>
      </c>
      <c r="B6364" t="s">
        <v>467</v>
      </c>
      <c r="C6364" t="s">
        <v>468</v>
      </c>
      <c r="D6364" t="s">
        <v>238</v>
      </c>
      <c r="E6364" t="s">
        <v>244</v>
      </c>
      <c r="F6364">
        <v>3</v>
      </c>
      <c r="G6364" t="s">
        <v>499</v>
      </c>
      <c r="H6364" s="4">
        <v>11972722</v>
      </c>
      <c r="I6364" s="4">
        <v>17708550</v>
      </c>
      <c r="J6364" s="3">
        <v>0.4790746832675143</v>
      </c>
      <c r="K6364" s="3">
        <v>-0.3239016181449074</v>
      </c>
      <c r="L6364" t="s">
        <v>54</v>
      </c>
    </row>
    <row r="6365" spans="1:12" x14ac:dyDescent="0.25">
      <c r="A6365" t="s">
        <v>487</v>
      </c>
      <c r="B6365" t="s">
        <v>467</v>
      </c>
      <c r="C6365" t="s">
        <v>468</v>
      </c>
      <c r="D6365" t="s">
        <v>240</v>
      </c>
      <c r="E6365" t="s">
        <v>242</v>
      </c>
      <c r="F6365">
        <v>1</v>
      </c>
      <c r="G6365" t="s">
        <v>488</v>
      </c>
      <c r="H6365" s="4">
        <v>13213748</v>
      </c>
      <c r="I6365" s="4">
        <v>13804578.25280079</v>
      </c>
      <c r="J6365" s="3">
        <v>0.04471329805902085</v>
      </c>
      <c r="K6365" s="3">
        <v>-0.04279958735290721</v>
      </c>
      <c r="L6365" t="s">
        <v>54</v>
      </c>
    </row>
    <row r="6366" spans="1:12" x14ac:dyDescent="0.25">
      <c r="A6366" t="s">
        <v>487</v>
      </c>
      <c r="B6366" t="s">
        <v>467</v>
      </c>
      <c r="C6366" t="s">
        <v>468</v>
      </c>
      <c r="D6366" t="s">
        <v>240</v>
      </c>
      <c r="E6366" t="s">
        <v>242</v>
      </c>
      <c r="F6366">
        <v>1</v>
      </c>
      <c r="G6366" t="s">
        <v>498</v>
      </c>
      <c r="H6366" s="4">
        <v>13213748</v>
      </c>
      <c r="I6366" s="4">
        <v>12824456</v>
      </c>
      <c r="J6366" s="3">
        <v>0.029461133964413428</v>
      </c>
      <c r="K6366" s="3">
        <v>0.030355439638141374</v>
      </c>
      <c r="L6366" t="s">
        <v>54</v>
      </c>
    </row>
    <row r="6367" spans="1:12" x14ac:dyDescent="0.25">
      <c r="A6367" t="s">
        <v>487</v>
      </c>
      <c r="B6367" t="s">
        <v>467</v>
      </c>
      <c r="C6367" t="s">
        <v>468</v>
      </c>
      <c r="D6367" t="s">
        <v>240</v>
      </c>
      <c r="E6367" t="s">
        <v>242</v>
      </c>
      <c r="F6367">
        <v>1</v>
      </c>
      <c r="G6367" t="s">
        <v>499</v>
      </c>
      <c r="H6367" s="4">
        <v>13213748</v>
      </c>
      <c r="I6367" s="4">
        <v>20721621</v>
      </c>
      <c r="J6367" s="3">
        <v>0.5681864827450924</v>
      </c>
      <c r="K6367" s="3">
        <v>-0.36232073735930215</v>
      </c>
      <c r="L6367" t="s">
        <v>54</v>
      </c>
    </row>
    <row r="6368" spans="1:12" x14ac:dyDescent="0.25">
      <c r="A6368" t="s">
        <v>487</v>
      </c>
      <c r="B6368" t="s">
        <v>467</v>
      </c>
      <c r="C6368" t="s">
        <v>468</v>
      </c>
      <c r="D6368" t="s">
        <v>240</v>
      </c>
      <c r="E6368" t="s">
        <v>244</v>
      </c>
      <c r="F6368">
        <v>2</v>
      </c>
      <c r="G6368" t="s">
        <v>488</v>
      </c>
      <c r="H6368" s="4">
        <v>11972722</v>
      </c>
      <c r="I6368" s="4">
        <v>12966046.681510843</v>
      </c>
      <c r="J6368" s="3">
        <v>0.08296565154614326</v>
      </c>
      <c r="K6368" s="3">
        <v>-0.07660967956619281</v>
      </c>
      <c r="L6368" t="s">
        <v>54</v>
      </c>
    </row>
    <row r="6369" spans="1:12" x14ac:dyDescent="0.25">
      <c r="A6369" t="s">
        <v>487</v>
      </c>
      <c r="B6369" t="s">
        <v>467</v>
      </c>
      <c r="C6369" t="s">
        <v>468</v>
      </c>
      <c r="D6369" t="s">
        <v>240</v>
      </c>
      <c r="E6369" t="s">
        <v>244</v>
      </c>
      <c r="F6369">
        <v>2</v>
      </c>
      <c r="G6369" t="s">
        <v>498</v>
      </c>
      <c r="H6369" s="4">
        <v>11972722</v>
      </c>
      <c r="I6369" s="4">
        <v>12045460</v>
      </c>
      <c r="J6369" s="3">
        <v>0.006075310192619523</v>
      </c>
      <c r="K6369" s="3">
        <v>-0.006038623680623239</v>
      </c>
      <c r="L6369" t="s">
        <v>54</v>
      </c>
    </row>
    <row r="6370" spans="1:12" x14ac:dyDescent="0.25">
      <c r="A6370" t="s">
        <v>487</v>
      </c>
      <c r="B6370" t="s">
        <v>467</v>
      </c>
      <c r="C6370" t="s">
        <v>468</v>
      </c>
      <c r="D6370" t="s">
        <v>240</v>
      </c>
      <c r="E6370" t="s">
        <v>244</v>
      </c>
      <c r="F6370">
        <v>2</v>
      </c>
      <c r="G6370" t="s">
        <v>499</v>
      </c>
      <c r="H6370" s="4">
        <v>11972722</v>
      </c>
      <c r="I6370" s="4">
        <v>20721621</v>
      </c>
      <c r="J6370" s="3">
        <v>0.7307360013871532</v>
      </c>
      <c r="K6370" s="3">
        <v>-0.42221112913898</v>
      </c>
      <c r="L6370" t="s">
        <v>54</v>
      </c>
    </row>
    <row r="6371" spans="1:12" x14ac:dyDescent="0.25">
      <c r="A6371" t="s">
        <v>487</v>
      </c>
      <c r="B6371" t="s">
        <v>467</v>
      </c>
      <c r="C6371" t="s">
        <v>468</v>
      </c>
      <c r="D6371" t="s">
        <v>240</v>
      </c>
      <c r="E6371" t="s">
        <v>246</v>
      </c>
      <c r="F6371">
        <v>3</v>
      </c>
      <c r="G6371" t="s">
        <v>488</v>
      </c>
      <c r="H6371" s="4">
        <v>9970115</v>
      </c>
      <c r="I6371" s="4">
        <v>14835842.828249803</v>
      </c>
      <c r="J6371" s="3">
        <v>0.48803126425821597</v>
      </c>
      <c r="K6371" s="3">
        <v>-0.3279711091967545</v>
      </c>
      <c r="L6371" t="s">
        <v>54</v>
      </c>
    </row>
    <row r="6372" spans="1:12" x14ac:dyDescent="0.25">
      <c r="A6372" t="s">
        <v>487</v>
      </c>
      <c r="B6372" t="s">
        <v>467</v>
      </c>
      <c r="C6372" t="s">
        <v>468</v>
      </c>
      <c r="D6372" t="s">
        <v>240</v>
      </c>
      <c r="E6372" t="s">
        <v>246</v>
      </c>
      <c r="F6372">
        <v>3</v>
      </c>
      <c r="G6372" t="s">
        <v>498</v>
      </c>
      <c r="H6372" s="4">
        <v>9970115</v>
      </c>
      <c r="I6372" s="4">
        <v>13782501</v>
      </c>
      <c r="J6372" s="3">
        <v>0.38238134665447693</v>
      </c>
      <c r="K6372" s="3">
        <v>-0.2766106093516699</v>
      </c>
      <c r="L6372" t="s">
        <v>54</v>
      </c>
    </row>
    <row r="6373" spans="1:12" x14ac:dyDescent="0.25">
      <c r="A6373" t="s">
        <v>487</v>
      </c>
      <c r="B6373" t="s">
        <v>467</v>
      </c>
      <c r="C6373" t="s">
        <v>468</v>
      </c>
      <c r="D6373" t="s">
        <v>240</v>
      </c>
      <c r="E6373" t="s">
        <v>246</v>
      </c>
      <c r="F6373">
        <v>3</v>
      </c>
      <c r="G6373" t="s">
        <v>499</v>
      </c>
      <c r="H6373" s="4">
        <v>9970115</v>
      </c>
      <c r="I6373" s="4">
        <v>20721621</v>
      </c>
      <c r="J6373" s="3">
        <v>1.078373318662824</v>
      </c>
      <c r="K6373" s="3">
        <v>-0.5188544853706184</v>
      </c>
      <c r="L6373" t="s">
        <v>54</v>
      </c>
    </row>
    <row r="6374" spans="1:12" x14ac:dyDescent="0.25">
      <c r="A6374" t="s">
        <v>487</v>
      </c>
      <c r="B6374" t="s">
        <v>467</v>
      </c>
      <c r="C6374" t="s">
        <v>468</v>
      </c>
      <c r="D6374" t="s">
        <v>242</v>
      </c>
      <c r="E6374" t="s">
        <v>244</v>
      </c>
      <c r="F6374">
        <v>1</v>
      </c>
      <c r="G6374" t="s">
        <v>488</v>
      </c>
      <c r="H6374" s="4">
        <v>11972722</v>
      </c>
      <c r="I6374" s="4">
        <v>13010100.75439441</v>
      </c>
      <c r="J6374" s="3">
        <v>0.08664518848716359</v>
      </c>
      <c r="K6374" s="3">
        <v>-0.07973641203693335</v>
      </c>
      <c r="L6374" t="s">
        <v>54</v>
      </c>
    </row>
    <row r="6375" spans="1:12" x14ac:dyDescent="0.25">
      <c r="A6375" t="s">
        <v>487</v>
      </c>
      <c r="B6375" t="s">
        <v>467</v>
      </c>
      <c r="C6375" t="s">
        <v>468</v>
      </c>
      <c r="D6375" t="s">
        <v>242</v>
      </c>
      <c r="E6375" t="s">
        <v>244</v>
      </c>
      <c r="F6375">
        <v>1</v>
      </c>
      <c r="G6375" t="s">
        <v>498</v>
      </c>
      <c r="H6375" s="4">
        <v>11972722</v>
      </c>
      <c r="I6375" s="4">
        <v>12045460</v>
      </c>
      <c r="J6375" s="3">
        <v>0.006075310192619523</v>
      </c>
      <c r="K6375" s="3">
        <v>-0.006038623680623239</v>
      </c>
      <c r="L6375" t="s">
        <v>54</v>
      </c>
    </row>
    <row r="6376" spans="1:12" x14ac:dyDescent="0.25">
      <c r="A6376" t="s">
        <v>487</v>
      </c>
      <c r="B6376" t="s">
        <v>467</v>
      </c>
      <c r="C6376" t="s">
        <v>468</v>
      </c>
      <c r="D6376" t="s">
        <v>242</v>
      </c>
      <c r="E6376" t="s">
        <v>244</v>
      </c>
      <c r="F6376">
        <v>1</v>
      </c>
      <c r="G6376" t="s">
        <v>499</v>
      </c>
      <c r="H6376" s="4">
        <v>11972722</v>
      </c>
      <c r="I6376" s="4">
        <v>13213748</v>
      </c>
      <c r="J6376" s="3">
        <v>0.10365445719026968</v>
      </c>
      <c r="K6376" s="3">
        <v>-0.09391930283519861</v>
      </c>
      <c r="L6376" t="s">
        <v>54</v>
      </c>
    </row>
    <row r="6377" spans="1:12" x14ac:dyDescent="0.25">
      <c r="A6377" t="s">
        <v>487</v>
      </c>
      <c r="B6377" t="s">
        <v>467</v>
      </c>
      <c r="C6377" t="s">
        <v>468</v>
      </c>
      <c r="D6377" t="s">
        <v>242</v>
      </c>
      <c r="E6377" t="s">
        <v>246</v>
      </c>
      <c r="F6377">
        <v>2</v>
      </c>
      <c r="G6377" t="s">
        <v>488</v>
      </c>
      <c r="H6377" s="4">
        <v>9970115</v>
      </c>
      <c r="I6377" s="4">
        <v>14886249.811758265</v>
      </c>
      <c r="J6377" s="3">
        <v>0.49308707189017026</v>
      </c>
      <c r="K6377" s="3">
        <v>-0.3302466957040541</v>
      </c>
      <c r="L6377" t="s">
        <v>54</v>
      </c>
    </row>
    <row r="6378" spans="1:12" x14ac:dyDescent="0.25">
      <c r="A6378" t="s">
        <v>487</v>
      </c>
      <c r="B6378" t="s">
        <v>467</v>
      </c>
      <c r="C6378" t="s">
        <v>468</v>
      </c>
      <c r="D6378" t="s">
        <v>242</v>
      </c>
      <c r="E6378" t="s">
        <v>246</v>
      </c>
      <c r="F6378">
        <v>2</v>
      </c>
      <c r="G6378" t="s">
        <v>498</v>
      </c>
      <c r="H6378" s="4">
        <v>9970115</v>
      </c>
      <c r="I6378" s="4">
        <v>13782501</v>
      </c>
      <c r="J6378" s="3">
        <v>0.38238134665447693</v>
      </c>
      <c r="K6378" s="3">
        <v>-0.2766106093516699</v>
      </c>
      <c r="L6378" t="s">
        <v>54</v>
      </c>
    </row>
    <row r="6379" spans="1:12" x14ac:dyDescent="0.25">
      <c r="A6379" t="s">
        <v>487</v>
      </c>
      <c r="B6379" t="s">
        <v>467</v>
      </c>
      <c r="C6379" t="s">
        <v>468</v>
      </c>
      <c r="D6379" t="s">
        <v>242</v>
      </c>
      <c r="E6379" t="s">
        <v>246</v>
      </c>
      <c r="F6379">
        <v>2</v>
      </c>
      <c r="G6379" t="s">
        <v>499</v>
      </c>
      <c r="H6379" s="4">
        <v>9970115</v>
      </c>
      <c r="I6379" s="4">
        <v>13213748</v>
      </c>
      <c r="J6379" s="3">
        <v>0.32533556533700964</v>
      </c>
      <c r="K6379" s="3">
        <v>-0.2454741077247727</v>
      </c>
      <c r="L6379" t="s">
        <v>54</v>
      </c>
    </row>
    <row r="6380" spans="1:12" x14ac:dyDescent="0.25">
      <c r="A6380" t="s">
        <v>487</v>
      </c>
      <c r="B6380" t="s">
        <v>467</v>
      </c>
      <c r="C6380" t="s">
        <v>468</v>
      </c>
      <c r="D6380" t="s">
        <v>242</v>
      </c>
      <c r="E6380" t="s">
        <v>248</v>
      </c>
      <c r="F6380">
        <v>3</v>
      </c>
      <c r="G6380" t="s">
        <v>488</v>
      </c>
      <c r="H6380" s="4">
        <v>16998562</v>
      </c>
      <c r="I6380" s="4">
        <v>17448525.055629842</v>
      </c>
      <c r="J6380" s="3">
        <v>0.026470654142970562</v>
      </c>
      <c r="K6380" s="3">
        <v>-0.025788028168298355</v>
      </c>
      <c r="L6380" t="s">
        <v>54</v>
      </c>
    </row>
    <row r="6381" spans="1:12" x14ac:dyDescent="0.25">
      <c r="A6381" t="s">
        <v>487</v>
      </c>
      <c r="B6381" t="s">
        <v>467</v>
      </c>
      <c r="C6381" t="s">
        <v>468</v>
      </c>
      <c r="D6381" t="s">
        <v>242</v>
      </c>
      <c r="E6381" t="s">
        <v>248</v>
      </c>
      <c r="F6381">
        <v>3</v>
      </c>
      <c r="G6381" t="s">
        <v>498</v>
      </c>
      <c r="H6381" s="4">
        <v>16998562</v>
      </c>
      <c r="I6381" s="4">
        <v>16154795</v>
      </c>
      <c r="J6381" s="3">
        <v>0.049637551694078595</v>
      </c>
      <c r="K6381" s="3">
        <v>0.05223012733990125</v>
      </c>
      <c r="L6381" t="s">
        <v>54</v>
      </c>
    </row>
    <row r="6382" spans="1:12" x14ac:dyDescent="0.25">
      <c r="A6382" t="s">
        <v>487</v>
      </c>
      <c r="B6382" t="s">
        <v>467</v>
      </c>
      <c r="C6382" t="s">
        <v>468</v>
      </c>
      <c r="D6382" t="s">
        <v>242</v>
      </c>
      <c r="E6382" t="s">
        <v>248</v>
      </c>
      <c r="F6382">
        <v>3</v>
      </c>
      <c r="G6382" t="s">
        <v>499</v>
      </c>
      <c r="H6382" s="4">
        <v>16998562</v>
      </c>
      <c r="I6382" s="4">
        <v>13213748</v>
      </c>
      <c r="J6382" s="3">
        <v>0.22265495163649726</v>
      </c>
      <c r="K6382" s="3">
        <v>0.2864300121358452</v>
      </c>
      <c r="L6382" t="s">
        <v>54</v>
      </c>
    </row>
    <row r="6383" spans="1:12" x14ac:dyDescent="0.25">
      <c r="A6383" t="s">
        <v>487</v>
      </c>
      <c r="B6383" t="s">
        <v>467</v>
      </c>
      <c r="C6383" t="s">
        <v>468</v>
      </c>
      <c r="D6383" t="s">
        <v>244</v>
      </c>
      <c r="E6383" t="s">
        <v>246</v>
      </c>
      <c r="F6383">
        <v>1</v>
      </c>
      <c r="G6383" t="s">
        <v>488</v>
      </c>
      <c r="H6383" s="4">
        <v>9970115</v>
      </c>
      <c r="I6383" s="4">
        <v>14572783.520954661</v>
      </c>
      <c r="J6383" s="3">
        <v>0.46164648260874236</v>
      </c>
      <c r="K6383" s="3">
        <v>-0.31584003936765687</v>
      </c>
      <c r="L6383" t="s">
        <v>54</v>
      </c>
    </row>
    <row r="6384" spans="1:12" x14ac:dyDescent="0.25">
      <c r="A6384" t="s">
        <v>487</v>
      </c>
      <c r="B6384" t="s">
        <v>467</v>
      </c>
      <c r="C6384" t="s">
        <v>468</v>
      </c>
      <c r="D6384" t="s">
        <v>244</v>
      </c>
      <c r="E6384" t="s">
        <v>246</v>
      </c>
      <c r="F6384">
        <v>1</v>
      </c>
      <c r="G6384" t="s">
        <v>498</v>
      </c>
      <c r="H6384" s="4">
        <v>9970115</v>
      </c>
      <c r="I6384" s="4">
        <v>13782501</v>
      </c>
      <c r="J6384" s="3">
        <v>0.38238134665447693</v>
      </c>
      <c r="K6384" s="3">
        <v>-0.2766106093516699</v>
      </c>
      <c r="L6384" t="s">
        <v>54</v>
      </c>
    </row>
    <row r="6385" spans="1:12" x14ac:dyDescent="0.25">
      <c r="A6385" t="s">
        <v>487</v>
      </c>
      <c r="B6385" t="s">
        <v>467</v>
      </c>
      <c r="C6385" t="s">
        <v>468</v>
      </c>
      <c r="D6385" t="s">
        <v>244</v>
      </c>
      <c r="E6385" t="s">
        <v>246</v>
      </c>
      <c r="F6385">
        <v>1</v>
      </c>
      <c r="G6385" t="s">
        <v>499</v>
      </c>
      <c r="H6385" s="4">
        <v>9970115</v>
      </c>
      <c r="I6385" s="4">
        <v>11972722</v>
      </c>
      <c r="J6385" s="3">
        <v>0.20086097301786388</v>
      </c>
      <c r="K6385" s="3">
        <v>-0.16726413592498013</v>
      </c>
      <c r="L6385" t="s">
        <v>54</v>
      </c>
    </row>
    <row r="6386" spans="1:12" x14ac:dyDescent="0.25">
      <c r="A6386" t="s">
        <v>487</v>
      </c>
      <c r="B6386" t="s">
        <v>467</v>
      </c>
      <c r="C6386" t="s">
        <v>468</v>
      </c>
      <c r="D6386" t="s">
        <v>244</v>
      </c>
      <c r="E6386" t="s">
        <v>248</v>
      </c>
      <c r="F6386">
        <v>2</v>
      </c>
      <c r="G6386" t="s">
        <v>488</v>
      </c>
      <c r="H6386" s="4">
        <v>16998562</v>
      </c>
      <c r="I6386" s="4">
        <v>17081103.811303966</v>
      </c>
      <c r="J6386" s="3">
        <v>0.004855811409457208</v>
      </c>
      <c r="K6386" s="3">
        <v>-0.004832346446448096</v>
      </c>
      <c r="L6386" t="s">
        <v>54</v>
      </c>
    </row>
    <row r="6387" spans="1:12" x14ac:dyDescent="0.25">
      <c r="A6387" t="s">
        <v>487</v>
      </c>
      <c r="B6387" t="s">
        <v>467</v>
      </c>
      <c r="C6387" t="s">
        <v>468</v>
      </c>
      <c r="D6387" t="s">
        <v>244</v>
      </c>
      <c r="E6387" t="s">
        <v>248</v>
      </c>
      <c r="F6387">
        <v>2</v>
      </c>
      <c r="G6387" t="s">
        <v>498</v>
      </c>
      <c r="H6387" s="4">
        <v>16998562</v>
      </c>
      <c r="I6387" s="4">
        <v>16154795</v>
      </c>
      <c r="J6387" s="3">
        <v>0.049637551694078595</v>
      </c>
      <c r="K6387" s="3">
        <v>0.05223012733990125</v>
      </c>
      <c r="L6387" t="s">
        <v>54</v>
      </c>
    </row>
    <row r="6388" spans="1:12" x14ac:dyDescent="0.25">
      <c r="A6388" t="s">
        <v>487</v>
      </c>
      <c r="B6388" t="s">
        <v>467</v>
      </c>
      <c r="C6388" t="s">
        <v>468</v>
      </c>
      <c r="D6388" t="s">
        <v>244</v>
      </c>
      <c r="E6388" t="s">
        <v>248</v>
      </c>
      <c r="F6388">
        <v>2</v>
      </c>
      <c r="G6388" t="s">
        <v>499</v>
      </c>
      <c r="H6388" s="4">
        <v>16998562</v>
      </c>
      <c r="I6388" s="4">
        <v>11972722</v>
      </c>
      <c r="J6388" s="3">
        <v>0.2956626566411912</v>
      </c>
      <c r="K6388" s="3">
        <v>0.4197742167570582</v>
      </c>
      <c r="L6388" t="s">
        <v>54</v>
      </c>
    </row>
    <row r="6389" spans="1:12" x14ac:dyDescent="0.25">
      <c r="A6389" t="s">
        <v>487</v>
      </c>
      <c r="B6389" t="s">
        <v>467</v>
      </c>
      <c r="C6389" t="s">
        <v>468</v>
      </c>
      <c r="D6389" t="s">
        <v>244</v>
      </c>
      <c r="E6389" t="s">
        <v>250</v>
      </c>
      <c r="F6389">
        <v>3</v>
      </c>
      <c r="G6389" t="s">
        <v>488</v>
      </c>
      <c r="H6389" s="4">
        <v>16786700</v>
      </c>
      <c r="I6389" s="4">
        <v>15873428.542474708</v>
      </c>
      <c r="J6389" s="3">
        <v>0.054404466483900495</v>
      </c>
      <c r="K6389" s="3">
        <v>0.05753460602928516</v>
      </c>
      <c r="L6389" t="s">
        <v>54</v>
      </c>
    </row>
    <row r="6390" spans="1:12" x14ac:dyDescent="0.25">
      <c r="A6390" t="s">
        <v>487</v>
      </c>
      <c r="B6390" t="s">
        <v>467</v>
      </c>
      <c r="C6390" t="s">
        <v>468</v>
      </c>
      <c r="D6390" t="s">
        <v>244</v>
      </c>
      <c r="E6390" t="s">
        <v>250</v>
      </c>
      <c r="F6390">
        <v>3</v>
      </c>
      <c r="G6390" t="s">
        <v>498</v>
      </c>
      <c r="H6390" s="4">
        <v>16786700</v>
      </c>
      <c r="I6390" s="4">
        <v>15012612</v>
      </c>
      <c r="J6390" s="3">
        <v>0.10568414280352899</v>
      </c>
      <c r="K6390" s="3">
        <v>0.11817317332919815</v>
      </c>
      <c r="L6390" t="s">
        <v>54</v>
      </c>
    </row>
    <row r="6391" spans="1:12" x14ac:dyDescent="0.25">
      <c r="A6391" t="s">
        <v>487</v>
      </c>
      <c r="B6391" t="s">
        <v>467</v>
      </c>
      <c r="C6391" t="s">
        <v>468</v>
      </c>
      <c r="D6391" t="s">
        <v>244</v>
      </c>
      <c r="E6391" t="s">
        <v>250</v>
      </c>
      <c r="F6391">
        <v>3</v>
      </c>
      <c r="G6391" t="s">
        <v>499</v>
      </c>
      <c r="H6391" s="4">
        <v>16786700</v>
      </c>
      <c r="I6391" s="4">
        <v>11972722</v>
      </c>
      <c r="J6391" s="3">
        <v>0.28677333841672276</v>
      </c>
      <c r="K6391" s="3">
        <v>0.40207882551687074</v>
      </c>
      <c r="L6391" t="s">
        <v>54</v>
      </c>
    </row>
    <row r="6392" spans="1:12" x14ac:dyDescent="0.25">
      <c r="A6392" t="s">
        <v>487</v>
      </c>
      <c r="B6392" t="s">
        <v>467</v>
      </c>
      <c r="C6392" t="s">
        <v>468</v>
      </c>
      <c r="D6392" t="s">
        <v>246</v>
      </c>
      <c r="E6392" t="s">
        <v>248</v>
      </c>
      <c r="F6392">
        <v>1</v>
      </c>
      <c r="G6392" t="s">
        <v>488</v>
      </c>
      <c r="H6392" s="4">
        <v>16998562</v>
      </c>
      <c r="I6392" s="4">
        <v>16501668.669126896</v>
      </c>
      <c r="J6392" s="3">
        <v>0.029231492103455797</v>
      </c>
      <c r="K6392" s="3">
        <v>0.030111702085180363</v>
      </c>
      <c r="L6392" t="s">
        <v>54</v>
      </c>
    </row>
    <row r="6393" spans="1:12" x14ac:dyDescent="0.25">
      <c r="A6393" t="s">
        <v>487</v>
      </c>
      <c r="B6393" t="s">
        <v>467</v>
      </c>
      <c r="C6393" t="s">
        <v>468</v>
      </c>
      <c r="D6393" t="s">
        <v>246</v>
      </c>
      <c r="E6393" t="s">
        <v>248</v>
      </c>
      <c r="F6393">
        <v>1</v>
      </c>
      <c r="G6393" t="s">
        <v>498</v>
      </c>
      <c r="H6393" s="4">
        <v>16998562</v>
      </c>
      <c r="I6393" s="4">
        <v>16154795</v>
      </c>
      <c r="J6393" s="3">
        <v>0.049637551694078595</v>
      </c>
      <c r="K6393" s="3">
        <v>0.05223012733990125</v>
      </c>
      <c r="L6393" t="s">
        <v>54</v>
      </c>
    </row>
    <row r="6394" spans="1:12" x14ac:dyDescent="0.25">
      <c r="A6394" t="s">
        <v>487</v>
      </c>
      <c r="B6394" t="s">
        <v>467</v>
      </c>
      <c r="C6394" t="s">
        <v>468</v>
      </c>
      <c r="D6394" t="s">
        <v>246</v>
      </c>
      <c r="E6394" t="s">
        <v>248</v>
      </c>
      <c r="F6394">
        <v>1</v>
      </c>
      <c r="G6394" t="s">
        <v>499</v>
      </c>
      <c r="H6394" s="4">
        <v>16998562</v>
      </c>
      <c r="I6394" s="4">
        <v>9970115</v>
      </c>
      <c r="J6394" s="3">
        <v>0.41347303377779837</v>
      </c>
      <c r="K6394" s="3">
        <v>0.7049514474005566</v>
      </c>
      <c r="L6394" t="s">
        <v>54</v>
      </c>
    </row>
    <row r="6395" spans="1:12" x14ac:dyDescent="0.25">
      <c r="A6395" t="s">
        <v>487</v>
      </c>
      <c r="B6395" t="s">
        <v>467</v>
      </c>
      <c r="C6395" t="s">
        <v>468</v>
      </c>
      <c r="D6395" t="s">
        <v>246</v>
      </c>
      <c r="E6395" t="s">
        <v>250</v>
      </c>
      <c r="F6395">
        <v>2</v>
      </c>
      <c r="G6395" t="s">
        <v>488</v>
      </c>
      <c r="H6395" s="4">
        <v>16786700</v>
      </c>
      <c r="I6395" s="4">
        <v>15334960.863456236</v>
      </c>
      <c r="J6395" s="3">
        <v>0.08648150836934977</v>
      </c>
      <c r="K6395" s="3">
        <v>0.09466859090611117</v>
      </c>
      <c r="L6395" t="s">
        <v>54</v>
      </c>
    </row>
    <row r="6396" spans="1:12" x14ac:dyDescent="0.25">
      <c r="A6396" t="s">
        <v>487</v>
      </c>
      <c r="B6396" t="s">
        <v>467</v>
      </c>
      <c r="C6396" t="s">
        <v>468</v>
      </c>
      <c r="D6396" t="s">
        <v>246</v>
      </c>
      <c r="E6396" t="s">
        <v>250</v>
      </c>
      <c r="F6396">
        <v>2</v>
      </c>
      <c r="G6396" t="s">
        <v>498</v>
      </c>
      <c r="H6396" s="4">
        <v>16786700</v>
      </c>
      <c r="I6396" s="4">
        <v>15012612</v>
      </c>
      <c r="J6396" s="3">
        <v>0.10568414280352899</v>
      </c>
      <c r="K6396" s="3">
        <v>0.11817317332919815</v>
      </c>
      <c r="L6396" t="s">
        <v>54</v>
      </c>
    </row>
    <row r="6397" spans="1:12" x14ac:dyDescent="0.25">
      <c r="A6397" t="s">
        <v>487</v>
      </c>
      <c r="B6397" t="s">
        <v>467</v>
      </c>
      <c r="C6397" t="s">
        <v>468</v>
      </c>
      <c r="D6397" t="s">
        <v>246</v>
      </c>
      <c r="E6397" t="s">
        <v>250</v>
      </c>
      <c r="F6397">
        <v>2</v>
      </c>
      <c r="G6397" t="s">
        <v>499</v>
      </c>
      <c r="H6397" s="4">
        <v>16786700</v>
      </c>
      <c r="I6397" s="4">
        <v>9970115</v>
      </c>
      <c r="J6397" s="3">
        <v>0.40607057968510785</v>
      </c>
      <c r="K6397" s="3">
        <v>0.6837017426579333</v>
      </c>
      <c r="L6397" t="s">
        <v>54</v>
      </c>
    </row>
    <row r="6398" spans="1:12" x14ac:dyDescent="0.25">
      <c r="A6398" t="s">
        <v>487</v>
      </c>
      <c r="B6398" t="s">
        <v>467</v>
      </c>
      <c r="C6398" t="s">
        <v>468</v>
      </c>
      <c r="D6398" t="s">
        <v>246</v>
      </c>
      <c r="E6398" t="s">
        <v>252</v>
      </c>
      <c r="F6398">
        <v>3</v>
      </c>
      <c r="G6398" t="s">
        <v>488</v>
      </c>
      <c r="H6398" s="4">
        <v>11874752</v>
      </c>
      <c r="I6398" s="4">
        <v>12838133.246658891</v>
      </c>
      <c r="J6398" s="3">
        <v>0.08112853612933486</v>
      </c>
      <c r="K6398" s="3">
        <v>-0.0750406019434025</v>
      </c>
      <c r="L6398" t="s">
        <v>54</v>
      </c>
    </row>
    <row r="6399" spans="1:12" x14ac:dyDescent="0.25">
      <c r="A6399" t="s">
        <v>487</v>
      </c>
      <c r="B6399" t="s">
        <v>467</v>
      </c>
      <c r="C6399" t="s">
        <v>468</v>
      </c>
      <c r="D6399" t="s">
        <v>246</v>
      </c>
      <c r="E6399" t="s">
        <v>252</v>
      </c>
      <c r="F6399">
        <v>3</v>
      </c>
      <c r="G6399" t="s">
        <v>498</v>
      </c>
      <c r="H6399" s="4">
        <v>11874752</v>
      </c>
      <c r="I6399" s="4">
        <v>12568269</v>
      </c>
      <c r="J6399" s="3">
        <v>0.05840265127221183</v>
      </c>
      <c r="K6399" s="3">
        <v>-0.05517999336265002</v>
      </c>
      <c r="L6399" t="s">
        <v>54</v>
      </c>
    </row>
    <row r="6400" spans="1:12" x14ac:dyDescent="0.25">
      <c r="A6400" t="s">
        <v>487</v>
      </c>
      <c r="B6400" t="s">
        <v>467</v>
      </c>
      <c r="C6400" t="s">
        <v>468</v>
      </c>
      <c r="D6400" t="s">
        <v>246</v>
      </c>
      <c r="E6400" t="s">
        <v>252</v>
      </c>
      <c r="F6400">
        <v>3</v>
      </c>
      <c r="G6400" t="s">
        <v>499</v>
      </c>
      <c r="H6400" s="4">
        <v>11874752</v>
      </c>
      <c r="I6400" s="4">
        <v>9970115</v>
      </c>
      <c r="J6400" s="3">
        <v>0.1603938339091208</v>
      </c>
      <c r="K6400" s="3">
        <v>0.19103460692278876</v>
      </c>
      <c r="L6400" t="s">
        <v>54</v>
      </c>
    </row>
    <row r="6401" spans="1:12" x14ac:dyDescent="0.25">
      <c r="A6401" t="s">
        <v>487</v>
      </c>
      <c r="B6401" t="s">
        <v>467</v>
      </c>
      <c r="C6401" t="s">
        <v>468</v>
      </c>
      <c r="D6401" t="s">
        <v>248</v>
      </c>
      <c r="E6401" t="s">
        <v>250</v>
      </c>
      <c r="F6401">
        <v>1</v>
      </c>
      <c r="G6401" t="s">
        <v>488</v>
      </c>
      <c r="H6401" s="4">
        <v>16786700</v>
      </c>
      <c r="I6401" s="4">
        <v>15245845.950778816</v>
      </c>
      <c r="J6401" s="3">
        <v>0.09179017014786611</v>
      </c>
      <c r="K6401" s="3">
        <v>0.10106714013743996</v>
      </c>
      <c r="L6401" t="s">
        <v>54</v>
      </c>
    </row>
    <row r="6402" spans="1:12" x14ac:dyDescent="0.25">
      <c r="A6402" t="s">
        <v>487</v>
      </c>
      <c r="B6402" t="s">
        <v>467</v>
      </c>
      <c r="C6402" t="s">
        <v>468</v>
      </c>
      <c r="D6402" t="s">
        <v>248</v>
      </c>
      <c r="E6402" t="s">
        <v>250</v>
      </c>
      <c r="F6402">
        <v>1</v>
      </c>
      <c r="G6402" t="s">
        <v>498</v>
      </c>
      <c r="H6402" s="4">
        <v>16786700</v>
      </c>
      <c r="I6402" s="4">
        <v>15012612</v>
      </c>
      <c r="J6402" s="3">
        <v>0.10568414280352899</v>
      </c>
      <c r="K6402" s="3">
        <v>0.11817317332919815</v>
      </c>
      <c r="L6402" t="s">
        <v>54</v>
      </c>
    </row>
    <row r="6403" spans="1:12" x14ac:dyDescent="0.25">
      <c r="A6403" t="s">
        <v>487</v>
      </c>
      <c r="B6403" t="s">
        <v>467</v>
      </c>
      <c r="C6403" t="s">
        <v>468</v>
      </c>
      <c r="D6403" t="s">
        <v>248</v>
      </c>
      <c r="E6403" t="s">
        <v>250</v>
      </c>
      <c r="F6403">
        <v>1</v>
      </c>
      <c r="G6403" t="s">
        <v>499</v>
      </c>
      <c r="H6403" s="4">
        <v>16786700</v>
      </c>
      <c r="I6403" s="4">
        <v>16998562</v>
      </c>
      <c r="J6403" s="3">
        <v>0.012620824819648888</v>
      </c>
      <c r="K6403" s="3">
        <v>-0.012463524855808391</v>
      </c>
      <c r="L6403" t="s">
        <v>54</v>
      </c>
    </row>
    <row r="6404" spans="1:12" x14ac:dyDescent="0.25">
      <c r="A6404" t="s">
        <v>487</v>
      </c>
      <c r="B6404" t="s">
        <v>467</v>
      </c>
      <c r="C6404" t="s">
        <v>468</v>
      </c>
      <c r="D6404" t="s">
        <v>248</v>
      </c>
      <c r="E6404" t="s">
        <v>252</v>
      </c>
      <c r="F6404">
        <v>2</v>
      </c>
      <c r="G6404" t="s">
        <v>488</v>
      </c>
      <c r="H6404" s="4">
        <v>11874752</v>
      </c>
      <c r="I6404" s="4">
        <v>12763527.96181963</v>
      </c>
      <c r="J6404" s="3">
        <v>0.07484585461823794</v>
      </c>
      <c r="K6404" s="3">
        <v>-0.06963403570535383</v>
      </c>
      <c r="L6404" t="s">
        <v>54</v>
      </c>
    </row>
    <row r="6405" spans="1:12" x14ac:dyDescent="0.25">
      <c r="A6405" t="s">
        <v>487</v>
      </c>
      <c r="B6405" t="s">
        <v>467</v>
      </c>
      <c r="C6405" t="s">
        <v>468</v>
      </c>
      <c r="D6405" t="s">
        <v>248</v>
      </c>
      <c r="E6405" t="s">
        <v>252</v>
      </c>
      <c r="F6405">
        <v>2</v>
      </c>
      <c r="G6405" t="s">
        <v>498</v>
      </c>
      <c r="H6405" s="4">
        <v>11874752</v>
      </c>
      <c r="I6405" s="4">
        <v>12568269</v>
      </c>
      <c r="J6405" s="3">
        <v>0.05840265127221183</v>
      </c>
      <c r="K6405" s="3">
        <v>-0.05517999336265002</v>
      </c>
      <c r="L6405" t="s">
        <v>54</v>
      </c>
    </row>
    <row r="6406" spans="1:12" x14ac:dyDescent="0.25">
      <c r="A6406" t="s">
        <v>487</v>
      </c>
      <c r="B6406" t="s">
        <v>467</v>
      </c>
      <c r="C6406" t="s">
        <v>468</v>
      </c>
      <c r="D6406" t="s">
        <v>248</v>
      </c>
      <c r="E6406" t="s">
        <v>252</v>
      </c>
      <c r="F6406">
        <v>2</v>
      </c>
      <c r="G6406" t="s">
        <v>499</v>
      </c>
      <c r="H6406" s="4">
        <v>11874752</v>
      </c>
      <c r="I6406" s="4">
        <v>16998562</v>
      </c>
      <c r="J6406" s="3">
        <v>0.4314877481230766</v>
      </c>
      <c r="K6406" s="3">
        <v>-0.3014260853359243</v>
      </c>
      <c r="L6406" t="s">
        <v>54</v>
      </c>
    </row>
    <row r="6407" spans="1:12" x14ac:dyDescent="0.25">
      <c r="A6407" t="s">
        <v>487</v>
      </c>
      <c r="B6407" t="s">
        <v>467</v>
      </c>
      <c r="C6407" t="s">
        <v>468</v>
      </c>
      <c r="D6407" t="s">
        <v>248</v>
      </c>
      <c r="E6407" t="s">
        <v>254</v>
      </c>
      <c r="F6407">
        <v>3</v>
      </c>
      <c r="G6407" t="s">
        <v>488</v>
      </c>
      <c r="H6407" s="4">
        <v>9214300</v>
      </c>
      <c r="I6407" s="4">
        <v>9132351.510073626</v>
      </c>
      <c r="J6407" s="3">
        <v>0.008893620777093603</v>
      </c>
      <c r="K6407" s="3">
        <v>0.008973427034206758</v>
      </c>
      <c r="L6407" t="s">
        <v>54</v>
      </c>
    </row>
    <row r="6408" spans="1:12" x14ac:dyDescent="0.25">
      <c r="A6408" t="s">
        <v>487</v>
      </c>
      <c r="B6408" t="s">
        <v>467</v>
      </c>
      <c r="C6408" t="s">
        <v>468</v>
      </c>
      <c r="D6408" t="s">
        <v>248</v>
      </c>
      <c r="E6408" t="s">
        <v>254</v>
      </c>
      <c r="F6408">
        <v>3</v>
      </c>
      <c r="G6408" t="s">
        <v>498</v>
      </c>
      <c r="H6408" s="4">
        <v>9214300</v>
      </c>
      <c r="I6408" s="4">
        <v>8992643</v>
      </c>
      <c r="J6408" s="3">
        <v>0.024055761153858678</v>
      </c>
      <c r="K6408" s="3">
        <v>0.02464870450211356</v>
      </c>
      <c r="L6408" t="s">
        <v>54</v>
      </c>
    </row>
    <row r="6409" spans="1:12" x14ac:dyDescent="0.25">
      <c r="A6409" t="s">
        <v>487</v>
      </c>
      <c r="B6409" t="s">
        <v>467</v>
      </c>
      <c r="C6409" t="s">
        <v>468</v>
      </c>
      <c r="D6409" t="s">
        <v>248</v>
      </c>
      <c r="E6409" t="s">
        <v>254</v>
      </c>
      <c r="F6409">
        <v>3</v>
      </c>
      <c r="G6409" t="s">
        <v>499</v>
      </c>
      <c r="H6409" s="4">
        <v>9214300</v>
      </c>
      <c r="I6409" s="4">
        <v>16998562</v>
      </c>
      <c r="J6409" s="3">
        <v>0.8448023181359409</v>
      </c>
      <c r="K6409" s="3">
        <v>-0.4579365007463573</v>
      </c>
      <c r="L6409" t="s">
        <v>54</v>
      </c>
    </row>
    <row r="6410" spans="1:12" x14ac:dyDescent="0.25">
      <c r="A6410" t="s">
        <v>487</v>
      </c>
      <c r="B6410" t="s">
        <v>467</v>
      </c>
      <c r="C6410" t="s">
        <v>468</v>
      </c>
      <c r="D6410" t="s">
        <v>250</v>
      </c>
      <c r="E6410" t="s">
        <v>252</v>
      </c>
      <c r="F6410">
        <v>1</v>
      </c>
      <c r="G6410" t="s">
        <v>488</v>
      </c>
      <c r="H6410" s="4">
        <v>11874752</v>
      </c>
      <c r="I6410" s="4">
        <v>12860861.899688492</v>
      </c>
      <c r="J6410" s="3">
        <v>0.08304256793644967</v>
      </c>
      <c r="K6410" s="3">
        <v>-0.07667525764446445</v>
      </c>
      <c r="L6410" t="s">
        <v>54</v>
      </c>
    </row>
    <row r="6411" spans="1:12" x14ac:dyDescent="0.25">
      <c r="A6411" t="s">
        <v>487</v>
      </c>
      <c r="B6411" t="s">
        <v>467</v>
      </c>
      <c r="C6411" t="s">
        <v>468</v>
      </c>
      <c r="D6411" t="s">
        <v>250</v>
      </c>
      <c r="E6411" t="s">
        <v>252</v>
      </c>
      <c r="F6411">
        <v>1</v>
      </c>
      <c r="G6411" t="s">
        <v>498</v>
      </c>
      <c r="H6411" s="4">
        <v>11874752</v>
      </c>
      <c r="I6411" s="4">
        <v>12568269</v>
      </c>
      <c r="J6411" s="3">
        <v>0.05840265127221183</v>
      </c>
      <c r="K6411" s="3">
        <v>-0.05517999336265002</v>
      </c>
      <c r="L6411" t="s">
        <v>54</v>
      </c>
    </row>
    <row r="6412" spans="1:12" x14ac:dyDescent="0.25">
      <c r="A6412" t="s">
        <v>487</v>
      </c>
      <c r="B6412" t="s">
        <v>467</v>
      </c>
      <c r="C6412" t="s">
        <v>468</v>
      </c>
      <c r="D6412" t="s">
        <v>250</v>
      </c>
      <c r="E6412" t="s">
        <v>252</v>
      </c>
      <c r="F6412">
        <v>1</v>
      </c>
      <c r="G6412" t="s">
        <v>499</v>
      </c>
      <c r="H6412" s="4">
        <v>11874752</v>
      </c>
      <c r="I6412" s="4">
        <v>16786700</v>
      </c>
      <c r="J6412" s="3">
        <v>0.41364636499355945</v>
      </c>
      <c r="K6412" s="3">
        <v>-0.29260950633537264</v>
      </c>
      <c r="L6412" t="s">
        <v>54</v>
      </c>
    </row>
    <row r="6413" spans="1:12" x14ac:dyDescent="0.25">
      <c r="A6413" t="s">
        <v>487</v>
      </c>
      <c r="B6413" t="s">
        <v>467</v>
      </c>
      <c r="C6413" t="s">
        <v>468</v>
      </c>
      <c r="D6413" t="s">
        <v>250</v>
      </c>
      <c r="E6413" t="s">
        <v>254</v>
      </c>
      <c r="F6413">
        <v>2</v>
      </c>
      <c r="G6413" t="s">
        <v>488</v>
      </c>
      <c r="H6413" s="4">
        <v>9214300</v>
      </c>
      <c r="I6413" s="4">
        <v>9201994.302970473</v>
      </c>
      <c r="J6413" s="3">
        <v>0.0013354999326619793</v>
      </c>
      <c r="K6413" s="3">
        <v>0.0013372858778618137</v>
      </c>
      <c r="L6413" t="s">
        <v>54</v>
      </c>
    </row>
    <row r="6414" spans="1:12" x14ac:dyDescent="0.25">
      <c r="A6414" t="s">
        <v>487</v>
      </c>
      <c r="B6414" t="s">
        <v>467</v>
      </c>
      <c r="C6414" t="s">
        <v>468</v>
      </c>
      <c r="D6414" t="s">
        <v>250</v>
      </c>
      <c r="E6414" t="s">
        <v>254</v>
      </c>
      <c r="F6414">
        <v>2</v>
      </c>
      <c r="G6414" t="s">
        <v>498</v>
      </c>
      <c r="H6414" s="4">
        <v>9214300</v>
      </c>
      <c r="I6414" s="4">
        <v>8992643</v>
      </c>
      <c r="J6414" s="3">
        <v>0.024055761153858678</v>
      </c>
      <c r="K6414" s="3">
        <v>0.02464870450211356</v>
      </c>
      <c r="L6414" t="s">
        <v>54</v>
      </c>
    </row>
    <row r="6415" spans="1:12" x14ac:dyDescent="0.25">
      <c r="A6415" t="s">
        <v>487</v>
      </c>
      <c r="B6415" t="s">
        <v>467</v>
      </c>
      <c r="C6415" t="s">
        <v>468</v>
      </c>
      <c r="D6415" t="s">
        <v>250</v>
      </c>
      <c r="E6415" t="s">
        <v>254</v>
      </c>
      <c r="F6415">
        <v>2</v>
      </c>
      <c r="G6415" t="s">
        <v>499</v>
      </c>
      <c r="H6415" s="4">
        <v>9214300</v>
      </c>
      <c r="I6415" s="4">
        <v>16786700</v>
      </c>
      <c r="J6415" s="3">
        <v>0.8218095785898006</v>
      </c>
      <c r="K6415" s="3">
        <v>-0.4510952122811511</v>
      </c>
      <c r="L6415" t="s">
        <v>54</v>
      </c>
    </row>
    <row r="6416" spans="1:12" x14ac:dyDescent="0.25">
      <c r="A6416" t="s">
        <v>487</v>
      </c>
      <c r="B6416" t="s">
        <v>467</v>
      </c>
      <c r="C6416" t="s">
        <v>468</v>
      </c>
      <c r="D6416" t="s">
        <v>250</v>
      </c>
      <c r="E6416" t="s">
        <v>256</v>
      </c>
      <c r="F6416">
        <v>3</v>
      </c>
      <c r="G6416" t="s">
        <v>488</v>
      </c>
      <c r="H6416" s="4">
        <v>6661929</v>
      </c>
      <c r="I6416" s="4">
        <v>8312202.976643011</v>
      </c>
      <c r="J6416" s="3">
        <v>0.24771713667963302</v>
      </c>
      <c r="K6416" s="3">
        <v>-0.1985362943229636</v>
      </c>
      <c r="L6416" t="s">
        <v>54</v>
      </c>
    </row>
    <row r="6417" spans="1:12" x14ac:dyDescent="0.25">
      <c r="A6417" t="s">
        <v>487</v>
      </c>
      <c r="B6417" t="s">
        <v>467</v>
      </c>
      <c r="C6417" t="s">
        <v>468</v>
      </c>
      <c r="D6417" t="s">
        <v>250</v>
      </c>
      <c r="E6417" t="s">
        <v>256</v>
      </c>
      <c r="F6417">
        <v>3</v>
      </c>
      <c r="G6417" t="s">
        <v>498</v>
      </c>
      <c r="H6417" s="4">
        <v>6661929</v>
      </c>
      <c r="I6417" s="4">
        <v>8123095</v>
      </c>
      <c r="J6417" s="3">
        <v>0.21933076740985982</v>
      </c>
      <c r="K6417" s="3">
        <v>-0.17987798985485212</v>
      </c>
      <c r="L6417" t="s">
        <v>54</v>
      </c>
    </row>
    <row r="6418" spans="1:12" x14ac:dyDescent="0.25">
      <c r="A6418" t="s">
        <v>487</v>
      </c>
      <c r="B6418" t="s">
        <v>467</v>
      </c>
      <c r="C6418" t="s">
        <v>468</v>
      </c>
      <c r="D6418" t="s">
        <v>250</v>
      </c>
      <c r="E6418" t="s">
        <v>256</v>
      </c>
      <c r="F6418">
        <v>3</v>
      </c>
      <c r="G6418" t="s">
        <v>499</v>
      </c>
      <c r="H6418" s="4">
        <v>6661929</v>
      </c>
      <c r="I6418" s="4">
        <v>16786700</v>
      </c>
      <c r="J6418" s="3">
        <v>1.5197956928090948</v>
      </c>
      <c r="K6418" s="3">
        <v>-0.603142428231874</v>
      </c>
      <c r="L6418" t="s">
        <v>54</v>
      </c>
    </row>
    <row r="6419" spans="1:12" x14ac:dyDescent="0.25">
      <c r="A6419" t="s">
        <v>487</v>
      </c>
      <c r="B6419" t="s">
        <v>467</v>
      </c>
      <c r="C6419" t="s">
        <v>468</v>
      </c>
      <c r="D6419" t="s">
        <v>252</v>
      </c>
      <c r="E6419" t="s">
        <v>254</v>
      </c>
      <c r="F6419">
        <v>1</v>
      </c>
      <c r="G6419" t="s">
        <v>488</v>
      </c>
      <c r="H6419" s="4">
        <v>9214300</v>
      </c>
      <c r="I6419" s="4">
        <v>9292759.045978121</v>
      </c>
      <c r="J6419" s="3">
        <v>0.008514922021002297</v>
      </c>
      <c r="K6419" s="3">
        <v>-0.008443030276576289</v>
      </c>
      <c r="L6419" t="s">
        <v>54</v>
      </c>
    </row>
    <row r="6420" spans="1:12" x14ac:dyDescent="0.25">
      <c r="A6420" t="s">
        <v>487</v>
      </c>
      <c r="B6420" t="s">
        <v>467</v>
      </c>
      <c r="C6420" t="s">
        <v>468</v>
      </c>
      <c r="D6420" t="s">
        <v>252</v>
      </c>
      <c r="E6420" t="s">
        <v>254</v>
      </c>
      <c r="F6420">
        <v>1</v>
      </c>
      <c r="G6420" t="s">
        <v>498</v>
      </c>
      <c r="H6420" s="4">
        <v>9214300</v>
      </c>
      <c r="I6420" s="4">
        <v>8992643</v>
      </c>
      <c r="J6420" s="3">
        <v>0.024055761153858678</v>
      </c>
      <c r="K6420" s="3">
        <v>0.02464870450211356</v>
      </c>
      <c r="L6420" t="s">
        <v>54</v>
      </c>
    </row>
    <row r="6421" spans="1:12" x14ac:dyDescent="0.25">
      <c r="A6421" t="s">
        <v>487</v>
      </c>
      <c r="B6421" t="s">
        <v>467</v>
      </c>
      <c r="C6421" t="s">
        <v>468</v>
      </c>
      <c r="D6421" t="s">
        <v>252</v>
      </c>
      <c r="E6421" t="s">
        <v>254</v>
      </c>
      <c r="F6421">
        <v>1</v>
      </c>
      <c r="G6421" t="s">
        <v>499</v>
      </c>
      <c r="H6421" s="4">
        <v>9214300</v>
      </c>
      <c r="I6421" s="4">
        <v>11874752</v>
      </c>
      <c r="J6421" s="3">
        <v>0.2887307771615858</v>
      </c>
      <c r="K6421" s="3">
        <v>-0.22404274211368794</v>
      </c>
      <c r="L6421" t="s">
        <v>54</v>
      </c>
    </row>
    <row r="6422" spans="1:12" x14ac:dyDescent="0.25">
      <c r="A6422" t="s">
        <v>487</v>
      </c>
      <c r="B6422" t="s">
        <v>467</v>
      </c>
      <c r="C6422" t="s">
        <v>468</v>
      </c>
      <c r="D6422" t="s">
        <v>252</v>
      </c>
      <c r="E6422" t="s">
        <v>256</v>
      </c>
      <c r="F6422">
        <v>2</v>
      </c>
      <c r="G6422" t="s">
        <v>488</v>
      </c>
      <c r="H6422" s="4">
        <v>6661929</v>
      </c>
      <c r="I6422" s="4">
        <v>8394191.178565595</v>
      </c>
      <c r="J6422" s="3">
        <v>0.2600241129206864</v>
      </c>
      <c r="K6422" s="3">
        <v>-0.206364394343185</v>
      </c>
      <c r="L6422" t="s">
        <v>54</v>
      </c>
    </row>
    <row r="6423" spans="1:12" x14ac:dyDescent="0.25">
      <c r="A6423" t="s">
        <v>487</v>
      </c>
      <c r="B6423" t="s">
        <v>467</v>
      </c>
      <c r="C6423" t="s">
        <v>468</v>
      </c>
      <c r="D6423" t="s">
        <v>252</v>
      </c>
      <c r="E6423" t="s">
        <v>256</v>
      </c>
      <c r="F6423">
        <v>2</v>
      </c>
      <c r="G6423" t="s">
        <v>498</v>
      </c>
      <c r="H6423" s="4">
        <v>6661929</v>
      </c>
      <c r="I6423" s="4">
        <v>8123095</v>
      </c>
      <c r="J6423" s="3">
        <v>0.21933076740985982</v>
      </c>
      <c r="K6423" s="3">
        <v>-0.17987798985485212</v>
      </c>
      <c r="L6423" t="s">
        <v>54</v>
      </c>
    </row>
    <row r="6424" spans="1:12" x14ac:dyDescent="0.25">
      <c r="A6424" t="s">
        <v>487</v>
      </c>
      <c r="B6424" t="s">
        <v>467</v>
      </c>
      <c r="C6424" t="s">
        <v>468</v>
      </c>
      <c r="D6424" t="s">
        <v>252</v>
      </c>
      <c r="E6424" t="s">
        <v>256</v>
      </c>
      <c r="F6424">
        <v>2</v>
      </c>
      <c r="G6424" t="s">
        <v>499</v>
      </c>
      <c r="H6424" s="4">
        <v>6661929</v>
      </c>
      <c r="I6424" s="4">
        <v>11874752</v>
      </c>
      <c r="J6424" s="3">
        <v>0.7824795190702273</v>
      </c>
      <c r="K6424" s="3">
        <v>-0.4389837362498181</v>
      </c>
      <c r="L6424" t="s">
        <v>54</v>
      </c>
    </row>
    <row r="6425" spans="1:12" x14ac:dyDescent="0.25">
      <c r="A6425" t="s">
        <v>487</v>
      </c>
      <c r="B6425" t="s">
        <v>467</v>
      </c>
      <c r="C6425" t="s">
        <v>468</v>
      </c>
      <c r="D6425" t="s">
        <v>252</v>
      </c>
      <c r="E6425" t="s">
        <v>258</v>
      </c>
      <c r="F6425">
        <v>3</v>
      </c>
      <c r="G6425" t="s">
        <v>488</v>
      </c>
      <c r="H6425" s="4">
        <v>7197224</v>
      </c>
      <c r="I6425" s="4">
        <v>10147507.743143853</v>
      </c>
      <c r="J6425" s="3">
        <v>0.4099196778013096</v>
      </c>
      <c r="K6425" s="3">
        <v>-0.2907397380541254</v>
      </c>
      <c r="L6425" t="s">
        <v>54</v>
      </c>
    </row>
    <row r="6426" spans="1:12" x14ac:dyDescent="0.25">
      <c r="A6426" t="s">
        <v>487</v>
      </c>
      <c r="B6426" t="s">
        <v>467</v>
      </c>
      <c r="C6426" t="s">
        <v>468</v>
      </c>
      <c r="D6426" t="s">
        <v>252</v>
      </c>
      <c r="E6426" t="s">
        <v>258</v>
      </c>
      <c r="F6426">
        <v>3</v>
      </c>
      <c r="G6426" t="s">
        <v>498</v>
      </c>
      <c r="H6426" s="4">
        <v>7197224</v>
      </c>
      <c r="I6426" s="4">
        <v>9819787</v>
      </c>
      <c r="J6426" s="3">
        <v>0.3643853519079023</v>
      </c>
      <c r="K6426" s="3">
        <v>-0.26706923480112144</v>
      </c>
      <c r="L6426" t="s">
        <v>54</v>
      </c>
    </row>
    <row r="6427" spans="1:12" x14ac:dyDescent="0.25">
      <c r="A6427" t="s">
        <v>487</v>
      </c>
      <c r="B6427" t="s">
        <v>467</v>
      </c>
      <c r="C6427" t="s">
        <v>468</v>
      </c>
      <c r="D6427" t="s">
        <v>252</v>
      </c>
      <c r="E6427" t="s">
        <v>258</v>
      </c>
      <c r="F6427">
        <v>3</v>
      </c>
      <c r="G6427" t="s">
        <v>499</v>
      </c>
      <c r="H6427" s="4">
        <v>7197224</v>
      </c>
      <c r="I6427" s="4">
        <v>11874752</v>
      </c>
      <c r="J6427" s="3">
        <v>0.6499072420144211</v>
      </c>
      <c r="K6427" s="3">
        <v>-0.3939053211384962</v>
      </c>
      <c r="L6427" t="s">
        <v>54</v>
      </c>
    </row>
    <row r="6428" spans="1:12" x14ac:dyDescent="0.25">
      <c r="A6428" t="s">
        <v>487</v>
      </c>
      <c r="B6428" t="s">
        <v>467</v>
      </c>
      <c r="C6428" t="s">
        <v>468</v>
      </c>
      <c r="D6428" t="s">
        <v>254</v>
      </c>
      <c r="E6428" t="s">
        <v>256</v>
      </c>
      <c r="F6428">
        <v>1</v>
      </c>
      <c r="G6428" t="s">
        <v>488</v>
      </c>
      <c r="H6428" s="4">
        <v>6661929</v>
      </c>
      <c r="I6428" s="4">
        <v>8341816.463173631</v>
      </c>
      <c r="J6428" s="3">
        <v>0.25216231862777744</v>
      </c>
      <c r="K6428" s="3">
        <v>-0.20138149413737164</v>
      </c>
      <c r="L6428" t="s">
        <v>54</v>
      </c>
    </row>
    <row r="6429" spans="1:12" x14ac:dyDescent="0.25">
      <c r="A6429" t="s">
        <v>487</v>
      </c>
      <c r="B6429" t="s">
        <v>467</v>
      </c>
      <c r="C6429" t="s">
        <v>468</v>
      </c>
      <c r="D6429" t="s">
        <v>254</v>
      </c>
      <c r="E6429" t="s">
        <v>256</v>
      </c>
      <c r="F6429">
        <v>1</v>
      </c>
      <c r="G6429" t="s">
        <v>498</v>
      </c>
      <c r="H6429" s="4">
        <v>6661929</v>
      </c>
      <c r="I6429" s="4">
        <v>8123095</v>
      </c>
      <c r="J6429" s="3">
        <v>0.21933076740985982</v>
      </c>
      <c r="K6429" s="3">
        <v>-0.17987798985485212</v>
      </c>
      <c r="L6429" t="s">
        <v>54</v>
      </c>
    </row>
    <row r="6430" spans="1:12" x14ac:dyDescent="0.25">
      <c r="A6430" t="s">
        <v>487</v>
      </c>
      <c r="B6430" t="s">
        <v>467</v>
      </c>
      <c r="C6430" t="s">
        <v>468</v>
      </c>
      <c r="D6430" t="s">
        <v>254</v>
      </c>
      <c r="E6430" t="s">
        <v>256</v>
      </c>
      <c r="F6430">
        <v>1</v>
      </c>
      <c r="G6430" t="s">
        <v>499</v>
      </c>
      <c r="H6430" s="4">
        <v>6661929</v>
      </c>
      <c r="I6430" s="4">
        <v>9214300</v>
      </c>
      <c r="J6430" s="3">
        <v>0.38312791985624584</v>
      </c>
      <c r="K6430" s="3">
        <v>-0.2770010744169389</v>
      </c>
      <c r="L6430" t="s">
        <v>54</v>
      </c>
    </row>
    <row r="6431" spans="1:12" x14ac:dyDescent="0.25">
      <c r="A6431" t="s">
        <v>487</v>
      </c>
      <c r="B6431" t="s">
        <v>467</v>
      </c>
      <c r="C6431" t="s">
        <v>468</v>
      </c>
      <c r="D6431" t="s">
        <v>254</v>
      </c>
      <c r="E6431" t="s">
        <v>258</v>
      </c>
      <c r="F6431">
        <v>2</v>
      </c>
      <c r="G6431" t="s">
        <v>488</v>
      </c>
      <c r="H6431" s="4">
        <v>7197224</v>
      </c>
      <c r="I6431" s="4">
        <v>10084193.384597668</v>
      </c>
      <c r="J6431" s="3">
        <v>0.4011226251395911</v>
      </c>
      <c r="K6431" s="3">
        <v>-0.28628659472230567</v>
      </c>
      <c r="L6431" t="s">
        <v>54</v>
      </c>
    </row>
    <row r="6432" spans="1:12" x14ac:dyDescent="0.25">
      <c r="A6432" t="s">
        <v>487</v>
      </c>
      <c r="B6432" t="s">
        <v>467</v>
      </c>
      <c r="C6432" t="s">
        <v>468</v>
      </c>
      <c r="D6432" t="s">
        <v>254</v>
      </c>
      <c r="E6432" t="s">
        <v>258</v>
      </c>
      <c r="F6432">
        <v>2</v>
      </c>
      <c r="G6432" t="s">
        <v>498</v>
      </c>
      <c r="H6432" s="4">
        <v>7197224</v>
      </c>
      <c r="I6432" s="4">
        <v>9819787</v>
      </c>
      <c r="J6432" s="3">
        <v>0.3643853519079023</v>
      </c>
      <c r="K6432" s="3">
        <v>-0.26706923480112144</v>
      </c>
      <c r="L6432" t="s">
        <v>54</v>
      </c>
    </row>
    <row r="6433" spans="1:12" x14ac:dyDescent="0.25">
      <c r="A6433" t="s">
        <v>487</v>
      </c>
      <c r="B6433" t="s">
        <v>467</v>
      </c>
      <c r="C6433" t="s">
        <v>468</v>
      </c>
      <c r="D6433" t="s">
        <v>254</v>
      </c>
      <c r="E6433" t="s">
        <v>258</v>
      </c>
      <c r="F6433">
        <v>2</v>
      </c>
      <c r="G6433" t="s">
        <v>499</v>
      </c>
      <c r="H6433" s="4">
        <v>7197224</v>
      </c>
      <c r="I6433" s="4">
        <v>9214300</v>
      </c>
      <c r="J6433" s="3">
        <v>0.28025749928027804</v>
      </c>
      <c r="K6433" s="3">
        <v>-0.21890713347731244</v>
      </c>
      <c r="L6433" t="s">
        <v>54</v>
      </c>
    </row>
    <row r="6434" spans="1:12" x14ac:dyDescent="0.25">
      <c r="A6434" t="s">
        <v>487</v>
      </c>
      <c r="B6434" t="s">
        <v>467</v>
      </c>
      <c r="C6434" t="s">
        <v>468</v>
      </c>
      <c r="D6434" t="s">
        <v>254</v>
      </c>
      <c r="E6434" t="s">
        <v>260</v>
      </c>
      <c r="F6434">
        <v>3</v>
      </c>
      <c r="G6434" t="s">
        <v>488</v>
      </c>
      <c r="H6434" s="4">
        <v>18045138</v>
      </c>
      <c r="I6434" s="4">
        <v>18258747.24157596</v>
      </c>
      <c r="J6434" s="3">
        <v>0.011837495594434361</v>
      </c>
      <c r="K6434" s="3">
        <v>-0.011699008631302073</v>
      </c>
      <c r="L6434" t="s">
        <v>54</v>
      </c>
    </row>
    <row r="6435" spans="1:12" x14ac:dyDescent="0.25">
      <c r="A6435" t="s">
        <v>487</v>
      </c>
      <c r="B6435" t="s">
        <v>467</v>
      </c>
      <c r="C6435" t="s">
        <v>468</v>
      </c>
      <c r="D6435" t="s">
        <v>254</v>
      </c>
      <c r="E6435" t="s">
        <v>260</v>
      </c>
      <c r="F6435">
        <v>3</v>
      </c>
      <c r="G6435" t="s">
        <v>498</v>
      </c>
      <c r="H6435" s="4">
        <v>18045138</v>
      </c>
      <c r="I6435" s="4">
        <v>17780005</v>
      </c>
      <c r="J6435" s="3">
        <v>0.014692766550192079</v>
      </c>
      <c r="K6435" s="3">
        <v>0.014911863073154367</v>
      </c>
      <c r="L6435" t="s">
        <v>54</v>
      </c>
    </row>
    <row r="6436" spans="1:12" x14ac:dyDescent="0.25">
      <c r="A6436" t="s">
        <v>487</v>
      </c>
      <c r="B6436" t="s">
        <v>467</v>
      </c>
      <c r="C6436" t="s">
        <v>468</v>
      </c>
      <c r="D6436" t="s">
        <v>254</v>
      </c>
      <c r="E6436" t="s">
        <v>260</v>
      </c>
      <c r="F6436">
        <v>3</v>
      </c>
      <c r="G6436" t="s">
        <v>499</v>
      </c>
      <c r="H6436" s="4">
        <v>18045138</v>
      </c>
      <c r="I6436" s="4">
        <v>9214300</v>
      </c>
      <c r="J6436" s="3">
        <v>0.4893749219318799</v>
      </c>
      <c r="K6436" s="3">
        <v>0.9583840335131263</v>
      </c>
      <c r="L6436" t="s">
        <v>54</v>
      </c>
    </row>
    <row r="6437" spans="1:12" x14ac:dyDescent="0.25">
      <c r="A6437" t="s">
        <v>487</v>
      </c>
      <c r="B6437" t="s">
        <v>467</v>
      </c>
      <c r="C6437" t="s">
        <v>468</v>
      </c>
      <c r="D6437" t="s">
        <v>256</v>
      </c>
      <c r="E6437" t="s">
        <v>258</v>
      </c>
      <c r="F6437">
        <v>1</v>
      </c>
      <c r="G6437" t="s">
        <v>488</v>
      </c>
      <c r="H6437" s="4">
        <v>7197224</v>
      </c>
      <c r="I6437" s="4">
        <v>9963441.544978123</v>
      </c>
      <c r="J6437" s="3">
        <v>0.384345067623034</v>
      </c>
      <c r="K6437" s="3">
        <v>-0.2776367515672715</v>
      </c>
      <c r="L6437" t="s">
        <v>54</v>
      </c>
    </row>
    <row r="6438" spans="1:12" x14ac:dyDescent="0.25">
      <c r="A6438" t="s">
        <v>487</v>
      </c>
      <c r="B6438" t="s">
        <v>467</v>
      </c>
      <c r="C6438" t="s">
        <v>468</v>
      </c>
      <c r="D6438" t="s">
        <v>256</v>
      </c>
      <c r="E6438" t="s">
        <v>258</v>
      </c>
      <c r="F6438">
        <v>1</v>
      </c>
      <c r="G6438" t="s">
        <v>498</v>
      </c>
      <c r="H6438" s="4">
        <v>7197224</v>
      </c>
      <c r="I6438" s="4">
        <v>9819787</v>
      </c>
      <c r="J6438" s="3">
        <v>0.3643853519079023</v>
      </c>
      <c r="K6438" s="3">
        <v>-0.26706923480112144</v>
      </c>
      <c r="L6438" t="s">
        <v>54</v>
      </c>
    </row>
    <row r="6439" spans="1:12" x14ac:dyDescent="0.25">
      <c r="A6439" t="s">
        <v>487</v>
      </c>
      <c r="B6439" t="s">
        <v>467</v>
      </c>
      <c r="C6439" t="s">
        <v>468</v>
      </c>
      <c r="D6439" t="s">
        <v>256</v>
      </c>
      <c r="E6439" t="s">
        <v>258</v>
      </c>
      <c r="F6439">
        <v>1</v>
      </c>
      <c r="G6439" t="s">
        <v>499</v>
      </c>
      <c r="H6439" s="4">
        <v>7197224</v>
      </c>
      <c r="I6439" s="4">
        <v>6661929</v>
      </c>
      <c r="J6439" s="3">
        <v>0.07437520355070233</v>
      </c>
      <c r="K6439" s="3">
        <v>0.08035135168807714</v>
      </c>
      <c r="L6439" t="s">
        <v>54</v>
      </c>
    </row>
    <row r="6440" spans="1:12" x14ac:dyDescent="0.25">
      <c r="A6440" t="s">
        <v>487</v>
      </c>
      <c r="B6440" t="s">
        <v>467</v>
      </c>
      <c r="C6440" t="s">
        <v>468</v>
      </c>
      <c r="D6440" t="s">
        <v>256</v>
      </c>
      <c r="E6440" t="s">
        <v>260</v>
      </c>
      <c r="F6440">
        <v>2</v>
      </c>
      <c r="G6440" t="s">
        <v>488</v>
      </c>
      <c r="H6440" s="4">
        <v>18045138</v>
      </c>
      <c r="I6440" s="4">
        <v>18040110.28822914</v>
      </c>
      <c r="J6440" s="3">
        <v>0.00027861863793220175</v>
      </c>
      <c r="K6440" s="3">
        <v>0.00027869628791233665</v>
      </c>
      <c r="L6440" t="s">
        <v>54</v>
      </c>
    </row>
    <row r="6441" spans="1:12" x14ac:dyDescent="0.25">
      <c r="A6441" t="s">
        <v>487</v>
      </c>
      <c r="B6441" t="s">
        <v>467</v>
      </c>
      <c r="C6441" t="s">
        <v>468</v>
      </c>
      <c r="D6441" t="s">
        <v>256</v>
      </c>
      <c r="E6441" t="s">
        <v>260</v>
      </c>
      <c r="F6441">
        <v>2</v>
      </c>
      <c r="G6441" t="s">
        <v>498</v>
      </c>
      <c r="H6441" s="4">
        <v>18045138</v>
      </c>
      <c r="I6441" s="4">
        <v>17780005</v>
      </c>
      <c r="J6441" s="3">
        <v>0.014692766550192079</v>
      </c>
      <c r="K6441" s="3">
        <v>0.014911863073154367</v>
      </c>
      <c r="L6441" t="s">
        <v>54</v>
      </c>
    </row>
    <row r="6442" spans="1:12" x14ac:dyDescent="0.25">
      <c r="A6442" t="s">
        <v>487</v>
      </c>
      <c r="B6442" t="s">
        <v>467</v>
      </c>
      <c r="C6442" t="s">
        <v>468</v>
      </c>
      <c r="D6442" t="s">
        <v>256</v>
      </c>
      <c r="E6442" t="s">
        <v>260</v>
      </c>
      <c r="F6442">
        <v>2</v>
      </c>
      <c r="G6442" t="s">
        <v>499</v>
      </c>
      <c r="H6442" s="4">
        <v>18045138</v>
      </c>
      <c r="I6442" s="4">
        <v>6661929</v>
      </c>
      <c r="J6442" s="3">
        <v>0.6308186171809825</v>
      </c>
      <c r="K6442" s="3">
        <v>1.708695634552695</v>
      </c>
      <c r="L6442" t="s">
        <v>54</v>
      </c>
    </row>
    <row r="6443" spans="1:12" x14ac:dyDescent="0.25">
      <c r="A6443" t="s">
        <v>487</v>
      </c>
      <c r="B6443" t="s">
        <v>467</v>
      </c>
      <c r="C6443" t="s">
        <v>468</v>
      </c>
      <c r="D6443" t="s">
        <v>256</v>
      </c>
      <c r="E6443" t="s">
        <v>262</v>
      </c>
      <c r="F6443">
        <v>3</v>
      </c>
      <c r="G6443" t="s">
        <v>488</v>
      </c>
      <c r="H6443" s="4">
        <v>17360096</v>
      </c>
      <c r="I6443" s="4">
        <v>17967609.966623753</v>
      </c>
      <c r="J6443" s="3">
        <v>0.034994850640443075</v>
      </c>
      <c r="K6443" s="3">
        <v>-0.03381161811461058</v>
      </c>
      <c r="L6443" t="s">
        <v>54</v>
      </c>
    </row>
    <row r="6444" spans="1:12" x14ac:dyDescent="0.25">
      <c r="A6444" t="s">
        <v>487</v>
      </c>
      <c r="B6444" t="s">
        <v>467</v>
      </c>
      <c r="C6444" t="s">
        <v>468</v>
      </c>
      <c r="D6444" t="s">
        <v>256</v>
      </c>
      <c r="E6444" t="s">
        <v>262</v>
      </c>
      <c r="F6444">
        <v>3</v>
      </c>
      <c r="G6444" t="s">
        <v>498</v>
      </c>
      <c r="H6444" s="4">
        <v>17360096</v>
      </c>
      <c r="I6444" s="4">
        <v>17708550</v>
      </c>
      <c r="J6444" s="3">
        <v>0.020072124025120597</v>
      </c>
      <c r="K6444" s="3">
        <v>-0.019677161597081636</v>
      </c>
      <c r="L6444" t="s">
        <v>54</v>
      </c>
    </row>
    <row r="6445" spans="1:12" x14ac:dyDescent="0.25">
      <c r="A6445" t="s">
        <v>487</v>
      </c>
      <c r="B6445" t="s">
        <v>467</v>
      </c>
      <c r="C6445" t="s">
        <v>468</v>
      </c>
      <c r="D6445" t="s">
        <v>256</v>
      </c>
      <c r="E6445" t="s">
        <v>262</v>
      </c>
      <c r="F6445">
        <v>3</v>
      </c>
      <c r="G6445" t="s">
        <v>499</v>
      </c>
      <c r="H6445" s="4">
        <v>17360096</v>
      </c>
      <c r="I6445" s="4">
        <v>6661929</v>
      </c>
      <c r="J6445" s="3">
        <v>0.6162504516104058</v>
      </c>
      <c r="K6445" s="3">
        <v>1.6058662588568566</v>
      </c>
      <c r="L6445" t="s">
        <v>54</v>
      </c>
    </row>
    <row r="6446" spans="1:12" x14ac:dyDescent="0.25">
      <c r="A6446" t="s">
        <v>487</v>
      </c>
      <c r="B6446" t="s">
        <v>467</v>
      </c>
      <c r="C6446" t="s">
        <v>468</v>
      </c>
      <c r="D6446" t="s">
        <v>258</v>
      </c>
      <c r="E6446" t="s">
        <v>260</v>
      </c>
      <c r="F6446">
        <v>1</v>
      </c>
      <c r="G6446" t="s">
        <v>488</v>
      </c>
      <c r="H6446" s="4">
        <v>18045138</v>
      </c>
      <c r="I6446" s="4">
        <v>17647645.411871538</v>
      </c>
      <c r="J6446" s="3">
        <v>0.02202768347509797</v>
      </c>
      <c r="K6446" s="3">
        <v>0.022523831301657384</v>
      </c>
      <c r="L6446" t="s">
        <v>54</v>
      </c>
    </row>
    <row r="6447" spans="1:12" x14ac:dyDescent="0.25">
      <c r="A6447" t="s">
        <v>487</v>
      </c>
      <c r="B6447" t="s">
        <v>467</v>
      </c>
      <c r="C6447" t="s">
        <v>468</v>
      </c>
      <c r="D6447" t="s">
        <v>258</v>
      </c>
      <c r="E6447" t="s">
        <v>260</v>
      </c>
      <c r="F6447">
        <v>1</v>
      </c>
      <c r="G6447" t="s">
        <v>498</v>
      </c>
      <c r="H6447" s="4">
        <v>18045138</v>
      </c>
      <c r="I6447" s="4">
        <v>17780005</v>
      </c>
      <c r="J6447" s="3">
        <v>0.014692766550192079</v>
      </c>
      <c r="K6447" s="3">
        <v>0.014911863073154367</v>
      </c>
      <c r="L6447" t="s">
        <v>54</v>
      </c>
    </row>
    <row r="6448" spans="1:12" x14ac:dyDescent="0.25">
      <c r="A6448" t="s">
        <v>487</v>
      </c>
      <c r="B6448" t="s">
        <v>467</v>
      </c>
      <c r="C6448" t="s">
        <v>468</v>
      </c>
      <c r="D6448" t="s">
        <v>258</v>
      </c>
      <c r="E6448" t="s">
        <v>260</v>
      </c>
      <c r="F6448">
        <v>1</v>
      </c>
      <c r="G6448" t="s">
        <v>499</v>
      </c>
      <c r="H6448" s="4">
        <v>18045138</v>
      </c>
      <c r="I6448" s="4">
        <v>7197224</v>
      </c>
      <c r="J6448" s="3">
        <v>0.601154394053401</v>
      </c>
      <c r="K6448" s="3">
        <v>1.5072358453759394</v>
      </c>
      <c r="L6448" t="s">
        <v>54</v>
      </c>
    </row>
    <row r="6449" spans="1:12" x14ac:dyDescent="0.25">
      <c r="A6449" t="s">
        <v>487</v>
      </c>
      <c r="B6449" t="s">
        <v>467</v>
      </c>
      <c r="C6449" t="s">
        <v>468</v>
      </c>
      <c r="D6449" t="s">
        <v>258</v>
      </c>
      <c r="E6449" t="s">
        <v>262</v>
      </c>
      <c r="F6449">
        <v>2</v>
      </c>
      <c r="G6449" t="s">
        <v>488</v>
      </c>
      <c r="H6449" s="4">
        <v>17360096</v>
      </c>
      <c r="I6449" s="4">
        <v>17576722.343913723</v>
      </c>
      <c r="J6449" s="3">
        <v>0.012478407026880656</v>
      </c>
      <c r="K6449" s="3">
        <v>-0.012324615458736754</v>
      </c>
      <c r="L6449" t="s">
        <v>54</v>
      </c>
    </row>
    <row r="6450" spans="1:12" x14ac:dyDescent="0.25">
      <c r="A6450" t="s">
        <v>487</v>
      </c>
      <c r="B6450" t="s">
        <v>467</v>
      </c>
      <c r="C6450" t="s">
        <v>468</v>
      </c>
      <c r="D6450" t="s">
        <v>258</v>
      </c>
      <c r="E6450" t="s">
        <v>262</v>
      </c>
      <c r="F6450">
        <v>2</v>
      </c>
      <c r="G6450" t="s">
        <v>498</v>
      </c>
      <c r="H6450" s="4">
        <v>17360096</v>
      </c>
      <c r="I6450" s="4">
        <v>17708550</v>
      </c>
      <c r="J6450" s="3">
        <v>0.020072124025120597</v>
      </c>
      <c r="K6450" s="3">
        <v>-0.019677161597081636</v>
      </c>
      <c r="L6450" t="s">
        <v>54</v>
      </c>
    </row>
    <row r="6451" spans="1:12" x14ac:dyDescent="0.25">
      <c r="A6451" t="s">
        <v>487</v>
      </c>
      <c r="B6451" t="s">
        <v>467</v>
      </c>
      <c r="C6451" t="s">
        <v>468</v>
      </c>
      <c r="D6451" t="s">
        <v>258</v>
      </c>
      <c r="E6451" t="s">
        <v>262</v>
      </c>
      <c r="F6451">
        <v>2</v>
      </c>
      <c r="G6451" t="s">
        <v>499</v>
      </c>
      <c r="H6451" s="4">
        <v>17360096</v>
      </c>
      <c r="I6451" s="4">
        <v>7197224</v>
      </c>
      <c r="J6451" s="3">
        <v>0.5854156566876128</v>
      </c>
      <c r="K6451" s="3">
        <v>1.4120544254284708</v>
      </c>
      <c r="L6451" t="s">
        <v>54</v>
      </c>
    </row>
    <row r="6452" spans="1:12" x14ac:dyDescent="0.25">
      <c r="A6452" t="s">
        <v>487</v>
      </c>
      <c r="B6452" t="s">
        <v>467</v>
      </c>
      <c r="C6452" t="s">
        <v>468</v>
      </c>
      <c r="D6452" t="s">
        <v>258</v>
      </c>
      <c r="E6452" t="s">
        <v>264</v>
      </c>
      <c r="F6452">
        <v>3</v>
      </c>
      <c r="G6452" t="s">
        <v>488</v>
      </c>
      <c r="H6452" s="4">
        <v>15979147</v>
      </c>
      <c r="I6452" s="4">
        <v>20567363.156938985</v>
      </c>
      <c r="J6452" s="3">
        <v>0.2871377400144692</v>
      </c>
      <c r="K6452" s="3">
        <v>-0.22308237190779703</v>
      </c>
      <c r="L6452" t="s">
        <v>54</v>
      </c>
    </row>
    <row r="6453" spans="1:12" x14ac:dyDescent="0.25">
      <c r="A6453" t="s">
        <v>487</v>
      </c>
      <c r="B6453" t="s">
        <v>467</v>
      </c>
      <c r="C6453" t="s">
        <v>468</v>
      </c>
      <c r="D6453" t="s">
        <v>258</v>
      </c>
      <c r="E6453" t="s">
        <v>264</v>
      </c>
      <c r="F6453">
        <v>3</v>
      </c>
      <c r="G6453" t="s">
        <v>498</v>
      </c>
      <c r="H6453" s="4">
        <v>15979147</v>
      </c>
      <c r="I6453" s="4">
        <v>20721621</v>
      </c>
      <c r="J6453" s="3">
        <v>0.29679143698972166</v>
      </c>
      <c r="K6453" s="3">
        <v>-0.2288659753018357</v>
      </c>
      <c r="L6453" t="s">
        <v>54</v>
      </c>
    </row>
    <row r="6454" spans="1:12" x14ac:dyDescent="0.25">
      <c r="A6454" t="s">
        <v>487</v>
      </c>
      <c r="B6454" t="s">
        <v>467</v>
      </c>
      <c r="C6454" t="s">
        <v>468</v>
      </c>
      <c r="D6454" t="s">
        <v>258</v>
      </c>
      <c r="E6454" t="s">
        <v>264</v>
      </c>
      <c r="F6454">
        <v>3</v>
      </c>
      <c r="G6454" t="s">
        <v>499</v>
      </c>
      <c r="H6454" s="4">
        <v>15979147</v>
      </c>
      <c r="I6454" s="4">
        <v>7197224</v>
      </c>
      <c r="J6454" s="3">
        <v>0.549586470416725</v>
      </c>
      <c r="K6454" s="3">
        <v>1.2201819757173042</v>
      </c>
      <c r="L6454" t="s">
        <v>54</v>
      </c>
    </row>
    <row r="6455" spans="1:12" x14ac:dyDescent="0.25">
      <c r="A6455" t="s">
        <v>487</v>
      </c>
      <c r="B6455" t="s">
        <v>467</v>
      </c>
      <c r="C6455" t="s">
        <v>468</v>
      </c>
      <c r="D6455" t="s">
        <v>260</v>
      </c>
      <c r="E6455" t="s">
        <v>262</v>
      </c>
      <c r="F6455">
        <v>1</v>
      </c>
      <c r="G6455" t="s">
        <v>488</v>
      </c>
      <c r="H6455" s="4">
        <v>17360096</v>
      </c>
      <c r="I6455" s="4">
        <v>17090095.073629282</v>
      </c>
      <c r="J6455" s="3">
        <v>0.01555296274690633</v>
      </c>
      <c r="K6455" s="3">
        <v>0.015798679013046574</v>
      </c>
      <c r="L6455" t="s">
        <v>54</v>
      </c>
    </row>
    <row r="6456" spans="1:12" x14ac:dyDescent="0.25">
      <c r="A6456" t="s">
        <v>487</v>
      </c>
      <c r="B6456" t="s">
        <v>467</v>
      </c>
      <c r="C6456" t="s">
        <v>468</v>
      </c>
      <c r="D6456" t="s">
        <v>260</v>
      </c>
      <c r="E6456" t="s">
        <v>262</v>
      </c>
      <c r="F6456">
        <v>1</v>
      </c>
      <c r="G6456" t="s">
        <v>498</v>
      </c>
      <c r="H6456" s="4">
        <v>17360096</v>
      </c>
      <c r="I6456" s="4">
        <v>17708550</v>
      </c>
      <c r="J6456" s="3">
        <v>0.020072124025120597</v>
      </c>
      <c r="K6456" s="3">
        <v>-0.019677161597081636</v>
      </c>
      <c r="L6456" t="s">
        <v>54</v>
      </c>
    </row>
    <row r="6457" spans="1:12" x14ac:dyDescent="0.25">
      <c r="A6457" t="s">
        <v>487</v>
      </c>
      <c r="B6457" t="s">
        <v>467</v>
      </c>
      <c r="C6457" t="s">
        <v>468</v>
      </c>
      <c r="D6457" t="s">
        <v>260</v>
      </c>
      <c r="E6457" t="s">
        <v>262</v>
      </c>
      <c r="F6457">
        <v>1</v>
      </c>
      <c r="G6457" t="s">
        <v>499</v>
      </c>
      <c r="H6457" s="4">
        <v>17360096</v>
      </c>
      <c r="I6457" s="4">
        <v>18045138</v>
      </c>
      <c r="J6457" s="3">
        <v>0.03946072648446184</v>
      </c>
      <c r="K6457" s="3">
        <v>-0.03796269111380583</v>
      </c>
      <c r="L6457" t="s">
        <v>54</v>
      </c>
    </row>
    <row r="6458" spans="1:12" x14ac:dyDescent="0.25">
      <c r="A6458" t="s">
        <v>487</v>
      </c>
      <c r="B6458" t="s">
        <v>467</v>
      </c>
      <c r="C6458" t="s">
        <v>468</v>
      </c>
      <c r="D6458" t="s">
        <v>260</v>
      </c>
      <c r="E6458" t="s">
        <v>264</v>
      </c>
      <c r="F6458">
        <v>2</v>
      </c>
      <c r="G6458" t="s">
        <v>488</v>
      </c>
      <c r="H6458" s="4">
        <v>15979147</v>
      </c>
      <c r="I6458" s="4">
        <v>19997937.322350677</v>
      </c>
      <c r="J6458" s="3">
        <v>0.25150218108330047</v>
      </c>
      <c r="K6458" s="3">
        <v>-0.20096024192750517</v>
      </c>
      <c r="L6458" t="s">
        <v>54</v>
      </c>
    </row>
    <row r="6459" spans="1:12" x14ac:dyDescent="0.25">
      <c r="A6459" t="s">
        <v>487</v>
      </c>
      <c r="B6459" t="s">
        <v>467</v>
      </c>
      <c r="C6459" t="s">
        <v>468</v>
      </c>
      <c r="D6459" t="s">
        <v>260</v>
      </c>
      <c r="E6459" t="s">
        <v>264</v>
      </c>
      <c r="F6459">
        <v>2</v>
      </c>
      <c r="G6459" t="s">
        <v>498</v>
      </c>
      <c r="H6459" s="4">
        <v>15979147</v>
      </c>
      <c r="I6459" s="4">
        <v>20721621</v>
      </c>
      <c r="J6459" s="3">
        <v>0.29679143698972166</v>
      </c>
      <c r="K6459" s="3">
        <v>-0.2288659753018357</v>
      </c>
      <c r="L6459" t="s">
        <v>54</v>
      </c>
    </row>
    <row r="6460" spans="1:12" x14ac:dyDescent="0.25">
      <c r="A6460" t="s">
        <v>487</v>
      </c>
      <c r="B6460" t="s">
        <v>467</v>
      </c>
      <c r="C6460" t="s">
        <v>468</v>
      </c>
      <c r="D6460" t="s">
        <v>260</v>
      </c>
      <c r="E6460" t="s">
        <v>264</v>
      </c>
      <c r="F6460">
        <v>2</v>
      </c>
      <c r="G6460" t="s">
        <v>499</v>
      </c>
      <c r="H6460" s="4">
        <v>15979147</v>
      </c>
      <c r="I6460" s="4">
        <v>18045138</v>
      </c>
      <c r="J6460" s="3">
        <v>0.12929294661348317</v>
      </c>
      <c r="K6460" s="3">
        <v>-0.11449017458331436</v>
      </c>
      <c r="L6460" t="s">
        <v>54</v>
      </c>
    </row>
    <row r="6461" spans="1:12" x14ac:dyDescent="0.25">
      <c r="A6461" t="s">
        <v>487</v>
      </c>
      <c r="B6461" t="s">
        <v>467</v>
      </c>
      <c r="C6461" t="s">
        <v>468</v>
      </c>
      <c r="D6461" t="s">
        <v>260</v>
      </c>
      <c r="E6461" t="s">
        <v>266</v>
      </c>
      <c r="F6461">
        <v>3</v>
      </c>
      <c r="G6461" t="s">
        <v>488</v>
      </c>
      <c r="H6461" s="4">
        <v>14882707</v>
      </c>
      <c r="I6461" s="4">
        <v>12752269.926051471</v>
      </c>
      <c r="J6461" s="3">
        <v>0.14314849267331062</v>
      </c>
      <c r="K6461" s="3">
        <v>0.16706336097829</v>
      </c>
      <c r="L6461" t="s">
        <v>54</v>
      </c>
    </row>
    <row r="6462" spans="1:12" x14ac:dyDescent="0.25">
      <c r="A6462" t="s">
        <v>487</v>
      </c>
      <c r="B6462" t="s">
        <v>467</v>
      </c>
      <c r="C6462" t="s">
        <v>468</v>
      </c>
      <c r="D6462" t="s">
        <v>260</v>
      </c>
      <c r="E6462" t="s">
        <v>266</v>
      </c>
      <c r="F6462">
        <v>3</v>
      </c>
      <c r="G6462" t="s">
        <v>498</v>
      </c>
      <c r="H6462" s="4">
        <v>14882707</v>
      </c>
      <c r="I6462" s="4">
        <v>13213748</v>
      </c>
      <c r="J6462" s="3">
        <v>0.11214082223079444</v>
      </c>
      <c r="K6462" s="3">
        <v>0.12630473957880836</v>
      </c>
      <c r="L6462" t="s">
        <v>54</v>
      </c>
    </row>
    <row r="6463" spans="1:12" x14ac:dyDescent="0.25">
      <c r="A6463" t="s">
        <v>487</v>
      </c>
      <c r="B6463" t="s">
        <v>467</v>
      </c>
      <c r="C6463" t="s">
        <v>468</v>
      </c>
      <c r="D6463" t="s">
        <v>260</v>
      </c>
      <c r="E6463" t="s">
        <v>266</v>
      </c>
      <c r="F6463">
        <v>3</v>
      </c>
      <c r="G6463" t="s">
        <v>499</v>
      </c>
      <c r="H6463" s="4">
        <v>14882707</v>
      </c>
      <c r="I6463" s="4">
        <v>18045138</v>
      </c>
      <c r="J6463" s="3">
        <v>0.21249030838274247</v>
      </c>
      <c r="K6463" s="3">
        <v>-0.17525113966986564</v>
      </c>
      <c r="L6463" t="s">
        <v>54</v>
      </c>
    </row>
    <row r="6464" spans="1:12" x14ac:dyDescent="0.25">
      <c r="A6464" t="s">
        <v>487</v>
      </c>
      <c r="B6464" t="s">
        <v>467</v>
      </c>
      <c r="C6464" t="s">
        <v>468</v>
      </c>
      <c r="D6464" t="s">
        <v>262</v>
      </c>
      <c r="E6464" t="s">
        <v>264</v>
      </c>
      <c r="F6464">
        <v>1</v>
      </c>
      <c r="G6464" t="s">
        <v>488</v>
      </c>
      <c r="H6464" s="4">
        <v>15979147</v>
      </c>
      <c r="I6464" s="4">
        <v>20106701.503661744</v>
      </c>
      <c r="J6464" s="3">
        <v>0.25830881358446384</v>
      </c>
      <c r="K6464" s="3">
        <v>-0.20528252746528575</v>
      </c>
      <c r="L6464" t="s">
        <v>54</v>
      </c>
    </row>
    <row r="6465" spans="1:12" x14ac:dyDescent="0.25">
      <c r="A6465" t="s">
        <v>487</v>
      </c>
      <c r="B6465" t="s">
        <v>467</v>
      </c>
      <c r="C6465" t="s">
        <v>468</v>
      </c>
      <c r="D6465" t="s">
        <v>262</v>
      </c>
      <c r="E6465" t="s">
        <v>264</v>
      </c>
      <c r="F6465">
        <v>1</v>
      </c>
      <c r="G6465" t="s">
        <v>498</v>
      </c>
      <c r="H6465" s="4">
        <v>15979147</v>
      </c>
      <c r="I6465" s="4">
        <v>20721621</v>
      </c>
      <c r="J6465" s="3">
        <v>0.29679143698972166</v>
      </c>
      <c r="K6465" s="3">
        <v>-0.2288659753018357</v>
      </c>
      <c r="L6465" t="s">
        <v>54</v>
      </c>
    </row>
    <row r="6466" spans="1:12" x14ac:dyDescent="0.25">
      <c r="A6466" t="s">
        <v>487</v>
      </c>
      <c r="B6466" t="s">
        <v>467</v>
      </c>
      <c r="C6466" t="s">
        <v>468</v>
      </c>
      <c r="D6466" t="s">
        <v>262</v>
      </c>
      <c r="E6466" t="s">
        <v>264</v>
      </c>
      <c r="F6466">
        <v>1</v>
      </c>
      <c r="G6466" t="s">
        <v>499</v>
      </c>
      <c r="H6466" s="4">
        <v>15979147</v>
      </c>
      <c r="I6466" s="4">
        <v>17360096</v>
      </c>
      <c r="J6466" s="3">
        <v>0.0864219473041959</v>
      </c>
      <c r="K6466" s="3">
        <v>-0.07954731356324297</v>
      </c>
      <c r="L6466" t="s">
        <v>54</v>
      </c>
    </row>
    <row r="6467" spans="1:12" x14ac:dyDescent="0.25">
      <c r="A6467" t="s">
        <v>487</v>
      </c>
      <c r="B6467" t="s">
        <v>467</v>
      </c>
      <c r="C6467" t="s">
        <v>468</v>
      </c>
      <c r="D6467" t="s">
        <v>262</v>
      </c>
      <c r="E6467" t="s">
        <v>266</v>
      </c>
      <c r="F6467">
        <v>2</v>
      </c>
      <c r="G6467" t="s">
        <v>488</v>
      </c>
      <c r="H6467" s="4">
        <v>14882707</v>
      </c>
      <c r="I6467" s="4">
        <v>12821626.58899163</v>
      </c>
      <c r="J6467" s="3">
        <v>0.13848827441193118</v>
      </c>
      <c r="K6467" s="3">
        <v>0.16075030704590695</v>
      </c>
      <c r="L6467" t="s">
        <v>54</v>
      </c>
    </row>
    <row r="6468" spans="1:12" x14ac:dyDescent="0.25">
      <c r="A6468" t="s">
        <v>487</v>
      </c>
      <c r="B6468" t="s">
        <v>467</v>
      </c>
      <c r="C6468" t="s">
        <v>468</v>
      </c>
      <c r="D6468" t="s">
        <v>262</v>
      </c>
      <c r="E6468" t="s">
        <v>266</v>
      </c>
      <c r="F6468">
        <v>2</v>
      </c>
      <c r="G6468" t="s">
        <v>498</v>
      </c>
      <c r="H6468" s="4">
        <v>14882707</v>
      </c>
      <c r="I6468" s="4">
        <v>13213748</v>
      </c>
      <c r="J6468" s="3">
        <v>0.11214082223079444</v>
      </c>
      <c r="K6468" s="3">
        <v>0.12630473957880836</v>
      </c>
      <c r="L6468" t="s">
        <v>54</v>
      </c>
    </row>
    <row r="6469" spans="1:12" x14ac:dyDescent="0.25">
      <c r="A6469" t="s">
        <v>487</v>
      </c>
      <c r="B6469" t="s">
        <v>467</v>
      </c>
      <c r="C6469" t="s">
        <v>468</v>
      </c>
      <c r="D6469" t="s">
        <v>262</v>
      </c>
      <c r="E6469" t="s">
        <v>266</v>
      </c>
      <c r="F6469">
        <v>2</v>
      </c>
      <c r="G6469" t="s">
        <v>499</v>
      </c>
      <c r="H6469" s="4">
        <v>14882707</v>
      </c>
      <c r="I6469" s="4">
        <v>17360096</v>
      </c>
      <c r="J6469" s="3">
        <v>0.16646091332712523</v>
      </c>
      <c r="K6469" s="3">
        <v>-0.14270595047400658</v>
      </c>
      <c r="L6469" t="s">
        <v>54</v>
      </c>
    </row>
    <row r="6470" spans="1:12" x14ac:dyDescent="0.25">
      <c r="A6470" t="s">
        <v>487</v>
      </c>
      <c r="B6470" t="s">
        <v>467</v>
      </c>
      <c r="C6470" t="s">
        <v>468</v>
      </c>
      <c r="D6470" t="s">
        <v>262</v>
      </c>
      <c r="E6470" t="s">
        <v>268</v>
      </c>
      <c r="F6470">
        <v>3</v>
      </c>
      <c r="G6470" t="s">
        <v>488</v>
      </c>
      <c r="H6470" s="4">
        <v>9740628</v>
      </c>
      <c r="I6470" s="4">
        <v>11617428.358540293</v>
      </c>
      <c r="J6470" s="3">
        <v>0.19267755205724854</v>
      </c>
      <c r="K6470" s="3">
        <v>-0.1615504137936521</v>
      </c>
      <c r="L6470" t="s">
        <v>54</v>
      </c>
    </row>
    <row r="6471" spans="1:12" x14ac:dyDescent="0.25">
      <c r="A6471" t="s">
        <v>487</v>
      </c>
      <c r="B6471" t="s">
        <v>467</v>
      </c>
      <c r="C6471" t="s">
        <v>468</v>
      </c>
      <c r="D6471" t="s">
        <v>262</v>
      </c>
      <c r="E6471" t="s">
        <v>268</v>
      </c>
      <c r="F6471">
        <v>3</v>
      </c>
      <c r="G6471" t="s">
        <v>498</v>
      </c>
      <c r="H6471" s="4">
        <v>9740628</v>
      </c>
      <c r="I6471" s="4">
        <v>11972722</v>
      </c>
      <c r="J6471" s="3">
        <v>0.2291529868505398</v>
      </c>
      <c r="K6471" s="3">
        <v>-0.186431623485453</v>
      </c>
      <c r="L6471" t="s">
        <v>54</v>
      </c>
    </row>
    <row r="6472" spans="1:12" x14ac:dyDescent="0.25">
      <c r="A6472" t="s">
        <v>487</v>
      </c>
      <c r="B6472" t="s">
        <v>467</v>
      </c>
      <c r="C6472" t="s">
        <v>468</v>
      </c>
      <c r="D6472" t="s">
        <v>262</v>
      </c>
      <c r="E6472" t="s">
        <v>268</v>
      </c>
      <c r="F6472">
        <v>3</v>
      </c>
      <c r="G6472" t="s">
        <v>499</v>
      </c>
      <c r="H6472" s="4">
        <v>9740628</v>
      </c>
      <c r="I6472" s="4">
        <v>17360096</v>
      </c>
      <c r="J6472" s="3">
        <v>0.7822358065619588</v>
      </c>
      <c r="K6472" s="3">
        <v>-0.43890701986901454</v>
      </c>
      <c r="L6472" t="s">
        <v>54</v>
      </c>
    </row>
    <row r="6473" spans="1:12" x14ac:dyDescent="0.25">
      <c r="A6473" t="s">
        <v>487</v>
      </c>
      <c r="B6473" t="s">
        <v>467</v>
      </c>
      <c r="C6473" t="s">
        <v>468</v>
      </c>
      <c r="D6473" t="s">
        <v>264</v>
      </c>
      <c r="E6473" t="s">
        <v>266</v>
      </c>
      <c r="F6473">
        <v>1</v>
      </c>
      <c r="G6473" t="s">
        <v>488</v>
      </c>
      <c r="H6473" s="4">
        <v>14882707</v>
      </c>
      <c r="I6473" s="4">
        <v>12340539.177938411</v>
      </c>
      <c r="J6473" s="3">
        <v>0.1708135369500716</v>
      </c>
      <c r="K6473" s="3">
        <v>0.2060013574290422</v>
      </c>
      <c r="L6473" t="s">
        <v>54</v>
      </c>
    </row>
    <row r="6474" spans="1:12" x14ac:dyDescent="0.25">
      <c r="A6474" t="s">
        <v>487</v>
      </c>
      <c r="B6474" t="s">
        <v>467</v>
      </c>
      <c r="C6474" t="s">
        <v>468</v>
      </c>
      <c r="D6474" t="s">
        <v>264</v>
      </c>
      <c r="E6474" t="s">
        <v>266</v>
      </c>
      <c r="F6474">
        <v>1</v>
      </c>
      <c r="G6474" t="s">
        <v>498</v>
      </c>
      <c r="H6474" s="4">
        <v>14882707</v>
      </c>
      <c r="I6474" s="4">
        <v>13213748</v>
      </c>
      <c r="J6474" s="3">
        <v>0.11214082223079444</v>
      </c>
      <c r="K6474" s="3">
        <v>0.12630473957880836</v>
      </c>
      <c r="L6474" t="s">
        <v>54</v>
      </c>
    </row>
    <row r="6475" spans="1:12" x14ac:dyDescent="0.25">
      <c r="A6475" t="s">
        <v>487</v>
      </c>
      <c r="B6475" t="s">
        <v>467</v>
      </c>
      <c r="C6475" t="s">
        <v>468</v>
      </c>
      <c r="D6475" t="s">
        <v>264</v>
      </c>
      <c r="E6475" t="s">
        <v>266</v>
      </c>
      <c r="F6475">
        <v>1</v>
      </c>
      <c r="G6475" t="s">
        <v>499</v>
      </c>
      <c r="H6475" s="4">
        <v>14882707</v>
      </c>
      <c r="I6475" s="4">
        <v>15979147</v>
      </c>
      <c r="J6475" s="3">
        <v>0.07367208129542563</v>
      </c>
      <c r="K6475" s="3">
        <v>-0.06861692930167049</v>
      </c>
      <c r="L6475" t="s">
        <v>54</v>
      </c>
    </row>
    <row r="6476" spans="1:12" x14ac:dyDescent="0.25">
      <c r="A6476" t="s">
        <v>487</v>
      </c>
      <c r="B6476" t="s">
        <v>467</v>
      </c>
      <c r="C6476" t="s">
        <v>468</v>
      </c>
      <c r="D6476" t="s">
        <v>264</v>
      </c>
      <c r="E6476" t="s">
        <v>268</v>
      </c>
      <c r="F6476">
        <v>2</v>
      </c>
      <c r="G6476" t="s">
        <v>488</v>
      </c>
      <c r="H6476" s="4">
        <v>9740628</v>
      </c>
      <c r="I6476" s="4">
        <v>11181524.34173598</v>
      </c>
      <c r="J6476" s="3">
        <v>0.1479264316157007</v>
      </c>
      <c r="K6476" s="3">
        <v>-0.12886403478617964</v>
      </c>
      <c r="L6476" t="s">
        <v>54</v>
      </c>
    </row>
    <row r="6477" spans="1:12" x14ac:dyDescent="0.25">
      <c r="A6477" t="s">
        <v>487</v>
      </c>
      <c r="B6477" t="s">
        <v>467</v>
      </c>
      <c r="C6477" t="s">
        <v>468</v>
      </c>
      <c r="D6477" t="s">
        <v>264</v>
      </c>
      <c r="E6477" t="s">
        <v>268</v>
      </c>
      <c r="F6477">
        <v>2</v>
      </c>
      <c r="G6477" t="s">
        <v>498</v>
      </c>
      <c r="H6477" s="4">
        <v>9740628</v>
      </c>
      <c r="I6477" s="4">
        <v>11972722</v>
      </c>
      <c r="J6477" s="3">
        <v>0.2291529868505398</v>
      </c>
      <c r="K6477" s="3">
        <v>-0.186431623485453</v>
      </c>
      <c r="L6477" t="s">
        <v>54</v>
      </c>
    </row>
    <row r="6478" spans="1:12" x14ac:dyDescent="0.25">
      <c r="A6478" t="s">
        <v>487</v>
      </c>
      <c r="B6478" t="s">
        <v>467</v>
      </c>
      <c r="C6478" t="s">
        <v>468</v>
      </c>
      <c r="D6478" t="s">
        <v>264</v>
      </c>
      <c r="E6478" t="s">
        <v>268</v>
      </c>
      <c r="F6478">
        <v>2</v>
      </c>
      <c r="G6478" t="s">
        <v>499</v>
      </c>
      <c r="H6478" s="4">
        <v>9740628</v>
      </c>
      <c r="I6478" s="4">
        <v>15979147</v>
      </c>
      <c r="J6478" s="3">
        <v>0.6404637360137354</v>
      </c>
      <c r="K6478" s="3">
        <v>-0.39041627190738026</v>
      </c>
      <c r="L6478" t="s">
        <v>54</v>
      </c>
    </row>
    <row r="6479" spans="1:12" x14ac:dyDescent="0.25">
      <c r="A6479" t="s">
        <v>487</v>
      </c>
      <c r="B6479" t="s">
        <v>467</v>
      </c>
      <c r="C6479" t="s">
        <v>468</v>
      </c>
      <c r="D6479" t="s">
        <v>264</v>
      </c>
      <c r="E6479" t="s">
        <v>270</v>
      </c>
      <c r="F6479">
        <v>3</v>
      </c>
      <c r="G6479" t="s">
        <v>488</v>
      </c>
      <c r="H6479" s="4">
        <v>9944685</v>
      </c>
      <c r="I6479" s="4">
        <v>9311256.33439138</v>
      </c>
      <c r="J6479" s="3">
        <v>0.06369519654052595</v>
      </c>
      <c r="K6479" s="3">
        <v>0.06802827060716116</v>
      </c>
      <c r="L6479" t="s">
        <v>54</v>
      </c>
    </row>
    <row r="6480" spans="1:12" x14ac:dyDescent="0.25">
      <c r="A6480" t="s">
        <v>487</v>
      </c>
      <c r="B6480" t="s">
        <v>467</v>
      </c>
      <c r="C6480" t="s">
        <v>468</v>
      </c>
      <c r="D6480" t="s">
        <v>264</v>
      </c>
      <c r="E6480" t="s">
        <v>270</v>
      </c>
      <c r="F6480">
        <v>3</v>
      </c>
      <c r="G6480" t="s">
        <v>498</v>
      </c>
      <c r="H6480" s="4">
        <v>9944685</v>
      </c>
      <c r="I6480" s="4">
        <v>9970115</v>
      </c>
      <c r="J6480" s="3">
        <v>0.0025571448467196297</v>
      </c>
      <c r="K6480" s="3">
        <v>-0.0025506225354471838</v>
      </c>
      <c r="L6480" t="s">
        <v>54</v>
      </c>
    </row>
    <row r="6481" spans="1:12" x14ac:dyDescent="0.25">
      <c r="A6481" t="s">
        <v>487</v>
      </c>
      <c r="B6481" t="s">
        <v>467</v>
      </c>
      <c r="C6481" t="s">
        <v>468</v>
      </c>
      <c r="D6481" t="s">
        <v>264</v>
      </c>
      <c r="E6481" t="s">
        <v>270</v>
      </c>
      <c r="F6481">
        <v>3</v>
      </c>
      <c r="G6481" t="s">
        <v>499</v>
      </c>
      <c r="H6481" s="4">
        <v>9944685</v>
      </c>
      <c r="I6481" s="4">
        <v>15979147</v>
      </c>
      <c r="J6481" s="3">
        <v>0.606802729297107</v>
      </c>
      <c r="K6481" s="3">
        <v>-0.3776460658381827</v>
      </c>
      <c r="L6481" t="s">
        <v>54</v>
      </c>
    </row>
    <row r="6482" spans="1:12" x14ac:dyDescent="0.25">
      <c r="A6482" t="s">
        <v>487</v>
      </c>
      <c r="B6482" t="s">
        <v>467</v>
      </c>
      <c r="C6482" t="s">
        <v>468</v>
      </c>
      <c r="D6482" t="s">
        <v>266</v>
      </c>
      <c r="E6482" t="s">
        <v>268</v>
      </c>
      <c r="F6482">
        <v>1</v>
      </c>
      <c r="G6482" t="s">
        <v>488</v>
      </c>
      <c r="H6482" s="4">
        <v>9740628</v>
      </c>
      <c r="I6482" s="4">
        <v>11277255.532926334</v>
      </c>
      <c r="J6482" s="3">
        <v>0.1577544623330584</v>
      </c>
      <c r="K6482" s="3">
        <v>-0.13625899745197975</v>
      </c>
      <c r="L6482" t="s">
        <v>54</v>
      </c>
    </row>
    <row r="6483" spans="1:12" x14ac:dyDescent="0.25">
      <c r="A6483" t="s">
        <v>487</v>
      </c>
      <c r="B6483" t="s">
        <v>467</v>
      </c>
      <c r="C6483" t="s">
        <v>468</v>
      </c>
      <c r="D6483" t="s">
        <v>266</v>
      </c>
      <c r="E6483" t="s">
        <v>268</v>
      </c>
      <c r="F6483">
        <v>1</v>
      </c>
      <c r="G6483" t="s">
        <v>498</v>
      </c>
      <c r="H6483" s="4">
        <v>9740628</v>
      </c>
      <c r="I6483" s="4">
        <v>11972722</v>
      </c>
      <c r="J6483" s="3">
        <v>0.2291529868505398</v>
      </c>
      <c r="K6483" s="3">
        <v>-0.186431623485453</v>
      </c>
      <c r="L6483" t="s">
        <v>54</v>
      </c>
    </row>
    <row r="6484" spans="1:12" x14ac:dyDescent="0.25">
      <c r="A6484" t="s">
        <v>487</v>
      </c>
      <c r="B6484" t="s">
        <v>467</v>
      </c>
      <c r="C6484" t="s">
        <v>468</v>
      </c>
      <c r="D6484" t="s">
        <v>266</v>
      </c>
      <c r="E6484" t="s">
        <v>268</v>
      </c>
      <c r="F6484">
        <v>1</v>
      </c>
      <c r="G6484" t="s">
        <v>499</v>
      </c>
      <c r="H6484" s="4">
        <v>9740628</v>
      </c>
      <c r="I6484" s="4">
        <v>14882707</v>
      </c>
      <c r="J6484" s="3">
        <v>0.5279001518177268</v>
      </c>
      <c r="K6484" s="3">
        <v>-0.34550696993497215</v>
      </c>
      <c r="L6484" t="s">
        <v>54</v>
      </c>
    </row>
    <row r="6485" spans="1:12" x14ac:dyDescent="0.25">
      <c r="A6485" t="s">
        <v>487</v>
      </c>
      <c r="B6485" t="s">
        <v>467</v>
      </c>
      <c r="C6485" t="s">
        <v>468</v>
      </c>
      <c r="D6485" t="s">
        <v>266</v>
      </c>
      <c r="E6485" t="s">
        <v>270</v>
      </c>
      <c r="F6485">
        <v>2</v>
      </c>
      <c r="G6485" t="s">
        <v>488</v>
      </c>
      <c r="H6485" s="4">
        <v>9944685</v>
      </c>
      <c r="I6485" s="4">
        <v>9390975.130606208</v>
      </c>
      <c r="J6485" s="3">
        <v>0.05567897519064626</v>
      </c>
      <c r="K6485" s="3">
        <v>0.05896191414554931</v>
      </c>
      <c r="L6485" t="s">
        <v>54</v>
      </c>
    </row>
    <row r="6486" spans="1:12" x14ac:dyDescent="0.25">
      <c r="A6486" t="s">
        <v>487</v>
      </c>
      <c r="B6486" t="s">
        <v>467</v>
      </c>
      <c r="C6486" t="s">
        <v>468</v>
      </c>
      <c r="D6486" t="s">
        <v>266</v>
      </c>
      <c r="E6486" t="s">
        <v>270</v>
      </c>
      <c r="F6486">
        <v>2</v>
      </c>
      <c r="G6486" t="s">
        <v>498</v>
      </c>
      <c r="H6486" s="4">
        <v>9944685</v>
      </c>
      <c r="I6486" s="4">
        <v>9970115</v>
      </c>
      <c r="J6486" s="3">
        <v>0.0025571448467196297</v>
      </c>
      <c r="K6486" s="3">
        <v>-0.0025506225354471838</v>
      </c>
      <c r="L6486" t="s">
        <v>54</v>
      </c>
    </row>
    <row r="6487" spans="1:12" x14ac:dyDescent="0.25">
      <c r="A6487" t="s">
        <v>487</v>
      </c>
      <c r="B6487" t="s">
        <v>467</v>
      </c>
      <c r="C6487" t="s">
        <v>468</v>
      </c>
      <c r="D6487" t="s">
        <v>266</v>
      </c>
      <c r="E6487" t="s">
        <v>270</v>
      </c>
      <c r="F6487">
        <v>2</v>
      </c>
      <c r="G6487" t="s">
        <v>499</v>
      </c>
      <c r="H6487" s="4">
        <v>9944685</v>
      </c>
      <c r="I6487" s="4">
        <v>14882707</v>
      </c>
      <c r="J6487" s="3">
        <v>0.4965488600191962</v>
      </c>
      <c r="K6487" s="3">
        <v>-0.3317959562060854</v>
      </c>
      <c r="L6487" t="s">
        <v>54</v>
      </c>
    </row>
    <row r="6488" spans="1:12" x14ac:dyDescent="0.25">
      <c r="A6488" t="s">
        <v>487</v>
      </c>
      <c r="B6488" t="s">
        <v>467</v>
      </c>
      <c r="C6488" t="s">
        <v>468</v>
      </c>
      <c r="D6488" t="s">
        <v>266</v>
      </c>
      <c r="E6488" t="s">
        <v>272</v>
      </c>
      <c r="F6488">
        <v>3</v>
      </c>
      <c r="G6488" t="s">
        <v>488</v>
      </c>
      <c r="H6488" s="4">
        <v>15485449</v>
      </c>
      <c r="I6488" s="4">
        <v>16011156.641429687</v>
      </c>
      <c r="J6488" s="3">
        <v>0.03394849199591739</v>
      </c>
      <c r="K6488" s="3">
        <v>-0.032833832883090504</v>
      </c>
      <c r="L6488" t="s">
        <v>54</v>
      </c>
    </row>
    <row r="6489" spans="1:12" x14ac:dyDescent="0.25">
      <c r="A6489" t="s">
        <v>487</v>
      </c>
      <c r="B6489" t="s">
        <v>467</v>
      </c>
      <c r="C6489" t="s">
        <v>468</v>
      </c>
      <c r="D6489" t="s">
        <v>266</v>
      </c>
      <c r="E6489" t="s">
        <v>272</v>
      </c>
      <c r="F6489">
        <v>3</v>
      </c>
      <c r="G6489" t="s">
        <v>498</v>
      </c>
      <c r="H6489" s="4">
        <v>15485449</v>
      </c>
      <c r="I6489" s="4">
        <v>16998562</v>
      </c>
      <c r="J6489" s="3">
        <v>0.09771192298008279</v>
      </c>
      <c r="K6489" s="3">
        <v>-0.0890141766109392</v>
      </c>
      <c r="L6489" t="s">
        <v>54</v>
      </c>
    </row>
    <row r="6490" spans="1:12" x14ac:dyDescent="0.25">
      <c r="A6490" t="s">
        <v>487</v>
      </c>
      <c r="B6490" t="s">
        <v>467</v>
      </c>
      <c r="C6490" t="s">
        <v>468</v>
      </c>
      <c r="D6490" t="s">
        <v>266</v>
      </c>
      <c r="E6490" t="s">
        <v>272</v>
      </c>
      <c r="F6490">
        <v>3</v>
      </c>
      <c r="G6490" t="s">
        <v>499</v>
      </c>
      <c r="H6490" s="4">
        <v>15485449</v>
      </c>
      <c r="I6490" s="4">
        <v>14882707</v>
      </c>
      <c r="J6490" s="3">
        <v>0.03892312066637525</v>
      </c>
      <c r="K6490" s="3">
        <v>0.04049948708927751</v>
      </c>
      <c r="L6490" t="s">
        <v>54</v>
      </c>
    </row>
    <row r="6491" spans="1:12" x14ac:dyDescent="0.25">
      <c r="A6491" t="s">
        <v>487</v>
      </c>
      <c r="B6491" t="s">
        <v>467</v>
      </c>
      <c r="C6491" t="s">
        <v>468</v>
      </c>
      <c r="D6491" t="s">
        <v>268</v>
      </c>
      <c r="E6491" t="s">
        <v>270</v>
      </c>
      <c r="F6491">
        <v>1</v>
      </c>
      <c r="G6491" t="s">
        <v>488</v>
      </c>
      <c r="H6491" s="4">
        <v>9944685</v>
      </c>
      <c r="I6491" s="4">
        <v>9241096.884502115</v>
      </c>
      <c r="J6491" s="3">
        <v>0.07075016609353492</v>
      </c>
      <c r="K6491" s="3">
        <v>0.07613686170500449</v>
      </c>
      <c r="L6491" t="s">
        <v>54</v>
      </c>
    </row>
    <row r="6492" spans="1:12" x14ac:dyDescent="0.25">
      <c r="A6492" t="s">
        <v>487</v>
      </c>
      <c r="B6492" t="s">
        <v>467</v>
      </c>
      <c r="C6492" t="s">
        <v>468</v>
      </c>
      <c r="D6492" t="s">
        <v>268</v>
      </c>
      <c r="E6492" t="s">
        <v>270</v>
      </c>
      <c r="F6492">
        <v>1</v>
      </c>
      <c r="G6492" t="s">
        <v>498</v>
      </c>
      <c r="H6492" s="4">
        <v>9944685</v>
      </c>
      <c r="I6492" s="4">
        <v>9970115</v>
      </c>
      <c r="J6492" s="3">
        <v>0.0025571448467196297</v>
      </c>
      <c r="K6492" s="3">
        <v>-0.0025506225354471838</v>
      </c>
      <c r="L6492" t="s">
        <v>54</v>
      </c>
    </row>
    <row r="6493" spans="1:12" x14ac:dyDescent="0.25">
      <c r="A6493" t="s">
        <v>487</v>
      </c>
      <c r="B6493" t="s">
        <v>467</v>
      </c>
      <c r="C6493" t="s">
        <v>468</v>
      </c>
      <c r="D6493" t="s">
        <v>268</v>
      </c>
      <c r="E6493" t="s">
        <v>270</v>
      </c>
      <c r="F6493">
        <v>1</v>
      </c>
      <c r="G6493" t="s">
        <v>499</v>
      </c>
      <c r="H6493" s="4">
        <v>9944685</v>
      </c>
      <c r="I6493" s="4">
        <v>9740628</v>
      </c>
      <c r="J6493" s="3">
        <v>0.020519201965673122</v>
      </c>
      <c r="K6493" s="3">
        <v>0.02094905995794111</v>
      </c>
      <c r="L6493" t="s">
        <v>54</v>
      </c>
    </row>
    <row r="6494" spans="1:12" x14ac:dyDescent="0.25">
      <c r="A6494" t="s">
        <v>487</v>
      </c>
      <c r="B6494" t="s">
        <v>467</v>
      </c>
      <c r="C6494" t="s">
        <v>468</v>
      </c>
      <c r="D6494" t="s">
        <v>268</v>
      </c>
      <c r="E6494" t="s">
        <v>272</v>
      </c>
      <c r="F6494">
        <v>2</v>
      </c>
      <c r="G6494" t="s">
        <v>488</v>
      </c>
      <c r="H6494" s="4">
        <v>15485449</v>
      </c>
      <c r="I6494" s="4">
        <v>15755621.508800654</v>
      </c>
      <c r="J6494" s="3">
        <v>0.017446863103591878</v>
      </c>
      <c r="K6494" s="3">
        <v>-0.017147689708701296</v>
      </c>
      <c r="L6494" t="s">
        <v>54</v>
      </c>
    </row>
    <row r="6495" spans="1:12" x14ac:dyDescent="0.25">
      <c r="A6495" t="s">
        <v>487</v>
      </c>
      <c r="B6495" t="s">
        <v>467</v>
      </c>
      <c r="C6495" t="s">
        <v>468</v>
      </c>
      <c r="D6495" t="s">
        <v>268</v>
      </c>
      <c r="E6495" t="s">
        <v>272</v>
      </c>
      <c r="F6495">
        <v>2</v>
      </c>
      <c r="G6495" t="s">
        <v>498</v>
      </c>
      <c r="H6495" s="4">
        <v>15485449</v>
      </c>
      <c r="I6495" s="4">
        <v>16998562</v>
      </c>
      <c r="J6495" s="3">
        <v>0.09771192298008279</v>
      </c>
      <c r="K6495" s="3">
        <v>-0.0890141766109392</v>
      </c>
      <c r="L6495" t="s">
        <v>54</v>
      </c>
    </row>
    <row r="6496" spans="1:12" x14ac:dyDescent="0.25">
      <c r="A6496" t="s">
        <v>487</v>
      </c>
      <c r="B6496" t="s">
        <v>467</v>
      </c>
      <c r="C6496" t="s">
        <v>468</v>
      </c>
      <c r="D6496" t="s">
        <v>268</v>
      </c>
      <c r="E6496" t="s">
        <v>272</v>
      </c>
      <c r="F6496">
        <v>2</v>
      </c>
      <c r="G6496" t="s">
        <v>499</v>
      </c>
      <c r="H6496" s="4">
        <v>15485449</v>
      </c>
      <c r="I6496" s="4">
        <v>9740628</v>
      </c>
      <c r="J6496" s="3">
        <v>0.3709818811194948</v>
      </c>
      <c r="K6496" s="3">
        <v>0.5897793242899739</v>
      </c>
      <c r="L6496" t="s">
        <v>54</v>
      </c>
    </row>
    <row r="6497" spans="1:12" x14ac:dyDescent="0.25">
      <c r="A6497" t="s">
        <v>487</v>
      </c>
      <c r="B6497" t="s">
        <v>467</v>
      </c>
      <c r="C6497" t="s">
        <v>468</v>
      </c>
      <c r="D6497" t="s">
        <v>268</v>
      </c>
      <c r="E6497" t="s">
        <v>274</v>
      </c>
      <c r="F6497">
        <v>3</v>
      </c>
      <c r="G6497" t="s">
        <v>488</v>
      </c>
      <c r="H6497" s="4">
        <v>15344547</v>
      </c>
      <c r="I6497" s="4">
        <v>15559250.928507008</v>
      </c>
      <c r="J6497" s="3">
        <v>0.013992197261151317</v>
      </c>
      <c r="K6497" s="3">
        <v>-0.013799117289999874</v>
      </c>
      <c r="L6497" t="s">
        <v>54</v>
      </c>
    </row>
    <row r="6498" spans="1:12" x14ac:dyDescent="0.25">
      <c r="A6498" t="s">
        <v>487</v>
      </c>
      <c r="B6498" t="s">
        <v>467</v>
      </c>
      <c r="C6498" t="s">
        <v>468</v>
      </c>
      <c r="D6498" t="s">
        <v>268</v>
      </c>
      <c r="E6498" t="s">
        <v>274</v>
      </c>
      <c r="F6498">
        <v>3</v>
      </c>
      <c r="G6498" t="s">
        <v>498</v>
      </c>
      <c r="H6498" s="4">
        <v>15344547</v>
      </c>
      <c r="I6498" s="4">
        <v>16786700</v>
      </c>
      <c r="J6498" s="3">
        <v>0.09398472304200313</v>
      </c>
      <c r="K6498" s="3">
        <v>-0.08591045291808395</v>
      </c>
      <c r="L6498" t="s">
        <v>54</v>
      </c>
    </row>
    <row r="6499" spans="1:12" x14ac:dyDescent="0.25">
      <c r="A6499" t="s">
        <v>487</v>
      </c>
      <c r="B6499" t="s">
        <v>467</v>
      </c>
      <c r="C6499" t="s">
        <v>468</v>
      </c>
      <c r="D6499" t="s">
        <v>268</v>
      </c>
      <c r="E6499" t="s">
        <v>274</v>
      </c>
      <c r="F6499">
        <v>3</v>
      </c>
      <c r="G6499" t="s">
        <v>499</v>
      </c>
      <c r="H6499" s="4">
        <v>15344547</v>
      </c>
      <c r="I6499" s="4">
        <v>9740628</v>
      </c>
      <c r="J6499" s="3">
        <v>0.365205893663723</v>
      </c>
      <c r="K6499" s="3">
        <v>0.5753139325308388</v>
      </c>
      <c r="L6499" t="s">
        <v>54</v>
      </c>
    </row>
    <row r="6500" spans="1:12" x14ac:dyDescent="0.25">
      <c r="A6500" t="s">
        <v>487</v>
      </c>
      <c r="B6500" t="s">
        <v>467</v>
      </c>
      <c r="C6500" t="s">
        <v>468</v>
      </c>
      <c r="D6500" t="s">
        <v>270</v>
      </c>
      <c r="E6500" t="s">
        <v>272</v>
      </c>
      <c r="F6500">
        <v>1</v>
      </c>
      <c r="G6500" t="s">
        <v>488</v>
      </c>
      <c r="H6500" s="4">
        <v>15485449</v>
      </c>
      <c r="I6500" s="4">
        <v>16143840.31526855</v>
      </c>
      <c r="J6500" s="3">
        <v>0.04251677269858627</v>
      </c>
      <c r="K6500" s="3">
        <v>-0.040782818859144414</v>
      </c>
      <c r="L6500" t="s">
        <v>54</v>
      </c>
    </row>
    <row r="6501" spans="1:12" x14ac:dyDescent="0.25">
      <c r="A6501" t="s">
        <v>487</v>
      </c>
      <c r="B6501" t="s">
        <v>467</v>
      </c>
      <c r="C6501" t="s">
        <v>468</v>
      </c>
      <c r="D6501" t="s">
        <v>270</v>
      </c>
      <c r="E6501" t="s">
        <v>272</v>
      </c>
      <c r="F6501">
        <v>1</v>
      </c>
      <c r="G6501" t="s">
        <v>498</v>
      </c>
      <c r="H6501" s="4">
        <v>15485449</v>
      </c>
      <c r="I6501" s="4">
        <v>16998562</v>
      </c>
      <c r="J6501" s="3">
        <v>0.09771192298008279</v>
      </c>
      <c r="K6501" s="3">
        <v>-0.0890141766109392</v>
      </c>
      <c r="L6501" t="s">
        <v>54</v>
      </c>
    </row>
    <row r="6502" spans="1:12" x14ac:dyDescent="0.25">
      <c r="A6502" t="s">
        <v>487</v>
      </c>
      <c r="B6502" t="s">
        <v>467</v>
      </c>
      <c r="C6502" t="s">
        <v>468</v>
      </c>
      <c r="D6502" t="s">
        <v>270</v>
      </c>
      <c r="E6502" t="s">
        <v>272</v>
      </c>
      <c r="F6502">
        <v>1</v>
      </c>
      <c r="G6502" t="s">
        <v>499</v>
      </c>
      <c r="H6502" s="4">
        <v>15485449</v>
      </c>
      <c r="I6502" s="4">
        <v>9944685</v>
      </c>
      <c r="J6502" s="3">
        <v>0.3578045428324358</v>
      </c>
      <c r="K6502" s="3">
        <v>0.5571583212540165</v>
      </c>
      <c r="L6502" t="s">
        <v>54</v>
      </c>
    </row>
    <row r="6503" spans="1:12" x14ac:dyDescent="0.25">
      <c r="A6503" t="s">
        <v>487</v>
      </c>
      <c r="B6503" t="s">
        <v>467</v>
      </c>
      <c r="C6503" t="s">
        <v>468</v>
      </c>
      <c r="D6503" t="s">
        <v>270</v>
      </c>
      <c r="E6503" t="s">
        <v>274</v>
      </c>
      <c r="F6503">
        <v>2</v>
      </c>
      <c r="G6503" t="s">
        <v>488</v>
      </c>
      <c r="H6503" s="4">
        <v>15344547</v>
      </c>
      <c r="I6503" s="4">
        <v>15942631.160230998</v>
      </c>
      <c r="J6503" s="3">
        <v>0.038976983825654676</v>
      </c>
      <c r="K6503" s="3">
        <v>-0.03751477119554286</v>
      </c>
      <c r="L6503" t="s">
        <v>54</v>
      </c>
    </row>
    <row r="6504" spans="1:12" x14ac:dyDescent="0.25">
      <c r="A6504" t="s">
        <v>487</v>
      </c>
      <c r="B6504" t="s">
        <v>467</v>
      </c>
      <c r="C6504" t="s">
        <v>468</v>
      </c>
      <c r="D6504" t="s">
        <v>270</v>
      </c>
      <c r="E6504" t="s">
        <v>274</v>
      </c>
      <c r="F6504">
        <v>2</v>
      </c>
      <c r="G6504" t="s">
        <v>498</v>
      </c>
      <c r="H6504" s="4">
        <v>15344547</v>
      </c>
      <c r="I6504" s="4">
        <v>16786700</v>
      </c>
      <c r="J6504" s="3">
        <v>0.09398472304200313</v>
      </c>
      <c r="K6504" s="3">
        <v>-0.08591045291808395</v>
      </c>
      <c r="L6504" t="s">
        <v>54</v>
      </c>
    </row>
    <row r="6505" spans="1:12" x14ac:dyDescent="0.25">
      <c r="A6505" t="s">
        <v>487</v>
      </c>
      <c r="B6505" t="s">
        <v>467</v>
      </c>
      <c r="C6505" t="s">
        <v>468</v>
      </c>
      <c r="D6505" t="s">
        <v>270</v>
      </c>
      <c r="E6505" t="s">
        <v>274</v>
      </c>
      <c r="F6505">
        <v>2</v>
      </c>
      <c r="G6505" t="s">
        <v>499</v>
      </c>
      <c r="H6505" s="4">
        <v>15344547</v>
      </c>
      <c r="I6505" s="4">
        <v>9944685</v>
      </c>
      <c r="J6505" s="3">
        <v>0.3519075538691367</v>
      </c>
      <c r="K6505" s="3">
        <v>0.5429897477898998</v>
      </c>
      <c r="L6505" t="s">
        <v>54</v>
      </c>
    </row>
    <row r="6506" spans="1:12" x14ac:dyDescent="0.25">
      <c r="A6506" t="s">
        <v>487</v>
      </c>
      <c r="B6506" t="s">
        <v>467</v>
      </c>
      <c r="C6506" t="s">
        <v>468</v>
      </c>
      <c r="D6506" t="s">
        <v>270</v>
      </c>
      <c r="E6506" t="s">
        <v>276</v>
      </c>
      <c r="F6506">
        <v>3</v>
      </c>
      <c r="G6506" t="s">
        <v>488</v>
      </c>
      <c r="H6506" s="4">
        <v>11064559</v>
      </c>
      <c r="I6506" s="4">
        <v>11277665.726748876</v>
      </c>
      <c r="J6506" s="3">
        <v>0.019260300094100114</v>
      </c>
      <c r="K6506" s="3">
        <v>-0.01889635070876592</v>
      </c>
      <c r="L6506" t="s">
        <v>54</v>
      </c>
    </row>
    <row r="6507" spans="1:12" x14ac:dyDescent="0.25">
      <c r="A6507" t="s">
        <v>487</v>
      </c>
      <c r="B6507" t="s">
        <v>467</v>
      </c>
      <c r="C6507" t="s">
        <v>468</v>
      </c>
      <c r="D6507" t="s">
        <v>270</v>
      </c>
      <c r="E6507" t="s">
        <v>276</v>
      </c>
      <c r="F6507">
        <v>3</v>
      </c>
      <c r="G6507" t="s">
        <v>498</v>
      </c>
      <c r="H6507" s="4">
        <v>11064559</v>
      </c>
      <c r="I6507" s="4">
        <v>11874752</v>
      </c>
      <c r="J6507" s="3">
        <v>0.07322415651631484</v>
      </c>
      <c r="K6507" s="3">
        <v>-0.06822820383954124</v>
      </c>
      <c r="L6507" t="s">
        <v>54</v>
      </c>
    </row>
    <row r="6508" spans="1:12" x14ac:dyDescent="0.25">
      <c r="A6508" t="s">
        <v>487</v>
      </c>
      <c r="B6508" t="s">
        <v>467</v>
      </c>
      <c r="C6508" t="s">
        <v>468</v>
      </c>
      <c r="D6508" t="s">
        <v>270</v>
      </c>
      <c r="E6508" t="s">
        <v>276</v>
      </c>
      <c r="F6508">
        <v>3</v>
      </c>
      <c r="G6508" t="s">
        <v>499</v>
      </c>
      <c r="H6508" s="4">
        <v>11064559</v>
      </c>
      <c r="I6508" s="4">
        <v>9944685</v>
      </c>
      <c r="J6508" s="3">
        <v>0.10121270987845064</v>
      </c>
      <c r="K6508" s="3">
        <v>0.11261030389600073</v>
      </c>
      <c r="L6508" t="s">
        <v>54</v>
      </c>
    </row>
    <row r="6509" spans="1:12" x14ac:dyDescent="0.25">
      <c r="A6509" t="s">
        <v>487</v>
      </c>
      <c r="B6509" t="s">
        <v>467</v>
      </c>
      <c r="C6509" t="s">
        <v>468</v>
      </c>
      <c r="D6509" t="s">
        <v>272</v>
      </c>
      <c r="E6509" t="s">
        <v>274</v>
      </c>
      <c r="F6509">
        <v>1</v>
      </c>
      <c r="G6509" t="s">
        <v>488</v>
      </c>
      <c r="H6509" s="4">
        <v>15344547</v>
      </c>
      <c r="I6509" s="4">
        <v>15745045.680470034</v>
      </c>
      <c r="J6509" s="3">
        <v>0.026100391264078013</v>
      </c>
      <c r="K6509" s="3">
        <v>-0.025436488950096106</v>
      </c>
      <c r="L6509" t="s">
        <v>54</v>
      </c>
    </row>
    <row r="6510" spans="1:12" x14ac:dyDescent="0.25">
      <c r="A6510" t="s">
        <v>487</v>
      </c>
      <c r="B6510" t="s">
        <v>467</v>
      </c>
      <c r="C6510" t="s">
        <v>468</v>
      </c>
      <c r="D6510" t="s">
        <v>272</v>
      </c>
      <c r="E6510" t="s">
        <v>274</v>
      </c>
      <c r="F6510">
        <v>1</v>
      </c>
      <c r="G6510" t="s">
        <v>498</v>
      </c>
      <c r="H6510" s="4">
        <v>15344547</v>
      </c>
      <c r="I6510" s="4">
        <v>16786700</v>
      </c>
      <c r="J6510" s="3">
        <v>0.09398472304200313</v>
      </c>
      <c r="K6510" s="3">
        <v>-0.08591045291808395</v>
      </c>
      <c r="L6510" t="s">
        <v>54</v>
      </c>
    </row>
    <row r="6511" spans="1:12" x14ac:dyDescent="0.25">
      <c r="A6511" t="s">
        <v>487</v>
      </c>
      <c r="B6511" t="s">
        <v>467</v>
      </c>
      <c r="C6511" t="s">
        <v>468</v>
      </c>
      <c r="D6511" t="s">
        <v>272</v>
      </c>
      <c r="E6511" t="s">
        <v>274</v>
      </c>
      <c r="F6511">
        <v>1</v>
      </c>
      <c r="G6511" t="s">
        <v>499</v>
      </c>
      <c r="H6511" s="4">
        <v>15344547</v>
      </c>
      <c r="I6511" s="4">
        <v>15485449</v>
      </c>
      <c r="J6511" s="3">
        <v>0.009182545434544272</v>
      </c>
      <c r="K6511" s="3">
        <v>-0.009098993513200683</v>
      </c>
      <c r="L6511" t="s">
        <v>54</v>
      </c>
    </row>
    <row r="6512" spans="1:12" x14ac:dyDescent="0.25">
      <c r="A6512" t="s">
        <v>487</v>
      </c>
      <c r="B6512" t="s">
        <v>467</v>
      </c>
      <c r="C6512" t="s">
        <v>468</v>
      </c>
      <c r="D6512" t="s">
        <v>272</v>
      </c>
      <c r="E6512" t="s">
        <v>276</v>
      </c>
      <c r="F6512">
        <v>2</v>
      </c>
      <c r="G6512" t="s">
        <v>488</v>
      </c>
      <c r="H6512" s="4">
        <v>11064559</v>
      </c>
      <c r="I6512" s="4">
        <v>11137895.636679806</v>
      </c>
      <c r="J6512" s="3">
        <v>0.0066280668465689245</v>
      </c>
      <c r="K6512" s="3">
        <v>-0.006584424838592525</v>
      </c>
      <c r="L6512" t="s">
        <v>54</v>
      </c>
    </row>
    <row r="6513" spans="1:12" x14ac:dyDescent="0.25">
      <c r="A6513" t="s">
        <v>487</v>
      </c>
      <c r="B6513" t="s">
        <v>467</v>
      </c>
      <c r="C6513" t="s">
        <v>468</v>
      </c>
      <c r="D6513" t="s">
        <v>272</v>
      </c>
      <c r="E6513" t="s">
        <v>276</v>
      </c>
      <c r="F6513">
        <v>2</v>
      </c>
      <c r="G6513" t="s">
        <v>498</v>
      </c>
      <c r="H6513" s="4">
        <v>11064559</v>
      </c>
      <c r="I6513" s="4">
        <v>11874752</v>
      </c>
      <c r="J6513" s="3">
        <v>0.07322415651631484</v>
      </c>
      <c r="K6513" s="3">
        <v>-0.06822820383954124</v>
      </c>
      <c r="L6513" t="s">
        <v>54</v>
      </c>
    </row>
    <row r="6514" spans="1:12" x14ac:dyDescent="0.25">
      <c r="A6514" t="s">
        <v>487</v>
      </c>
      <c r="B6514" t="s">
        <v>467</v>
      </c>
      <c r="C6514" t="s">
        <v>468</v>
      </c>
      <c r="D6514" t="s">
        <v>272</v>
      </c>
      <c r="E6514" t="s">
        <v>276</v>
      </c>
      <c r="F6514">
        <v>2</v>
      </c>
      <c r="G6514" t="s">
        <v>499</v>
      </c>
      <c r="H6514" s="4">
        <v>11064559</v>
      </c>
      <c r="I6514" s="4">
        <v>15485449</v>
      </c>
      <c r="J6514" s="3">
        <v>0.3995541078501186</v>
      </c>
      <c r="K6514" s="3">
        <v>-0.2854867172401653</v>
      </c>
      <c r="L6514" t="s">
        <v>54</v>
      </c>
    </row>
    <row r="6515" spans="1:12" x14ac:dyDescent="0.25">
      <c r="A6515" t="s">
        <v>487</v>
      </c>
      <c r="B6515" t="s">
        <v>467</v>
      </c>
      <c r="C6515" t="s">
        <v>468</v>
      </c>
      <c r="D6515" t="s">
        <v>272</v>
      </c>
      <c r="E6515" t="s">
        <v>278</v>
      </c>
      <c r="F6515">
        <v>3</v>
      </c>
      <c r="G6515" t="s">
        <v>488</v>
      </c>
      <c r="H6515" s="4">
        <v>8186021</v>
      </c>
      <c r="I6515" s="4">
        <v>8642530.956861982</v>
      </c>
      <c r="J6515" s="3">
        <v>0.055767015117843224</v>
      </c>
      <c r="K6515" s="3">
        <v>-0.052821327356603</v>
      </c>
      <c r="L6515" t="s">
        <v>54</v>
      </c>
    </row>
    <row r="6516" spans="1:12" x14ac:dyDescent="0.25">
      <c r="A6516" t="s">
        <v>487</v>
      </c>
      <c r="B6516" t="s">
        <v>467</v>
      </c>
      <c r="C6516" t="s">
        <v>468</v>
      </c>
      <c r="D6516" t="s">
        <v>272</v>
      </c>
      <c r="E6516" t="s">
        <v>278</v>
      </c>
      <c r="F6516">
        <v>3</v>
      </c>
      <c r="G6516" t="s">
        <v>498</v>
      </c>
      <c r="H6516" s="4">
        <v>8186021</v>
      </c>
      <c r="I6516" s="4">
        <v>9214300</v>
      </c>
      <c r="J6516" s="3">
        <v>0.12561401931414543</v>
      </c>
      <c r="K6516" s="3">
        <v>-0.11159599752558523</v>
      </c>
      <c r="L6516" t="s">
        <v>54</v>
      </c>
    </row>
    <row r="6517" spans="1:12" x14ac:dyDescent="0.25">
      <c r="A6517" t="s">
        <v>487</v>
      </c>
      <c r="B6517" t="s">
        <v>467</v>
      </c>
      <c r="C6517" t="s">
        <v>468</v>
      </c>
      <c r="D6517" t="s">
        <v>272</v>
      </c>
      <c r="E6517" t="s">
        <v>278</v>
      </c>
      <c r="F6517">
        <v>3</v>
      </c>
      <c r="G6517" t="s">
        <v>499</v>
      </c>
      <c r="H6517" s="4">
        <v>8186021</v>
      </c>
      <c r="I6517" s="4">
        <v>15485449</v>
      </c>
      <c r="J6517" s="3">
        <v>0.8916942675812828</v>
      </c>
      <c r="K6517" s="3">
        <v>-0.4713733518479187</v>
      </c>
      <c r="L6517" t="s">
        <v>54</v>
      </c>
    </row>
    <row r="6518" spans="1:12" x14ac:dyDescent="0.25">
      <c r="A6518" t="s">
        <v>487</v>
      </c>
      <c r="B6518" t="s">
        <v>467</v>
      </c>
      <c r="C6518" t="s">
        <v>468</v>
      </c>
      <c r="D6518" t="s">
        <v>274</v>
      </c>
      <c r="E6518" t="s">
        <v>276</v>
      </c>
      <c r="F6518">
        <v>1</v>
      </c>
      <c r="G6518" t="s">
        <v>488</v>
      </c>
      <c r="H6518" s="4">
        <v>11064559</v>
      </c>
      <c r="I6518" s="4">
        <v>10935942.09926754</v>
      </c>
      <c r="J6518" s="3">
        <v>0.011624222956600394</v>
      </c>
      <c r="K6518" s="3">
        <v>0.011760934683539876</v>
      </c>
      <c r="L6518" t="s">
        <v>54</v>
      </c>
    </row>
    <row r="6519" spans="1:12" x14ac:dyDescent="0.25">
      <c r="A6519" t="s">
        <v>487</v>
      </c>
      <c r="B6519" t="s">
        <v>467</v>
      </c>
      <c r="C6519" t="s">
        <v>468</v>
      </c>
      <c r="D6519" t="s">
        <v>274</v>
      </c>
      <c r="E6519" t="s">
        <v>276</v>
      </c>
      <c r="F6519">
        <v>1</v>
      </c>
      <c r="G6519" t="s">
        <v>498</v>
      </c>
      <c r="H6519" s="4">
        <v>11064559</v>
      </c>
      <c r="I6519" s="4">
        <v>11874752</v>
      </c>
      <c r="J6519" s="3">
        <v>0.07322415651631484</v>
      </c>
      <c r="K6519" s="3">
        <v>-0.06822820383954124</v>
      </c>
      <c r="L6519" t="s">
        <v>54</v>
      </c>
    </row>
    <row r="6520" spans="1:12" x14ac:dyDescent="0.25">
      <c r="A6520" t="s">
        <v>487</v>
      </c>
      <c r="B6520" t="s">
        <v>467</v>
      </c>
      <c r="C6520" t="s">
        <v>468</v>
      </c>
      <c r="D6520" t="s">
        <v>274</v>
      </c>
      <c r="E6520" t="s">
        <v>276</v>
      </c>
      <c r="F6520">
        <v>1</v>
      </c>
      <c r="G6520" t="s">
        <v>499</v>
      </c>
      <c r="H6520" s="4">
        <v>11064559</v>
      </c>
      <c r="I6520" s="4">
        <v>15344547</v>
      </c>
      <c r="J6520" s="3">
        <v>0.386819574101417</v>
      </c>
      <c r="K6520" s="3">
        <v>-0.27892566655763773</v>
      </c>
      <c r="L6520" t="s">
        <v>54</v>
      </c>
    </row>
    <row r="6521" spans="1:12" x14ac:dyDescent="0.25">
      <c r="A6521" t="s">
        <v>487</v>
      </c>
      <c r="B6521" t="s">
        <v>467</v>
      </c>
      <c r="C6521" t="s">
        <v>468</v>
      </c>
      <c r="D6521" t="s">
        <v>274</v>
      </c>
      <c r="E6521" t="s">
        <v>278</v>
      </c>
      <c r="F6521">
        <v>2</v>
      </c>
      <c r="G6521" t="s">
        <v>488</v>
      </c>
      <c r="H6521" s="4">
        <v>8186021</v>
      </c>
      <c r="I6521" s="4">
        <v>8485823.64375112</v>
      </c>
      <c r="J6521" s="3">
        <v>0.036623732549809024</v>
      </c>
      <c r="K6521" s="3">
        <v>-0.035329822576726774</v>
      </c>
      <c r="L6521" t="s">
        <v>54</v>
      </c>
    </row>
    <row r="6522" spans="1:12" x14ac:dyDescent="0.25">
      <c r="A6522" t="s">
        <v>487</v>
      </c>
      <c r="B6522" t="s">
        <v>467</v>
      </c>
      <c r="C6522" t="s">
        <v>468</v>
      </c>
      <c r="D6522" t="s">
        <v>274</v>
      </c>
      <c r="E6522" t="s">
        <v>278</v>
      </c>
      <c r="F6522">
        <v>2</v>
      </c>
      <c r="G6522" t="s">
        <v>498</v>
      </c>
      <c r="H6522" s="4">
        <v>8186021</v>
      </c>
      <c r="I6522" s="4">
        <v>9214300</v>
      </c>
      <c r="J6522" s="3">
        <v>0.12561401931414543</v>
      </c>
      <c r="K6522" s="3">
        <v>-0.11159599752558523</v>
      </c>
      <c r="L6522" t="s">
        <v>54</v>
      </c>
    </row>
    <row r="6523" spans="1:12" x14ac:dyDescent="0.25">
      <c r="A6523" t="s">
        <v>487</v>
      </c>
      <c r="B6523" t="s">
        <v>467</v>
      </c>
      <c r="C6523" t="s">
        <v>468</v>
      </c>
      <c r="D6523" t="s">
        <v>274</v>
      </c>
      <c r="E6523" t="s">
        <v>278</v>
      </c>
      <c r="F6523">
        <v>2</v>
      </c>
      <c r="G6523" t="s">
        <v>499</v>
      </c>
      <c r="H6523" s="4">
        <v>8186021</v>
      </c>
      <c r="I6523" s="4">
        <v>15344547</v>
      </c>
      <c r="J6523" s="3">
        <v>0.8744817537116018</v>
      </c>
      <c r="K6523" s="3">
        <v>-0.4665192136333513</v>
      </c>
      <c r="L6523" t="s">
        <v>54</v>
      </c>
    </row>
    <row r="6524" spans="1:12" x14ac:dyDescent="0.25">
      <c r="A6524" t="s">
        <v>487</v>
      </c>
      <c r="B6524" t="s">
        <v>467</v>
      </c>
      <c r="C6524" t="s">
        <v>468</v>
      </c>
      <c r="D6524" t="s">
        <v>274</v>
      </c>
      <c r="E6524" t="s">
        <v>280</v>
      </c>
      <c r="F6524">
        <v>3</v>
      </c>
      <c r="G6524" t="s">
        <v>488</v>
      </c>
      <c r="H6524" s="4">
        <v>7337567</v>
      </c>
      <c r="I6524" s="4">
        <v>6135241.377119397</v>
      </c>
      <c r="J6524" s="3">
        <v>0.16385889530965825</v>
      </c>
      <c r="K6524" s="3">
        <v>0.1959703863265305</v>
      </c>
      <c r="L6524" t="s">
        <v>54</v>
      </c>
    </row>
    <row r="6525" spans="1:12" x14ac:dyDescent="0.25">
      <c r="A6525" t="s">
        <v>487</v>
      </c>
      <c r="B6525" t="s">
        <v>467</v>
      </c>
      <c r="C6525" t="s">
        <v>468</v>
      </c>
      <c r="D6525" t="s">
        <v>274</v>
      </c>
      <c r="E6525" t="s">
        <v>280</v>
      </c>
      <c r="F6525">
        <v>3</v>
      </c>
      <c r="G6525" t="s">
        <v>498</v>
      </c>
      <c r="H6525" s="4">
        <v>7337567</v>
      </c>
      <c r="I6525" s="4">
        <v>6661929</v>
      </c>
      <c r="J6525" s="3">
        <v>0.09207929549399685</v>
      </c>
      <c r="K6525" s="3">
        <v>0.10141777254005559</v>
      </c>
      <c r="L6525" t="s">
        <v>54</v>
      </c>
    </row>
    <row r="6526" spans="1:12" x14ac:dyDescent="0.25">
      <c r="A6526" t="s">
        <v>487</v>
      </c>
      <c r="B6526" t="s">
        <v>467</v>
      </c>
      <c r="C6526" t="s">
        <v>468</v>
      </c>
      <c r="D6526" t="s">
        <v>274</v>
      </c>
      <c r="E6526" t="s">
        <v>280</v>
      </c>
      <c r="F6526">
        <v>3</v>
      </c>
      <c r="G6526" t="s">
        <v>499</v>
      </c>
      <c r="H6526" s="4">
        <v>7337567</v>
      </c>
      <c r="I6526" s="4">
        <v>15344547</v>
      </c>
      <c r="J6526" s="3">
        <v>1.0912309216392846</v>
      </c>
      <c r="K6526" s="3">
        <v>-0.5218127325622581</v>
      </c>
      <c r="L6526" t="s">
        <v>54</v>
      </c>
    </row>
    <row r="6527" spans="1:12" x14ac:dyDescent="0.25">
      <c r="A6527" t="s">
        <v>487</v>
      </c>
      <c r="B6527" t="s">
        <v>467</v>
      </c>
      <c r="C6527" t="s">
        <v>468</v>
      </c>
      <c r="D6527" t="s">
        <v>276</v>
      </c>
      <c r="E6527" t="s">
        <v>278</v>
      </c>
      <c r="F6527">
        <v>1</v>
      </c>
      <c r="G6527" t="s">
        <v>488</v>
      </c>
      <c r="H6527" s="4">
        <v>8186021</v>
      </c>
      <c r="I6527" s="4">
        <v>8475804.466601353</v>
      </c>
      <c r="J6527" s="3">
        <v>0.03539979516316329</v>
      </c>
      <c r="K6527" s="3">
        <v>-0.0341894940761359</v>
      </c>
      <c r="L6527" t="s">
        <v>54</v>
      </c>
    </row>
    <row r="6528" spans="1:12" x14ac:dyDescent="0.25">
      <c r="A6528" t="s">
        <v>487</v>
      </c>
      <c r="B6528" t="s">
        <v>467</v>
      </c>
      <c r="C6528" t="s">
        <v>468</v>
      </c>
      <c r="D6528" t="s">
        <v>276</v>
      </c>
      <c r="E6528" t="s">
        <v>278</v>
      </c>
      <c r="F6528">
        <v>1</v>
      </c>
      <c r="G6528" t="s">
        <v>498</v>
      </c>
      <c r="H6528" s="4">
        <v>8186021</v>
      </c>
      <c r="I6528" s="4">
        <v>9214300</v>
      </c>
      <c r="J6528" s="3">
        <v>0.12561401931414543</v>
      </c>
      <c r="K6528" s="3">
        <v>-0.11159599752558523</v>
      </c>
      <c r="L6528" t="s">
        <v>54</v>
      </c>
    </row>
    <row r="6529" spans="1:12" x14ac:dyDescent="0.25">
      <c r="A6529" t="s">
        <v>487</v>
      </c>
      <c r="B6529" t="s">
        <v>467</v>
      </c>
      <c r="C6529" t="s">
        <v>468</v>
      </c>
      <c r="D6529" t="s">
        <v>276</v>
      </c>
      <c r="E6529" t="s">
        <v>278</v>
      </c>
      <c r="F6529">
        <v>1</v>
      </c>
      <c r="G6529" t="s">
        <v>499</v>
      </c>
      <c r="H6529" s="4">
        <v>8186021</v>
      </c>
      <c r="I6529" s="4">
        <v>11064559</v>
      </c>
      <c r="J6529" s="3">
        <v>0.35164068110746355</v>
      </c>
      <c r="K6529" s="3">
        <v>-0.26015840305971527</v>
      </c>
      <c r="L6529" t="s">
        <v>54</v>
      </c>
    </row>
    <row r="6530" spans="1:12" x14ac:dyDescent="0.25">
      <c r="A6530" t="s">
        <v>487</v>
      </c>
      <c r="B6530" t="s">
        <v>467</v>
      </c>
      <c r="C6530" t="s">
        <v>468</v>
      </c>
      <c r="D6530" t="s">
        <v>276</v>
      </c>
      <c r="E6530" t="s">
        <v>280</v>
      </c>
      <c r="F6530">
        <v>2</v>
      </c>
      <c r="G6530" t="s">
        <v>488</v>
      </c>
      <c r="H6530" s="4">
        <v>7337567</v>
      </c>
      <c r="I6530" s="4">
        <v>6127997.522804888</v>
      </c>
      <c r="J6530" s="3">
        <v>0.16484612368038506</v>
      </c>
      <c r="K6530" s="3">
        <v>0.19738413285804848</v>
      </c>
      <c r="L6530" t="s">
        <v>54</v>
      </c>
    </row>
    <row r="6531" spans="1:12" x14ac:dyDescent="0.25">
      <c r="A6531" t="s">
        <v>487</v>
      </c>
      <c r="B6531" t="s">
        <v>467</v>
      </c>
      <c r="C6531" t="s">
        <v>468</v>
      </c>
      <c r="D6531" t="s">
        <v>276</v>
      </c>
      <c r="E6531" t="s">
        <v>280</v>
      </c>
      <c r="F6531">
        <v>2</v>
      </c>
      <c r="G6531" t="s">
        <v>498</v>
      </c>
      <c r="H6531" s="4">
        <v>7337567</v>
      </c>
      <c r="I6531" s="4">
        <v>6661929</v>
      </c>
      <c r="J6531" s="3">
        <v>0.09207929549399685</v>
      </c>
      <c r="K6531" s="3">
        <v>0.10141777254005559</v>
      </c>
      <c r="L6531" t="s">
        <v>54</v>
      </c>
    </row>
    <row r="6532" spans="1:12" x14ac:dyDescent="0.25">
      <c r="A6532" t="s">
        <v>487</v>
      </c>
      <c r="B6532" t="s">
        <v>467</v>
      </c>
      <c r="C6532" t="s">
        <v>468</v>
      </c>
      <c r="D6532" t="s">
        <v>276</v>
      </c>
      <c r="E6532" t="s">
        <v>280</v>
      </c>
      <c r="F6532">
        <v>2</v>
      </c>
      <c r="G6532" t="s">
        <v>499</v>
      </c>
      <c r="H6532" s="4">
        <v>7337567</v>
      </c>
      <c r="I6532" s="4">
        <v>11064559</v>
      </c>
      <c r="J6532" s="3">
        <v>0.507932942895104</v>
      </c>
      <c r="K6532" s="3">
        <v>-0.3368405374312704</v>
      </c>
      <c r="L6532" t="s">
        <v>54</v>
      </c>
    </row>
    <row r="6533" spans="1:12" x14ac:dyDescent="0.25">
      <c r="A6533" t="s">
        <v>487</v>
      </c>
      <c r="B6533" t="s">
        <v>467</v>
      </c>
      <c r="C6533" t="s">
        <v>468</v>
      </c>
      <c r="D6533" t="s">
        <v>276</v>
      </c>
      <c r="E6533" t="s">
        <v>282</v>
      </c>
      <c r="F6533">
        <v>3</v>
      </c>
      <c r="G6533" t="s">
        <v>488</v>
      </c>
      <c r="H6533" s="4">
        <v>8527503</v>
      </c>
      <c r="I6533" s="4">
        <v>6620390.406903449</v>
      </c>
      <c r="J6533" s="3">
        <v>0.22364255903475502</v>
      </c>
      <c r="K6533" s="3">
        <v>0.288066484887039</v>
      </c>
      <c r="L6533" t="s">
        <v>54</v>
      </c>
    </row>
    <row r="6534" spans="1:12" x14ac:dyDescent="0.25">
      <c r="A6534" t="s">
        <v>487</v>
      </c>
      <c r="B6534" t="s">
        <v>467</v>
      </c>
      <c r="C6534" t="s">
        <v>468</v>
      </c>
      <c r="D6534" t="s">
        <v>276</v>
      </c>
      <c r="E6534" t="s">
        <v>282</v>
      </c>
      <c r="F6534">
        <v>3</v>
      </c>
      <c r="G6534" t="s">
        <v>498</v>
      </c>
      <c r="H6534" s="4">
        <v>8527503</v>
      </c>
      <c r="I6534" s="4">
        <v>7197224</v>
      </c>
      <c r="J6534" s="3">
        <v>0.15599865517490877</v>
      </c>
      <c r="K6534" s="3">
        <v>0.1848322353173946</v>
      </c>
      <c r="L6534" t="s">
        <v>54</v>
      </c>
    </row>
    <row r="6535" spans="1:12" x14ac:dyDescent="0.25">
      <c r="A6535" t="s">
        <v>487</v>
      </c>
      <c r="B6535" t="s">
        <v>467</v>
      </c>
      <c r="C6535" t="s">
        <v>468</v>
      </c>
      <c r="D6535" t="s">
        <v>276</v>
      </c>
      <c r="E6535" t="s">
        <v>282</v>
      </c>
      <c r="F6535">
        <v>3</v>
      </c>
      <c r="G6535" t="s">
        <v>499</v>
      </c>
      <c r="H6535" s="4">
        <v>8527503</v>
      </c>
      <c r="I6535" s="4">
        <v>11064559</v>
      </c>
      <c r="J6535" s="3">
        <v>0.297514524474515</v>
      </c>
      <c r="K6535" s="3">
        <v>-0.22929571797664958</v>
      </c>
      <c r="L6535" t="s">
        <v>54</v>
      </c>
    </row>
    <row r="6536" spans="1:12" x14ac:dyDescent="0.25">
      <c r="A6536" t="s">
        <v>487</v>
      </c>
      <c r="B6536" t="s">
        <v>467</v>
      </c>
      <c r="C6536" t="s">
        <v>468</v>
      </c>
      <c r="D6536" t="s">
        <v>278</v>
      </c>
      <c r="E6536" t="s">
        <v>280</v>
      </c>
      <c r="F6536">
        <v>1</v>
      </c>
      <c r="G6536" t="s">
        <v>488</v>
      </c>
      <c r="H6536" s="4">
        <v>7337567</v>
      </c>
      <c r="I6536" s="4">
        <v>6052359.811843664</v>
      </c>
      <c r="J6536" s="3">
        <v>0.17515440583456826</v>
      </c>
      <c r="K6536" s="3">
        <v>0.21234811348151442</v>
      </c>
      <c r="L6536" t="s">
        <v>54</v>
      </c>
    </row>
    <row r="6537" spans="1:12" x14ac:dyDescent="0.25">
      <c r="A6537" t="s">
        <v>487</v>
      </c>
      <c r="B6537" t="s">
        <v>467</v>
      </c>
      <c r="C6537" t="s">
        <v>468</v>
      </c>
      <c r="D6537" t="s">
        <v>278</v>
      </c>
      <c r="E6537" t="s">
        <v>280</v>
      </c>
      <c r="F6537">
        <v>1</v>
      </c>
      <c r="G6537" t="s">
        <v>498</v>
      </c>
      <c r="H6537" s="4">
        <v>7337567</v>
      </c>
      <c r="I6537" s="4">
        <v>6661929</v>
      </c>
      <c r="J6537" s="3">
        <v>0.09207929549399685</v>
      </c>
      <c r="K6537" s="3">
        <v>0.10141777254005559</v>
      </c>
      <c r="L6537" t="s">
        <v>54</v>
      </c>
    </row>
    <row r="6538" spans="1:12" x14ac:dyDescent="0.25">
      <c r="A6538" t="s">
        <v>487</v>
      </c>
      <c r="B6538" t="s">
        <v>467</v>
      </c>
      <c r="C6538" t="s">
        <v>468</v>
      </c>
      <c r="D6538" t="s">
        <v>278</v>
      </c>
      <c r="E6538" t="s">
        <v>280</v>
      </c>
      <c r="F6538">
        <v>1</v>
      </c>
      <c r="G6538" t="s">
        <v>499</v>
      </c>
      <c r="H6538" s="4">
        <v>7337567</v>
      </c>
      <c r="I6538" s="4">
        <v>8186021</v>
      </c>
      <c r="J6538" s="3">
        <v>0.11563151655037698</v>
      </c>
      <c r="K6538" s="3">
        <v>-0.10364669233074286</v>
      </c>
      <c r="L6538" t="s">
        <v>54</v>
      </c>
    </row>
    <row r="6539" spans="1:12" x14ac:dyDescent="0.25">
      <c r="A6539" t="s">
        <v>487</v>
      </c>
      <c r="B6539" t="s">
        <v>467</v>
      </c>
      <c r="C6539" t="s">
        <v>468</v>
      </c>
      <c r="D6539" t="s">
        <v>278</v>
      </c>
      <c r="E6539" t="s">
        <v>282</v>
      </c>
      <c r="F6539">
        <v>2</v>
      </c>
      <c r="G6539" t="s">
        <v>488</v>
      </c>
      <c r="H6539" s="4">
        <v>8527503</v>
      </c>
      <c r="I6539" s="4">
        <v>6538675.103627899</v>
      </c>
      <c r="J6539" s="3">
        <v>0.23322511834614437</v>
      </c>
      <c r="K6539" s="3">
        <v>0.3041637433963688</v>
      </c>
      <c r="L6539" t="s">
        <v>54</v>
      </c>
    </row>
    <row r="6540" spans="1:12" x14ac:dyDescent="0.25">
      <c r="A6540" t="s">
        <v>487</v>
      </c>
      <c r="B6540" t="s">
        <v>467</v>
      </c>
      <c r="C6540" t="s">
        <v>468</v>
      </c>
      <c r="D6540" t="s">
        <v>278</v>
      </c>
      <c r="E6540" t="s">
        <v>282</v>
      </c>
      <c r="F6540">
        <v>2</v>
      </c>
      <c r="G6540" t="s">
        <v>498</v>
      </c>
      <c r="H6540" s="4">
        <v>8527503</v>
      </c>
      <c r="I6540" s="4">
        <v>7197224</v>
      </c>
      <c r="J6540" s="3">
        <v>0.15599865517490877</v>
      </c>
      <c r="K6540" s="3">
        <v>0.1848322353173946</v>
      </c>
      <c r="L6540" t="s">
        <v>54</v>
      </c>
    </row>
    <row r="6541" spans="1:12" x14ac:dyDescent="0.25">
      <c r="A6541" t="s">
        <v>487</v>
      </c>
      <c r="B6541" t="s">
        <v>467</v>
      </c>
      <c r="C6541" t="s">
        <v>468</v>
      </c>
      <c r="D6541" t="s">
        <v>278</v>
      </c>
      <c r="E6541" t="s">
        <v>282</v>
      </c>
      <c r="F6541">
        <v>2</v>
      </c>
      <c r="G6541" t="s">
        <v>499</v>
      </c>
      <c r="H6541" s="4">
        <v>8527503</v>
      </c>
      <c r="I6541" s="4">
        <v>8186021</v>
      </c>
      <c r="J6541" s="3">
        <v>0.04004478215956066</v>
      </c>
      <c r="K6541" s="3">
        <v>0.04171526068648004</v>
      </c>
      <c r="L6541" t="s">
        <v>54</v>
      </c>
    </row>
    <row r="6542" spans="1:12" x14ac:dyDescent="0.25">
      <c r="A6542" t="s">
        <v>487</v>
      </c>
      <c r="B6542" t="s">
        <v>467</v>
      </c>
      <c r="C6542" t="s">
        <v>468</v>
      </c>
      <c r="D6542" t="s">
        <v>278</v>
      </c>
      <c r="E6542" t="s">
        <v>284</v>
      </c>
      <c r="F6542">
        <v>3</v>
      </c>
      <c r="G6542" t="s">
        <v>488</v>
      </c>
      <c r="H6542" s="4">
        <v>13349830</v>
      </c>
      <c r="I6542" s="4">
        <v>16394000.601083104</v>
      </c>
      <c r="J6542" s="3">
        <v>0.22803066414202305</v>
      </c>
      <c r="K6542" s="3">
        <v>-0.18568808646267734</v>
      </c>
      <c r="L6542" t="s">
        <v>54</v>
      </c>
    </row>
    <row r="6543" spans="1:12" x14ac:dyDescent="0.25">
      <c r="A6543" t="s">
        <v>487</v>
      </c>
      <c r="B6543" t="s">
        <v>467</v>
      </c>
      <c r="C6543" t="s">
        <v>468</v>
      </c>
      <c r="D6543" t="s">
        <v>278</v>
      </c>
      <c r="E6543" t="s">
        <v>284</v>
      </c>
      <c r="F6543">
        <v>3</v>
      </c>
      <c r="G6543" t="s">
        <v>498</v>
      </c>
      <c r="H6543" s="4">
        <v>13349830</v>
      </c>
      <c r="I6543" s="4">
        <v>18045138</v>
      </c>
      <c r="J6543" s="3">
        <v>0.351712943161074</v>
      </c>
      <c r="K6543" s="3">
        <v>-0.2601979547066916</v>
      </c>
      <c r="L6543" t="s">
        <v>54</v>
      </c>
    </row>
    <row r="6544" spans="1:12" x14ac:dyDescent="0.25">
      <c r="A6544" t="s">
        <v>487</v>
      </c>
      <c r="B6544" t="s">
        <v>467</v>
      </c>
      <c r="C6544" t="s">
        <v>468</v>
      </c>
      <c r="D6544" t="s">
        <v>278</v>
      </c>
      <c r="E6544" t="s">
        <v>284</v>
      </c>
      <c r="F6544">
        <v>3</v>
      </c>
      <c r="G6544" t="s">
        <v>499</v>
      </c>
      <c r="H6544" s="4">
        <v>13349830</v>
      </c>
      <c r="I6544" s="4">
        <v>8186021</v>
      </c>
      <c r="J6544" s="3">
        <v>0.3868070979181008</v>
      </c>
      <c r="K6544" s="3">
        <v>0.630808178967535</v>
      </c>
      <c r="L6544" t="s">
        <v>54</v>
      </c>
    </row>
    <row r="6545" spans="1:12" x14ac:dyDescent="0.25">
      <c r="A6545" t="s">
        <v>487</v>
      </c>
      <c r="B6545" t="s">
        <v>467</v>
      </c>
      <c r="C6545" t="s">
        <v>468</v>
      </c>
      <c r="D6545" t="s">
        <v>280</v>
      </c>
      <c r="E6545" t="s">
        <v>282</v>
      </c>
      <c r="F6545">
        <v>1</v>
      </c>
      <c r="G6545" t="s">
        <v>488</v>
      </c>
      <c r="H6545" s="4">
        <v>8527503</v>
      </c>
      <c r="I6545" s="4">
        <v>6707387.487978476</v>
      </c>
      <c r="J6545" s="3">
        <v>0.2134406181999026</v>
      </c>
      <c r="K6545" s="3">
        <v>0.2713598275459234</v>
      </c>
      <c r="L6545" t="s">
        <v>54</v>
      </c>
    </row>
    <row r="6546" spans="1:12" x14ac:dyDescent="0.25">
      <c r="A6546" t="s">
        <v>487</v>
      </c>
      <c r="B6546" t="s">
        <v>467</v>
      </c>
      <c r="C6546" t="s">
        <v>468</v>
      </c>
      <c r="D6546" t="s">
        <v>280</v>
      </c>
      <c r="E6546" t="s">
        <v>282</v>
      </c>
      <c r="F6546">
        <v>1</v>
      </c>
      <c r="G6546" t="s">
        <v>498</v>
      </c>
      <c r="H6546" s="4">
        <v>8527503</v>
      </c>
      <c r="I6546" s="4">
        <v>7197224</v>
      </c>
      <c r="J6546" s="3">
        <v>0.15599865517490877</v>
      </c>
      <c r="K6546" s="3">
        <v>0.1848322353173946</v>
      </c>
      <c r="L6546" t="s">
        <v>54</v>
      </c>
    </row>
    <row r="6547" spans="1:12" x14ac:dyDescent="0.25">
      <c r="A6547" t="s">
        <v>487</v>
      </c>
      <c r="B6547" t="s">
        <v>467</v>
      </c>
      <c r="C6547" t="s">
        <v>468</v>
      </c>
      <c r="D6547" t="s">
        <v>280</v>
      </c>
      <c r="E6547" t="s">
        <v>282</v>
      </c>
      <c r="F6547">
        <v>1</v>
      </c>
      <c r="G6547" t="s">
        <v>499</v>
      </c>
      <c r="H6547" s="4">
        <v>8527503</v>
      </c>
      <c r="I6547" s="4">
        <v>7337567</v>
      </c>
      <c r="J6547" s="3">
        <v>0.1395409652743599</v>
      </c>
      <c r="K6547" s="3">
        <v>0.16217037609332902</v>
      </c>
      <c r="L6547" t="s">
        <v>54</v>
      </c>
    </row>
    <row r="6548" spans="1:12" x14ac:dyDescent="0.25">
      <c r="A6548" t="s">
        <v>487</v>
      </c>
      <c r="B6548" t="s">
        <v>467</v>
      </c>
      <c r="C6548" t="s">
        <v>468</v>
      </c>
      <c r="D6548" t="s">
        <v>280</v>
      </c>
      <c r="E6548" t="s">
        <v>284</v>
      </c>
      <c r="F6548">
        <v>2</v>
      </c>
      <c r="G6548" t="s">
        <v>488</v>
      </c>
      <c r="H6548" s="4">
        <v>13349830</v>
      </c>
      <c r="I6548" s="4">
        <v>16817002.338685714</v>
      </c>
      <c r="J6548" s="3">
        <v>0.25971659104915296</v>
      </c>
      <c r="K6548" s="3">
        <v>-0.20617065210901797</v>
      </c>
      <c r="L6548" t="s">
        <v>54</v>
      </c>
    </row>
    <row r="6549" spans="1:12" x14ac:dyDescent="0.25">
      <c r="A6549" t="s">
        <v>487</v>
      </c>
      <c r="B6549" t="s">
        <v>467</v>
      </c>
      <c r="C6549" t="s">
        <v>468</v>
      </c>
      <c r="D6549" t="s">
        <v>280</v>
      </c>
      <c r="E6549" t="s">
        <v>284</v>
      </c>
      <c r="F6549">
        <v>2</v>
      </c>
      <c r="G6549" t="s">
        <v>498</v>
      </c>
      <c r="H6549" s="4">
        <v>13349830</v>
      </c>
      <c r="I6549" s="4">
        <v>18045138</v>
      </c>
      <c r="J6549" s="3">
        <v>0.351712943161074</v>
      </c>
      <c r="K6549" s="3">
        <v>-0.2601979547066916</v>
      </c>
      <c r="L6549" t="s">
        <v>54</v>
      </c>
    </row>
    <row r="6550" spans="1:12" x14ac:dyDescent="0.25">
      <c r="A6550" t="s">
        <v>487</v>
      </c>
      <c r="B6550" t="s">
        <v>467</v>
      </c>
      <c r="C6550" t="s">
        <v>468</v>
      </c>
      <c r="D6550" t="s">
        <v>280</v>
      </c>
      <c r="E6550" t="s">
        <v>284</v>
      </c>
      <c r="F6550">
        <v>2</v>
      </c>
      <c r="G6550" t="s">
        <v>499</v>
      </c>
      <c r="H6550" s="4">
        <v>13349830</v>
      </c>
      <c r="I6550" s="4">
        <v>7337567</v>
      </c>
      <c r="J6550" s="3">
        <v>0.45036251397957877</v>
      </c>
      <c r="K6550" s="3">
        <v>0.8193810019043097</v>
      </c>
      <c r="L6550" t="s">
        <v>54</v>
      </c>
    </row>
    <row r="6551" spans="1:12" x14ac:dyDescent="0.25">
      <c r="A6551" t="s">
        <v>487</v>
      </c>
      <c r="B6551" t="s">
        <v>467</v>
      </c>
      <c r="C6551" t="s">
        <v>468</v>
      </c>
      <c r="D6551" t="s">
        <v>280</v>
      </c>
      <c r="E6551" t="s">
        <v>286</v>
      </c>
      <c r="F6551">
        <v>3</v>
      </c>
      <c r="G6551" t="s">
        <v>488</v>
      </c>
      <c r="H6551" s="4">
        <v>17490299</v>
      </c>
      <c r="I6551" s="4">
        <v>16178583.673442038</v>
      </c>
      <c r="J6551" s="3">
        <v>0.07499673542218817</v>
      </c>
      <c r="K6551" s="3">
        <v>0.08107726566394123</v>
      </c>
      <c r="L6551" t="s">
        <v>54</v>
      </c>
    </row>
    <row r="6552" spans="1:12" x14ac:dyDescent="0.25">
      <c r="A6552" t="s">
        <v>487</v>
      </c>
      <c r="B6552" t="s">
        <v>467</v>
      </c>
      <c r="C6552" t="s">
        <v>468</v>
      </c>
      <c r="D6552" t="s">
        <v>280</v>
      </c>
      <c r="E6552" t="s">
        <v>286</v>
      </c>
      <c r="F6552">
        <v>3</v>
      </c>
      <c r="G6552" t="s">
        <v>498</v>
      </c>
      <c r="H6552" s="4">
        <v>17490299</v>
      </c>
      <c r="I6552" s="4">
        <v>17360096</v>
      </c>
      <c r="J6552" s="3">
        <v>0.007444298122061836</v>
      </c>
      <c r="K6552" s="3">
        <v>0.007500131335679249</v>
      </c>
      <c r="L6552" t="s">
        <v>54</v>
      </c>
    </row>
    <row r="6553" spans="1:12" x14ac:dyDescent="0.25">
      <c r="A6553" t="s">
        <v>487</v>
      </c>
      <c r="B6553" t="s">
        <v>467</v>
      </c>
      <c r="C6553" t="s">
        <v>468</v>
      </c>
      <c r="D6553" t="s">
        <v>280</v>
      </c>
      <c r="E6553" t="s">
        <v>286</v>
      </c>
      <c r="F6553">
        <v>3</v>
      </c>
      <c r="G6553" t="s">
        <v>499</v>
      </c>
      <c r="H6553" s="4">
        <v>17490299</v>
      </c>
      <c r="I6553" s="4">
        <v>7337567</v>
      </c>
      <c r="J6553" s="3">
        <v>0.5804778980622344</v>
      </c>
      <c r="K6553" s="3">
        <v>1.3836646397913641</v>
      </c>
      <c r="L6553" t="s">
        <v>54</v>
      </c>
    </row>
    <row r="6554" spans="1:12" x14ac:dyDescent="0.25">
      <c r="A6554" t="s">
        <v>487</v>
      </c>
      <c r="B6554" t="s">
        <v>467</v>
      </c>
      <c r="C6554" t="s">
        <v>468</v>
      </c>
      <c r="D6554" t="s">
        <v>282</v>
      </c>
      <c r="E6554" t="s">
        <v>284</v>
      </c>
      <c r="F6554">
        <v>1</v>
      </c>
      <c r="G6554" t="s">
        <v>488</v>
      </c>
      <c r="H6554" s="4">
        <v>13349830</v>
      </c>
      <c r="I6554" s="4">
        <v>17496554.37124334</v>
      </c>
      <c r="J6554" s="3">
        <v>0.31062001323187927</v>
      </c>
      <c r="K6554" s="3">
        <v>-0.2370023424759983</v>
      </c>
      <c r="L6554" t="s">
        <v>54</v>
      </c>
    </row>
    <row r="6555" spans="1:12" x14ac:dyDescent="0.25">
      <c r="A6555" t="s">
        <v>487</v>
      </c>
      <c r="B6555" t="s">
        <v>467</v>
      </c>
      <c r="C6555" t="s">
        <v>468</v>
      </c>
      <c r="D6555" t="s">
        <v>282</v>
      </c>
      <c r="E6555" t="s">
        <v>284</v>
      </c>
      <c r="F6555">
        <v>1</v>
      </c>
      <c r="G6555" t="s">
        <v>498</v>
      </c>
      <c r="H6555" s="4">
        <v>13349830</v>
      </c>
      <c r="I6555" s="4">
        <v>18045138</v>
      </c>
      <c r="J6555" s="3">
        <v>0.351712943161074</v>
      </c>
      <c r="K6555" s="3">
        <v>-0.2601979547066916</v>
      </c>
      <c r="L6555" t="s">
        <v>54</v>
      </c>
    </row>
    <row r="6556" spans="1:12" x14ac:dyDescent="0.25">
      <c r="A6556" t="s">
        <v>487</v>
      </c>
      <c r="B6556" t="s">
        <v>467</v>
      </c>
      <c r="C6556" t="s">
        <v>468</v>
      </c>
      <c r="D6556" t="s">
        <v>282</v>
      </c>
      <c r="E6556" t="s">
        <v>284</v>
      </c>
      <c r="F6556">
        <v>1</v>
      </c>
      <c r="G6556" t="s">
        <v>499</v>
      </c>
      <c r="H6556" s="4">
        <v>13349830</v>
      </c>
      <c r="I6556" s="4">
        <v>8527503</v>
      </c>
      <c r="J6556" s="3">
        <v>0.3612275961566552</v>
      </c>
      <c r="K6556" s="3">
        <v>0.5655028206967503</v>
      </c>
      <c r="L6556" t="s">
        <v>54</v>
      </c>
    </row>
    <row r="6557" spans="1:12" x14ac:dyDescent="0.25">
      <c r="A6557" t="s">
        <v>487</v>
      </c>
      <c r="B6557" t="s">
        <v>467</v>
      </c>
      <c r="C6557" t="s">
        <v>468</v>
      </c>
      <c r="D6557" t="s">
        <v>282</v>
      </c>
      <c r="E6557" t="s">
        <v>286</v>
      </c>
      <c r="F6557">
        <v>2</v>
      </c>
      <c r="G6557" t="s">
        <v>488</v>
      </c>
      <c r="H6557" s="4">
        <v>17490299</v>
      </c>
      <c r="I6557" s="4">
        <v>16832338.08209192</v>
      </c>
      <c r="J6557" s="3">
        <v>0.037618620351091765</v>
      </c>
      <c r="K6557" s="3">
        <v>0.03908909829990229</v>
      </c>
      <c r="L6557" t="s">
        <v>54</v>
      </c>
    </row>
    <row r="6558" spans="1:12" x14ac:dyDescent="0.25">
      <c r="A6558" t="s">
        <v>487</v>
      </c>
      <c r="B6558" t="s">
        <v>467</v>
      </c>
      <c r="C6558" t="s">
        <v>468</v>
      </c>
      <c r="D6558" t="s">
        <v>282</v>
      </c>
      <c r="E6558" t="s">
        <v>286</v>
      </c>
      <c r="F6558">
        <v>2</v>
      </c>
      <c r="G6558" t="s">
        <v>498</v>
      </c>
      <c r="H6558" s="4">
        <v>17490299</v>
      </c>
      <c r="I6558" s="4">
        <v>17360096</v>
      </c>
      <c r="J6558" s="3">
        <v>0.007444298122061836</v>
      </c>
      <c r="K6558" s="3">
        <v>0.007500131335679249</v>
      </c>
      <c r="L6558" t="s">
        <v>54</v>
      </c>
    </row>
    <row r="6559" spans="1:12" x14ac:dyDescent="0.25">
      <c r="A6559" t="s">
        <v>487</v>
      </c>
      <c r="B6559" t="s">
        <v>467</v>
      </c>
      <c r="C6559" t="s">
        <v>468</v>
      </c>
      <c r="D6559" t="s">
        <v>282</v>
      </c>
      <c r="E6559" t="s">
        <v>286</v>
      </c>
      <c r="F6559">
        <v>2</v>
      </c>
      <c r="G6559" t="s">
        <v>499</v>
      </c>
      <c r="H6559" s="4">
        <v>17490299</v>
      </c>
      <c r="I6559" s="4">
        <v>8527503</v>
      </c>
      <c r="J6559" s="3">
        <v>0.5124438410115231</v>
      </c>
      <c r="K6559" s="3">
        <v>1.0510457750645177</v>
      </c>
      <c r="L6559" t="s">
        <v>54</v>
      </c>
    </row>
    <row r="6560" spans="1:12" x14ac:dyDescent="0.25">
      <c r="A6560" t="s">
        <v>487</v>
      </c>
      <c r="B6560" t="s">
        <v>467</v>
      </c>
      <c r="C6560" t="s">
        <v>468</v>
      </c>
      <c r="D6560" t="s">
        <v>282</v>
      </c>
      <c r="E6560" t="s">
        <v>288</v>
      </c>
      <c r="F6560">
        <v>3</v>
      </c>
      <c r="G6560" t="s">
        <v>488</v>
      </c>
      <c r="H6560" s="4">
        <v>15687718</v>
      </c>
      <c r="I6560" s="4">
        <v>15493370.806673238</v>
      </c>
      <c r="J6560" s="3">
        <v>0.012388493554432962</v>
      </c>
      <c r="K6560" s="3">
        <v>0.012543893498182692</v>
      </c>
      <c r="L6560" t="s">
        <v>54</v>
      </c>
    </row>
    <row r="6561" spans="1:12" x14ac:dyDescent="0.25">
      <c r="A6561" t="s">
        <v>487</v>
      </c>
      <c r="B6561" t="s">
        <v>467</v>
      </c>
      <c r="C6561" t="s">
        <v>468</v>
      </c>
      <c r="D6561" t="s">
        <v>282</v>
      </c>
      <c r="E6561" t="s">
        <v>288</v>
      </c>
      <c r="F6561">
        <v>3</v>
      </c>
      <c r="G6561" t="s">
        <v>498</v>
      </c>
      <c r="H6561" s="4">
        <v>15687718</v>
      </c>
      <c r="I6561" s="4">
        <v>15979147</v>
      </c>
      <c r="J6561" s="3">
        <v>0.018576889258208235</v>
      </c>
      <c r="K6561" s="3">
        <v>-0.01823808242079505</v>
      </c>
      <c r="L6561" t="s">
        <v>54</v>
      </c>
    </row>
    <row r="6562" spans="1:12" x14ac:dyDescent="0.25">
      <c r="A6562" t="s">
        <v>487</v>
      </c>
      <c r="B6562" t="s">
        <v>467</v>
      </c>
      <c r="C6562" t="s">
        <v>468</v>
      </c>
      <c r="D6562" t="s">
        <v>282</v>
      </c>
      <c r="E6562" t="s">
        <v>288</v>
      </c>
      <c r="F6562">
        <v>3</v>
      </c>
      <c r="G6562" t="s">
        <v>499</v>
      </c>
      <c r="H6562" s="4">
        <v>15687718</v>
      </c>
      <c r="I6562" s="4">
        <v>8527503</v>
      </c>
      <c r="J6562" s="3">
        <v>0.45642170518363473</v>
      </c>
      <c r="K6562" s="3">
        <v>0.8396613873955835</v>
      </c>
      <c r="L6562" t="s">
        <v>54</v>
      </c>
    </row>
    <row r="6563" spans="1:12" x14ac:dyDescent="0.25">
      <c r="A6563" t="s">
        <v>487</v>
      </c>
      <c r="B6563" t="s">
        <v>467</v>
      </c>
      <c r="C6563" t="s">
        <v>468</v>
      </c>
      <c r="D6563" t="s">
        <v>284</v>
      </c>
      <c r="E6563" t="s">
        <v>286</v>
      </c>
      <c r="F6563">
        <v>1</v>
      </c>
      <c r="G6563" t="s">
        <v>488</v>
      </c>
      <c r="H6563" s="4">
        <v>17490299</v>
      </c>
      <c r="I6563" s="4">
        <v>16434343.678158533</v>
      </c>
      <c r="J6563" s="3">
        <v>0.060373771874424054</v>
      </c>
      <c r="K6563" s="3">
        <v>0.06425296577221068</v>
      </c>
      <c r="L6563" t="s">
        <v>54</v>
      </c>
    </row>
    <row r="6564" spans="1:12" x14ac:dyDescent="0.25">
      <c r="A6564" t="s">
        <v>487</v>
      </c>
      <c r="B6564" t="s">
        <v>467</v>
      </c>
      <c r="C6564" t="s">
        <v>468</v>
      </c>
      <c r="D6564" t="s">
        <v>284</v>
      </c>
      <c r="E6564" t="s">
        <v>286</v>
      </c>
      <c r="F6564">
        <v>1</v>
      </c>
      <c r="G6564" t="s">
        <v>498</v>
      </c>
      <c r="H6564" s="4">
        <v>17490299</v>
      </c>
      <c r="I6564" s="4">
        <v>17360096</v>
      </c>
      <c r="J6564" s="3">
        <v>0.007444298122061836</v>
      </c>
      <c r="K6564" s="3">
        <v>0.007500131335679249</v>
      </c>
      <c r="L6564" t="s">
        <v>54</v>
      </c>
    </row>
    <row r="6565" spans="1:12" x14ac:dyDescent="0.25">
      <c r="A6565" t="s">
        <v>487</v>
      </c>
      <c r="B6565" t="s">
        <v>467</v>
      </c>
      <c r="C6565" t="s">
        <v>468</v>
      </c>
      <c r="D6565" t="s">
        <v>284</v>
      </c>
      <c r="E6565" t="s">
        <v>286</v>
      </c>
      <c r="F6565">
        <v>1</v>
      </c>
      <c r="G6565" t="s">
        <v>499</v>
      </c>
      <c r="H6565" s="4">
        <v>17490299</v>
      </c>
      <c r="I6565" s="4">
        <v>13349830</v>
      </c>
      <c r="J6565" s="3">
        <v>0.23672945785546606</v>
      </c>
      <c r="K6565" s="3">
        <v>0.3101514401306983</v>
      </c>
      <c r="L6565" t="s">
        <v>54</v>
      </c>
    </row>
    <row r="6566" spans="1:12" x14ac:dyDescent="0.25">
      <c r="A6566" t="s">
        <v>487</v>
      </c>
      <c r="B6566" t="s">
        <v>467</v>
      </c>
      <c r="C6566" t="s">
        <v>468</v>
      </c>
      <c r="D6566" t="s">
        <v>284</v>
      </c>
      <c r="E6566" t="s">
        <v>288</v>
      </c>
      <c r="F6566">
        <v>2</v>
      </c>
      <c r="G6566" t="s">
        <v>488</v>
      </c>
      <c r="H6566" s="4">
        <v>15687718</v>
      </c>
      <c r="I6566" s="4">
        <v>15127035.788385956</v>
      </c>
      <c r="J6566" s="3">
        <v>0.03574020208764872</v>
      </c>
      <c r="K6566" s="3">
        <v>0.037064909441446414</v>
      </c>
      <c r="L6566" t="s">
        <v>54</v>
      </c>
    </row>
    <row r="6567" spans="1:12" x14ac:dyDescent="0.25">
      <c r="A6567" t="s">
        <v>487</v>
      </c>
      <c r="B6567" t="s">
        <v>467</v>
      </c>
      <c r="C6567" t="s">
        <v>468</v>
      </c>
      <c r="D6567" t="s">
        <v>284</v>
      </c>
      <c r="E6567" t="s">
        <v>288</v>
      </c>
      <c r="F6567">
        <v>2</v>
      </c>
      <c r="G6567" t="s">
        <v>498</v>
      </c>
      <c r="H6567" s="4">
        <v>15687718</v>
      </c>
      <c r="I6567" s="4">
        <v>15979147</v>
      </c>
      <c r="J6567" s="3">
        <v>0.018576889258208235</v>
      </c>
      <c r="K6567" s="3">
        <v>-0.01823808242079505</v>
      </c>
      <c r="L6567" t="s">
        <v>54</v>
      </c>
    </row>
    <row r="6568" spans="1:12" x14ac:dyDescent="0.25">
      <c r="A6568" t="s">
        <v>487</v>
      </c>
      <c r="B6568" t="s">
        <v>467</v>
      </c>
      <c r="C6568" t="s">
        <v>468</v>
      </c>
      <c r="D6568" t="s">
        <v>284</v>
      </c>
      <c r="E6568" t="s">
        <v>288</v>
      </c>
      <c r="F6568">
        <v>2</v>
      </c>
      <c r="G6568" t="s">
        <v>499</v>
      </c>
      <c r="H6568" s="4">
        <v>15687718</v>
      </c>
      <c r="I6568" s="4">
        <v>13349830</v>
      </c>
      <c r="J6568" s="3">
        <v>0.14902664619545047</v>
      </c>
      <c r="K6568" s="3">
        <v>0.17512492668445964</v>
      </c>
      <c r="L6568" t="s">
        <v>54</v>
      </c>
    </row>
    <row r="6569" spans="1:12" x14ac:dyDescent="0.25">
      <c r="A6569" t="s">
        <v>487</v>
      </c>
      <c r="B6569" t="s">
        <v>467</v>
      </c>
      <c r="C6569" t="s">
        <v>468</v>
      </c>
      <c r="D6569" t="s">
        <v>284</v>
      </c>
      <c r="E6569" t="s">
        <v>290</v>
      </c>
      <c r="F6569">
        <v>3</v>
      </c>
      <c r="G6569" t="s">
        <v>488</v>
      </c>
      <c r="H6569" s="4">
        <v>9416824</v>
      </c>
      <c r="I6569" s="4">
        <v>14089065.043150438</v>
      </c>
      <c r="J6569" s="3">
        <v>0.496158900617707</v>
      </c>
      <c r="K6569" s="3">
        <v>-0.33162179526042446</v>
      </c>
      <c r="L6569" t="s">
        <v>54</v>
      </c>
    </row>
    <row r="6570" spans="1:12" x14ac:dyDescent="0.25">
      <c r="A6570" t="s">
        <v>487</v>
      </c>
      <c r="B6570" t="s">
        <v>467</v>
      </c>
      <c r="C6570" t="s">
        <v>468</v>
      </c>
      <c r="D6570" t="s">
        <v>284</v>
      </c>
      <c r="E6570" t="s">
        <v>290</v>
      </c>
      <c r="F6570">
        <v>3</v>
      </c>
      <c r="G6570" t="s">
        <v>498</v>
      </c>
      <c r="H6570" s="4">
        <v>9416824</v>
      </c>
      <c r="I6570" s="4">
        <v>14882707</v>
      </c>
      <c r="J6570" s="3">
        <v>0.580438054273925</v>
      </c>
      <c r="K6570" s="3">
        <v>-0.367264033350922</v>
      </c>
      <c r="L6570" t="s">
        <v>54</v>
      </c>
    </row>
    <row r="6571" spans="1:12" x14ac:dyDescent="0.25">
      <c r="A6571" t="s">
        <v>487</v>
      </c>
      <c r="B6571" t="s">
        <v>467</v>
      </c>
      <c r="C6571" t="s">
        <v>468</v>
      </c>
      <c r="D6571" t="s">
        <v>284</v>
      </c>
      <c r="E6571" t="s">
        <v>290</v>
      </c>
      <c r="F6571">
        <v>3</v>
      </c>
      <c r="G6571" t="s">
        <v>499</v>
      </c>
      <c r="H6571" s="4">
        <v>9416824</v>
      </c>
      <c r="I6571" s="4">
        <v>13349830</v>
      </c>
      <c r="J6571" s="3">
        <v>0.4176573757776507</v>
      </c>
      <c r="K6571" s="3">
        <v>-0.2946109426112542</v>
      </c>
      <c r="L6571" t="s">
        <v>54</v>
      </c>
    </row>
    <row r="6572" spans="1:12" x14ac:dyDescent="0.25">
      <c r="A6572" t="s">
        <v>487</v>
      </c>
      <c r="B6572" t="s">
        <v>467</v>
      </c>
      <c r="C6572" t="s">
        <v>468</v>
      </c>
      <c r="D6572" t="s">
        <v>286</v>
      </c>
      <c r="E6572" t="s">
        <v>288</v>
      </c>
      <c r="F6572">
        <v>1</v>
      </c>
      <c r="G6572" t="s">
        <v>488</v>
      </c>
      <c r="H6572" s="4">
        <v>15687718</v>
      </c>
      <c r="I6572" s="4">
        <v>15163224.951622175</v>
      </c>
      <c r="J6572" s="3">
        <v>0.03343335521315624</v>
      </c>
      <c r="K6572" s="3">
        <v>0.03458980856982632</v>
      </c>
      <c r="L6572" t="s">
        <v>54</v>
      </c>
    </row>
    <row r="6573" spans="1:12" x14ac:dyDescent="0.25">
      <c r="A6573" t="s">
        <v>487</v>
      </c>
      <c r="B6573" t="s">
        <v>467</v>
      </c>
      <c r="C6573" t="s">
        <v>468</v>
      </c>
      <c r="D6573" t="s">
        <v>286</v>
      </c>
      <c r="E6573" t="s">
        <v>288</v>
      </c>
      <c r="F6573">
        <v>1</v>
      </c>
      <c r="G6573" t="s">
        <v>498</v>
      </c>
      <c r="H6573" s="4">
        <v>15687718</v>
      </c>
      <c r="I6573" s="4">
        <v>15979147</v>
      </c>
      <c r="J6573" s="3">
        <v>0.018576889258208235</v>
      </c>
      <c r="K6573" s="3">
        <v>-0.01823808242079505</v>
      </c>
      <c r="L6573" t="s">
        <v>54</v>
      </c>
    </row>
    <row r="6574" spans="1:12" x14ac:dyDescent="0.25">
      <c r="A6574" t="s">
        <v>487</v>
      </c>
      <c r="B6574" t="s">
        <v>467</v>
      </c>
      <c r="C6574" t="s">
        <v>468</v>
      </c>
      <c r="D6574" t="s">
        <v>286</v>
      </c>
      <c r="E6574" t="s">
        <v>288</v>
      </c>
      <c r="F6574">
        <v>1</v>
      </c>
      <c r="G6574" t="s">
        <v>499</v>
      </c>
      <c r="H6574" s="4">
        <v>15687718</v>
      </c>
      <c r="I6574" s="4">
        <v>17490299</v>
      </c>
      <c r="J6574" s="3">
        <v>0.1149039649998808</v>
      </c>
      <c r="K6574" s="3">
        <v>-0.10306176012199678</v>
      </c>
      <c r="L6574" t="s">
        <v>54</v>
      </c>
    </row>
    <row r="6575" spans="1:12" x14ac:dyDescent="0.25">
      <c r="A6575" t="s">
        <v>487</v>
      </c>
      <c r="B6575" t="s">
        <v>467</v>
      </c>
      <c r="C6575" t="s">
        <v>468</v>
      </c>
      <c r="D6575" t="s">
        <v>286</v>
      </c>
      <c r="E6575" t="s">
        <v>290</v>
      </c>
      <c r="F6575">
        <v>2</v>
      </c>
      <c r="G6575" t="s">
        <v>488</v>
      </c>
      <c r="H6575" s="4">
        <v>9416824</v>
      </c>
      <c r="I6575" s="4">
        <v>14122771.01713139</v>
      </c>
      <c r="J6575" s="3">
        <v>0.49973823628129715</v>
      </c>
      <c r="K6575" s="3">
        <v>-0.33321697359696056</v>
      </c>
      <c r="L6575" t="s">
        <v>54</v>
      </c>
    </row>
    <row r="6576" spans="1:12" x14ac:dyDescent="0.25">
      <c r="A6576" t="s">
        <v>487</v>
      </c>
      <c r="B6576" t="s">
        <v>467</v>
      </c>
      <c r="C6576" t="s">
        <v>468</v>
      </c>
      <c r="D6576" t="s">
        <v>286</v>
      </c>
      <c r="E6576" t="s">
        <v>290</v>
      </c>
      <c r="F6576">
        <v>2</v>
      </c>
      <c r="G6576" t="s">
        <v>498</v>
      </c>
      <c r="H6576" s="4">
        <v>9416824</v>
      </c>
      <c r="I6576" s="4">
        <v>14882707</v>
      </c>
      <c r="J6576" s="3">
        <v>0.580438054273925</v>
      </c>
      <c r="K6576" s="3">
        <v>-0.367264033350922</v>
      </c>
      <c r="L6576" t="s">
        <v>54</v>
      </c>
    </row>
    <row r="6577" spans="1:12" x14ac:dyDescent="0.25">
      <c r="A6577" t="s">
        <v>487</v>
      </c>
      <c r="B6577" t="s">
        <v>467</v>
      </c>
      <c r="C6577" t="s">
        <v>468</v>
      </c>
      <c r="D6577" t="s">
        <v>286</v>
      </c>
      <c r="E6577" t="s">
        <v>290</v>
      </c>
      <c r="F6577">
        <v>2</v>
      </c>
      <c r="G6577" t="s">
        <v>499</v>
      </c>
      <c r="H6577" s="4">
        <v>9416824</v>
      </c>
      <c r="I6577" s="4">
        <v>17490299</v>
      </c>
      <c r="J6577" s="3">
        <v>0.8573458524869956</v>
      </c>
      <c r="K6577" s="3">
        <v>-0.46159731174407026</v>
      </c>
      <c r="L6577" t="s">
        <v>54</v>
      </c>
    </row>
    <row r="6578" spans="1:12" x14ac:dyDescent="0.25">
      <c r="A6578" t="s">
        <v>487</v>
      </c>
      <c r="B6578" t="s">
        <v>467</v>
      </c>
      <c r="C6578" t="s">
        <v>468</v>
      </c>
      <c r="D6578" t="s">
        <v>286</v>
      </c>
      <c r="E6578" t="s">
        <v>292</v>
      </c>
      <c r="F6578">
        <v>3</v>
      </c>
      <c r="G6578" t="s">
        <v>488</v>
      </c>
      <c r="H6578" s="4">
        <v>4424245</v>
      </c>
      <c r="I6578" s="4">
        <v>9243255.195916878</v>
      </c>
      <c r="J6578" s="3">
        <v>1.0892276978144018</v>
      </c>
      <c r="K6578" s="3">
        <v>-0.5213542300601666</v>
      </c>
      <c r="L6578" t="s">
        <v>54</v>
      </c>
    </row>
    <row r="6579" spans="1:12" x14ac:dyDescent="0.25">
      <c r="A6579" t="s">
        <v>487</v>
      </c>
      <c r="B6579" t="s">
        <v>467</v>
      </c>
      <c r="C6579" t="s">
        <v>468</v>
      </c>
      <c r="D6579" t="s">
        <v>286</v>
      </c>
      <c r="E6579" t="s">
        <v>292</v>
      </c>
      <c r="F6579">
        <v>3</v>
      </c>
      <c r="G6579" t="s">
        <v>498</v>
      </c>
      <c r="H6579" s="4">
        <v>4424245</v>
      </c>
      <c r="I6579" s="4">
        <v>9740628</v>
      </c>
      <c r="J6579" s="3">
        <v>1.2016475127394617</v>
      </c>
      <c r="K6579" s="3">
        <v>-0.5457946859278477</v>
      </c>
      <c r="L6579" t="s">
        <v>54</v>
      </c>
    </row>
    <row r="6580" spans="1:12" x14ac:dyDescent="0.25">
      <c r="A6580" t="s">
        <v>487</v>
      </c>
      <c r="B6580" t="s">
        <v>467</v>
      </c>
      <c r="C6580" t="s">
        <v>468</v>
      </c>
      <c r="D6580" t="s">
        <v>286</v>
      </c>
      <c r="E6580" t="s">
        <v>292</v>
      </c>
      <c r="F6580">
        <v>3</v>
      </c>
      <c r="G6580" t="s">
        <v>499</v>
      </c>
      <c r="H6580" s="4">
        <v>4424245</v>
      </c>
      <c r="I6580" s="4">
        <v>17490299</v>
      </c>
      <c r="J6580" s="3">
        <v>2.9532844587042537</v>
      </c>
      <c r="K6580" s="3">
        <v>-0.7470457766330925</v>
      </c>
      <c r="L6580" t="s">
        <v>54</v>
      </c>
    </row>
    <row r="6581" spans="1:12" x14ac:dyDescent="0.25">
      <c r="A6581" t="s">
        <v>487</v>
      </c>
      <c r="B6581" t="s">
        <v>467</v>
      </c>
      <c r="C6581" t="s">
        <v>468</v>
      </c>
      <c r="D6581" t="s">
        <v>288</v>
      </c>
      <c r="E6581" t="s">
        <v>290</v>
      </c>
      <c r="F6581">
        <v>1</v>
      </c>
      <c r="G6581" t="s">
        <v>488</v>
      </c>
      <c r="H6581" s="4">
        <v>9416824</v>
      </c>
      <c r="I6581" s="4">
        <v>14383997.118446052</v>
      </c>
      <c r="J6581" s="3">
        <v>0.5274785977146915</v>
      </c>
      <c r="K6581" s="3">
        <v>-0.3453263427087415</v>
      </c>
      <c r="L6581" t="s">
        <v>54</v>
      </c>
    </row>
    <row r="6582" spans="1:12" x14ac:dyDescent="0.25">
      <c r="A6582" t="s">
        <v>487</v>
      </c>
      <c r="B6582" t="s">
        <v>467</v>
      </c>
      <c r="C6582" t="s">
        <v>468</v>
      </c>
      <c r="D6582" t="s">
        <v>288</v>
      </c>
      <c r="E6582" t="s">
        <v>290</v>
      </c>
      <c r="F6582">
        <v>1</v>
      </c>
      <c r="G6582" t="s">
        <v>498</v>
      </c>
      <c r="H6582" s="4">
        <v>9416824</v>
      </c>
      <c r="I6582" s="4">
        <v>14882707</v>
      </c>
      <c r="J6582" s="3">
        <v>0.580438054273925</v>
      </c>
      <c r="K6582" s="3">
        <v>-0.367264033350922</v>
      </c>
      <c r="L6582" t="s">
        <v>54</v>
      </c>
    </row>
    <row r="6583" spans="1:12" x14ac:dyDescent="0.25">
      <c r="A6583" t="s">
        <v>487</v>
      </c>
      <c r="B6583" t="s">
        <v>467</v>
      </c>
      <c r="C6583" t="s">
        <v>468</v>
      </c>
      <c r="D6583" t="s">
        <v>288</v>
      </c>
      <c r="E6583" t="s">
        <v>290</v>
      </c>
      <c r="F6583">
        <v>1</v>
      </c>
      <c r="G6583" t="s">
        <v>499</v>
      </c>
      <c r="H6583" s="4">
        <v>9416824</v>
      </c>
      <c r="I6583" s="4">
        <v>15687718</v>
      </c>
      <c r="J6583" s="3">
        <v>0.6659245197743953</v>
      </c>
      <c r="K6583" s="3">
        <v>-0.39973270809686917</v>
      </c>
      <c r="L6583" t="s">
        <v>54</v>
      </c>
    </row>
    <row r="6584" spans="1:12" x14ac:dyDescent="0.25">
      <c r="A6584" t="s">
        <v>487</v>
      </c>
      <c r="B6584" t="s">
        <v>467</v>
      </c>
      <c r="C6584" t="s">
        <v>468</v>
      </c>
      <c r="D6584" t="s">
        <v>288</v>
      </c>
      <c r="E6584" t="s">
        <v>292</v>
      </c>
      <c r="F6584">
        <v>2</v>
      </c>
      <c r="G6584" t="s">
        <v>488</v>
      </c>
      <c r="H6584" s="4">
        <v>4424245</v>
      </c>
      <c r="I6584" s="4">
        <v>9414225.858498385</v>
      </c>
      <c r="J6584" s="3">
        <v>1.1278717291873268</v>
      </c>
      <c r="K6584" s="3">
        <v>-0.5300468603049121</v>
      </c>
      <c r="L6584" t="s">
        <v>54</v>
      </c>
    </row>
    <row r="6585" spans="1:12" x14ac:dyDescent="0.25">
      <c r="A6585" t="s">
        <v>487</v>
      </c>
      <c r="B6585" t="s">
        <v>467</v>
      </c>
      <c r="C6585" t="s">
        <v>468</v>
      </c>
      <c r="D6585" t="s">
        <v>288</v>
      </c>
      <c r="E6585" t="s">
        <v>292</v>
      </c>
      <c r="F6585">
        <v>2</v>
      </c>
      <c r="G6585" t="s">
        <v>498</v>
      </c>
      <c r="H6585" s="4">
        <v>4424245</v>
      </c>
      <c r="I6585" s="4">
        <v>9740628</v>
      </c>
      <c r="J6585" s="3">
        <v>1.2016475127394617</v>
      </c>
      <c r="K6585" s="3">
        <v>-0.5457946859278477</v>
      </c>
      <c r="L6585" t="s">
        <v>54</v>
      </c>
    </row>
    <row r="6586" spans="1:12" x14ac:dyDescent="0.25">
      <c r="A6586" t="s">
        <v>487</v>
      </c>
      <c r="B6586" t="s">
        <v>467</v>
      </c>
      <c r="C6586" t="s">
        <v>468</v>
      </c>
      <c r="D6586" t="s">
        <v>288</v>
      </c>
      <c r="E6586" t="s">
        <v>292</v>
      </c>
      <c r="F6586">
        <v>2</v>
      </c>
      <c r="G6586" t="s">
        <v>499</v>
      </c>
      <c r="H6586" s="4">
        <v>4424245</v>
      </c>
      <c r="I6586" s="4">
        <v>15687718</v>
      </c>
      <c r="J6586" s="3">
        <v>2.5458520041272577</v>
      </c>
      <c r="K6586" s="3">
        <v>-0.7179803334047693</v>
      </c>
      <c r="L6586" t="s">
        <v>54</v>
      </c>
    </row>
    <row r="6587" spans="1:12" x14ac:dyDescent="0.25">
      <c r="A6587" t="s">
        <v>487</v>
      </c>
      <c r="B6587" t="s">
        <v>467</v>
      </c>
      <c r="C6587" t="s">
        <v>468</v>
      </c>
      <c r="D6587" t="s">
        <v>288</v>
      </c>
      <c r="E6587" t="s">
        <v>294</v>
      </c>
      <c r="F6587">
        <v>3</v>
      </c>
      <c r="G6587" t="s">
        <v>488</v>
      </c>
      <c r="H6587" s="4">
        <v>7180349</v>
      </c>
      <c r="I6587" s="4">
        <v>9611445.040465668</v>
      </c>
      <c r="J6587" s="3">
        <v>0.33857630603549604</v>
      </c>
      <c r="K6587" s="3">
        <v>-0.25293762074593135</v>
      </c>
      <c r="L6587" t="s">
        <v>54</v>
      </c>
    </row>
    <row r="6588" spans="1:12" x14ac:dyDescent="0.25">
      <c r="A6588" t="s">
        <v>487</v>
      </c>
      <c r="B6588" t="s">
        <v>467</v>
      </c>
      <c r="C6588" t="s">
        <v>468</v>
      </c>
      <c r="D6588" t="s">
        <v>288</v>
      </c>
      <c r="E6588" t="s">
        <v>294</v>
      </c>
      <c r="F6588">
        <v>3</v>
      </c>
      <c r="G6588" t="s">
        <v>498</v>
      </c>
      <c r="H6588" s="4">
        <v>7180349</v>
      </c>
      <c r="I6588" s="4">
        <v>9944685</v>
      </c>
      <c r="J6588" s="3">
        <v>0.38498630080515583</v>
      </c>
      <c r="K6588" s="3">
        <v>-0.27797119767996675</v>
      </c>
      <c r="L6588" t="s">
        <v>54</v>
      </c>
    </row>
    <row r="6589" spans="1:12" x14ac:dyDescent="0.25">
      <c r="A6589" t="s">
        <v>487</v>
      </c>
      <c r="B6589" t="s">
        <v>467</v>
      </c>
      <c r="C6589" t="s">
        <v>468</v>
      </c>
      <c r="D6589" t="s">
        <v>288</v>
      </c>
      <c r="E6589" t="s">
        <v>294</v>
      </c>
      <c r="F6589">
        <v>3</v>
      </c>
      <c r="G6589" t="s">
        <v>499</v>
      </c>
      <c r="H6589" s="4">
        <v>7180349</v>
      </c>
      <c r="I6589" s="4">
        <v>15687718</v>
      </c>
      <c r="J6589" s="3">
        <v>1.1848127437816742</v>
      </c>
      <c r="K6589" s="3">
        <v>-0.5422948704202868</v>
      </c>
      <c r="L6589" t="s">
        <v>54</v>
      </c>
    </row>
    <row r="6590" spans="1:12" x14ac:dyDescent="0.25">
      <c r="A6590" t="s">
        <v>487</v>
      </c>
      <c r="B6590" t="s">
        <v>467</v>
      </c>
      <c r="C6590" t="s">
        <v>468</v>
      </c>
      <c r="D6590" t="s">
        <v>290</v>
      </c>
      <c r="E6590" t="s">
        <v>292</v>
      </c>
      <c r="F6590">
        <v>1</v>
      </c>
      <c r="G6590" t="s">
        <v>488</v>
      </c>
      <c r="H6590" s="4">
        <v>4424245</v>
      </c>
      <c r="I6590" s="4">
        <v>9013586.707704637</v>
      </c>
      <c r="J6590" s="3">
        <v>1.0373163574134427</v>
      </c>
      <c r="K6590" s="3">
        <v>-0.5091582137643118</v>
      </c>
      <c r="L6590" t="s">
        <v>54</v>
      </c>
    </row>
    <row r="6591" spans="1:12" x14ac:dyDescent="0.25">
      <c r="A6591" t="s">
        <v>487</v>
      </c>
      <c r="B6591" t="s">
        <v>467</v>
      </c>
      <c r="C6591" t="s">
        <v>468</v>
      </c>
      <c r="D6591" t="s">
        <v>290</v>
      </c>
      <c r="E6591" t="s">
        <v>292</v>
      </c>
      <c r="F6591">
        <v>1</v>
      </c>
      <c r="G6591" t="s">
        <v>498</v>
      </c>
      <c r="H6591" s="4">
        <v>4424245</v>
      </c>
      <c r="I6591" s="4">
        <v>9740628</v>
      </c>
      <c r="J6591" s="3">
        <v>1.2016475127394617</v>
      </c>
      <c r="K6591" s="3">
        <v>-0.5457946859278477</v>
      </c>
      <c r="L6591" t="s">
        <v>54</v>
      </c>
    </row>
    <row r="6592" spans="1:12" x14ac:dyDescent="0.25">
      <c r="A6592" t="s">
        <v>487</v>
      </c>
      <c r="B6592" t="s">
        <v>467</v>
      </c>
      <c r="C6592" t="s">
        <v>468</v>
      </c>
      <c r="D6592" t="s">
        <v>290</v>
      </c>
      <c r="E6592" t="s">
        <v>292</v>
      </c>
      <c r="F6592">
        <v>1</v>
      </c>
      <c r="G6592" t="s">
        <v>499</v>
      </c>
      <c r="H6592" s="4">
        <v>4424245</v>
      </c>
      <c r="I6592" s="4">
        <v>9416824</v>
      </c>
      <c r="J6592" s="3">
        <v>1.1284589800067581</v>
      </c>
      <c r="K6592" s="3">
        <v>-0.5301765223604051</v>
      </c>
      <c r="L6592" t="s">
        <v>54</v>
      </c>
    </row>
    <row r="6593" spans="1:12" x14ac:dyDescent="0.25">
      <c r="A6593" t="s">
        <v>487</v>
      </c>
      <c r="B6593" t="s">
        <v>467</v>
      </c>
      <c r="C6593" t="s">
        <v>468</v>
      </c>
      <c r="D6593" t="s">
        <v>290</v>
      </c>
      <c r="E6593" t="s">
        <v>294</v>
      </c>
      <c r="F6593">
        <v>2</v>
      </c>
      <c r="G6593" t="s">
        <v>488</v>
      </c>
      <c r="H6593" s="4">
        <v>7180349</v>
      </c>
      <c r="I6593" s="4">
        <v>9202412.876080442</v>
      </c>
      <c r="J6593" s="3">
        <v>0.28161080695108864</v>
      </c>
      <c r="K6593" s="3">
        <v>-0.2197319228456194</v>
      </c>
      <c r="L6593" t="s">
        <v>54</v>
      </c>
    </row>
    <row r="6594" spans="1:12" x14ac:dyDescent="0.25">
      <c r="A6594" t="s">
        <v>487</v>
      </c>
      <c r="B6594" t="s">
        <v>467</v>
      </c>
      <c r="C6594" t="s">
        <v>468</v>
      </c>
      <c r="D6594" t="s">
        <v>290</v>
      </c>
      <c r="E6594" t="s">
        <v>294</v>
      </c>
      <c r="F6594">
        <v>2</v>
      </c>
      <c r="G6594" t="s">
        <v>498</v>
      </c>
      <c r="H6594" s="4">
        <v>7180349</v>
      </c>
      <c r="I6594" s="4">
        <v>9944685</v>
      </c>
      <c r="J6594" s="3">
        <v>0.38498630080515583</v>
      </c>
      <c r="K6594" s="3">
        <v>-0.27797119767996675</v>
      </c>
      <c r="L6594" t="s">
        <v>54</v>
      </c>
    </row>
    <row r="6595" spans="1:12" x14ac:dyDescent="0.25">
      <c r="A6595" t="s">
        <v>487</v>
      </c>
      <c r="B6595" t="s">
        <v>467</v>
      </c>
      <c r="C6595" t="s">
        <v>468</v>
      </c>
      <c r="D6595" t="s">
        <v>290</v>
      </c>
      <c r="E6595" t="s">
        <v>294</v>
      </c>
      <c r="F6595">
        <v>2</v>
      </c>
      <c r="G6595" t="s">
        <v>499</v>
      </c>
      <c r="H6595" s="4">
        <v>7180349</v>
      </c>
      <c r="I6595" s="4">
        <v>9416824</v>
      </c>
      <c r="J6595" s="3">
        <v>0.3114716290252744</v>
      </c>
      <c r="K6595" s="3">
        <v>-0.23749780180663885</v>
      </c>
      <c r="L6595" t="s">
        <v>54</v>
      </c>
    </row>
    <row r="6596" spans="1:12" x14ac:dyDescent="0.25">
      <c r="A6596" t="s">
        <v>487</v>
      </c>
      <c r="B6596" t="s">
        <v>467</v>
      </c>
      <c r="C6596" t="s">
        <v>468</v>
      </c>
      <c r="D6596" t="s">
        <v>290</v>
      </c>
      <c r="E6596" t="s">
        <v>296</v>
      </c>
      <c r="F6596">
        <v>3</v>
      </c>
      <c r="G6596" t="s">
        <v>488</v>
      </c>
      <c r="H6596" s="4">
        <v>9535634</v>
      </c>
      <c r="I6596" s="4">
        <v>14329613.78560377</v>
      </c>
      <c r="J6596" s="3">
        <v>0.5027436860101562</v>
      </c>
      <c r="K6596" s="3">
        <v>-0.3345505229471038</v>
      </c>
      <c r="L6596" t="s">
        <v>54</v>
      </c>
    </row>
    <row r="6597" spans="1:12" x14ac:dyDescent="0.25">
      <c r="A6597" t="s">
        <v>487</v>
      </c>
      <c r="B6597" t="s">
        <v>467</v>
      </c>
      <c r="C6597" t="s">
        <v>468</v>
      </c>
      <c r="D6597" t="s">
        <v>290</v>
      </c>
      <c r="E6597" t="s">
        <v>296</v>
      </c>
      <c r="F6597">
        <v>3</v>
      </c>
      <c r="G6597" t="s">
        <v>498</v>
      </c>
      <c r="H6597" s="4">
        <v>9535634</v>
      </c>
      <c r="I6597" s="4">
        <v>15485449</v>
      </c>
      <c r="J6597" s="3">
        <v>0.6239558900855465</v>
      </c>
      <c r="K6597" s="3">
        <v>-0.38421972782319713</v>
      </c>
      <c r="L6597" t="s">
        <v>54</v>
      </c>
    </row>
    <row r="6598" spans="1:12" x14ac:dyDescent="0.25">
      <c r="A6598" t="s">
        <v>487</v>
      </c>
      <c r="B6598" t="s">
        <v>467</v>
      </c>
      <c r="C6598" t="s">
        <v>468</v>
      </c>
      <c r="D6598" t="s">
        <v>290</v>
      </c>
      <c r="E6598" t="s">
        <v>296</v>
      </c>
      <c r="F6598">
        <v>3</v>
      </c>
      <c r="G6598" t="s">
        <v>499</v>
      </c>
      <c r="H6598" s="4">
        <v>9535634</v>
      </c>
      <c r="I6598" s="4">
        <v>9416824</v>
      </c>
      <c r="J6598" s="3">
        <v>0.012459580558565901</v>
      </c>
      <c r="K6598" s="3">
        <v>0.012616780349723007</v>
      </c>
      <c r="L6598" t="s">
        <v>54</v>
      </c>
    </row>
    <row r="6599" spans="1:12" x14ac:dyDescent="0.25">
      <c r="A6599" t="s">
        <v>487</v>
      </c>
      <c r="B6599" t="s">
        <v>467</v>
      </c>
      <c r="C6599" t="s">
        <v>468</v>
      </c>
      <c r="D6599" t="s">
        <v>292</v>
      </c>
      <c r="E6599" t="s">
        <v>294</v>
      </c>
      <c r="F6599">
        <v>1</v>
      </c>
      <c r="G6599" t="s">
        <v>488</v>
      </c>
      <c r="H6599" s="4">
        <v>7180349</v>
      </c>
      <c r="I6599" s="4">
        <v>8904600.171361698</v>
      </c>
      <c r="J6599" s="3">
        <v>0.24013473040958005</v>
      </c>
      <c r="K6599" s="3">
        <v>-0.19363600141274218</v>
      </c>
      <c r="L6599" t="s">
        <v>54</v>
      </c>
    </row>
    <row r="6600" spans="1:12" x14ac:dyDescent="0.25">
      <c r="A6600" t="s">
        <v>487</v>
      </c>
      <c r="B6600" t="s">
        <v>467</v>
      </c>
      <c r="C6600" t="s">
        <v>468</v>
      </c>
      <c r="D6600" t="s">
        <v>292</v>
      </c>
      <c r="E6600" t="s">
        <v>294</v>
      </c>
      <c r="F6600">
        <v>1</v>
      </c>
      <c r="G6600" t="s">
        <v>498</v>
      </c>
      <c r="H6600" s="4">
        <v>7180349</v>
      </c>
      <c r="I6600" s="4">
        <v>9944685</v>
      </c>
      <c r="J6600" s="3">
        <v>0.38498630080515583</v>
      </c>
      <c r="K6600" s="3">
        <v>-0.27797119767996675</v>
      </c>
      <c r="L6600" t="s">
        <v>54</v>
      </c>
    </row>
    <row r="6601" spans="1:12" x14ac:dyDescent="0.25">
      <c r="A6601" t="s">
        <v>487</v>
      </c>
      <c r="B6601" t="s">
        <v>467</v>
      </c>
      <c r="C6601" t="s">
        <v>468</v>
      </c>
      <c r="D6601" t="s">
        <v>292</v>
      </c>
      <c r="E6601" t="s">
        <v>294</v>
      </c>
      <c r="F6601">
        <v>1</v>
      </c>
      <c r="G6601" t="s">
        <v>499</v>
      </c>
      <c r="H6601" s="4">
        <v>7180349</v>
      </c>
      <c r="I6601" s="4">
        <v>4424245</v>
      </c>
      <c r="J6601" s="3">
        <v>0.383839838425681</v>
      </c>
      <c r="K6601" s="3">
        <v>0.6229546510195525</v>
      </c>
      <c r="L6601" t="s">
        <v>54</v>
      </c>
    </row>
    <row r="6602" spans="1:12" x14ac:dyDescent="0.25">
      <c r="A6602" t="s">
        <v>487</v>
      </c>
      <c r="B6602" t="s">
        <v>467</v>
      </c>
      <c r="C6602" t="s">
        <v>468</v>
      </c>
      <c r="D6602" t="s">
        <v>292</v>
      </c>
      <c r="E6602" t="s">
        <v>296</v>
      </c>
      <c r="F6602">
        <v>2</v>
      </c>
      <c r="G6602" t="s">
        <v>488</v>
      </c>
      <c r="H6602" s="4">
        <v>9535634</v>
      </c>
      <c r="I6602" s="4">
        <v>13865872.254275808</v>
      </c>
      <c r="J6602" s="3">
        <v>0.45411120584911374</v>
      </c>
      <c r="K6602" s="3">
        <v>-0.3122946883446511</v>
      </c>
      <c r="L6602" t="s">
        <v>54</v>
      </c>
    </row>
    <row r="6603" spans="1:12" x14ac:dyDescent="0.25">
      <c r="A6603" t="s">
        <v>487</v>
      </c>
      <c r="B6603" t="s">
        <v>467</v>
      </c>
      <c r="C6603" t="s">
        <v>468</v>
      </c>
      <c r="D6603" t="s">
        <v>292</v>
      </c>
      <c r="E6603" t="s">
        <v>296</v>
      </c>
      <c r="F6603">
        <v>2</v>
      </c>
      <c r="G6603" t="s">
        <v>498</v>
      </c>
      <c r="H6603" s="4">
        <v>9535634</v>
      </c>
      <c r="I6603" s="4">
        <v>15485449</v>
      </c>
      <c r="J6603" s="3">
        <v>0.6239558900855465</v>
      </c>
      <c r="K6603" s="3">
        <v>-0.38421972782319713</v>
      </c>
      <c r="L6603" t="s">
        <v>54</v>
      </c>
    </row>
    <row r="6604" spans="1:12" x14ac:dyDescent="0.25">
      <c r="A6604" t="s">
        <v>487</v>
      </c>
      <c r="B6604" t="s">
        <v>467</v>
      </c>
      <c r="C6604" t="s">
        <v>468</v>
      </c>
      <c r="D6604" t="s">
        <v>292</v>
      </c>
      <c r="E6604" t="s">
        <v>296</v>
      </c>
      <c r="F6604">
        <v>2</v>
      </c>
      <c r="G6604" t="s">
        <v>499</v>
      </c>
      <c r="H6604" s="4">
        <v>9535634</v>
      </c>
      <c r="I6604" s="4">
        <v>4424245</v>
      </c>
      <c r="J6604" s="3">
        <v>0.5360303258283613</v>
      </c>
      <c r="K6604" s="3">
        <v>1.155313279440899</v>
      </c>
      <c r="L6604" t="s">
        <v>54</v>
      </c>
    </row>
    <row r="6605" spans="1:12" x14ac:dyDescent="0.25">
      <c r="A6605" t="s">
        <v>487</v>
      </c>
      <c r="B6605" t="s">
        <v>467</v>
      </c>
      <c r="C6605" t="s">
        <v>468</v>
      </c>
      <c r="D6605" t="s">
        <v>292</v>
      </c>
      <c r="E6605" t="s">
        <v>298</v>
      </c>
      <c r="F6605">
        <v>3</v>
      </c>
      <c r="G6605" t="s">
        <v>488</v>
      </c>
      <c r="H6605" s="4">
        <v>11129644</v>
      </c>
      <c r="I6605" s="4">
        <v>13739706.772579284</v>
      </c>
      <c r="J6605" s="3">
        <v>0.23451448874548766</v>
      </c>
      <c r="K6605" s="3">
        <v>-0.18996495454970402</v>
      </c>
      <c r="L6605" t="s">
        <v>54</v>
      </c>
    </row>
    <row r="6606" spans="1:12" x14ac:dyDescent="0.25">
      <c r="A6606" t="s">
        <v>487</v>
      </c>
      <c r="B6606" t="s">
        <v>467</v>
      </c>
      <c r="C6606" t="s">
        <v>468</v>
      </c>
      <c r="D6606" t="s">
        <v>292</v>
      </c>
      <c r="E6606" t="s">
        <v>298</v>
      </c>
      <c r="F6606">
        <v>3</v>
      </c>
      <c r="G6606" t="s">
        <v>498</v>
      </c>
      <c r="H6606" s="4">
        <v>11129644</v>
      </c>
      <c r="I6606" s="4">
        <v>15344547</v>
      </c>
      <c r="J6606" s="3">
        <v>0.3787095975396877</v>
      </c>
      <c r="K6606" s="3">
        <v>-0.27468409461680426</v>
      </c>
      <c r="L6606" t="s">
        <v>54</v>
      </c>
    </row>
    <row r="6607" spans="1:12" x14ac:dyDescent="0.25">
      <c r="A6607" t="s">
        <v>487</v>
      </c>
      <c r="B6607" t="s">
        <v>467</v>
      </c>
      <c r="C6607" t="s">
        <v>468</v>
      </c>
      <c r="D6607" t="s">
        <v>292</v>
      </c>
      <c r="E6607" t="s">
        <v>298</v>
      </c>
      <c r="F6607">
        <v>3</v>
      </c>
      <c r="G6607" t="s">
        <v>499</v>
      </c>
      <c r="H6607" s="4">
        <v>11129644</v>
      </c>
      <c r="I6607" s="4">
        <v>4424245</v>
      </c>
      <c r="J6607" s="3">
        <v>0.6024809957982483</v>
      </c>
      <c r="K6607" s="3">
        <v>1.5156030011900337</v>
      </c>
      <c r="L6607" t="s">
        <v>54</v>
      </c>
    </row>
    <row r="6608" spans="1:12" x14ac:dyDescent="0.25">
      <c r="A6608" t="s">
        <v>487</v>
      </c>
      <c r="B6608" t="s">
        <v>467</v>
      </c>
      <c r="C6608" t="s">
        <v>468</v>
      </c>
      <c r="D6608" t="s">
        <v>294</v>
      </c>
      <c r="E6608" t="s">
        <v>296</v>
      </c>
      <c r="F6608">
        <v>1</v>
      </c>
      <c r="G6608" t="s">
        <v>488</v>
      </c>
      <c r="H6608" s="4">
        <v>9535634</v>
      </c>
      <c r="I6608" s="4">
        <v>13510454.648446547</v>
      </c>
      <c r="J6608" s="3">
        <v>0.4168386337443894</v>
      </c>
      <c r="K6608" s="3">
        <v>-0.29420332267675225</v>
      </c>
      <c r="L6608" t="s">
        <v>54</v>
      </c>
    </row>
    <row r="6609" spans="1:12" x14ac:dyDescent="0.25">
      <c r="A6609" t="s">
        <v>487</v>
      </c>
      <c r="B6609" t="s">
        <v>467</v>
      </c>
      <c r="C6609" t="s">
        <v>468</v>
      </c>
      <c r="D6609" t="s">
        <v>294</v>
      </c>
      <c r="E6609" t="s">
        <v>296</v>
      </c>
      <c r="F6609">
        <v>1</v>
      </c>
      <c r="G6609" t="s">
        <v>498</v>
      </c>
      <c r="H6609" s="4">
        <v>9535634</v>
      </c>
      <c r="I6609" s="4">
        <v>15485449</v>
      </c>
      <c r="J6609" s="3">
        <v>0.6239558900855465</v>
      </c>
      <c r="K6609" s="3">
        <v>-0.38421972782319713</v>
      </c>
      <c r="L6609" t="s">
        <v>54</v>
      </c>
    </row>
    <row r="6610" spans="1:12" x14ac:dyDescent="0.25">
      <c r="A6610" t="s">
        <v>487</v>
      </c>
      <c r="B6610" t="s">
        <v>467</v>
      </c>
      <c r="C6610" t="s">
        <v>468</v>
      </c>
      <c r="D6610" t="s">
        <v>294</v>
      </c>
      <c r="E6610" t="s">
        <v>296</v>
      </c>
      <c r="F6610">
        <v>1</v>
      </c>
      <c r="G6610" t="s">
        <v>499</v>
      </c>
      <c r="H6610" s="4">
        <v>9535634</v>
      </c>
      <c r="I6610" s="4">
        <v>7180349</v>
      </c>
      <c r="J6610" s="3">
        <v>0.2469982593711126</v>
      </c>
      <c r="K6610" s="3">
        <v>0.3280181785035797</v>
      </c>
      <c r="L6610" t="s">
        <v>54</v>
      </c>
    </row>
    <row r="6611" spans="1:12" x14ac:dyDescent="0.25">
      <c r="A6611" t="s">
        <v>487</v>
      </c>
      <c r="B6611" t="s">
        <v>467</v>
      </c>
      <c r="C6611" t="s">
        <v>468</v>
      </c>
      <c r="D6611" t="s">
        <v>294</v>
      </c>
      <c r="E6611" t="s">
        <v>298</v>
      </c>
      <c r="F6611">
        <v>2</v>
      </c>
      <c r="G6611" t="s">
        <v>488</v>
      </c>
      <c r="H6611" s="4">
        <v>11129644</v>
      </c>
      <c r="I6611" s="4">
        <v>13387523.10923994</v>
      </c>
      <c r="J6611" s="3">
        <v>0.20287073955284998</v>
      </c>
      <c r="K6611" s="3">
        <v>-0.1686554780011228</v>
      </c>
      <c r="L6611" t="s">
        <v>54</v>
      </c>
    </row>
    <row r="6612" spans="1:12" x14ac:dyDescent="0.25">
      <c r="A6612" t="s">
        <v>487</v>
      </c>
      <c r="B6612" t="s">
        <v>467</v>
      </c>
      <c r="C6612" t="s">
        <v>468</v>
      </c>
      <c r="D6612" t="s">
        <v>294</v>
      </c>
      <c r="E6612" t="s">
        <v>298</v>
      </c>
      <c r="F6612">
        <v>2</v>
      </c>
      <c r="G6612" t="s">
        <v>498</v>
      </c>
      <c r="H6612" s="4">
        <v>11129644</v>
      </c>
      <c r="I6612" s="4">
        <v>15344547</v>
      </c>
      <c r="J6612" s="3">
        <v>0.3787095975396877</v>
      </c>
      <c r="K6612" s="3">
        <v>-0.27468409461680426</v>
      </c>
      <c r="L6612" t="s">
        <v>54</v>
      </c>
    </row>
    <row r="6613" spans="1:12" x14ac:dyDescent="0.25">
      <c r="A6613" t="s">
        <v>487</v>
      </c>
      <c r="B6613" t="s">
        <v>467</v>
      </c>
      <c r="C6613" t="s">
        <v>468</v>
      </c>
      <c r="D6613" t="s">
        <v>294</v>
      </c>
      <c r="E6613" t="s">
        <v>298</v>
      </c>
      <c r="F6613">
        <v>2</v>
      </c>
      <c r="G6613" t="s">
        <v>499</v>
      </c>
      <c r="H6613" s="4">
        <v>11129644</v>
      </c>
      <c r="I6613" s="4">
        <v>7180349</v>
      </c>
      <c r="J6613" s="3">
        <v>0.35484468326210616</v>
      </c>
      <c r="K6613" s="3">
        <v>0.5500143516700929</v>
      </c>
      <c r="L6613" t="s">
        <v>54</v>
      </c>
    </row>
    <row r="6614" spans="1:12" x14ac:dyDescent="0.25">
      <c r="A6614" t="s">
        <v>487</v>
      </c>
      <c r="B6614" t="s">
        <v>467</v>
      </c>
      <c r="C6614" t="s">
        <v>468</v>
      </c>
      <c r="D6614" t="s">
        <v>294</v>
      </c>
      <c r="E6614" t="s">
        <v>300</v>
      </c>
      <c r="F6614">
        <v>3</v>
      </c>
      <c r="G6614" t="s">
        <v>488</v>
      </c>
      <c r="H6614" s="4">
        <v>15558898</v>
      </c>
      <c r="I6614" s="4">
        <v>9653399.302439412</v>
      </c>
      <c r="J6614" s="3">
        <v>0.3795576458924397</v>
      </c>
      <c r="K6614" s="3">
        <v>0.611753281154367</v>
      </c>
      <c r="L6614" t="s">
        <v>54</v>
      </c>
    </row>
    <row r="6615" spans="1:12" x14ac:dyDescent="0.25">
      <c r="A6615" t="s">
        <v>487</v>
      </c>
      <c r="B6615" t="s">
        <v>467</v>
      </c>
      <c r="C6615" t="s">
        <v>468</v>
      </c>
      <c r="D6615" t="s">
        <v>294</v>
      </c>
      <c r="E6615" t="s">
        <v>300</v>
      </c>
      <c r="F6615">
        <v>3</v>
      </c>
      <c r="G6615" t="s">
        <v>498</v>
      </c>
      <c r="H6615" s="4">
        <v>15558898</v>
      </c>
      <c r="I6615" s="4">
        <v>11064559</v>
      </c>
      <c r="J6615" s="3">
        <v>0.288859725155342</v>
      </c>
      <c r="K6615" s="3">
        <v>0.4061923299428382</v>
      </c>
      <c r="L6615" t="s">
        <v>54</v>
      </c>
    </row>
    <row r="6616" spans="1:12" x14ac:dyDescent="0.25">
      <c r="A6616" t="s">
        <v>487</v>
      </c>
      <c r="B6616" t="s">
        <v>467</v>
      </c>
      <c r="C6616" t="s">
        <v>468</v>
      </c>
      <c r="D6616" t="s">
        <v>294</v>
      </c>
      <c r="E6616" t="s">
        <v>300</v>
      </c>
      <c r="F6616">
        <v>3</v>
      </c>
      <c r="G6616" t="s">
        <v>499</v>
      </c>
      <c r="H6616" s="4">
        <v>15558898</v>
      </c>
      <c r="I6616" s="4">
        <v>7180349</v>
      </c>
      <c r="J6616" s="3">
        <v>0.5385052977402384</v>
      </c>
      <c r="K6616" s="3">
        <v>1.166872111648055</v>
      </c>
      <c r="L6616" t="s">
        <v>54</v>
      </c>
    </row>
    <row r="6617" spans="1:12" x14ac:dyDescent="0.25">
      <c r="A6617" t="s">
        <v>487</v>
      </c>
      <c r="B6617" t="s">
        <v>467</v>
      </c>
      <c r="C6617" t="s">
        <v>468</v>
      </c>
      <c r="D6617" t="s">
        <v>296</v>
      </c>
      <c r="E6617" t="s">
        <v>298</v>
      </c>
      <c r="F6617">
        <v>1</v>
      </c>
      <c r="G6617" t="s">
        <v>488</v>
      </c>
      <c r="H6617" s="4">
        <v>11129644</v>
      </c>
      <c r="I6617" s="4">
        <v>13010040.154636825</v>
      </c>
      <c r="J6617" s="3">
        <v>0.16895384566090565</v>
      </c>
      <c r="K6617" s="3">
        <v>-0.14453423143099559</v>
      </c>
      <c r="L6617" t="s">
        <v>54</v>
      </c>
    </row>
    <row r="6618" spans="1:12" x14ac:dyDescent="0.25">
      <c r="A6618" t="s">
        <v>487</v>
      </c>
      <c r="B6618" t="s">
        <v>467</v>
      </c>
      <c r="C6618" t="s">
        <v>468</v>
      </c>
      <c r="D6618" t="s">
        <v>296</v>
      </c>
      <c r="E6618" t="s">
        <v>298</v>
      </c>
      <c r="F6618">
        <v>1</v>
      </c>
      <c r="G6618" t="s">
        <v>498</v>
      </c>
      <c r="H6618" s="4">
        <v>11129644</v>
      </c>
      <c r="I6618" s="4">
        <v>15344547</v>
      </c>
      <c r="J6618" s="3">
        <v>0.3787095975396877</v>
      </c>
      <c r="K6618" s="3">
        <v>-0.27468409461680426</v>
      </c>
      <c r="L6618" t="s">
        <v>54</v>
      </c>
    </row>
    <row r="6619" spans="1:12" x14ac:dyDescent="0.25">
      <c r="A6619" t="s">
        <v>487</v>
      </c>
      <c r="B6619" t="s">
        <v>467</v>
      </c>
      <c r="C6619" t="s">
        <v>468</v>
      </c>
      <c r="D6619" t="s">
        <v>296</v>
      </c>
      <c r="E6619" t="s">
        <v>298</v>
      </c>
      <c r="F6619">
        <v>1</v>
      </c>
      <c r="G6619" t="s">
        <v>499</v>
      </c>
      <c r="H6619" s="4">
        <v>11129644</v>
      </c>
      <c r="I6619" s="4">
        <v>9535634</v>
      </c>
      <c r="J6619" s="3">
        <v>0.14322201141384217</v>
      </c>
      <c r="K6619" s="3">
        <v>0.16716350480733635</v>
      </c>
      <c r="L6619" t="s">
        <v>54</v>
      </c>
    </row>
    <row r="6620" spans="1:12" x14ac:dyDescent="0.25">
      <c r="A6620" t="s">
        <v>487</v>
      </c>
      <c r="B6620" t="s">
        <v>467</v>
      </c>
      <c r="C6620" t="s">
        <v>468</v>
      </c>
      <c r="D6620" t="s">
        <v>296</v>
      </c>
      <c r="E6620" t="s">
        <v>300</v>
      </c>
      <c r="F6620">
        <v>2</v>
      </c>
      <c r="G6620" t="s">
        <v>488</v>
      </c>
      <c r="H6620" s="4">
        <v>15558898</v>
      </c>
      <c r="I6620" s="4">
        <v>9381206.032563116</v>
      </c>
      <c r="J6620" s="3">
        <v>0.3970520256278358</v>
      </c>
      <c r="K6620" s="3">
        <v>0.6585178862923903</v>
      </c>
      <c r="L6620" t="s">
        <v>54</v>
      </c>
    </row>
    <row r="6621" spans="1:12" x14ac:dyDescent="0.25">
      <c r="A6621" t="s">
        <v>487</v>
      </c>
      <c r="B6621" t="s">
        <v>467</v>
      </c>
      <c r="C6621" t="s">
        <v>468</v>
      </c>
      <c r="D6621" t="s">
        <v>296</v>
      </c>
      <c r="E6621" t="s">
        <v>300</v>
      </c>
      <c r="F6621">
        <v>2</v>
      </c>
      <c r="G6621" t="s">
        <v>498</v>
      </c>
      <c r="H6621" s="4">
        <v>15558898</v>
      </c>
      <c r="I6621" s="4">
        <v>11064559</v>
      </c>
      <c r="J6621" s="3">
        <v>0.288859725155342</v>
      </c>
      <c r="K6621" s="3">
        <v>0.4061923299428382</v>
      </c>
      <c r="L6621" t="s">
        <v>54</v>
      </c>
    </row>
    <row r="6622" spans="1:12" x14ac:dyDescent="0.25">
      <c r="A6622" t="s">
        <v>487</v>
      </c>
      <c r="B6622" t="s">
        <v>467</v>
      </c>
      <c r="C6622" t="s">
        <v>468</v>
      </c>
      <c r="D6622" t="s">
        <v>296</v>
      </c>
      <c r="E6622" t="s">
        <v>300</v>
      </c>
      <c r="F6622">
        <v>2</v>
      </c>
      <c r="G6622" t="s">
        <v>499</v>
      </c>
      <c r="H6622" s="4">
        <v>15558898</v>
      </c>
      <c r="I6622" s="4">
        <v>9535634</v>
      </c>
      <c r="J6622" s="3">
        <v>0.38712664611593955</v>
      </c>
      <c r="K6622" s="3">
        <v>0.6316584717911782</v>
      </c>
      <c r="L6622" t="s">
        <v>54</v>
      </c>
    </row>
    <row r="6623" spans="1:12" x14ac:dyDescent="0.25">
      <c r="A6623" t="s">
        <v>487</v>
      </c>
      <c r="B6623" t="s">
        <v>467</v>
      </c>
      <c r="C6623" t="s">
        <v>468</v>
      </c>
      <c r="D6623" t="s">
        <v>296</v>
      </c>
      <c r="E6623" t="s">
        <v>302</v>
      </c>
      <c r="F6623">
        <v>3</v>
      </c>
      <c r="G6623" t="s">
        <v>488</v>
      </c>
      <c r="H6623" s="4">
        <v>9973500</v>
      </c>
      <c r="I6623" s="4">
        <v>6940606.4523573285</v>
      </c>
      <c r="J6623" s="3">
        <v>0.30409520706298404</v>
      </c>
      <c r="K6623" s="3">
        <v>0.4369781759650946</v>
      </c>
      <c r="L6623" t="s">
        <v>54</v>
      </c>
    </row>
    <row r="6624" spans="1:12" x14ac:dyDescent="0.25">
      <c r="A6624" t="s">
        <v>487</v>
      </c>
      <c r="B6624" t="s">
        <v>467</v>
      </c>
      <c r="C6624" t="s">
        <v>468</v>
      </c>
      <c r="D6624" t="s">
        <v>296</v>
      </c>
      <c r="E6624" t="s">
        <v>302</v>
      </c>
      <c r="F6624">
        <v>3</v>
      </c>
      <c r="G6624" t="s">
        <v>498</v>
      </c>
      <c r="H6624" s="4">
        <v>9973500</v>
      </c>
      <c r="I6624" s="4">
        <v>8186021</v>
      </c>
      <c r="J6624" s="3">
        <v>0.1792228405273976</v>
      </c>
      <c r="K6624" s="3">
        <v>0.21835749016524633</v>
      </c>
      <c r="L6624" t="s">
        <v>54</v>
      </c>
    </row>
    <row r="6625" spans="1:12" x14ac:dyDescent="0.25">
      <c r="A6625" t="s">
        <v>487</v>
      </c>
      <c r="B6625" t="s">
        <v>467</v>
      </c>
      <c r="C6625" t="s">
        <v>468</v>
      </c>
      <c r="D6625" t="s">
        <v>296</v>
      </c>
      <c r="E6625" t="s">
        <v>302</v>
      </c>
      <c r="F6625">
        <v>3</v>
      </c>
      <c r="G6625" t="s">
        <v>499</v>
      </c>
      <c r="H6625" s="4">
        <v>9973500</v>
      </c>
      <c r="I6625" s="4">
        <v>9535634</v>
      </c>
      <c r="J6625" s="3">
        <v>0.0439029427984158</v>
      </c>
      <c r="K6625" s="3">
        <v>0.04591891844842199</v>
      </c>
      <c r="L6625" t="s">
        <v>54</v>
      </c>
    </row>
    <row r="6626" spans="1:12" x14ac:dyDescent="0.25">
      <c r="A6626" t="s">
        <v>487</v>
      </c>
      <c r="B6626" t="s">
        <v>467</v>
      </c>
      <c r="C6626" t="s">
        <v>468</v>
      </c>
      <c r="D6626" t="s">
        <v>298</v>
      </c>
      <c r="E6626" t="s">
        <v>300</v>
      </c>
      <c r="F6626">
        <v>1</v>
      </c>
      <c r="G6626" t="s">
        <v>488</v>
      </c>
      <c r="H6626" s="4">
        <v>15558898</v>
      </c>
      <c r="I6626" s="4">
        <v>9207147.941211421</v>
      </c>
      <c r="J6626" s="3">
        <v>0.408239070581257</v>
      </c>
      <c r="K6626" s="3">
        <v>0.6898716192403067</v>
      </c>
      <c r="L6626" t="s">
        <v>54</v>
      </c>
    </row>
    <row r="6627" spans="1:12" x14ac:dyDescent="0.25">
      <c r="A6627" t="s">
        <v>487</v>
      </c>
      <c r="B6627" t="s">
        <v>467</v>
      </c>
      <c r="C6627" t="s">
        <v>468</v>
      </c>
      <c r="D6627" t="s">
        <v>298</v>
      </c>
      <c r="E6627" t="s">
        <v>300</v>
      </c>
      <c r="F6627">
        <v>1</v>
      </c>
      <c r="G6627" t="s">
        <v>498</v>
      </c>
      <c r="H6627" s="4">
        <v>15558898</v>
      </c>
      <c r="I6627" s="4">
        <v>11064559</v>
      </c>
      <c r="J6627" s="3">
        <v>0.288859725155342</v>
      </c>
      <c r="K6627" s="3">
        <v>0.4061923299428382</v>
      </c>
      <c r="L6627" t="s">
        <v>54</v>
      </c>
    </row>
    <row r="6628" spans="1:12" x14ac:dyDescent="0.25">
      <c r="A6628" t="s">
        <v>487</v>
      </c>
      <c r="B6628" t="s">
        <v>467</v>
      </c>
      <c r="C6628" t="s">
        <v>468</v>
      </c>
      <c r="D6628" t="s">
        <v>298</v>
      </c>
      <c r="E6628" t="s">
        <v>300</v>
      </c>
      <c r="F6628">
        <v>1</v>
      </c>
      <c r="G6628" t="s">
        <v>499</v>
      </c>
      <c r="H6628" s="4">
        <v>15558898</v>
      </c>
      <c r="I6628" s="4">
        <v>11129644</v>
      </c>
      <c r="J6628" s="3">
        <v>0.2846765882776531</v>
      </c>
      <c r="K6628" s="3">
        <v>0.39796906352080985</v>
      </c>
      <c r="L6628" t="s">
        <v>54</v>
      </c>
    </row>
    <row r="6629" spans="1:12" x14ac:dyDescent="0.25">
      <c r="A6629" t="s">
        <v>487</v>
      </c>
      <c r="B6629" t="s">
        <v>467</v>
      </c>
      <c r="C6629" t="s">
        <v>468</v>
      </c>
      <c r="D6629" t="s">
        <v>298</v>
      </c>
      <c r="E6629" t="s">
        <v>302</v>
      </c>
      <c r="F6629">
        <v>2</v>
      </c>
      <c r="G6629" t="s">
        <v>488</v>
      </c>
      <c r="H6629" s="4">
        <v>9973500</v>
      </c>
      <c r="I6629" s="4">
        <v>6811831.036091312</v>
      </c>
      <c r="J6629" s="3">
        <v>0.3170069648477153</v>
      </c>
      <c r="K6629" s="3">
        <v>0.46414377384834277</v>
      </c>
      <c r="L6629" t="s">
        <v>54</v>
      </c>
    </row>
    <row r="6630" spans="1:12" x14ac:dyDescent="0.25">
      <c r="A6630" t="s">
        <v>487</v>
      </c>
      <c r="B6630" t="s">
        <v>467</v>
      </c>
      <c r="C6630" t="s">
        <v>468</v>
      </c>
      <c r="D6630" t="s">
        <v>298</v>
      </c>
      <c r="E6630" t="s">
        <v>302</v>
      </c>
      <c r="F6630">
        <v>2</v>
      </c>
      <c r="G6630" t="s">
        <v>498</v>
      </c>
      <c r="H6630" s="4">
        <v>9973500</v>
      </c>
      <c r="I6630" s="4">
        <v>8186021</v>
      </c>
      <c r="J6630" s="3">
        <v>0.1792228405273976</v>
      </c>
      <c r="K6630" s="3">
        <v>0.21835749016524633</v>
      </c>
      <c r="L6630" t="s">
        <v>54</v>
      </c>
    </row>
    <row r="6631" spans="1:12" x14ac:dyDescent="0.25">
      <c r="A6631" t="s">
        <v>487</v>
      </c>
      <c r="B6631" t="s">
        <v>467</v>
      </c>
      <c r="C6631" t="s">
        <v>468</v>
      </c>
      <c r="D6631" t="s">
        <v>298</v>
      </c>
      <c r="E6631" t="s">
        <v>302</v>
      </c>
      <c r="F6631">
        <v>2</v>
      </c>
      <c r="G6631" t="s">
        <v>499</v>
      </c>
      <c r="H6631" s="4">
        <v>9973500</v>
      </c>
      <c r="I6631" s="4">
        <v>11129644</v>
      </c>
      <c r="J6631" s="3">
        <v>0.11592159221938136</v>
      </c>
      <c r="K6631" s="3">
        <v>-0.10387969282755136</v>
      </c>
      <c r="L6631" t="s">
        <v>54</v>
      </c>
    </row>
    <row r="6632" spans="1:12" x14ac:dyDescent="0.25">
      <c r="A6632" t="s">
        <v>487</v>
      </c>
      <c r="B6632" t="s">
        <v>467</v>
      </c>
      <c r="C6632" t="s">
        <v>468</v>
      </c>
      <c r="D6632" t="s">
        <v>298</v>
      </c>
      <c r="E6632" t="s">
        <v>304</v>
      </c>
      <c r="F6632">
        <v>3</v>
      </c>
      <c r="G6632" t="s">
        <v>488</v>
      </c>
      <c r="H6632" s="4">
        <v>5654078</v>
      </c>
      <c r="I6632" s="4">
        <v>6105807.280484551</v>
      </c>
      <c r="J6632" s="3">
        <v>0.07989441965331052</v>
      </c>
      <c r="K6632" s="3">
        <v>-0.07398354709431672</v>
      </c>
      <c r="L6632" t="s">
        <v>54</v>
      </c>
    </row>
    <row r="6633" spans="1:12" x14ac:dyDescent="0.25">
      <c r="A6633" t="s">
        <v>487</v>
      </c>
      <c r="B6633" t="s">
        <v>467</v>
      </c>
      <c r="C6633" t="s">
        <v>468</v>
      </c>
      <c r="D6633" t="s">
        <v>298</v>
      </c>
      <c r="E6633" t="s">
        <v>304</v>
      </c>
      <c r="F6633">
        <v>3</v>
      </c>
      <c r="G6633" t="s">
        <v>498</v>
      </c>
      <c r="H6633" s="4">
        <v>5654078</v>
      </c>
      <c r="I6633" s="4">
        <v>7337567</v>
      </c>
      <c r="J6633" s="3">
        <v>0.2977477495004491</v>
      </c>
      <c r="K6633" s="3">
        <v>-0.229434225268403</v>
      </c>
      <c r="L6633" t="s">
        <v>54</v>
      </c>
    </row>
    <row r="6634" spans="1:12" x14ac:dyDescent="0.25">
      <c r="A6634" t="s">
        <v>487</v>
      </c>
      <c r="B6634" t="s">
        <v>467</v>
      </c>
      <c r="C6634" t="s">
        <v>468</v>
      </c>
      <c r="D6634" t="s">
        <v>298</v>
      </c>
      <c r="E6634" t="s">
        <v>304</v>
      </c>
      <c r="F6634">
        <v>3</v>
      </c>
      <c r="G6634" t="s">
        <v>499</v>
      </c>
      <c r="H6634" s="4">
        <v>5654078</v>
      </c>
      <c r="I6634" s="4">
        <v>11129644</v>
      </c>
      <c r="J6634" s="3">
        <v>0.9684277436568791</v>
      </c>
      <c r="K6634" s="3">
        <v>-0.4919803364779682</v>
      </c>
      <c r="L6634" t="s">
        <v>54</v>
      </c>
    </row>
    <row r="6635" spans="1:12" x14ac:dyDescent="0.25">
      <c r="A6635" t="s">
        <v>487</v>
      </c>
      <c r="B6635" t="s">
        <v>467</v>
      </c>
      <c r="C6635" t="s">
        <v>468</v>
      </c>
      <c r="D6635" t="s">
        <v>300</v>
      </c>
      <c r="E6635" t="s">
        <v>302</v>
      </c>
      <c r="F6635">
        <v>1</v>
      </c>
      <c r="G6635" t="s">
        <v>488</v>
      </c>
      <c r="H6635" s="4">
        <v>9973500</v>
      </c>
      <c r="I6635" s="4">
        <v>7135465.740455793</v>
      </c>
      <c r="J6635" s="3">
        <v>0.28455750333826707</v>
      </c>
      <c r="K6635" s="3">
        <v>0.39773637247719745</v>
      </c>
      <c r="L6635" t="s">
        <v>54</v>
      </c>
    </row>
    <row r="6636" spans="1:12" x14ac:dyDescent="0.25">
      <c r="A6636" t="s">
        <v>487</v>
      </c>
      <c r="B6636" t="s">
        <v>467</v>
      </c>
      <c r="C6636" t="s">
        <v>468</v>
      </c>
      <c r="D6636" t="s">
        <v>300</v>
      </c>
      <c r="E6636" t="s">
        <v>302</v>
      </c>
      <c r="F6636">
        <v>1</v>
      </c>
      <c r="G6636" t="s">
        <v>498</v>
      </c>
      <c r="H6636" s="4">
        <v>9973500</v>
      </c>
      <c r="I6636" s="4">
        <v>8186021</v>
      </c>
      <c r="J6636" s="3">
        <v>0.1792228405273976</v>
      </c>
      <c r="K6636" s="3">
        <v>0.21835749016524633</v>
      </c>
      <c r="L6636" t="s">
        <v>54</v>
      </c>
    </row>
    <row r="6637" spans="1:12" x14ac:dyDescent="0.25">
      <c r="A6637" t="s">
        <v>487</v>
      </c>
      <c r="B6637" t="s">
        <v>467</v>
      </c>
      <c r="C6637" t="s">
        <v>468</v>
      </c>
      <c r="D6637" t="s">
        <v>300</v>
      </c>
      <c r="E6637" t="s">
        <v>302</v>
      </c>
      <c r="F6637">
        <v>1</v>
      </c>
      <c r="G6637" t="s">
        <v>499</v>
      </c>
      <c r="H6637" s="4">
        <v>9973500</v>
      </c>
      <c r="I6637" s="4">
        <v>15558898</v>
      </c>
      <c r="J6637" s="3">
        <v>0.5600238632375796</v>
      </c>
      <c r="K6637" s="3">
        <v>-0.35898416455972654</v>
      </c>
      <c r="L6637" t="s">
        <v>54</v>
      </c>
    </row>
    <row r="6638" spans="1:12" x14ac:dyDescent="0.25">
      <c r="A6638" t="s">
        <v>487</v>
      </c>
      <c r="B6638" t="s">
        <v>467</v>
      </c>
      <c r="C6638" t="s">
        <v>468</v>
      </c>
      <c r="D6638" t="s">
        <v>300</v>
      </c>
      <c r="E6638" t="s">
        <v>304</v>
      </c>
      <c r="F6638">
        <v>2</v>
      </c>
      <c r="G6638" t="s">
        <v>488</v>
      </c>
      <c r="H6638" s="4">
        <v>5654078</v>
      </c>
      <c r="I6638" s="4">
        <v>6395898.318218215</v>
      </c>
      <c r="J6638" s="3">
        <v>0.13120093465605098</v>
      </c>
      <c r="K6638" s="3">
        <v>-0.11598375729413932</v>
      </c>
      <c r="L6638" t="s">
        <v>54</v>
      </c>
    </row>
    <row r="6639" spans="1:12" x14ac:dyDescent="0.25">
      <c r="A6639" t="s">
        <v>487</v>
      </c>
      <c r="B6639" t="s">
        <v>467</v>
      </c>
      <c r="C6639" t="s">
        <v>468</v>
      </c>
      <c r="D6639" t="s">
        <v>300</v>
      </c>
      <c r="E6639" t="s">
        <v>304</v>
      </c>
      <c r="F6639">
        <v>2</v>
      </c>
      <c r="G6639" t="s">
        <v>498</v>
      </c>
      <c r="H6639" s="4">
        <v>5654078</v>
      </c>
      <c r="I6639" s="4">
        <v>7337567</v>
      </c>
      <c r="J6639" s="3">
        <v>0.2977477495004491</v>
      </c>
      <c r="K6639" s="3">
        <v>-0.229434225268403</v>
      </c>
      <c r="L6639" t="s">
        <v>54</v>
      </c>
    </row>
    <row r="6640" spans="1:12" x14ac:dyDescent="0.25">
      <c r="A6640" t="s">
        <v>487</v>
      </c>
      <c r="B6640" t="s">
        <v>467</v>
      </c>
      <c r="C6640" t="s">
        <v>468</v>
      </c>
      <c r="D6640" t="s">
        <v>300</v>
      </c>
      <c r="E6640" t="s">
        <v>304</v>
      </c>
      <c r="F6640">
        <v>2</v>
      </c>
      <c r="G6640" t="s">
        <v>499</v>
      </c>
      <c r="H6640" s="4">
        <v>5654078</v>
      </c>
      <c r="I6640" s="4">
        <v>15558898</v>
      </c>
      <c r="J6640" s="3">
        <v>1.751801089408388</v>
      </c>
      <c r="K6640" s="3">
        <v>-0.6366016410673815</v>
      </c>
      <c r="L6640" t="s">
        <v>54</v>
      </c>
    </row>
    <row r="6641" spans="1:12" x14ac:dyDescent="0.25">
      <c r="A6641" t="s">
        <v>487</v>
      </c>
      <c r="B6641" t="s">
        <v>467</v>
      </c>
      <c r="C6641" t="s">
        <v>468</v>
      </c>
      <c r="D6641" t="s">
        <v>300</v>
      </c>
      <c r="E6641" t="s">
        <v>306</v>
      </c>
      <c r="F6641">
        <v>3</v>
      </c>
      <c r="G6641" t="s">
        <v>488</v>
      </c>
      <c r="H6641" s="4">
        <v>6257184</v>
      </c>
      <c r="I6641" s="4">
        <v>7433123.553938353</v>
      </c>
      <c r="J6641" s="3">
        <v>0.18793430941751968</v>
      </c>
      <c r="K6641" s="3">
        <v>-0.1582026109757446</v>
      </c>
      <c r="L6641" t="s">
        <v>54</v>
      </c>
    </row>
    <row r="6642" spans="1:12" x14ac:dyDescent="0.25">
      <c r="A6642" t="s">
        <v>487</v>
      </c>
      <c r="B6642" t="s">
        <v>467</v>
      </c>
      <c r="C6642" t="s">
        <v>468</v>
      </c>
      <c r="D6642" t="s">
        <v>300</v>
      </c>
      <c r="E6642" t="s">
        <v>306</v>
      </c>
      <c r="F6642">
        <v>3</v>
      </c>
      <c r="G6642" t="s">
        <v>498</v>
      </c>
      <c r="H6642" s="4">
        <v>6257184</v>
      </c>
      <c r="I6642" s="4">
        <v>8527503</v>
      </c>
      <c r="J6642" s="3">
        <v>0.36283398410531</v>
      </c>
      <c r="K6642" s="3">
        <v>-0.26623491073529965</v>
      </c>
      <c r="L6642" t="s">
        <v>54</v>
      </c>
    </row>
    <row r="6643" spans="1:12" x14ac:dyDescent="0.25">
      <c r="A6643" t="s">
        <v>487</v>
      </c>
      <c r="B6643" t="s">
        <v>467</v>
      </c>
      <c r="C6643" t="s">
        <v>468</v>
      </c>
      <c r="D6643" t="s">
        <v>300</v>
      </c>
      <c r="E6643" t="s">
        <v>306</v>
      </c>
      <c r="F6643">
        <v>3</v>
      </c>
      <c r="G6643" t="s">
        <v>499</v>
      </c>
      <c r="H6643" s="4">
        <v>6257184</v>
      </c>
      <c r="I6643" s="4">
        <v>15558898</v>
      </c>
      <c r="J6643" s="3">
        <v>1.4865655221262473</v>
      </c>
      <c r="K6643" s="3">
        <v>-0.5978388700793591</v>
      </c>
      <c r="L6643" t="s">
        <v>54</v>
      </c>
    </row>
    <row r="6644" spans="1:12" x14ac:dyDescent="0.25">
      <c r="A6644" t="s">
        <v>487</v>
      </c>
      <c r="B6644" t="s">
        <v>467</v>
      </c>
      <c r="C6644" t="s">
        <v>468</v>
      </c>
      <c r="D6644" t="s">
        <v>302</v>
      </c>
      <c r="E6644" t="s">
        <v>304</v>
      </c>
      <c r="F6644">
        <v>1</v>
      </c>
      <c r="G6644" t="s">
        <v>488</v>
      </c>
      <c r="H6644" s="4">
        <v>5654078</v>
      </c>
      <c r="I6644" s="4">
        <v>6597652.970119477</v>
      </c>
      <c r="J6644" s="3">
        <v>0.1668839676636009</v>
      </c>
      <c r="K6644" s="3">
        <v>-0.14301676283867806</v>
      </c>
      <c r="L6644" t="s">
        <v>54</v>
      </c>
    </row>
    <row r="6645" spans="1:12" x14ac:dyDescent="0.25">
      <c r="A6645" t="s">
        <v>487</v>
      </c>
      <c r="B6645" t="s">
        <v>467</v>
      </c>
      <c r="C6645" t="s">
        <v>468</v>
      </c>
      <c r="D6645" t="s">
        <v>302</v>
      </c>
      <c r="E6645" t="s">
        <v>304</v>
      </c>
      <c r="F6645">
        <v>1</v>
      </c>
      <c r="G6645" t="s">
        <v>498</v>
      </c>
      <c r="H6645" s="4">
        <v>5654078</v>
      </c>
      <c r="I6645" s="4">
        <v>7337567</v>
      </c>
      <c r="J6645" s="3">
        <v>0.2977477495004491</v>
      </c>
      <c r="K6645" s="3">
        <v>-0.229434225268403</v>
      </c>
      <c r="L6645" t="s">
        <v>54</v>
      </c>
    </row>
    <row r="6646" spans="1:12" x14ac:dyDescent="0.25">
      <c r="A6646" t="s">
        <v>487</v>
      </c>
      <c r="B6646" t="s">
        <v>467</v>
      </c>
      <c r="C6646" t="s">
        <v>468</v>
      </c>
      <c r="D6646" t="s">
        <v>302</v>
      </c>
      <c r="E6646" t="s">
        <v>304</v>
      </c>
      <c r="F6646">
        <v>1</v>
      </c>
      <c r="G6646" t="s">
        <v>499</v>
      </c>
      <c r="H6646" s="4">
        <v>5654078</v>
      </c>
      <c r="I6646" s="4">
        <v>9973500</v>
      </c>
      <c r="J6646" s="3">
        <v>0.7639480742925725</v>
      </c>
      <c r="K6646" s="3">
        <v>-0.4330898882037399</v>
      </c>
      <c r="L6646" t="s">
        <v>54</v>
      </c>
    </row>
    <row r="6647" spans="1:12" x14ac:dyDescent="0.25">
      <c r="A6647" t="s">
        <v>487</v>
      </c>
      <c r="B6647" t="s">
        <v>467</v>
      </c>
      <c r="C6647" t="s">
        <v>468</v>
      </c>
      <c r="D6647" t="s">
        <v>302</v>
      </c>
      <c r="E6647" t="s">
        <v>306</v>
      </c>
      <c r="F6647">
        <v>2</v>
      </c>
      <c r="G6647" t="s">
        <v>488</v>
      </c>
      <c r="H6647" s="4">
        <v>6257184</v>
      </c>
      <c r="I6647" s="4">
        <v>7667596.833617022</v>
      </c>
      <c r="J6647" s="3">
        <v>0.22540696160078116</v>
      </c>
      <c r="K6647" s="3">
        <v>-0.18394457405915676</v>
      </c>
      <c r="L6647" t="s">
        <v>54</v>
      </c>
    </row>
    <row r="6648" spans="1:12" x14ac:dyDescent="0.25">
      <c r="A6648" t="s">
        <v>487</v>
      </c>
      <c r="B6648" t="s">
        <v>467</v>
      </c>
      <c r="C6648" t="s">
        <v>468</v>
      </c>
      <c r="D6648" t="s">
        <v>302</v>
      </c>
      <c r="E6648" t="s">
        <v>306</v>
      </c>
      <c r="F6648">
        <v>2</v>
      </c>
      <c r="G6648" t="s">
        <v>498</v>
      </c>
      <c r="H6648" s="4">
        <v>6257184</v>
      </c>
      <c r="I6648" s="4">
        <v>8527503</v>
      </c>
      <c r="J6648" s="3">
        <v>0.36283398410531</v>
      </c>
      <c r="K6648" s="3">
        <v>-0.26623491073529965</v>
      </c>
      <c r="L6648" t="s">
        <v>54</v>
      </c>
    </row>
    <row r="6649" spans="1:12" x14ac:dyDescent="0.25">
      <c r="A6649" t="s">
        <v>487</v>
      </c>
      <c r="B6649" t="s">
        <v>467</v>
      </c>
      <c r="C6649" t="s">
        <v>468</v>
      </c>
      <c r="D6649" t="s">
        <v>302</v>
      </c>
      <c r="E6649" t="s">
        <v>306</v>
      </c>
      <c r="F6649">
        <v>2</v>
      </c>
      <c r="G6649" t="s">
        <v>499</v>
      </c>
      <c r="H6649" s="4">
        <v>6257184</v>
      </c>
      <c r="I6649" s="4">
        <v>9973500</v>
      </c>
      <c r="J6649" s="3">
        <v>0.5939278755427362</v>
      </c>
      <c r="K6649" s="3">
        <v>-0.3726190404572116</v>
      </c>
      <c r="L6649" t="s">
        <v>54</v>
      </c>
    </row>
    <row r="6650" spans="1:12" x14ac:dyDescent="0.25">
      <c r="A6650" t="s">
        <v>487</v>
      </c>
      <c r="B6650" t="s">
        <v>467</v>
      </c>
      <c r="C6650" t="s">
        <v>468</v>
      </c>
      <c r="D6650" t="s">
        <v>302</v>
      </c>
      <c r="E6650" t="s">
        <v>308</v>
      </c>
      <c r="F6650">
        <v>3</v>
      </c>
      <c r="G6650" t="s">
        <v>488</v>
      </c>
      <c r="H6650" s="4">
        <v>12532465</v>
      </c>
      <c r="I6650" s="4">
        <v>12003644.470992919</v>
      </c>
      <c r="J6650" s="3">
        <v>0.04219605073759081</v>
      </c>
      <c r="K6650" s="3">
        <v>0.04405499765383653</v>
      </c>
      <c r="L6650" t="s">
        <v>54</v>
      </c>
    </row>
    <row r="6651" spans="1:12" x14ac:dyDescent="0.25">
      <c r="A6651" t="s">
        <v>487</v>
      </c>
      <c r="B6651" t="s">
        <v>467</v>
      </c>
      <c r="C6651" t="s">
        <v>468</v>
      </c>
      <c r="D6651" t="s">
        <v>302</v>
      </c>
      <c r="E6651" t="s">
        <v>308</v>
      </c>
      <c r="F6651">
        <v>3</v>
      </c>
      <c r="G6651" t="s">
        <v>498</v>
      </c>
      <c r="H6651" s="4">
        <v>12532465</v>
      </c>
      <c r="I6651" s="4">
        <v>13349830</v>
      </c>
      <c r="J6651" s="3">
        <v>0.06521981110659396</v>
      </c>
      <c r="K6651" s="3">
        <v>-0.061226622361483254</v>
      </c>
      <c r="L6651" t="s">
        <v>54</v>
      </c>
    </row>
    <row r="6652" spans="1:12" x14ac:dyDescent="0.25">
      <c r="A6652" t="s">
        <v>487</v>
      </c>
      <c r="B6652" t="s">
        <v>467</v>
      </c>
      <c r="C6652" t="s">
        <v>468</v>
      </c>
      <c r="D6652" t="s">
        <v>302</v>
      </c>
      <c r="E6652" t="s">
        <v>308</v>
      </c>
      <c r="F6652">
        <v>3</v>
      </c>
      <c r="G6652" t="s">
        <v>499</v>
      </c>
      <c r="H6652" s="4">
        <v>12532465</v>
      </c>
      <c r="I6652" s="4">
        <v>9973500</v>
      </c>
      <c r="J6652" s="3">
        <v>0.2041868858201479</v>
      </c>
      <c r="K6652" s="3">
        <v>0.25657642753296234</v>
      </c>
      <c r="L6652" t="s">
        <v>54</v>
      </c>
    </row>
    <row r="6653" spans="1:12" x14ac:dyDescent="0.25">
      <c r="A6653" t="s">
        <v>487</v>
      </c>
      <c r="B6653" t="s">
        <v>467</v>
      </c>
      <c r="C6653" t="s">
        <v>468</v>
      </c>
      <c r="D6653" t="s">
        <v>304</v>
      </c>
      <c r="E6653" t="s">
        <v>306</v>
      </c>
      <c r="F6653">
        <v>1</v>
      </c>
      <c r="G6653" t="s">
        <v>488</v>
      </c>
      <c r="H6653" s="4">
        <v>6257184</v>
      </c>
      <c r="I6653" s="4">
        <v>7432485.049961387</v>
      </c>
      <c r="J6653" s="3">
        <v>0.18783226607390596</v>
      </c>
      <c r="K6653" s="3">
        <v>-0.15813029451939403</v>
      </c>
      <c r="L6653" t="s">
        <v>54</v>
      </c>
    </row>
    <row r="6654" spans="1:12" x14ac:dyDescent="0.25">
      <c r="A6654" t="s">
        <v>487</v>
      </c>
      <c r="B6654" t="s">
        <v>467</v>
      </c>
      <c r="C6654" t="s">
        <v>468</v>
      </c>
      <c r="D6654" t="s">
        <v>304</v>
      </c>
      <c r="E6654" t="s">
        <v>306</v>
      </c>
      <c r="F6654">
        <v>1</v>
      </c>
      <c r="G6654" t="s">
        <v>498</v>
      </c>
      <c r="H6654" s="4">
        <v>6257184</v>
      </c>
      <c r="I6654" s="4">
        <v>8527503</v>
      </c>
      <c r="J6654" s="3">
        <v>0.36283398410531</v>
      </c>
      <c r="K6654" s="3">
        <v>-0.26623491073529965</v>
      </c>
      <c r="L6654" t="s">
        <v>54</v>
      </c>
    </row>
    <row r="6655" spans="1:12" x14ac:dyDescent="0.25">
      <c r="A6655" t="s">
        <v>487</v>
      </c>
      <c r="B6655" t="s">
        <v>467</v>
      </c>
      <c r="C6655" t="s">
        <v>468</v>
      </c>
      <c r="D6655" t="s">
        <v>304</v>
      </c>
      <c r="E6655" t="s">
        <v>306</v>
      </c>
      <c r="F6655">
        <v>1</v>
      </c>
      <c r="G6655" t="s">
        <v>499</v>
      </c>
      <c r="H6655" s="4">
        <v>6257184</v>
      </c>
      <c r="I6655" s="4">
        <v>5654078</v>
      </c>
      <c r="J6655" s="3">
        <v>0.0963861698808921</v>
      </c>
      <c r="K6655" s="3">
        <v>0.10666743543332795</v>
      </c>
      <c r="L6655" t="s">
        <v>54</v>
      </c>
    </row>
    <row r="6656" spans="1:12" x14ac:dyDescent="0.25">
      <c r="A6656" t="s">
        <v>487</v>
      </c>
      <c r="B6656" t="s">
        <v>467</v>
      </c>
      <c r="C6656" t="s">
        <v>468</v>
      </c>
      <c r="D6656" t="s">
        <v>304</v>
      </c>
      <c r="E6656" t="s">
        <v>308</v>
      </c>
      <c r="F6656">
        <v>2</v>
      </c>
      <c r="G6656" t="s">
        <v>488</v>
      </c>
      <c r="H6656" s="4">
        <v>12532465</v>
      </c>
      <c r="I6656" s="4">
        <v>11635576.31050098</v>
      </c>
      <c r="J6656" s="3">
        <v>0.07156522595507113</v>
      </c>
      <c r="K6656" s="3">
        <v>0.07708158715693252</v>
      </c>
      <c r="L6656" t="s">
        <v>54</v>
      </c>
    </row>
    <row r="6657" spans="1:12" x14ac:dyDescent="0.25">
      <c r="A6657" t="s">
        <v>487</v>
      </c>
      <c r="B6657" t="s">
        <v>467</v>
      </c>
      <c r="C6657" t="s">
        <v>468</v>
      </c>
      <c r="D6657" t="s">
        <v>304</v>
      </c>
      <c r="E6657" t="s">
        <v>308</v>
      </c>
      <c r="F6657">
        <v>2</v>
      </c>
      <c r="G6657" t="s">
        <v>498</v>
      </c>
      <c r="H6657" s="4">
        <v>12532465</v>
      </c>
      <c r="I6657" s="4">
        <v>13349830</v>
      </c>
      <c r="J6657" s="3">
        <v>0.06521981110659396</v>
      </c>
      <c r="K6657" s="3">
        <v>-0.061226622361483254</v>
      </c>
      <c r="L6657" t="s">
        <v>54</v>
      </c>
    </row>
    <row r="6658" spans="1:12" x14ac:dyDescent="0.25">
      <c r="A6658" t="s">
        <v>487</v>
      </c>
      <c r="B6658" t="s">
        <v>467</v>
      </c>
      <c r="C6658" t="s">
        <v>468</v>
      </c>
      <c r="D6658" t="s">
        <v>304</v>
      </c>
      <c r="E6658" t="s">
        <v>308</v>
      </c>
      <c r="F6658">
        <v>2</v>
      </c>
      <c r="G6658" t="s">
        <v>499</v>
      </c>
      <c r="H6658" s="4">
        <v>12532465</v>
      </c>
      <c r="I6658" s="4">
        <v>5654078</v>
      </c>
      <c r="J6658" s="3">
        <v>0.5488454984713702</v>
      </c>
      <c r="K6658" s="3">
        <v>1.2165355695482092</v>
      </c>
      <c r="L6658" t="s">
        <v>54</v>
      </c>
    </row>
    <row r="6659" spans="1:12" x14ac:dyDescent="0.25">
      <c r="A6659" t="s">
        <v>487</v>
      </c>
      <c r="B6659" t="s">
        <v>467</v>
      </c>
      <c r="C6659" t="s">
        <v>468</v>
      </c>
      <c r="D6659" t="s">
        <v>304</v>
      </c>
      <c r="E6659" t="s">
        <v>310</v>
      </c>
      <c r="F6659">
        <v>3</v>
      </c>
      <c r="G6659" t="s">
        <v>488</v>
      </c>
      <c r="H6659" s="4">
        <v>13022291</v>
      </c>
      <c r="I6659" s="4">
        <v>15244367.059953494</v>
      </c>
      <c r="J6659" s="3">
        <v>0.17063633887105534</v>
      </c>
      <c r="K6659" s="3">
        <v>-0.1457637467803319</v>
      </c>
      <c r="L6659" t="s">
        <v>54</v>
      </c>
    </row>
    <row r="6660" spans="1:12" x14ac:dyDescent="0.25">
      <c r="A6660" t="s">
        <v>487</v>
      </c>
      <c r="B6660" t="s">
        <v>467</v>
      </c>
      <c r="C6660" t="s">
        <v>468</v>
      </c>
      <c r="D6660" t="s">
        <v>304</v>
      </c>
      <c r="E6660" t="s">
        <v>310</v>
      </c>
      <c r="F6660">
        <v>3</v>
      </c>
      <c r="G6660" t="s">
        <v>498</v>
      </c>
      <c r="H6660" s="4">
        <v>13022291</v>
      </c>
      <c r="I6660" s="4">
        <v>17490299</v>
      </c>
      <c r="J6660" s="3">
        <v>0.3431046042512796</v>
      </c>
      <c r="K6660" s="3">
        <v>-0.25545635326188537</v>
      </c>
      <c r="L6660" t="s">
        <v>54</v>
      </c>
    </row>
    <row r="6661" spans="1:12" x14ac:dyDescent="0.25">
      <c r="A6661" t="s">
        <v>487</v>
      </c>
      <c r="B6661" t="s">
        <v>467</v>
      </c>
      <c r="C6661" t="s">
        <v>468</v>
      </c>
      <c r="D6661" t="s">
        <v>304</v>
      </c>
      <c r="E6661" t="s">
        <v>310</v>
      </c>
      <c r="F6661">
        <v>3</v>
      </c>
      <c r="G6661" t="s">
        <v>499</v>
      </c>
      <c r="H6661" s="4">
        <v>13022291</v>
      </c>
      <c r="I6661" s="4">
        <v>5654078</v>
      </c>
      <c r="J6661" s="3">
        <v>0.5658154160431524</v>
      </c>
      <c r="K6661" s="3">
        <v>1.3031679081894518</v>
      </c>
      <c r="L6661" t="s">
        <v>54</v>
      </c>
    </row>
    <row r="6662" spans="1:12" x14ac:dyDescent="0.25">
      <c r="A6662" t="s">
        <v>487</v>
      </c>
      <c r="B6662" t="s">
        <v>467</v>
      </c>
      <c r="C6662" t="s">
        <v>468</v>
      </c>
      <c r="D6662" t="s">
        <v>306</v>
      </c>
      <c r="E6662" t="s">
        <v>308</v>
      </c>
      <c r="F6662">
        <v>1</v>
      </c>
      <c r="G6662" t="s">
        <v>488</v>
      </c>
      <c r="H6662" s="4">
        <v>12532465</v>
      </c>
      <c r="I6662" s="4">
        <v>11133770.500635259</v>
      </c>
      <c r="J6662" s="3">
        <v>0.1116056976312913</v>
      </c>
      <c r="K6662" s="3">
        <v>0.12562630954939621</v>
      </c>
      <c r="L6662" t="s">
        <v>54</v>
      </c>
    </row>
    <row r="6663" spans="1:12" x14ac:dyDescent="0.25">
      <c r="A6663" t="s">
        <v>487</v>
      </c>
      <c r="B6663" t="s">
        <v>467</v>
      </c>
      <c r="C6663" t="s">
        <v>468</v>
      </c>
      <c r="D6663" t="s">
        <v>306</v>
      </c>
      <c r="E6663" t="s">
        <v>308</v>
      </c>
      <c r="F6663">
        <v>1</v>
      </c>
      <c r="G6663" t="s">
        <v>498</v>
      </c>
      <c r="H6663" s="4">
        <v>12532465</v>
      </c>
      <c r="I6663" s="4">
        <v>13349830</v>
      </c>
      <c r="J6663" s="3">
        <v>0.06521981110659396</v>
      </c>
      <c r="K6663" s="3">
        <v>-0.061226622361483254</v>
      </c>
      <c r="L6663" t="s">
        <v>54</v>
      </c>
    </row>
    <row r="6664" spans="1:12" x14ac:dyDescent="0.25">
      <c r="A6664" t="s">
        <v>487</v>
      </c>
      <c r="B6664" t="s">
        <v>467</v>
      </c>
      <c r="C6664" t="s">
        <v>468</v>
      </c>
      <c r="D6664" t="s">
        <v>306</v>
      </c>
      <c r="E6664" t="s">
        <v>308</v>
      </c>
      <c r="F6664">
        <v>1</v>
      </c>
      <c r="G6664" t="s">
        <v>499</v>
      </c>
      <c r="H6664" s="4">
        <v>12532465</v>
      </c>
      <c r="I6664" s="4">
        <v>6257184</v>
      </c>
      <c r="J6664" s="3">
        <v>0.5007220048091098</v>
      </c>
      <c r="K6664" s="3">
        <v>1.0028921955946957</v>
      </c>
      <c r="L6664" t="s">
        <v>54</v>
      </c>
    </row>
    <row r="6665" spans="1:12" x14ac:dyDescent="0.25">
      <c r="A6665" t="s">
        <v>487</v>
      </c>
      <c r="B6665" t="s">
        <v>467</v>
      </c>
      <c r="C6665" t="s">
        <v>468</v>
      </c>
      <c r="D6665" t="s">
        <v>306</v>
      </c>
      <c r="E6665" t="s">
        <v>310</v>
      </c>
      <c r="F6665">
        <v>2</v>
      </c>
      <c r="G6665" t="s">
        <v>488</v>
      </c>
      <c r="H6665" s="4">
        <v>13022291</v>
      </c>
      <c r="I6665" s="4">
        <v>14586925.455491971</v>
      </c>
      <c r="J6665" s="3">
        <v>0.12015047548023394</v>
      </c>
      <c r="K6665" s="3">
        <v>-0.10726279915983851</v>
      </c>
      <c r="L6665" t="s">
        <v>54</v>
      </c>
    </row>
    <row r="6666" spans="1:12" x14ac:dyDescent="0.25">
      <c r="A6666" t="s">
        <v>487</v>
      </c>
      <c r="B6666" t="s">
        <v>467</v>
      </c>
      <c r="C6666" t="s">
        <v>468</v>
      </c>
      <c r="D6666" t="s">
        <v>306</v>
      </c>
      <c r="E6666" t="s">
        <v>310</v>
      </c>
      <c r="F6666">
        <v>2</v>
      </c>
      <c r="G6666" t="s">
        <v>498</v>
      </c>
      <c r="H6666" s="4">
        <v>13022291</v>
      </c>
      <c r="I6666" s="4">
        <v>17490299</v>
      </c>
      <c r="J6666" s="3">
        <v>0.3431046042512796</v>
      </c>
      <c r="K6666" s="3">
        <v>-0.25545635326188537</v>
      </c>
      <c r="L6666" t="s">
        <v>54</v>
      </c>
    </row>
    <row r="6667" spans="1:12" x14ac:dyDescent="0.25">
      <c r="A6667" t="s">
        <v>487</v>
      </c>
      <c r="B6667" t="s">
        <v>467</v>
      </c>
      <c r="C6667" t="s">
        <v>468</v>
      </c>
      <c r="D6667" t="s">
        <v>306</v>
      </c>
      <c r="E6667" t="s">
        <v>310</v>
      </c>
      <c r="F6667">
        <v>2</v>
      </c>
      <c r="G6667" t="s">
        <v>499</v>
      </c>
      <c r="H6667" s="4">
        <v>13022291</v>
      </c>
      <c r="I6667" s="4">
        <v>6257184</v>
      </c>
      <c r="J6667" s="3">
        <v>0.5195020599677891</v>
      </c>
      <c r="K6667" s="3">
        <v>1.0811743749264846</v>
      </c>
      <c r="L6667" t="s">
        <v>54</v>
      </c>
    </row>
    <row r="6668" spans="1:12" x14ac:dyDescent="0.25">
      <c r="A6668" t="s">
        <v>487</v>
      </c>
      <c r="B6668" t="s">
        <v>467</v>
      </c>
      <c r="C6668" t="s">
        <v>468</v>
      </c>
      <c r="D6668" t="s">
        <v>306</v>
      </c>
      <c r="E6668" t="s">
        <v>312</v>
      </c>
      <c r="F6668">
        <v>3</v>
      </c>
      <c r="G6668" t="s">
        <v>488</v>
      </c>
      <c r="H6668" s="4">
        <v>18132668</v>
      </c>
      <c r="I6668" s="4">
        <v>13083571.243280608</v>
      </c>
      <c r="J6668" s="3">
        <v>0.27845305261858827</v>
      </c>
      <c r="K6668" s="3">
        <v>0.3859112059570494</v>
      </c>
      <c r="L6668" t="s">
        <v>54</v>
      </c>
    </row>
    <row r="6669" spans="1:12" x14ac:dyDescent="0.25">
      <c r="A6669" t="s">
        <v>487</v>
      </c>
      <c r="B6669" t="s">
        <v>467</v>
      </c>
      <c r="C6669" t="s">
        <v>468</v>
      </c>
      <c r="D6669" t="s">
        <v>306</v>
      </c>
      <c r="E6669" t="s">
        <v>312</v>
      </c>
      <c r="F6669">
        <v>3</v>
      </c>
      <c r="G6669" t="s">
        <v>498</v>
      </c>
      <c r="H6669" s="4">
        <v>18132668</v>
      </c>
      <c r="I6669" s="4">
        <v>15687718</v>
      </c>
      <c r="J6669" s="3">
        <v>0.13483674878953278</v>
      </c>
      <c r="K6669" s="3">
        <v>0.15585122068104487</v>
      </c>
      <c r="L6669" t="s">
        <v>54</v>
      </c>
    </row>
    <row r="6670" spans="1:12" x14ac:dyDescent="0.25">
      <c r="A6670" t="s">
        <v>487</v>
      </c>
      <c r="B6670" t="s">
        <v>467</v>
      </c>
      <c r="C6670" t="s">
        <v>468</v>
      </c>
      <c r="D6670" t="s">
        <v>306</v>
      </c>
      <c r="E6670" t="s">
        <v>312</v>
      </c>
      <c r="F6670">
        <v>3</v>
      </c>
      <c r="G6670" t="s">
        <v>499</v>
      </c>
      <c r="H6670" s="4">
        <v>18132668</v>
      </c>
      <c r="I6670" s="4">
        <v>6257184</v>
      </c>
      <c r="J6670" s="3">
        <v>0.654922044566194</v>
      </c>
      <c r="K6670" s="3">
        <v>1.8978959225108292</v>
      </c>
      <c r="L6670" t="s">
        <v>54</v>
      </c>
    </row>
    <row r="6671" spans="1:12" x14ac:dyDescent="0.25">
      <c r="A6671" t="s">
        <v>487</v>
      </c>
      <c r="B6671" t="s">
        <v>467</v>
      </c>
      <c r="C6671" t="s">
        <v>468</v>
      </c>
      <c r="D6671" t="s">
        <v>308</v>
      </c>
      <c r="E6671" t="s">
        <v>310</v>
      </c>
      <c r="F6671">
        <v>1</v>
      </c>
      <c r="G6671" t="s">
        <v>488</v>
      </c>
      <c r="H6671" s="4">
        <v>13022291</v>
      </c>
      <c r="I6671" s="4">
        <v>14876931.130087476</v>
      </c>
      <c r="J6671" s="3">
        <v>0.14242041819580564</v>
      </c>
      <c r="K6671" s="3">
        <v>-0.12466550485917124</v>
      </c>
      <c r="L6671" t="s">
        <v>54</v>
      </c>
    </row>
    <row r="6672" spans="1:12" x14ac:dyDescent="0.25">
      <c r="A6672" t="s">
        <v>487</v>
      </c>
      <c r="B6672" t="s">
        <v>467</v>
      </c>
      <c r="C6672" t="s">
        <v>468</v>
      </c>
      <c r="D6672" t="s">
        <v>308</v>
      </c>
      <c r="E6672" t="s">
        <v>310</v>
      </c>
      <c r="F6672">
        <v>1</v>
      </c>
      <c r="G6672" t="s">
        <v>498</v>
      </c>
      <c r="H6672" s="4">
        <v>13022291</v>
      </c>
      <c r="I6672" s="4">
        <v>17490299</v>
      </c>
      <c r="J6672" s="3">
        <v>0.3431046042512796</v>
      </c>
      <c r="K6672" s="3">
        <v>-0.25545635326188537</v>
      </c>
      <c r="L6672" t="s">
        <v>54</v>
      </c>
    </row>
    <row r="6673" spans="1:12" x14ac:dyDescent="0.25">
      <c r="A6673" t="s">
        <v>487</v>
      </c>
      <c r="B6673" t="s">
        <v>467</v>
      </c>
      <c r="C6673" t="s">
        <v>468</v>
      </c>
      <c r="D6673" t="s">
        <v>308</v>
      </c>
      <c r="E6673" t="s">
        <v>310</v>
      </c>
      <c r="F6673">
        <v>1</v>
      </c>
      <c r="G6673" t="s">
        <v>499</v>
      </c>
      <c r="H6673" s="4">
        <v>13022291</v>
      </c>
      <c r="I6673" s="4">
        <v>12532465</v>
      </c>
      <c r="J6673" s="3">
        <v>0.03761442591015667</v>
      </c>
      <c r="K6673" s="3">
        <v>0.039084569555949286</v>
      </c>
      <c r="L6673" t="s">
        <v>54</v>
      </c>
    </row>
    <row r="6674" spans="1:12" x14ac:dyDescent="0.25">
      <c r="A6674" t="s">
        <v>487</v>
      </c>
      <c r="B6674" t="s">
        <v>467</v>
      </c>
      <c r="C6674" t="s">
        <v>468</v>
      </c>
      <c r="D6674" t="s">
        <v>308</v>
      </c>
      <c r="E6674" t="s">
        <v>312</v>
      </c>
      <c r="F6674">
        <v>2</v>
      </c>
      <c r="G6674" t="s">
        <v>488</v>
      </c>
      <c r="H6674" s="4">
        <v>18132668</v>
      </c>
      <c r="I6674" s="4">
        <v>13343688.422606934</v>
      </c>
      <c r="J6674" s="3">
        <v>0.2641078288861334</v>
      </c>
      <c r="K6674" s="3">
        <v>0.3588947392746039</v>
      </c>
      <c r="L6674" t="s">
        <v>54</v>
      </c>
    </row>
    <row r="6675" spans="1:12" x14ac:dyDescent="0.25">
      <c r="A6675" t="s">
        <v>487</v>
      </c>
      <c r="B6675" t="s">
        <v>467</v>
      </c>
      <c r="C6675" t="s">
        <v>468</v>
      </c>
      <c r="D6675" t="s">
        <v>308</v>
      </c>
      <c r="E6675" t="s">
        <v>312</v>
      </c>
      <c r="F6675">
        <v>2</v>
      </c>
      <c r="G6675" t="s">
        <v>498</v>
      </c>
      <c r="H6675" s="4">
        <v>18132668</v>
      </c>
      <c r="I6675" s="4">
        <v>15687718</v>
      </c>
      <c r="J6675" s="3">
        <v>0.13483674878953278</v>
      </c>
      <c r="K6675" s="3">
        <v>0.15585122068104487</v>
      </c>
      <c r="L6675" t="s">
        <v>54</v>
      </c>
    </row>
    <row r="6676" spans="1:12" x14ac:dyDescent="0.25">
      <c r="A6676" t="s">
        <v>487</v>
      </c>
      <c r="B6676" t="s">
        <v>467</v>
      </c>
      <c r="C6676" t="s">
        <v>468</v>
      </c>
      <c r="D6676" t="s">
        <v>308</v>
      </c>
      <c r="E6676" t="s">
        <v>312</v>
      </c>
      <c r="F6676">
        <v>2</v>
      </c>
      <c r="G6676" t="s">
        <v>499</v>
      </c>
      <c r="H6676" s="4">
        <v>18132668</v>
      </c>
      <c r="I6676" s="4">
        <v>12532465</v>
      </c>
      <c r="J6676" s="3">
        <v>0.3088460561898558</v>
      </c>
      <c r="K6676" s="3">
        <v>0.44685566646306213</v>
      </c>
      <c r="L6676" t="s">
        <v>54</v>
      </c>
    </row>
    <row r="6677" spans="1:12" x14ac:dyDescent="0.25">
      <c r="A6677" t="s">
        <v>487</v>
      </c>
      <c r="B6677" t="s">
        <v>467</v>
      </c>
      <c r="C6677" t="s">
        <v>468</v>
      </c>
      <c r="D6677" t="s">
        <v>308</v>
      </c>
      <c r="E6677" t="s">
        <v>314</v>
      </c>
      <c r="F6677">
        <v>3</v>
      </c>
      <c r="G6677" t="s">
        <v>488</v>
      </c>
      <c r="H6677" s="4">
        <v>10779480</v>
      </c>
      <c r="I6677" s="4">
        <v>8009779.713437424</v>
      </c>
      <c r="J6677" s="3">
        <v>0.25694191988505716</v>
      </c>
      <c r="K6677" s="3">
        <v>0.3457898201514895</v>
      </c>
      <c r="L6677" t="s">
        <v>54</v>
      </c>
    </row>
    <row r="6678" spans="1:12" x14ac:dyDescent="0.25">
      <c r="A6678" t="s">
        <v>487</v>
      </c>
      <c r="B6678" t="s">
        <v>467</v>
      </c>
      <c r="C6678" t="s">
        <v>468</v>
      </c>
      <c r="D6678" t="s">
        <v>308</v>
      </c>
      <c r="E6678" t="s">
        <v>314</v>
      </c>
      <c r="F6678">
        <v>3</v>
      </c>
      <c r="G6678" t="s">
        <v>498</v>
      </c>
      <c r="H6678" s="4">
        <v>10779480</v>
      </c>
      <c r="I6678" s="4">
        <v>9416824</v>
      </c>
      <c r="J6678" s="3">
        <v>0.1264120347178157</v>
      </c>
      <c r="K6678" s="3">
        <v>0.14470441414217788</v>
      </c>
      <c r="L6678" t="s">
        <v>54</v>
      </c>
    </row>
    <row r="6679" spans="1:12" x14ac:dyDescent="0.25">
      <c r="A6679" t="s">
        <v>487</v>
      </c>
      <c r="B6679" t="s">
        <v>467</v>
      </c>
      <c r="C6679" t="s">
        <v>468</v>
      </c>
      <c r="D6679" t="s">
        <v>308</v>
      </c>
      <c r="E6679" t="s">
        <v>314</v>
      </c>
      <c r="F6679">
        <v>3</v>
      </c>
      <c r="G6679" t="s">
        <v>499</v>
      </c>
      <c r="H6679" s="4">
        <v>10779480</v>
      </c>
      <c r="I6679" s="4">
        <v>12532465</v>
      </c>
      <c r="J6679" s="3">
        <v>0.16262240850207987</v>
      </c>
      <c r="K6679" s="3">
        <v>-0.13987551531163261</v>
      </c>
      <c r="L6679" t="s">
        <v>54</v>
      </c>
    </row>
    <row r="6680" spans="1:12" x14ac:dyDescent="0.25">
      <c r="A6680" t="s">
        <v>487</v>
      </c>
      <c r="B6680" t="s">
        <v>467</v>
      </c>
      <c r="C6680" t="s">
        <v>468</v>
      </c>
      <c r="D6680" t="s">
        <v>310</v>
      </c>
      <c r="E6680" t="s">
        <v>312</v>
      </c>
      <c r="F6680">
        <v>1</v>
      </c>
      <c r="G6680" t="s">
        <v>488</v>
      </c>
      <c r="H6680" s="4">
        <v>18132668</v>
      </c>
      <c r="I6680" s="4">
        <v>12999922.824553771</v>
      </c>
      <c r="J6680" s="3">
        <v>0.2830661861479088</v>
      </c>
      <c r="K6680" s="3">
        <v>0.394828895887881</v>
      </c>
      <c r="L6680" t="s">
        <v>54</v>
      </c>
    </row>
    <row r="6681" spans="1:12" x14ac:dyDescent="0.25">
      <c r="A6681" t="s">
        <v>487</v>
      </c>
      <c r="B6681" t="s">
        <v>467</v>
      </c>
      <c r="C6681" t="s">
        <v>468</v>
      </c>
      <c r="D6681" t="s">
        <v>310</v>
      </c>
      <c r="E6681" t="s">
        <v>312</v>
      </c>
      <c r="F6681">
        <v>1</v>
      </c>
      <c r="G6681" t="s">
        <v>498</v>
      </c>
      <c r="H6681" s="4">
        <v>18132668</v>
      </c>
      <c r="I6681" s="4">
        <v>15687718</v>
      </c>
      <c r="J6681" s="3">
        <v>0.13483674878953278</v>
      </c>
      <c r="K6681" s="3">
        <v>0.15585122068104487</v>
      </c>
      <c r="L6681" t="s">
        <v>54</v>
      </c>
    </row>
    <row r="6682" spans="1:12" x14ac:dyDescent="0.25">
      <c r="A6682" t="s">
        <v>487</v>
      </c>
      <c r="B6682" t="s">
        <v>467</v>
      </c>
      <c r="C6682" t="s">
        <v>468</v>
      </c>
      <c r="D6682" t="s">
        <v>310</v>
      </c>
      <c r="E6682" t="s">
        <v>312</v>
      </c>
      <c r="F6682">
        <v>1</v>
      </c>
      <c r="G6682" t="s">
        <v>499</v>
      </c>
      <c r="H6682" s="4">
        <v>18132668</v>
      </c>
      <c r="I6682" s="4">
        <v>13022291</v>
      </c>
      <c r="J6682" s="3">
        <v>0.28183260179913955</v>
      </c>
      <c r="K6682" s="3">
        <v>0.39243302119419693</v>
      </c>
      <c r="L6682" t="s">
        <v>54</v>
      </c>
    </row>
    <row r="6683" spans="1:12" x14ac:dyDescent="0.25">
      <c r="A6683" t="s">
        <v>487</v>
      </c>
      <c r="B6683" t="s">
        <v>467</v>
      </c>
      <c r="C6683" t="s">
        <v>468</v>
      </c>
      <c r="D6683" t="s">
        <v>310</v>
      </c>
      <c r="E6683" t="s">
        <v>314</v>
      </c>
      <c r="F6683">
        <v>2</v>
      </c>
      <c r="G6683" t="s">
        <v>488</v>
      </c>
      <c r="H6683" s="4">
        <v>10779480</v>
      </c>
      <c r="I6683" s="4">
        <v>7803428.468844592</v>
      </c>
      <c r="J6683" s="3">
        <v>0.27608488824650246</v>
      </c>
      <c r="K6683" s="3">
        <v>0.3813774346798177</v>
      </c>
      <c r="L6683" t="s">
        <v>54</v>
      </c>
    </row>
    <row r="6684" spans="1:12" x14ac:dyDescent="0.25">
      <c r="A6684" t="s">
        <v>487</v>
      </c>
      <c r="B6684" t="s">
        <v>467</v>
      </c>
      <c r="C6684" t="s">
        <v>468</v>
      </c>
      <c r="D6684" t="s">
        <v>310</v>
      </c>
      <c r="E6684" t="s">
        <v>314</v>
      </c>
      <c r="F6684">
        <v>2</v>
      </c>
      <c r="G6684" t="s">
        <v>498</v>
      </c>
      <c r="H6684" s="4">
        <v>10779480</v>
      </c>
      <c r="I6684" s="4">
        <v>9416824</v>
      </c>
      <c r="J6684" s="3">
        <v>0.1264120347178157</v>
      </c>
      <c r="K6684" s="3">
        <v>0.14470441414217788</v>
      </c>
      <c r="L6684" t="s">
        <v>54</v>
      </c>
    </row>
    <row r="6685" spans="1:12" x14ac:dyDescent="0.25">
      <c r="A6685" t="s">
        <v>487</v>
      </c>
      <c r="B6685" t="s">
        <v>467</v>
      </c>
      <c r="C6685" t="s">
        <v>468</v>
      </c>
      <c r="D6685" t="s">
        <v>310</v>
      </c>
      <c r="E6685" t="s">
        <v>314</v>
      </c>
      <c r="F6685">
        <v>2</v>
      </c>
      <c r="G6685" t="s">
        <v>499</v>
      </c>
      <c r="H6685" s="4">
        <v>10779480</v>
      </c>
      <c r="I6685" s="4">
        <v>13022291</v>
      </c>
      <c r="J6685" s="3">
        <v>0.2080630048944847</v>
      </c>
      <c r="K6685" s="3">
        <v>-0.17222860401445492</v>
      </c>
      <c r="L6685" t="s">
        <v>54</v>
      </c>
    </row>
    <row r="6686" spans="1:12" x14ac:dyDescent="0.25">
      <c r="A6686" t="s">
        <v>487</v>
      </c>
      <c r="B6686" t="s">
        <v>467</v>
      </c>
      <c r="C6686" t="s">
        <v>468</v>
      </c>
      <c r="D6686" t="s">
        <v>310</v>
      </c>
      <c r="E6686" t="s">
        <v>316</v>
      </c>
      <c r="F6686">
        <v>3</v>
      </c>
      <c r="G6686" t="s">
        <v>488</v>
      </c>
      <c r="H6686" s="4">
        <v>9843619</v>
      </c>
      <c r="I6686" s="4">
        <v>3666233.9007443846</v>
      </c>
      <c r="J6686" s="3">
        <v>0.6275522345242757</v>
      </c>
      <c r="K6686" s="3">
        <v>1.6849402592675204</v>
      </c>
      <c r="L6686" t="s">
        <v>54</v>
      </c>
    </row>
    <row r="6687" spans="1:12" x14ac:dyDescent="0.25">
      <c r="A6687" t="s">
        <v>487</v>
      </c>
      <c r="B6687" t="s">
        <v>467</v>
      </c>
      <c r="C6687" t="s">
        <v>468</v>
      </c>
      <c r="D6687" t="s">
        <v>310</v>
      </c>
      <c r="E6687" t="s">
        <v>316</v>
      </c>
      <c r="F6687">
        <v>3</v>
      </c>
      <c r="G6687" t="s">
        <v>498</v>
      </c>
      <c r="H6687" s="4">
        <v>9843619</v>
      </c>
      <c r="I6687" s="4">
        <v>4424245</v>
      </c>
      <c r="J6687" s="3">
        <v>0.5505469075956719</v>
      </c>
      <c r="K6687" s="3">
        <v>1.2249262868579838</v>
      </c>
      <c r="L6687" t="s">
        <v>54</v>
      </c>
    </row>
    <row r="6688" spans="1:12" x14ac:dyDescent="0.25">
      <c r="A6688" t="s">
        <v>487</v>
      </c>
      <c r="B6688" t="s">
        <v>467</v>
      </c>
      <c r="C6688" t="s">
        <v>468</v>
      </c>
      <c r="D6688" t="s">
        <v>310</v>
      </c>
      <c r="E6688" t="s">
        <v>316</v>
      </c>
      <c r="F6688">
        <v>3</v>
      </c>
      <c r="G6688" t="s">
        <v>499</v>
      </c>
      <c r="H6688" s="4">
        <v>9843619</v>
      </c>
      <c r="I6688" s="4">
        <v>13022291</v>
      </c>
      <c r="J6688" s="3">
        <v>0.32291700847015714</v>
      </c>
      <c r="K6688" s="3">
        <v>-0.24409468349309657</v>
      </c>
      <c r="L6688" t="s">
        <v>54</v>
      </c>
    </row>
    <row r="6689" spans="1:12" x14ac:dyDescent="0.25">
      <c r="A6689" t="s">
        <v>487</v>
      </c>
      <c r="B6689" t="s">
        <v>467</v>
      </c>
      <c r="C6689" t="s">
        <v>468</v>
      </c>
      <c r="D6689" t="s">
        <v>312</v>
      </c>
      <c r="E6689" t="s">
        <v>314</v>
      </c>
      <c r="F6689">
        <v>1</v>
      </c>
      <c r="G6689" t="s">
        <v>488</v>
      </c>
      <c r="H6689" s="4">
        <v>10779480</v>
      </c>
      <c r="I6689" s="4">
        <v>7940042.496143983</v>
      </c>
      <c r="J6689" s="3">
        <v>0.26341136157365824</v>
      </c>
      <c r="K6689" s="3">
        <v>0.3576098623193726</v>
      </c>
      <c r="L6689" t="s">
        <v>54</v>
      </c>
    </row>
    <row r="6690" spans="1:12" x14ac:dyDescent="0.25">
      <c r="A6690" t="s">
        <v>487</v>
      </c>
      <c r="B6690" t="s">
        <v>467</v>
      </c>
      <c r="C6690" t="s">
        <v>468</v>
      </c>
      <c r="D6690" t="s">
        <v>312</v>
      </c>
      <c r="E6690" t="s">
        <v>314</v>
      </c>
      <c r="F6690">
        <v>1</v>
      </c>
      <c r="G6690" t="s">
        <v>498</v>
      </c>
      <c r="H6690" s="4">
        <v>10779480</v>
      </c>
      <c r="I6690" s="4">
        <v>9416824</v>
      </c>
      <c r="J6690" s="3">
        <v>0.1264120347178157</v>
      </c>
      <c r="K6690" s="3">
        <v>0.14470441414217788</v>
      </c>
      <c r="L6690" t="s">
        <v>54</v>
      </c>
    </row>
    <row r="6691" spans="1:12" x14ac:dyDescent="0.25">
      <c r="A6691" t="s">
        <v>487</v>
      </c>
      <c r="B6691" t="s">
        <v>467</v>
      </c>
      <c r="C6691" t="s">
        <v>468</v>
      </c>
      <c r="D6691" t="s">
        <v>312</v>
      </c>
      <c r="E6691" t="s">
        <v>314</v>
      </c>
      <c r="F6691">
        <v>1</v>
      </c>
      <c r="G6691" t="s">
        <v>499</v>
      </c>
      <c r="H6691" s="4">
        <v>10779480</v>
      </c>
      <c r="I6691" s="4">
        <v>18132668</v>
      </c>
      <c r="J6691" s="3">
        <v>0.6821468196981673</v>
      </c>
      <c r="K6691" s="3">
        <v>-0.4055215702399669</v>
      </c>
      <c r="L6691" t="s">
        <v>54</v>
      </c>
    </row>
    <row r="6692" spans="1:12" x14ac:dyDescent="0.25">
      <c r="A6692" t="s">
        <v>487</v>
      </c>
      <c r="B6692" t="s">
        <v>467</v>
      </c>
      <c r="C6692" t="s">
        <v>468</v>
      </c>
      <c r="D6692" t="s">
        <v>312</v>
      </c>
      <c r="E6692" t="s">
        <v>316</v>
      </c>
      <c r="F6692">
        <v>2</v>
      </c>
      <c r="G6692" t="s">
        <v>488</v>
      </c>
      <c r="H6692" s="4">
        <v>9843619</v>
      </c>
      <c r="I6692" s="4">
        <v>3730418.3781445352</v>
      </c>
      <c r="J6692" s="3">
        <v>0.6210318198881392</v>
      </c>
      <c r="K6692" s="3">
        <v>1.6387439697571125</v>
      </c>
      <c r="L6692" t="s">
        <v>54</v>
      </c>
    </row>
    <row r="6693" spans="1:12" x14ac:dyDescent="0.25">
      <c r="A6693" t="s">
        <v>487</v>
      </c>
      <c r="B6693" t="s">
        <v>467</v>
      </c>
      <c r="C6693" t="s">
        <v>468</v>
      </c>
      <c r="D6693" t="s">
        <v>312</v>
      </c>
      <c r="E6693" t="s">
        <v>316</v>
      </c>
      <c r="F6693">
        <v>2</v>
      </c>
      <c r="G6693" t="s">
        <v>498</v>
      </c>
      <c r="H6693" s="4">
        <v>9843619</v>
      </c>
      <c r="I6693" s="4">
        <v>4424245</v>
      </c>
      <c r="J6693" s="3">
        <v>0.5505469075956719</v>
      </c>
      <c r="K6693" s="3">
        <v>1.2249262868579838</v>
      </c>
      <c r="L6693" t="s">
        <v>54</v>
      </c>
    </row>
    <row r="6694" spans="1:12" x14ac:dyDescent="0.25">
      <c r="A6694" t="s">
        <v>487</v>
      </c>
      <c r="B6694" t="s">
        <v>467</v>
      </c>
      <c r="C6694" t="s">
        <v>468</v>
      </c>
      <c r="D6694" t="s">
        <v>312</v>
      </c>
      <c r="E6694" t="s">
        <v>316</v>
      </c>
      <c r="F6694">
        <v>2</v>
      </c>
      <c r="G6694" t="s">
        <v>499</v>
      </c>
      <c r="H6694" s="4">
        <v>9843619</v>
      </c>
      <c r="I6694" s="4">
        <v>18132668</v>
      </c>
      <c r="J6694" s="3">
        <v>0.84207332689329</v>
      </c>
      <c r="K6694" s="3">
        <v>-0.4571334455580392</v>
      </c>
      <c r="L6694" t="s">
        <v>54</v>
      </c>
    </row>
    <row r="6695" spans="1:12" x14ac:dyDescent="0.25">
      <c r="A6695" t="s">
        <v>487</v>
      </c>
      <c r="B6695" t="s">
        <v>467</v>
      </c>
      <c r="C6695" t="s">
        <v>468</v>
      </c>
      <c r="D6695" t="s">
        <v>312</v>
      </c>
      <c r="E6695" t="s">
        <v>318</v>
      </c>
      <c r="F6695">
        <v>3</v>
      </c>
      <c r="G6695" t="s">
        <v>488</v>
      </c>
      <c r="H6695" s="4">
        <v>7552904</v>
      </c>
      <c r="I6695" s="4">
        <v>6054299.857058489</v>
      </c>
      <c r="J6695" s="3">
        <v>0.19841429772462502</v>
      </c>
      <c r="K6695" s="3">
        <v>0.24752724151816546</v>
      </c>
      <c r="L6695" t="s">
        <v>54</v>
      </c>
    </row>
    <row r="6696" spans="1:12" x14ac:dyDescent="0.25">
      <c r="A6696" t="s">
        <v>487</v>
      </c>
      <c r="B6696" t="s">
        <v>467</v>
      </c>
      <c r="C6696" t="s">
        <v>468</v>
      </c>
      <c r="D6696" t="s">
        <v>312</v>
      </c>
      <c r="E6696" t="s">
        <v>318</v>
      </c>
      <c r="F6696">
        <v>3</v>
      </c>
      <c r="G6696" t="s">
        <v>498</v>
      </c>
      <c r="H6696" s="4">
        <v>7552904</v>
      </c>
      <c r="I6696" s="4">
        <v>7180349</v>
      </c>
      <c r="J6696" s="3">
        <v>0.04932606054571857</v>
      </c>
      <c r="K6696" s="3">
        <v>0.051885361004040335</v>
      </c>
      <c r="L6696" t="s">
        <v>54</v>
      </c>
    </row>
    <row r="6697" spans="1:12" x14ac:dyDescent="0.25">
      <c r="A6697" t="s">
        <v>487</v>
      </c>
      <c r="B6697" t="s">
        <v>467</v>
      </c>
      <c r="C6697" t="s">
        <v>468</v>
      </c>
      <c r="D6697" t="s">
        <v>312</v>
      </c>
      <c r="E6697" t="s">
        <v>318</v>
      </c>
      <c r="F6697">
        <v>3</v>
      </c>
      <c r="G6697" t="s">
        <v>499</v>
      </c>
      <c r="H6697" s="4">
        <v>7552904</v>
      </c>
      <c r="I6697" s="4">
        <v>18132668</v>
      </c>
      <c r="J6697" s="3">
        <v>1.400754464772755</v>
      </c>
      <c r="K6697" s="3">
        <v>-0.5834642756377605</v>
      </c>
      <c r="L6697" t="s">
        <v>54</v>
      </c>
    </row>
    <row r="6698" spans="1:12" x14ac:dyDescent="0.25">
      <c r="A6698" t="s">
        <v>487</v>
      </c>
      <c r="B6698" t="s">
        <v>467</v>
      </c>
      <c r="C6698" t="s">
        <v>468</v>
      </c>
      <c r="D6698" t="s">
        <v>314</v>
      </c>
      <c r="E6698" t="s">
        <v>316</v>
      </c>
      <c r="F6698">
        <v>1</v>
      </c>
      <c r="G6698" t="s">
        <v>488</v>
      </c>
      <c r="H6698" s="4">
        <v>9843619</v>
      </c>
      <c r="I6698" s="4">
        <v>3919174.5318094613</v>
      </c>
      <c r="J6698" s="3">
        <v>0.6018563363932045</v>
      </c>
      <c r="K6698" s="3">
        <v>1.5116561970143378</v>
      </c>
      <c r="L6698" t="s">
        <v>54</v>
      </c>
    </row>
    <row r="6699" spans="1:12" x14ac:dyDescent="0.25">
      <c r="A6699" t="s">
        <v>487</v>
      </c>
      <c r="B6699" t="s">
        <v>467</v>
      </c>
      <c r="C6699" t="s">
        <v>468</v>
      </c>
      <c r="D6699" t="s">
        <v>314</v>
      </c>
      <c r="E6699" t="s">
        <v>316</v>
      </c>
      <c r="F6699">
        <v>1</v>
      </c>
      <c r="G6699" t="s">
        <v>498</v>
      </c>
      <c r="H6699" s="4">
        <v>9843619</v>
      </c>
      <c r="I6699" s="4">
        <v>4424245</v>
      </c>
      <c r="J6699" s="3">
        <v>0.5505469075956719</v>
      </c>
      <c r="K6699" s="3">
        <v>1.2249262868579838</v>
      </c>
      <c r="L6699" t="s">
        <v>54</v>
      </c>
    </row>
    <row r="6700" spans="1:12" x14ac:dyDescent="0.25">
      <c r="A6700" t="s">
        <v>487</v>
      </c>
      <c r="B6700" t="s">
        <v>467</v>
      </c>
      <c r="C6700" t="s">
        <v>468</v>
      </c>
      <c r="D6700" t="s">
        <v>314</v>
      </c>
      <c r="E6700" t="s">
        <v>316</v>
      </c>
      <c r="F6700">
        <v>1</v>
      </c>
      <c r="G6700" t="s">
        <v>499</v>
      </c>
      <c r="H6700" s="4">
        <v>9843619</v>
      </c>
      <c r="I6700" s="4">
        <v>10779480</v>
      </c>
      <c r="J6700" s="3">
        <v>0.09507285887436318</v>
      </c>
      <c r="K6700" s="3">
        <v>-0.08681875192495371</v>
      </c>
      <c r="L6700" t="s">
        <v>54</v>
      </c>
    </row>
    <row r="6701" spans="1:12" x14ac:dyDescent="0.25">
      <c r="A6701" t="s">
        <v>487</v>
      </c>
      <c r="B6701" t="s">
        <v>467</v>
      </c>
      <c r="C6701" t="s">
        <v>468</v>
      </c>
      <c r="D6701" t="s">
        <v>314</v>
      </c>
      <c r="E6701" t="s">
        <v>318</v>
      </c>
      <c r="F6701">
        <v>2</v>
      </c>
      <c r="G6701" t="s">
        <v>488</v>
      </c>
      <c r="H6701" s="4">
        <v>7552904</v>
      </c>
      <c r="I6701" s="4">
        <v>6360642.534557542</v>
      </c>
      <c r="J6701" s="3">
        <v>0.1578547093200785</v>
      </c>
      <c r="K6701" s="3">
        <v>0.18744355762249953</v>
      </c>
      <c r="L6701" t="s">
        <v>54</v>
      </c>
    </row>
    <row r="6702" spans="1:12" x14ac:dyDescent="0.25">
      <c r="A6702" t="s">
        <v>487</v>
      </c>
      <c r="B6702" t="s">
        <v>467</v>
      </c>
      <c r="C6702" t="s">
        <v>468</v>
      </c>
      <c r="D6702" t="s">
        <v>314</v>
      </c>
      <c r="E6702" t="s">
        <v>318</v>
      </c>
      <c r="F6702">
        <v>2</v>
      </c>
      <c r="G6702" t="s">
        <v>498</v>
      </c>
      <c r="H6702" s="4">
        <v>7552904</v>
      </c>
      <c r="I6702" s="4">
        <v>7180349</v>
      </c>
      <c r="J6702" s="3">
        <v>0.04932606054571857</v>
      </c>
      <c r="K6702" s="3">
        <v>0.051885361004040335</v>
      </c>
      <c r="L6702" t="s">
        <v>54</v>
      </c>
    </row>
    <row r="6703" spans="1:12" x14ac:dyDescent="0.25">
      <c r="A6703" t="s">
        <v>487</v>
      </c>
      <c r="B6703" t="s">
        <v>467</v>
      </c>
      <c r="C6703" t="s">
        <v>468</v>
      </c>
      <c r="D6703" t="s">
        <v>314</v>
      </c>
      <c r="E6703" t="s">
        <v>318</v>
      </c>
      <c r="F6703">
        <v>2</v>
      </c>
      <c r="G6703" t="s">
        <v>499</v>
      </c>
      <c r="H6703" s="4">
        <v>7552904</v>
      </c>
      <c r="I6703" s="4">
        <v>10779480</v>
      </c>
      <c r="J6703" s="3">
        <v>0.42719674445749606</v>
      </c>
      <c r="K6703" s="3">
        <v>-0.29932575597338645</v>
      </c>
      <c r="L6703" t="s">
        <v>54</v>
      </c>
    </row>
    <row r="6704" spans="1:12" x14ac:dyDescent="0.25">
      <c r="A6704" t="s">
        <v>487</v>
      </c>
      <c r="B6704" t="s">
        <v>467</v>
      </c>
      <c r="C6704" t="s">
        <v>468</v>
      </c>
      <c r="D6704" t="s">
        <v>314</v>
      </c>
      <c r="E6704" t="s">
        <v>320</v>
      </c>
      <c r="F6704">
        <v>3</v>
      </c>
      <c r="G6704" t="s">
        <v>488</v>
      </c>
      <c r="H6704" s="4">
        <v>10945750</v>
      </c>
      <c r="I6704" s="4">
        <v>8447048.9128555</v>
      </c>
      <c r="J6704" s="3">
        <v>0.22828048211812801</v>
      </c>
      <c r="K6704" s="3">
        <v>0.2958075788269374</v>
      </c>
      <c r="L6704" t="s">
        <v>54</v>
      </c>
    </row>
    <row r="6705" spans="1:12" x14ac:dyDescent="0.25">
      <c r="A6705" t="s">
        <v>487</v>
      </c>
      <c r="B6705" t="s">
        <v>467</v>
      </c>
      <c r="C6705" t="s">
        <v>468</v>
      </c>
      <c r="D6705" t="s">
        <v>314</v>
      </c>
      <c r="E6705" t="s">
        <v>320</v>
      </c>
      <c r="F6705">
        <v>3</v>
      </c>
      <c r="G6705" t="s">
        <v>498</v>
      </c>
      <c r="H6705" s="4">
        <v>10945750</v>
      </c>
      <c r="I6705" s="4">
        <v>9535634</v>
      </c>
      <c r="J6705" s="3">
        <v>0.1288277185208871</v>
      </c>
      <c r="K6705" s="3">
        <v>0.14787857839342408</v>
      </c>
      <c r="L6705" t="s">
        <v>54</v>
      </c>
    </row>
    <row r="6706" spans="1:12" x14ac:dyDescent="0.25">
      <c r="A6706" t="s">
        <v>487</v>
      </c>
      <c r="B6706" t="s">
        <v>467</v>
      </c>
      <c r="C6706" t="s">
        <v>468</v>
      </c>
      <c r="D6706" t="s">
        <v>314</v>
      </c>
      <c r="E6706" t="s">
        <v>320</v>
      </c>
      <c r="F6706">
        <v>3</v>
      </c>
      <c r="G6706" t="s">
        <v>499</v>
      </c>
      <c r="H6706" s="4">
        <v>10945750</v>
      </c>
      <c r="I6706" s="4">
        <v>10779480</v>
      </c>
      <c r="J6706" s="3">
        <v>0.015190370691821026</v>
      </c>
      <c r="K6706" s="3">
        <v>0.015424677257158972</v>
      </c>
      <c r="L6706" t="s">
        <v>54</v>
      </c>
    </row>
    <row r="6707" spans="1:12" x14ac:dyDescent="0.25">
      <c r="A6707" t="s">
        <v>487</v>
      </c>
      <c r="B6707" t="s">
        <v>467</v>
      </c>
      <c r="C6707" t="s">
        <v>468</v>
      </c>
      <c r="D6707" t="s">
        <v>316</v>
      </c>
      <c r="E6707" t="s">
        <v>318</v>
      </c>
      <c r="F6707">
        <v>1</v>
      </c>
      <c r="G6707" t="s">
        <v>488</v>
      </c>
      <c r="H6707" s="4">
        <v>7552904</v>
      </c>
      <c r="I6707" s="4">
        <v>7420175.415076022</v>
      </c>
      <c r="J6707" s="3">
        <v>0.01757318574735995</v>
      </c>
      <c r="K6707" s="3">
        <v>0.01788752657441295</v>
      </c>
      <c r="L6707" t="s">
        <v>54</v>
      </c>
    </row>
    <row r="6708" spans="1:12" x14ac:dyDescent="0.25">
      <c r="A6708" t="s">
        <v>487</v>
      </c>
      <c r="B6708" t="s">
        <v>467</v>
      </c>
      <c r="C6708" t="s">
        <v>468</v>
      </c>
      <c r="D6708" t="s">
        <v>316</v>
      </c>
      <c r="E6708" t="s">
        <v>318</v>
      </c>
      <c r="F6708">
        <v>1</v>
      </c>
      <c r="G6708" t="s">
        <v>498</v>
      </c>
      <c r="H6708" s="4">
        <v>7552904</v>
      </c>
      <c r="I6708" s="4">
        <v>7180349</v>
      </c>
      <c r="J6708" s="3">
        <v>0.04932606054571857</v>
      </c>
      <c r="K6708" s="3">
        <v>0.051885361004040335</v>
      </c>
      <c r="L6708" t="s">
        <v>54</v>
      </c>
    </row>
    <row r="6709" spans="1:12" x14ac:dyDescent="0.25">
      <c r="A6709" t="s">
        <v>487</v>
      </c>
      <c r="B6709" t="s">
        <v>467</v>
      </c>
      <c r="C6709" t="s">
        <v>468</v>
      </c>
      <c r="D6709" t="s">
        <v>316</v>
      </c>
      <c r="E6709" t="s">
        <v>318</v>
      </c>
      <c r="F6709">
        <v>1</v>
      </c>
      <c r="G6709" t="s">
        <v>499</v>
      </c>
      <c r="H6709" s="4">
        <v>7552904</v>
      </c>
      <c r="I6709" s="4">
        <v>9843619</v>
      </c>
      <c r="J6709" s="3">
        <v>0.3032893043523392</v>
      </c>
      <c r="K6709" s="3">
        <v>-0.23271065245414313</v>
      </c>
      <c r="L6709" t="s">
        <v>54</v>
      </c>
    </row>
    <row r="6710" spans="1:12" x14ac:dyDescent="0.25">
      <c r="A6710" t="s">
        <v>487</v>
      </c>
      <c r="B6710" t="s">
        <v>467</v>
      </c>
      <c r="C6710" t="s">
        <v>468</v>
      </c>
      <c r="D6710" t="s">
        <v>316</v>
      </c>
      <c r="E6710" t="s">
        <v>320</v>
      </c>
      <c r="F6710">
        <v>2</v>
      </c>
      <c r="G6710" t="s">
        <v>488</v>
      </c>
      <c r="H6710" s="4">
        <v>10945750</v>
      </c>
      <c r="I6710" s="4">
        <v>9854127.838906301</v>
      </c>
      <c r="J6710" s="3">
        <v>0.09973022964106606</v>
      </c>
      <c r="K6710" s="3">
        <v>0.11077816108532003</v>
      </c>
      <c r="L6710" t="s">
        <v>54</v>
      </c>
    </row>
    <row r="6711" spans="1:12" x14ac:dyDescent="0.25">
      <c r="A6711" t="s">
        <v>487</v>
      </c>
      <c r="B6711" t="s">
        <v>467</v>
      </c>
      <c r="C6711" t="s">
        <v>468</v>
      </c>
      <c r="D6711" t="s">
        <v>316</v>
      </c>
      <c r="E6711" t="s">
        <v>320</v>
      </c>
      <c r="F6711">
        <v>2</v>
      </c>
      <c r="G6711" t="s">
        <v>498</v>
      </c>
      <c r="H6711" s="4">
        <v>10945750</v>
      </c>
      <c r="I6711" s="4">
        <v>9535634</v>
      </c>
      <c r="J6711" s="3">
        <v>0.1288277185208871</v>
      </c>
      <c r="K6711" s="3">
        <v>0.14787857839342408</v>
      </c>
      <c r="L6711" t="s">
        <v>54</v>
      </c>
    </row>
    <row r="6712" spans="1:12" x14ac:dyDescent="0.25">
      <c r="A6712" t="s">
        <v>487</v>
      </c>
      <c r="B6712" t="s">
        <v>467</v>
      </c>
      <c r="C6712" t="s">
        <v>468</v>
      </c>
      <c r="D6712" t="s">
        <v>316</v>
      </c>
      <c r="E6712" t="s">
        <v>320</v>
      </c>
      <c r="F6712">
        <v>2</v>
      </c>
      <c r="G6712" t="s">
        <v>499</v>
      </c>
      <c r="H6712" s="4">
        <v>10945750</v>
      </c>
      <c r="I6712" s="4">
        <v>9843619</v>
      </c>
      <c r="J6712" s="3">
        <v>0.10069031359203344</v>
      </c>
      <c r="K6712" s="3">
        <v>0.11196400429557463</v>
      </c>
      <c r="L6712" t="s">
        <v>54</v>
      </c>
    </row>
    <row r="6713" spans="1:12" x14ac:dyDescent="0.25">
      <c r="A6713" t="s">
        <v>487</v>
      </c>
      <c r="B6713" t="s">
        <v>467</v>
      </c>
      <c r="C6713" t="s">
        <v>468</v>
      </c>
      <c r="D6713" t="s">
        <v>316</v>
      </c>
      <c r="E6713" t="s">
        <v>322</v>
      </c>
      <c r="F6713">
        <v>3</v>
      </c>
      <c r="G6713" t="s">
        <v>488</v>
      </c>
      <c r="H6713" s="4">
        <v>11731115</v>
      </c>
      <c r="I6713" s="4">
        <v>11501378.385277422</v>
      </c>
      <c r="J6713" s="3">
        <v>0.0195835276290939</v>
      </c>
      <c r="K6713" s="3">
        <v>0.019974702772726526</v>
      </c>
      <c r="L6713" t="s">
        <v>54</v>
      </c>
    </row>
    <row r="6714" spans="1:12" x14ac:dyDescent="0.25">
      <c r="A6714" t="s">
        <v>487</v>
      </c>
      <c r="B6714" t="s">
        <v>467</v>
      </c>
      <c r="C6714" t="s">
        <v>468</v>
      </c>
      <c r="D6714" t="s">
        <v>316</v>
      </c>
      <c r="E6714" t="s">
        <v>322</v>
      </c>
      <c r="F6714">
        <v>3</v>
      </c>
      <c r="G6714" t="s">
        <v>498</v>
      </c>
      <c r="H6714" s="4">
        <v>11731115</v>
      </c>
      <c r="I6714" s="4">
        <v>11129644</v>
      </c>
      <c r="J6714" s="3">
        <v>0.051271426458610284</v>
      </c>
      <c r="K6714" s="3">
        <v>0.054042249689208385</v>
      </c>
      <c r="L6714" t="s">
        <v>54</v>
      </c>
    </row>
    <row r="6715" spans="1:12" x14ac:dyDescent="0.25">
      <c r="A6715" t="s">
        <v>487</v>
      </c>
      <c r="B6715" t="s">
        <v>467</v>
      </c>
      <c r="C6715" t="s">
        <v>468</v>
      </c>
      <c r="D6715" t="s">
        <v>316</v>
      </c>
      <c r="E6715" t="s">
        <v>322</v>
      </c>
      <c r="F6715">
        <v>3</v>
      </c>
      <c r="G6715" t="s">
        <v>499</v>
      </c>
      <c r="H6715" s="4">
        <v>11731115</v>
      </c>
      <c r="I6715" s="4">
        <v>9843619</v>
      </c>
      <c r="J6715" s="3">
        <v>0.1608965558687303</v>
      </c>
      <c r="K6715" s="3">
        <v>0.1917481771693927</v>
      </c>
      <c r="L6715" t="s">
        <v>54</v>
      </c>
    </row>
    <row r="6716" spans="1:12" x14ac:dyDescent="0.25">
      <c r="A6716" t="s">
        <v>487</v>
      </c>
      <c r="B6716" t="s">
        <v>467</v>
      </c>
      <c r="C6716" t="s">
        <v>468</v>
      </c>
      <c r="D6716" t="s">
        <v>318</v>
      </c>
      <c r="E6716" t="s">
        <v>320</v>
      </c>
      <c r="F6716">
        <v>1</v>
      </c>
      <c r="G6716" t="s">
        <v>488</v>
      </c>
      <c r="H6716" s="4">
        <v>10945750</v>
      </c>
      <c r="I6716" s="4">
        <v>10116243.79024882</v>
      </c>
      <c r="J6716" s="3">
        <v>0.07578340540859964</v>
      </c>
      <c r="K6716" s="3">
        <v>0.08199745151957996</v>
      </c>
      <c r="L6716" t="s">
        <v>54</v>
      </c>
    </row>
    <row r="6717" spans="1:12" x14ac:dyDescent="0.25">
      <c r="A6717" t="s">
        <v>487</v>
      </c>
      <c r="B6717" t="s">
        <v>467</v>
      </c>
      <c r="C6717" t="s">
        <v>468</v>
      </c>
      <c r="D6717" t="s">
        <v>318</v>
      </c>
      <c r="E6717" t="s">
        <v>320</v>
      </c>
      <c r="F6717">
        <v>1</v>
      </c>
      <c r="G6717" t="s">
        <v>498</v>
      </c>
      <c r="H6717" s="4">
        <v>10945750</v>
      </c>
      <c r="I6717" s="4">
        <v>9535634</v>
      </c>
      <c r="J6717" s="3">
        <v>0.1288277185208871</v>
      </c>
      <c r="K6717" s="3">
        <v>0.14787857839342408</v>
      </c>
      <c r="L6717" t="s">
        <v>54</v>
      </c>
    </row>
    <row r="6718" spans="1:12" x14ac:dyDescent="0.25">
      <c r="A6718" t="s">
        <v>487</v>
      </c>
      <c r="B6718" t="s">
        <v>467</v>
      </c>
      <c r="C6718" t="s">
        <v>468</v>
      </c>
      <c r="D6718" t="s">
        <v>318</v>
      </c>
      <c r="E6718" t="s">
        <v>320</v>
      </c>
      <c r="F6718">
        <v>1</v>
      </c>
      <c r="G6718" t="s">
        <v>499</v>
      </c>
      <c r="H6718" s="4">
        <v>10945750</v>
      </c>
      <c r="I6718" s="4">
        <v>7552904</v>
      </c>
      <c r="J6718" s="3">
        <v>0.3099692574743622</v>
      </c>
      <c r="K6718" s="3">
        <v>0.44921079362322097</v>
      </c>
      <c r="L6718" t="s">
        <v>54</v>
      </c>
    </row>
    <row r="6719" spans="1:12" x14ac:dyDescent="0.25">
      <c r="A6719" t="s">
        <v>487</v>
      </c>
      <c r="B6719" t="s">
        <v>467</v>
      </c>
      <c r="C6719" t="s">
        <v>468</v>
      </c>
      <c r="D6719" t="s">
        <v>318</v>
      </c>
      <c r="E6719" t="s">
        <v>322</v>
      </c>
      <c r="F6719">
        <v>2</v>
      </c>
      <c r="G6719" t="s">
        <v>488</v>
      </c>
      <c r="H6719" s="4">
        <v>11731115</v>
      </c>
      <c r="I6719" s="4">
        <v>11807310.557712266</v>
      </c>
      <c r="J6719" s="3">
        <v>0.0064951675703687345</v>
      </c>
      <c r="K6719" s="3">
        <v>-0.006453252613271616</v>
      </c>
      <c r="L6719" t="s">
        <v>54</v>
      </c>
    </row>
    <row r="6720" spans="1:12" x14ac:dyDescent="0.25">
      <c r="A6720" t="s">
        <v>487</v>
      </c>
      <c r="B6720" t="s">
        <v>467</v>
      </c>
      <c r="C6720" t="s">
        <v>468</v>
      </c>
      <c r="D6720" t="s">
        <v>318</v>
      </c>
      <c r="E6720" t="s">
        <v>322</v>
      </c>
      <c r="F6720">
        <v>2</v>
      </c>
      <c r="G6720" t="s">
        <v>498</v>
      </c>
      <c r="H6720" s="4">
        <v>11731115</v>
      </c>
      <c r="I6720" s="4">
        <v>11129644</v>
      </c>
      <c r="J6720" s="3">
        <v>0.051271426458610284</v>
      </c>
      <c r="K6720" s="3">
        <v>0.054042249689208385</v>
      </c>
      <c r="L6720" t="s">
        <v>54</v>
      </c>
    </row>
    <row r="6721" spans="1:12" x14ac:dyDescent="0.25">
      <c r="A6721" t="s">
        <v>487</v>
      </c>
      <c r="B6721" t="s">
        <v>467</v>
      </c>
      <c r="C6721" t="s">
        <v>468</v>
      </c>
      <c r="D6721" t="s">
        <v>318</v>
      </c>
      <c r="E6721" t="s">
        <v>322</v>
      </c>
      <c r="F6721">
        <v>2</v>
      </c>
      <c r="G6721" t="s">
        <v>499</v>
      </c>
      <c r="H6721" s="4">
        <v>11731115</v>
      </c>
      <c r="I6721" s="4">
        <v>7552904</v>
      </c>
      <c r="J6721" s="3">
        <v>0.3561648658290367</v>
      </c>
      <c r="K6721" s="3">
        <v>0.5531926527862661</v>
      </c>
      <c r="L6721" t="s">
        <v>54</v>
      </c>
    </row>
    <row r="6722" spans="1:12" x14ac:dyDescent="0.25">
      <c r="A6722" t="s">
        <v>487</v>
      </c>
      <c r="B6722" t="s">
        <v>467</v>
      </c>
      <c r="C6722" t="s">
        <v>468</v>
      </c>
      <c r="D6722" t="s">
        <v>318</v>
      </c>
      <c r="E6722" t="s">
        <v>324</v>
      </c>
      <c r="F6722">
        <v>3</v>
      </c>
      <c r="G6722" t="s">
        <v>488</v>
      </c>
      <c r="H6722" s="4">
        <v>10883931</v>
      </c>
      <c r="I6722" s="4">
        <v>16506254.883064387</v>
      </c>
      <c r="J6722" s="3">
        <v>0.5165710700540446</v>
      </c>
      <c r="K6722" s="3">
        <v>-0.34061777931425</v>
      </c>
      <c r="L6722" t="s">
        <v>54</v>
      </c>
    </row>
    <row r="6723" spans="1:12" x14ac:dyDescent="0.25">
      <c r="A6723" t="s">
        <v>487</v>
      </c>
      <c r="B6723" t="s">
        <v>467</v>
      </c>
      <c r="C6723" t="s">
        <v>468</v>
      </c>
      <c r="D6723" t="s">
        <v>318</v>
      </c>
      <c r="E6723" t="s">
        <v>324</v>
      </c>
      <c r="F6723">
        <v>3</v>
      </c>
      <c r="G6723" t="s">
        <v>498</v>
      </c>
      <c r="H6723" s="4">
        <v>10883931</v>
      </c>
      <c r="I6723" s="4">
        <v>15558898</v>
      </c>
      <c r="J6723" s="3">
        <v>0.42952927577361527</v>
      </c>
      <c r="K6723" s="3">
        <v>-0.3004690306472862</v>
      </c>
      <c r="L6723" t="s">
        <v>54</v>
      </c>
    </row>
    <row r="6724" spans="1:12" x14ac:dyDescent="0.25">
      <c r="A6724" t="s">
        <v>487</v>
      </c>
      <c r="B6724" t="s">
        <v>467</v>
      </c>
      <c r="C6724" t="s">
        <v>468</v>
      </c>
      <c r="D6724" t="s">
        <v>318</v>
      </c>
      <c r="E6724" t="s">
        <v>324</v>
      </c>
      <c r="F6724">
        <v>3</v>
      </c>
      <c r="G6724" t="s">
        <v>499</v>
      </c>
      <c r="H6724" s="4">
        <v>10883931</v>
      </c>
      <c r="I6724" s="4">
        <v>7552904</v>
      </c>
      <c r="J6724" s="3">
        <v>0.3060499924154242</v>
      </c>
      <c r="K6724" s="3">
        <v>0.4410259947696939</v>
      </c>
      <c r="L6724" t="s">
        <v>54</v>
      </c>
    </row>
    <row r="6725" spans="1:12" x14ac:dyDescent="0.25">
      <c r="A6725" t="s">
        <v>487</v>
      </c>
      <c r="B6725" t="s">
        <v>467</v>
      </c>
      <c r="C6725" t="s">
        <v>468</v>
      </c>
      <c r="D6725" t="s">
        <v>320</v>
      </c>
      <c r="E6725" t="s">
        <v>322</v>
      </c>
      <c r="F6725">
        <v>1</v>
      </c>
      <c r="G6725" t="s">
        <v>488</v>
      </c>
      <c r="H6725" s="4">
        <v>11731115</v>
      </c>
      <c r="I6725" s="4">
        <v>12300815.951145098</v>
      </c>
      <c r="J6725" s="3">
        <v>0.04856323982375909</v>
      </c>
      <c r="K6725" s="3">
        <v>-0.04631407813983783</v>
      </c>
      <c r="L6725" t="s">
        <v>54</v>
      </c>
    </row>
    <row r="6726" spans="1:12" x14ac:dyDescent="0.25">
      <c r="A6726" t="s">
        <v>487</v>
      </c>
      <c r="B6726" t="s">
        <v>467</v>
      </c>
      <c r="C6726" t="s">
        <v>468</v>
      </c>
      <c r="D6726" t="s">
        <v>320</v>
      </c>
      <c r="E6726" t="s">
        <v>322</v>
      </c>
      <c r="F6726">
        <v>1</v>
      </c>
      <c r="G6726" t="s">
        <v>498</v>
      </c>
      <c r="H6726" s="4">
        <v>11731115</v>
      </c>
      <c r="I6726" s="4">
        <v>11129644</v>
      </c>
      <c r="J6726" s="3">
        <v>0.051271426458610284</v>
      </c>
      <c r="K6726" s="3">
        <v>0.054042249689208385</v>
      </c>
      <c r="L6726" t="s">
        <v>54</v>
      </c>
    </row>
    <row r="6727" spans="1:12" x14ac:dyDescent="0.25">
      <c r="A6727" t="s">
        <v>487</v>
      </c>
      <c r="B6727" t="s">
        <v>467</v>
      </c>
      <c r="C6727" t="s">
        <v>468</v>
      </c>
      <c r="D6727" t="s">
        <v>320</v>
      </c>
      <c r="E6727" t="s">
        <v>322</v>
      </c>
      <c r="F6727">
        <v>1</v>
      </c>
      <c r="G6727" t="s">
        <v>499</v>
      </c>
      <c r="H6727" s="4">
        <v>11731115</v>
      </c>
      <c r="I6727" s="4">
        <v>10945750</v>
      </c>
      <c r="J6727" s="3">
        <v>0.06694717424558536</v>
      </c>
      <c r="K6727" s="3">
        <v>0.07175067948747231</v>
      </c>
      <c r="L6727" t="s">
        <v>54</v>
      </c>
    </row>
    <row r="6728" spans="1:12" x14ac:dyDescent="0.25">
      <c r="A6728" t="s">
        <v>487</v>
      </c>
      <c r="B6728" t="s">
        <v>467</v>
      </c>
      <c r="C6728" t="s">
        <v>468</v>
      </c>
      <c r="D6728" t="s">
        <v>320</v>
      </c>
      <c r="E6728" t="s">
        <v>324</v>
      </c>
      <c r="F6728">
        <v>2</v>
      </c>
      <c r="G6728" t="s">
        <v>488</v>
      </c>
      <c r="H6728" s="4">
        <v>10883931</v>
      </c>
      <c r="I6728" s="4">
        <v>17196160.15576415</v>
      </c>
      <c r="J6728" s="3">
        <v>0.5799585789145624</v>
      </c>
      <c r="K6728" s="3">
        <v>-0.36707201483281676</v>
      </c>
      <c r="L6728" t="s">
        <v>54</v>
      </c>
    </row>
    <row r="6729" spans="1:12" x14ac:dyDescent="0.25">
      <c r="A6729" t="s">
        <v>487</v>
      </c>
      <c r="B6729" t="s">
        <v>467</v>
      </c>
      <c r="C6729" t="s">
        <v>468</v>
      </c>
      <c r="D6729" t="s">
        <v>320</v>
      </c>
      <c r="E6729" t="s">
        <v>324</v>
      </c>
      <c r="F6729">
        <v>2</v>
      </c>
      <c r="G6729" t="s">
        <v>498</v>
      </c>
      <c r="H6729" s="4">
        <v>10883931</v>
      </c>
      <c r="I6729" s="4">
        <v>15558898</v>
      </c>
      <c r="J6729" s="3">
        <v>0.42952927577361527</v>
      </c>
      <c r="K6729" s="3">
        <v>-0.3004690306472862</v>
      </c>
      <c r="L6729" t="s">
        <v>54</v>
      </c>
    </row>
    <row r="6730" spans="1:12" x14ac:dyDescent="0.25">
      <c r="A6730" t="s">
        <v>487</v>
      </c>
      <c r="B6730" t="s">
        <v>467</v>
      </c>
      <c r="C6730" t="s">
        <v>468</v>
      </c>
      <c r="D6730" t="s">
        <v>320</v>
      </c>
      <c r="E6730" t="s">
        <v>324</v>
      </c>
      <c r="F6730">
        <v>2</v>
      </c>
      <c r="G6730" t="s">
        <v>499</v>
      </c>
      <c r="H6730" s="4">
        <v>10883931</v>
      </c>
      <c r="I6730" s="4">
        <v>10945750</v>
      </c>
      <c r="J6730" s="3">
        <v>0.005679841226483336</v>
      </c>
      <c r="K6730" s="3">
        <v>-0.005647762830322272</v>
      </c>
      <c r="L6730" t="s">
        <v>54</v>
      </c>
    </row>
    <row r="6731" spans="1:12" x14ac:dyDescent="0.25">
      <c r="A6731" t="s">
        <v>487</v>
      </c>
      <c r="B6731" t="s">
        <v>467</v>
      </c>
      <c r="C6731" t="s">
        <v>468</v>
      </c>
      <c r="D6731" t="s">
        <v>320</v>
      </c>
      <c r="E6731" t="s">
        <v>326</v>
      </c>
      <c r="F6731">
        <v>3</v>
      </c>
      <c r="G6731" t="s">
        <v>488</v>
      </c>
      <c r="H6731" s="4">
        <v>10678532</v>
      </c>
      <c r="I6731" s="4">
        <v>11023010.9686119</v>
      </c>
      <c r="J6731" s="3">
        <v>0.03225901918090424</v>
      </c>
      <c r="K6731" s="3">
        <v>-0.031250895929687994</v>
      </c>
      <c r="L6731" t="s">
        <v>54</v>
      </c>
    </row>
    <row r="6732" spans="1:12" x14ac:dyDescent="0.25">
      <c r="A6732" t="s">
        <v>487</v>
      </c>
      <c r="B6732" t="s">
        <v>467</v>
      </c>
      <c r="C6732" t="s">
        <v>468</v>
      </c>
      <c r="D6732" t="s">
        <v>320</v>
      </c>
      <c r="E6732" t="s">
        <v>326</v>
      </c>
      <c r="F6732">
        <v>3</v>
      </c>
      <c r="G6732" t="s">
        <v>498</v>
      </c>
      <c r="H6732" s="4">
        <v>10678532</v>
      </c>
      <c r="I6732" s="4">
        <v>9973500</v>
      </c>
      <c r="J6732" s="3">
        <v>0.06602330732351601</v>
      </c>
      <c r="K6732" s="3">
        <v>0.07069052990424625</v>
      </c>
      <c r="L6732" t="s">
        <v>54</v>
      </c>
    </row>
    <row r="6733" spans="1:12" x14ac:dyDescent="0.25">
      <c r="A6733" t="s">
        <v>487</v>
      </c>
      <c r="B6733" t="s">
        <v>467</v>
      </c>
      <c r="C6733" t="s">
        <v>468</v>
      </c>
      <c r="D6733" t="s">
        <v>320</v>
      </c>
      <c r="E6733" t="s">
        <v>326</v>
      </c>
      <c r="F6733">
        <v>3</v>
      </c>
      <c r="G6733" t="s">
        <v>499</v>
      </c>
      <c r="H6733" s="4">
        <v>10678532</v>
      </c>
      <c r="I6733" s="4">
        <v>10945750</v>
      </c>
      <c r="J6733" s="3">
        <v>0.025023851593084144</v>
      </c>
      <c r="K6733" s="3">
        <v>-0.02441294566384213</v>
      </c>
      <c r="L6733" t="s">
        <v>54</v>
      </c>
    </row>
    <row r="6734" spans="1:12" x14ac:dyDescent="0.25">
      <c r="A6734" t="s">
        <v>487</v>
      </c>
      <c r="B6734" t="s">
        <v>467</v>
      </c>
      <c r="C6734" t="s">
        <v>468</v>
      </c>
      <c r="D6734" t="s">
        <v>322</v>
      </c>
      <c r="E6734" t="s">
        <v>324</v>
      </c>
      <c r="F6734">
        <v>1</v>
      </c>
      <c r="G6734" t="s">
        <v>488</v>
      </c>
      <c r="H6734" s="4">
        <v>10883931</v>
      </c>
      <c r="I6734" s="4">
        <v>17622378.460844997</v>
      </c>
      <c r="J6734" s="3">
        <v>0.6191189066565194</v>
      </c>
      <c r="K6734" s="3">
        <v>-0.38238013533854653</v>
      </c>
      <c r="L6734" t="s">
        <v>54</v>
      </c>
    </row>
    <row r="6735" spans="1:12" x14ac:dyDescent="0.25">
      <c r="A6735" t="s">
        <v>487</v>
      </c>
      <c r="B6735" t="s">
        <v>467</v>
      </c>
      <c r="C6735" t="s">
        <v>468</v>
      </c>
      <c r="D6735" t="s">
        <v>322</v>
      </c>
      <c r="E6735" t="s">
        <v>324</v>
      </c>
      <c r="F6735">
        <v>1</v>
      </c>
      <c r="G6735" t="s">
        <v>498</v>
      </c>
      <c r="H6735" s="4">
        <v>10883931</v>
      </c>
      <c r="I6735" s="4">
        <v>15558898</v>
      </c>
      <c r="J6735" s="3">
        <v>0.42952927577361527</v>
      </c>
      <c r="K6735" s="3">
        <v>-0.3004690306472862</v>
      </c>
      <c r="L6735" t="s">
        <v>54</v>
      </c>
    </row>
    <row r="6736" spans="1:12" x14ac:dyDescent="0.25">
      <c r="A6736" t="s">
        <v>487</v>
      </c>
      <c r="B6736" t="s">
        <v>467</v>
      </c>
      <c r="C6736" t="s">
        <v>468</v>
      </c>
      <c r="D6736" t="s">
        <v>322</v>
      </c>
      <c r="E6736" t="s">
        <v>324</v>
      </c>
      <c r="F6736">
        <v>1</v>
      </c>
      <c r="G6736" t="s">
        <v>499</v>
      </c>
      <c r="H6736" s="4">
        <v>10883931</v>
      </c>
      <c r="I6736" s="4">
        <v>11731115</v>
      </c>
      <c r="J6736" s="3">
        <v>0.07783805318133678</v>
      </c>
      <c r="K6736" s="3">
        <v>-0.0722168353136083</v>
      </c>
      <c r="L6736" t="s">
        <v>54</v>
      </c>
    </row>
    <row r="6737" spans="1:12" x14ac:dyDescent="0.25">
      <c r="A6737" t="s">
        <v>487</v>
      </c>
      <c r="B6737" t="s">
        <v>467</v>
      </c>
      <c r="C6737" t="s">
        <v>468</v>
      </c>
      <c r="D6737" t="s">
        <v>322</v>
      </c>
      <c r="E6737" t="s">
        <v>326</v>
      </c>
      <c r="F6737">
        <v>2</v>
      </c>
      <c r="G6737" t="s">
        <v>488</v>
      </c>
      <c r="H6737" s="4">
        <v>10678532</v>
      </c>
      <c r="I6737" s="4">
        <v>11296223.651523236</v>
      </c>
      <c r="J6737" s="3">
        <v>0.0578442478351178</v>
      </c>
      <c r="K6737" s="3">
        <v>-0.054681251945639706</v>
      </c>
      <c r="L6737" t="s">
        <v>54</v>
      </c>
    </row>
    <row r="6738" spans="1:12" x14ac:dyDescent="0.25">
      <c r="A6738" t="s">
        <v>487</v>
      </c>
      <c r="B6738" t="s">
        <v>467</v>
      </c>
      <c r="C6738" t="s">
        <v>468</v>
      </c>
      <c r="D6738" t="s">
        <v>322</v>
      </c>
      <c r="E6738" t="s">
        <v>326</v>
      </c>
      <c r="F6738">
        <v>2</v>
      </c>
      <c r="G6738" t="s">
        <v>498</v>
      </c>
      <c r="H6738" s="4">
        <v>10678532</v>
      </c>
      <c r="I6738" s="4">
        <v>9973500</v>
      </c>
      <c r="J6738" s="3">
        <v>0.06602330732351601</v>
      </c>
      <c r="K6738" s="3">
        <v>0.07069052990424625</v>
      </c>
      <c r="L6738" t="s">
        <v>54</v>
      </c>
    </row>
    <row r="6739" spans="1:12" x14ac:dyDescent="0.25">
      <c r="A6739" t="s">
        <v>487</v>
      </c>
      <c r="B6739" t="s">
        <v>467</v>
      </c>
      <c r="C6739" t="s">
        <v>468</v>
      </c>
      <c r="D6739" t="s">
        <v>322</v>
      </c>
      <c r="E6739" t="s">
        <v>326</v>
      </c>
      <c r="F6739">
        <v>2</v>
      </c>
      <c r="G6739" t="s">
        <v>499</v>
      </c>
      <c r="H6739" s="4">
        <v>10678532</v>
      </c>
      <c r="I6739" s="4">
        <v>11731115</v>
      </c>
      <c r="J6739" s="3">
        <v>0.0985700094357539</v>
      </c>
      <c r="K6739" s="3">
        <v>-0.08972574218222223</v>
      </c>
      <c r="L6739" t="s">
        <v>54</v>
      </c>
    </row>
    <row r="6740" spans="1:12" x14ac:dyDescent="0.25">
      <c r="A6740" t="s">
        <v>487</v>
      </c>
      <c r="B6740" t="s">
        <v>467</v>
      </c>
      <c r="C6740" t="s">
        <v>468</v>
      </c>
      <c r="D6740" t="s">
        <v>322</v>
      </c>
      <c r="E6740" t="s">
        <v>328</v>
      </c>
      <c r="F6740">
        <v>3</v>
      </c>
      <c r="G6740" t="s">
        <v>488</v>
      </c>
      <c r="H6740" s="4">
        <v>9661929</v>
      </c>
      <c r="I6740" s="4">
        <v>6403943.413160595</v>
      </c>
      <c r="J6740" s="3">
        <v>0.33719825376893214</v>
      </c>
      <c r="K6740" s="3">
        <v>0.5087467793897108</v>
      </c>
      <c r="L6740" t="s">
        <v>54</v>
      </c>
    </row>
    <row r="6741" spans="1:12" x14ac:dyDescent="0.25">
      <c r="A6741" t="s">
        <v>487</v>
      </c>
      <c r="B6741" t="s">
        <v>467</v>
      </c>
      <c r="C6741" t="s">
        <v>468</v>
      </c>
      <c r="D6741" t="s">
        <v>322</v>
      </c>
      <c r="E6741" t="s">
        <v>328</v>
      </c>
      <c r="F6741">
        <v>3</v>
      </c>
      <c r="G6741" t="s">
        <v>498</v>
      </c>
      <c r="H6741" s="4">
        <v>9661929</v>
      </c>
      <c r="I6741" s="4">
        <v>5654078</v>
      </c>
      <c r="J6741" s="3">
        <v>0.41480857497503865</v>
      </c>
      <c r="K6741" s="3">
        <v>0.7088425380760577</v>
      </c>
      <c r="L6741" t="s">
        <v>54</v>
      </c>
    </row>
    <row r="6742" spans="1:12" x14ac:dyDescent="0.25">
      <c r="A6742" t="s">
        <v>487</v>
      </c>
      <c r="B6742" t="s">
        <v>467</v>
      </c>
      <c r="C6742" t="s">
        <v>468</v>
      </c>
      <c r="D6742" t="s">
        <v>322</v>
      </c>
      <c r="E6742" t="s">
        <v>328</v>
      </c>
      <c r="F6742">
        <v>3</v>
      </c>
      <c r="G6742" t="s">
        <v>499</v>
      </c>
      <c r="H6742" s="4">
        <v>9661929</v>
      </c>
      <c r="I6742" s="4">
        <v>11731115</v>
      </c>
      <c r="J6742" s="3">
        <v>0.2141586840474609</v>
      </c>
      <c r="K6742" s="3">
        <v>-0.176384427226227</v>
      </c>
      <c r="L6742" t="s">
        <v>54</v>
      </c>
    </row>
    <row r="6743" spans="1:12" x14ac:dyDescent="0.25">
      <c r="A6743" t="s">
        <v>487</v>
      </c>
      <c r="B6743" t="s">
        <v>467</v>
      </c>
      <c r="C6743" t="s">
        <v>468</v>
      </c>
      <c r="D6743" t="s">
        <v>324</v>
      </c>
      <c r="E6743" t="s">
        <v>326</v>
      </c>
      <c r="F6743">
        <v>1</v>
      </c>
      <c r="G6743" t="s">
        <v>488</v>
      </c>
      <c r="H6743" s="4">
        <v>10678532</v>
      </c>
      <c r="I6743" s="4">
        <v>10708899.72820277</v>
      </c>
      <c r="J6743" s="3">
        <v>0.0028438111345987943</v>
      </c>
      <c r="K6743" s="3">
        <v>-0.0028357468062562598</v>
      </c>
      <c r="L6743" t="s">
        <v>54</v>
      </c>
    </row>
    <row r="6744" spans="1:12" x14ac:dyDescent="0.25">
      <c r="A6744" t="s">
        <v>487</v>
      </c>
      <c r="B6744" t="s">
        <v>467</v>
      </c>
      <c r="C6744" t="s">
        <v>468</v>
      </c>
      <c r="D6744" t="s">
        <v>324</v>
      </c>
      <c r="E6744" t="s">
        <v>326</v>
      </c>
      <c r="F6744">
        <v>1</v>
      </c>
      <c r="G6744" t="s">
        <v>498</v>
      </c>
      <c r="H6744" s="4">
        <v>10678532</v>
      </c>
      <c r="I6744" s="4">
        <v>9973500</v>
      </c>
      <c r="J6744" s="3">
        <v>0.06602330732351601</v>
      </c>
      <c r="K6744" s="3">
        <v>0.07069052990424625</v>
      </c>
      <c r="L6744" t="s">
        <v>54</v>
      </c>
    </row>
    <row r="6745" spans="1:12" x14ac:dyDescent="0.25">
      <c r="A6745" t="s">
        <v>487</v>
      </c>
      <c r="B6745" t="s">
        <v>467</v>
      </c>
      <c r="C6745" t="s">
        <v>468</v>
      </c>
      <c r="D6745" t="s">
        <v>324</v>
      </c>
      <c r="E6745" t="s">
        <v>326</v>
      </c>
      <c r="F6745">
        <v>1</v>
      </c>
      <c r="G6745" t="s">
        <v>499</v>
      </c>
      <c r="H6745" s="4">
        <v>10678532</v>
      </c>
      <c r="I6745" s="4">
        <v>10883931</v>
      </c>
      <c r="J6745" s="3">
        <v>0.01923475998386295</v>
      </c>
      <c r="K6745" s="3">
        <v>-0.018871766092600183</v>
      </c>
      <c r="L6745" t="s">
        <v>54</v>
      </c>
    </row>
    <row r="6746" spans="1:12" x14ac:dyDescent="0.25">
      <c r="A6746" t="s">
        <v>487</v>
      </c>
      <c r="B6746" t="s">
        <v>467</v>
      </c>
      <c r="C6746" t="s">
        <v>468</v>
      </c>
      <c r="D6746" t="s">
        <v>324</v>
      </c>
      <c r="E6746" t="s">
        <v>328</v>
      </c>
      <c r="F6746">
        <v>2</v>
      </c>
      <c r="G6746" t="s">
        <v>488</v>
      </c>
      <c r="H6746" s="4">
        <v>9661929</v>
      </c>
      <c r="I6746" s="4">
        <v>6070983.542130372</v>
      </c>
      <c r="J6746" s="3">
        <v>0.3716592678200832</v>
      </c>
      <c r="K6746" s="3">
        <v>0.5914931959458958</v>
      </c>
      <c r="L6746" t="s">
        <v>54</v>
      </c>
    </row>
    <row r="6747" spans="1:12" x14ac:dyDescent="0.25">
      <c r="A6747" t="s">
        <v>487</v>
      </c>
      <c r="B6747" t="s">
        <v>467</v>
      </c>
      <c r="C6747" t="s">
        <v>468</v>
      </c>
      <c r="D6747" t="s">
        <v>324</v>
      </c>
      <c r="E6747" t="s">
        <v>328</v>
      </c>
      <c r="F6747">
        <v>2</v>
      </c>
      <c r="G6747" t="s">
        <v>498</v>
      </c>
      <c r="H6747" s="4">
        <v>9661929</v>
      </c>
      <c r="I6747" s="4">
        <v>5654078</v>
      </c>
      <c r="J6747" s="3">
        <v>0.41480857497503865</v>
      </c>
      <c r="K6747" s="3">
        <v>0.7088425380760577</v>
      </c>
      <c r="L6747" t="s">
        <v>54</v>
      </c>
    </row>
    <row r="6748" spans="1:12" x14ac:dyDescent="0.25">
      <c r="A6748" t="s">
        <v>487</v>
      </c>
      <c r="B6748" t="s">
        <v>467</v>
      </c>
      <c r="C6748" t="s">
        <v>468</v>
      </c>
      <c r="D6748" t="s">
        <v>324</v>
      </c>
      <c r="E6748" t="s">
        <v>328</v>
      </c>
      <c r="F6748">
        <v>2</v>
      </c>
      <c r="G6748" t="s">
        <v>499</v>
      </c>
      <c r="H6748" s="4">
        <v>9661929</v>
      </c>
      <c r="I6748" s="4">
        <v>10883931</v>
      </c>
      <c r="J6748" s="3">
        <v>0.12647598631701806</v>
      </c>
      <c r="K6748" s="3">
        <v>-0.11227579447168491</v>
      </c>
      <c r="L6748" t="s">
        <v>54</v>
      </c>
    </row>
    <row r="6749" spans="1:12" x14ac:dyDescent="0.25">
      <c r="A6749" t="s">
        <v>487</v>
      </c>
      <c r="B6749" t="s">
        <v>467</v>
      </c>
      <c r="C6749" t="s">
        <v>468</v>
      </c>
      <c r="D6749" t="s">
        <v>324</v>
      </c>
      <c r="E6749" t="s">
        <v>330</v>
      </c>
      <c r="F6749">
        <v>3</v>
      </c>
      <c r="G6749" t="s">
        <v>488</v>
      </c>
      <c r="H6749" s="4">
        <v>8018441</v>
      </c>
      <c r="I6749" s="4">
        <v>6718559.787127359</v>
      </c>
      <c r="J6749" s="3">
        <v>0.1621114644196598</v>
      </c>
      <c r="K6749" s="3">
        <v>0.19347616960456174</v>
      </c>
      <c r="L6749" t="s">
        <v>54</v>
      </c>
    </row>
    <row r="6750" spans="1:12" x14ac:dyDescent="0.25">
      <c r="A6750" t="s">
        <v>487</v>
      </c>
      <c r="B6750" t="s">
        <v>467</v>
      </c>
      <c r="C6750" t="s">
        <v>468</v>
      </c>
      <c r="D6750" t="s">
        <v>324</v>
      </c>
      <c r="E6750" t="s">
        <v>330</v>
      </c>
      <c r="F6750">
        <v>3</v>
      </c>
      <c r="G6750" t="s">
        <v>498</v>
      </c>
      <c r="H6750" s="4">
        <v>8018441</v>
      </c>
      <c r="I6750" s="4">
        <v>6257184</v>
      </c>
      <c r="J6750" s="3">
        <v>0.21965080244401625</v>
      </c>
      <c r="K6750" s="3">
        <v>0.2814775784122698</v>
      </c>
      <c r="L6750" t="s">
        <v>54</v>
      </c>
    </row>
    <row r="6751" spans="1:12" x14ac:dyDescent="0.25">
      <c r="A6751" t="s">
        <v>487</v>
      </c>
      <c r="B6751" t="s">
        <v>467</v>
      </c>
      <c r="C6751" t="s">
        <v>468</v>
      </c>
      <c r="D6751" t="s">
        <v>324</v>
      </c>
      <c r="E6751" t="s">
        <v>330</v>
      </c>
      <c r="F6751">
        <v>3</v>
      </c>
      <c r="G6751" t="s">
        <v>499</v>
      </c>
      <c r="H6751" s="4">
        <v>8018441</v>
      </c>
      <c r="I6751" s="4">
        <v>10883931</v>
      </c>
      <c r="J6751" s="3">
        <v>0.35736248480222027</v>
      </c>
      <c r="K6751" s="3">
        <v>-0.2632771192687642</v>
      </c>
      <c r="L6751" t="s">
        <v>54</v>
      </c>
    </row>
    <row r="6752" spans="1:12" x14ac:dyDescent="0.25">
      <c r="A6752" t="s">
        <v>487</v>
      </c>
      <c r="B6752" t="s">
        <v>467</v>
      </c>
      <c r="C6752" t="s">
        <v>468</v>
      </c>
      <c r="D6752" t="s">
        <v>326</v>
      </c>
      <c r="E6752" t="s">
        <v>328</v>
      </c>
      <c r="F6752">
        <v>1</v>
      </c>
      <c r="G6752" t="s">
        <v>488</v>
      </c>
      <c r="H6752" s="4">
        <v>9661929</v>
      </c>
      <c r="I6752" s="4">
        <v>6001406.832852154</v>
      </c>
      <c r="J6752" s="3">
        <v>0.3788603877287699</v>
      </c>
      <c r="K6752" s="3">
        <v>0.6099440129787355</v>
      </c>
      <c r="L6752" t="s">
        <v>54</v>
      </c>
    </row>
    <row r="6753" spans="1:12" x14ac:dyDescent="0.25">
      <c r="A6753" t="s">
        <v>487</v>
      </c>
      <c r="B6753" t="s">
        <v>467</v>
      </c>
      <c r="C6753" t="s">
        <v>468</v>
      </c>
      <c r="D6753" t="s">
        <v>326</v>
      </c>
      <c r="E6753" t="s">
        <v>328</v>
      </c>
      <c r="F6753">
        <v>1</v>
      </c>
      <c r="G6753" t="s">
        <v>498</v>
      </c>
      <c r="H6753" s="4">
        <v>9661929</v>
      </c>
      <c r="I6753" s="4">
        <v>5654078</v>
      </c>
      <c r="J6753" s="3">
        <v>0.41480857497503865</v>
      </c>
      <c r="K6753" s="3">
        <v>0.7088425380760577</v>
      </c>
      <c r="L6753" t="s">
        <v>54</v>
      </c>
    </row>
    <row r="6754" spans="1:12" x14ac:dyDescent="0.25">
      <c r="A6754" t="s">
        <v>487</v>
      </c>
      <c r="B6754" t="s">
        <v>467</v>
      </c>
      <c r="C6754" t="s">
        <v>468</v>
      </c>
      <c r="D6754" t="s">
        <v>326</v>
      </c>
      <c r="E6754" t="s">
        <v>328</v>
      </c>
      <c r="F6754">
        <v>1</v>
      </c>
      <c r="G6754" t="s">
        <v>499</v>
      </c>
      <c r="H6754" s="4">
        <v>9661929</v>
      </c>
      <c r="I6754" s="4">
        <v>10678532</v>
      </c>
      <c r="J6754" s="3">
        <v>0.10521739499431221</v>
      </c>
      <c r="K6754" s="3">
        <v>-0.09520063244648234</v>
      </c>
      <c r="L6754" t="s">
        <v>54</v>
      </c>
    </row>
    <row r="6755" spans="1:12" x14ac:dyDescent="0.25">
      <c r="A6755" t="s">
        <v>487</v>
      </c>
      <c r="B6755" t="s">
        <v>467</v>
      </c>
      <c r="C6755" t="s">
        <v>468</v>
      </c>
      <c r="D6755" t="s">
        <v>326</v>
      </c>
      <c r="E6755" t="s">
        <v>330</v>
      </c>
      <c r="F6755">
        <v>2</v>
      </c>
      <c r="G6755" t="s">
        <v>488</v>
      </c>
      <c r="H6755" s="4">
        <v>8018441</v>
      </c>
      <c r="I6755" s="4">
        <v>6641561.508704544</v>
      </c>
      <c r="J6755" s="3">
        <v>0.17171411391509347</v>
      </c>
      <c r="K6755" s="3">
        <v>0.20731261609049229</v>
      </c>
      <c r="L6755" t="s">
        <v>54</v>
      </c>
    </row>
    <row r="6756" spans="1:12" x14ac:dyDescent="0.25">
      <c r="A6756" t="s">
        <v>487</v>
      </c>
      <c r="B6756" t="s">
        <v>467</v>
      </c>
      <c r="C6756" t="s">
        <v>468</v>
      </c>
      <c r="D6756" t="s">
        <v>326</v>
      </c>
      <c r="E6756" t="s">
        <v>330</v>
      </c>
      <c r="F6756">
        <v>2</v>
      </c>
      <c r="G6756" t="s">
        <v>498</v>
      </c>
      <c r="H6756" s="4">
        <v>8018441</v>
      </c>
      <c r="I6756" s="4">
        <v>6257184</v>
      </c>
      <c r="J6756" s="3">
        <v>0.21965080244401625</v>
      </c>
      <c r="K6756" s="3">
        <v>0.2814775784122698</v>
      </c>
      <c r="L6756" t="s">
        <v>54</v>
      </c>
    </row>
    <row r="6757" spans="1:12" x14ac:dyDescent="0.25">
      <c r="A6757" t="s">
        <v>487</v>
      </c>
      <c r="B6757" t="s">
        <v>467</v>
      </c>
      <c r="C6757" t="s">
        <v>468</v>
      </c>
      <c r="D6757" t="s">
        <v>326</v>
      </c>
      <c r="E6757" t="s">
        <v>330</v>
      </c>
      <c r="F6757">
        <v>2</v>
      </c>
      <c r="G6757" t="s">
        <v>499</v>
      </c>
      <c r="H6757" s="4">
        <v>8018441</v>
      </c>
      <c r="I6757" s="4">
        <v>10678532</v>
      </c>
      <c r="J6757" s="3">
        <v>0.3317466574861622</v>
      </c>
      <c r="K6757" s="3">
        <v>-0.2491064314832788</v>
      </c>
      <c r="L6757" t="s">
        <v>54</v>
      </c>
    </row>
    <row r="6758" spans="1:12" x14ac:dyDescent="0.25">
      <c r="A6758" t="s">
        <v>487</v>
      </c>
      <c r="B6758" t="s">
        <v>467</v>
      </c>
      <c r="C6758" t="s">
        <v>468</v>
      </c>
      <c r="D6758" t="s">
        <v>326</v>
      </c>
      <c r="E6758" t="s">
        <v>332</v>
      </c>
      <c r="F6758">
        <v>3</v>
      </c>
      <c r="G6758" t="s">
        <v>488</v>
      </c>
      <c r="H6758" s="4">
        <v>13584379</v>
      </c>
      <c r="I6758" s="4">
        <v>13302331.712346464</v>
      </c>
      <c r="J6758" s="3">
        <v>0.020762619156424862</v>
      </c>
      <c r="K6758" s="3">
        <v>0.02120284576814119</v>
      </c>
      <c r="L6758" t="s">
        <v>54</v>
      </c>
    </row>
    <row r="6759" spans="1:12" x14ac:dyDescent="0.25">
      <c r="A6759" t="s">
        <v>487</v>
      </c>
      <c r="B6759" t="s">
        <v>467</v>
      </c>
      <c r="C6759" t="s">
        <v>468</v>
      </c>
      <c r="D6759" t="s">
        <v>326</v>
      </c>
      <c r="E6759" t="s">
        <v>332</v>
      </c>
      <c r="F6759">
        <v>3</v>
      </c>
      <c r="G6759" t="s">
        <v>498</v>
      </c>
      <c r="H6759" s="4">
        <v>13584379</v>
      </c>
      <c r="I6759" s="4">
        <v>12532465</v>
      </c>
      <c r="J6759" s="3">
        <v>0.07743556035943933</v>
      </c>
      <c r="K6759" s="3">
        <v>0.08393512369673484</v>
      </c>
      <c r="L6759" t="s">
        <v>54</v>
      </c>
    </row>
    <row r="6760" spans="1:12" x14ac:dyDescent="0.25">
      <c r="A6760" t="s">
        <v>487</v>
      </c>
      <c r="B6760" t="s">
        <v>467</v>
      </c>
      <c r="C6760" t="s">
        <v>468</v>
      </c>
      <c r="D6760" t="s">
        <v>326</v>
      </c>
      <c r="E6760" t="s">
        <v>332</v>
      </c>
      <c r="F6760">
        <v>3</v>
      </c>
      <c r="G6760" t="s">
        <v>499</v>
      </c>
      <c r="H6760" s="4">
        <v>13584379</v>
      </c>
      <c r="I6760" s="4">
        <v>10678532</v>
      </c>
      <c r="J6760" s="3">
        <v>0.21391091929929223</v>
      </c>
      <c r="K6760" s="3">
        <v>0.2721204562574706</v>
      </c>
      <c r="L6760" t="s">
        <v>54</v>
      </c>
    </row>
    <row r="6761" spans="1:12" x14ac:dyDescent="0.25">
      <c r="A6761" t="s">
        <v>487</v>
      </c>
      <c r="B6761" t="s">
        <v>467</v>
      </c>
      <c r="C6761" t="s">
        <v>468</v>
      </c>
      <c r="D6761" t="s">
        <v>328</v>
      </c>
      <c r="E6761" t="s">
        <v>330</v>
      </c>
      <c r="F6761">
        <v>1</v>
      </c>
      <c r="G6761" t="s">
        <v>488</v>
      </c>
      <c r="H6761" s="4">
        <v>8018441</v>
      </c>
      <c r="I6761" s="4">
        <v>7130809.037968773</v>
      </c>
      <c r="J6761" s="3">
        <v>0.11069882063498711</v>
      </c>
      <c r="K6761" s="3">
        <v>0.12447843678114685</v>
      </c>
      <c r="L6761" t="s">
        <v>54</v>
      </c>
    </row>
    <row r="6762" spans="1:12" x14ac:dyDescent="0.25">
      <c r="A6762" t="s">
        <v>487</v>
      </c>
      <c r="B6762" t="s">
        <v>467</v>
      </c>
      <c r="C6762" t="s">
        <v>468</v>
      </c>
      <c r="D6762" t="s">
        <v>328</v>
      </c>
      <c r="E6762" t="s">
        <v>330</v>
      </c>
      <c r="F6762">
        <v>1</v>
      </c>
      <c r="G6762" t="s">
        <v>498</v>
      </c>
      <c r="H6762" s="4">
        <v>8018441</v>
      </c>
      <c r="I6762" s="4">
        <v>6257184</v>
      </c>
      <c r="J6762" s="3">
        <v>0.21965080244401625</v>
      </c>
      <c r="K6762" s="3">
        <v>0.2814775784122698</v>
      </c>
      <c r="L6762" t="s">
        <v>54</v>
      </c>
    </row>
    <row r="6763" spans="1:12" x14ac:dyDescent="0.25">
      <c r="A6763" t="s">
        <v>487</v>
      </c>
      <c r="B6763" t="s">
        <v>467</v>
      </c>
      <c r="C6763" t="s">
        <v>468</v>
      </c>
      <c r="D6763" t="s">
        <v>328</v>
      </c>
      <c r="E6763" t="s">
        <v>330</v>
      </c>
      <c r="F6763">
        <v>1</v>
      </c>
      <c r="G6763" t="s">
        <v>499</v>
      </c>
      <c r="H6763" s="4">
        <v>8018441</v>
      </c>
      <c r="I6763" s="4">
        <v>9661929</v>
      </c>
      <c r="J6763" s="3">
        <v>0.20496353343499066</v>
      </c>
      <c r="K6763" s="3">
        <v>-0.17009936628596628</v>
      </c>
      <c r="L6763" t="s">
        <v>54</v>
      </c>
    </row>
    <row r="6764" spans="1:12" x14ac:dyDescent="0.25">
      <c r="A6764" t="s">
        <v>487</v>
      </c>
      <c r="B6764" t="s">
        <v>467</v>
      </c>
      <c r="C6764" t="s">
        <v>468</v>
      </c>
      <c r="D6764" t="s">
        <v>328</v>
      </c>
      <c r="E6764" t="s">
        <v>332</v>
      </c>
      <c r="F6764">
        <v>2</v>
      </c>
      <c r="G6764" t="s">
        <v>488</v>
      </c>
      <c r="H6764" s="4">
        <v>13584379</v>
      </c>
      <c r="I6764" s="4">
        <v>14282241.770423776</v>
      </c>
      <c r="J6764" s="3">
        <v>0.051372445543795234</v>
      </c>
      <c r="K6764" s="3">
        <v>-0.048862271178530044</v>
      </c>
      <c r="L6764" t="s">
        <v>54</v>
      </c>
    </row>
    <row r="6765" spans="1:12" x14ac:dyDescent="0.25">
      <c r="A6765" t="s">
        <v>487</v>
      </c>
      <c r="B6765" t="s">
        <v>467</v>
      </c>
      <c r="C6765" t="s">
        <v>468</v>
      </c>
      <c r="D6765" t="s">
        <v>328</v>
      </c>
      <c r="E6765" t="s">
        <v>332</v>
      </c>
      <c r="F6765">
        <v>2</v>
      </c>
      <c r="G6765" t="s">
        <v>498</v>
      </c>
      <c r="H6765" s="4">
        <v>13584379</v>
      </c>
      <c r="I6765" s="4">
        <v>12532465</v>
      </c>
      <c r="J6765" s="3">
        <v>0.07743556035943933</v>
      </c>
      <c r="K6765" s="3">
        <v>0.08393512369673484</v>
      </c>
      <c r="L6765" t="s">
        <v>54</v>
      </c>
    </row>
    <row r="6766" spans="1:12" x14ac:dyDescent="0.25">
      <c r="A6766" t="s">
        <v>487</v>
      </c>
      <c r="B6766" t="s">
        <v>467</v>
      </c>
      <c r="C6766" t="s">
        <v>468</v>
      </c>
      <c r="D6766" t="s">
        <v>328</v>
      </c>
      <c r="E6766" t="s">
        <v>332</v>
      </c>
      <c r="F6766">
        <v>2</v>
      </c>
      <c r="G6766" t="s">
        <v>499</v>
      </c>
      <c r="H6766" s="4">
        <v>13584379</v>
      </c>
      <c r="I6766" s="4">
        <v>9661929</v>
      </c>
      <c r="J6766" s="3">
        <v>0.2887470969412735</v>
      </c>
      <c r="K6766" s="3">
        <v>0.40596965678385755</v>
      </c>
      <c r="L6766" t="s">
        <v>54</v>
      </c>
    </row>
    <row r="6767" spans="1:12" x14ac:dyDescent="0.25">
      <c r="A6767" t="s">
        <v>487</v>
      </c>
      <c r="B6767" t="s">
        <v>467</v>
      </c>
      <c r="C6767" t="s">
        <v>468</v>
      </c>
      <c r="D6767" t="s">
        <v>328</v>
      </c>
      <c r="E6767" t="s">
        <v>334</v>
      </c>
      <c r="F6767">
        <v>3</v>
      </c>
      <c r="G6767" t="s">
        <v>488</v>
      </c>
      <c r="H6767" s="4">
        <v>13814864</v>
      </c>
      <c r="I6767" s="4">
        <v>14840457.042314788</v>
      </c>
      <c r="J6767" s="3">
        <v>0.07423837413924511</v>
      </c>
      <c r="K6767" s="3">
        <v>-0.06910791489712895</v>
      </c>
      <c r="L6767" t="s">
        <v>54</v>
      </c>
    </row>
    <row r="6768" spans="1:12" x14ac:dyDescent="0.25">
      <c r="A6768" t="s">
        <v>487</v>
      </c>
      <c r="B6768" t="s">
        <v>467</v>
      </c>
      <c r="C6768" t="s">
        <v>468</v>
      </c>
      <c r="D6768" t="s">
        <v>328</v>
      </c>
      <c r="E6768" t="s">
        <v>334</v>
      </c>
      <c r="F6768">
        <v>3</v>
      </c>
      <c r="G6768" t="s">
        <v>498</v>
      </c>
      <c r="H6768" s="4">
        <v>13814864</v>
      </c>
      <c r="I6768" s="4">
        <v>13022291</v>
      </c>
      <c r="J6768" s="3">
        <v>0.057371031665603076</v>
      </c>
      <c r="K6768" s="3">
        <v>0.060862792883372055</v>
      </c>
      <c r="L6768" t="s">
        <v>54</v>
      </c>
    </row>
    <row r="6769" spans="1:12" x14ac:dyDescent="0.25">
      <c r="A6769" t="s">
        <v>487</v>
      </c>
      <c r="B6769" t="s">
        <v>467</v>
      </c>
      <c r="C6769" t="s">
        <v>468</v>
      </c>
      <c r="D6769" t="s">
        <v>328</v>
      </c>
      <c r="E6769" t="s">
        <v>334</v>
      </c>
      <c r="F6769">
        <v>3</v>
      </c>
      <c r="G6769" t="s">
        <v>499</v>
      </c>
      <c r="H6769" s="4">
        <v>13814864</v>
      </c>
      <c r="I6769" s="4">
        <v>9661929</v>
      </c>
      <c r="J6769" s="3">
        <v>0.3006135275743576</v>
      </c>
      <c r="K6769" s="3">
        <v>0.429824624047641</v>
      </c>
      <c r="L6769" t="s">
        <v>54</v>
      </c>
    </row>
    <row r="6770" spans="1:12" x14ac:dyDescent="0.25">
      <c r="A6770" t="s">
        <v>487</v>
      </c>
      <c r="B6770" t="s">
        <v>467</v>
      </c>
      <c r="C6770" t="s">
        <v>468</v>
      </c>
      <c r="D6770" t="s">
        <v>330</v>
      </c>
      <c r="E6770" t="s">
        <v>332</v>
      </c>
      <c r="F6770">
        <v>1</v>
      </c>
      <c r="G6770" t="s">
        <v>488</v>
      </c>
      <c r="H6770" s="4">
        <v>13584379</v>
      </c>
      <c r="I6770" s="4">
        <v>14854257.403782507</v>
      </c>
      <c r="J6770" s="3">
        <v>0.0934807843466755</v>
      </c>
      <c r="K6770" s="3">
        <v>-0.08548918799933708</v>
      </c>
      <c r="L6770" t="s">
        <v>54</v>
      </c>
    </row>
    <row r="6771" spans="1:12" x14ac:dyDescent="0.25">
      <c r="A6771" t="s">
        <v>487</v>
      </c>
      <c r="B6771" t="s">
        <v>467</v>
      </c>
      <c r="C6771" t="s">
        <v>468</v>
      </c>
      <c r="D6771" t="s">
        <v>330</v>
      </c>
      <c r="E6771" t="s">
        <v>332</v>
      </c>
      <c r="F6771">
        <v>1</v>
      </c>
      <c r="G6771" t="s">
        <v>498</v>
      </c>
      <c r="H6771" s="4">
        <v>13584379</v>
      </c>
      <c r="I6771" s="4">
        <v>12532465</v>
      </c>
      <c r="J6771" s="3">
        <v>0.07743556035943933</v>
      </c>
      <c r="K6771" s="3">
        <v>0.08393512369673484</v>
      </c>
      <c r="L6771" t="s">
        <v>54</v>
      </c>
    </row>
    <row r="6772" spans="1:12" x14ac:dyDescent="0.25">
      <c r="A6772" t="s">
        <v>487</v>
      </c>
      <c r="B6772" t="s">
        <v>467</v>
      </c>
      <c r="C6772" t="s">
        <v>468</v>
      </c>
      <c r="D6772" t="s">
        <v>330</v>
      </c>
      <c r="E6772" t="s">
        <v>332</v>
      </c>
      <c r="F6772">
        <v>1</v>
      </c>
      <c r="G6772" t="s">
        <v>499</v>
      </c>
      <c r="H6772" s="4">
        <v>13584379</v>
      </c>
      <c r="I6772" s="4">
        <v>8018441</v>
      </c>
      <c r="J6772" s="3">
        <v>0.40973076502061667</v>
      </c>
      <c r="K6772" s="3">
        <v>0.6941421655406581</v>
      </c>
      <c r="L6772" t="s">
        <v>54</v>
      </c>
    </row>
    <row r="6773" spans="1:12" x14ac:dyDescent="0.25">
      <c r="A6773" t="s">
        <v>487</v>
      </c>
      <c r="B6773" t="s">
        <v>467</v>
      </c>
      <c r="C6773" t="s">
        <v>468</v>
      </c>
      <c r="D6773" t="s">
        <v>330</v>
      </c>
      <c r="E6773" t="s">
        <v>334</v>
      </c>
      <c r="F6773">
        <v>2</v>
      </c>
      <c r="G6773" t="s">
        <v>488</v>
      </c>
      <c r="H6773" s="4">
        <v>13814864</v>
      </c>
      <c r="I6773" s="4">
        <v>15434829.660482619</v>
      </c>
      <c r="J6773" s="3">
        <v>0.11726251235499814</v>
      </c>
      <c r="K6773" s="3">
        <v>-0.1049552017169437</v>
      </c>
      <c r="L6773" t="s">
        <v>54</v>
      </c>
    </row>
    <row r="6774" spans="1:12" x14ac:dyDescent="0.25">
      <c r="A6774" t="s">
        <v>487</v>
      </c>
      <c r="B6774" t="s">
        <v>467</v>
      </c>
      <c r="C6774" t="s">
        <v>468</v>
      </c>
      <c r="D6774" t="s">
        <v>330</v>
      </c>
      <c r="E6774" t="s">
        <v>334</v>
      </c>
      <c r="F6774">
        <v>2</v>
      </c>
      <c r="G6774" t="s">
        <v>498</v>
      </c>
      <c r="H6774" s="4">
        <v>13814864</v>
      </c>
      <c r="I6774" s="4">
        <v>13022291</v>
      </c>
      <c r="J6774" s="3">
        <v>0.057371031665603076</v>
      </c>
      <c r="K6774" s="3">
        <v>0.060862792883372055</v>
      </c>
      <c r="L6774" t="s">
        <v>54</v>
      </c>
    </row>
    <row r="6775" spans="1:12" x14ac:dyDescent="0.25">
      <c r="A6775" t="s">
        <v>487</v>
      </c>
      <c r="B6775" t="s">
        <v>467</v>
      </c>
      <c r="C6775" t="s">
        <v>468</v>
      </c>
      <c r="D6775" t="s">
        <v>330</v>
      </c>
      <c r="E6775" t="s">
        <v>334</v>
      </c>
      <c r="F6775">
        <v>2</v>
      </c>
      <c r="G6775" t="s">
        <v>499</v>
      </c>
      <c r="H6775" s="4">
        <v>13814864</v>
      </c>
      <c r="I6775" s="4">
        <v>8018441</v>
      </c>
      <c r="J6775" s="3">
        <v>0.4195787233229368</v>
      </c>
      <c r="K6775" s="3">
        <v>0.7228865311848026</v>
      </c>
      <c r="L6775" t="s">
        <v>54</v>
      </c>
    </row>
    <row r="6776" spans="1:12" x14ac:dyDescent="0.25">
      <c r="A6776" t="s">
        <v>487</v>
      </c>
      <c r="B6776" t="s">
        <v>467</v>
      </c>
      <c r="C6776" t="s">
        <v>468</v>
      </c>
      <c r="D6776" t="s">
        <v>330</v>
      </c>
      <c r="E6776" t="s">
        <v>336</v>
      </c>
      <c r="F6776">
        <v>3</v>
      </c>
      <c r="G6776" t="s">
        <v>488</v>
      </c>
      <c r="H6776" s="4">
        <v>18284858</v>
      </c>
      <c r="I6776" s="4">
        <v>21491966.495763615</v>
      </c>
      <c r="J6776" s="3">
        <v>0.1753969593728108</v>
      </c>
      <c r="K6776" s="3">
        <v>-0.14922359461130666</v>
      </c>
      <c r="L6776" t="s">
        <v>54</v>
      </c>
    </row>
    <row r="6777" spans="1:12" x14ac:dyDescent="0.25">
      <c r="A6777" t="s">
        <v>487</v>
      </c>
      <c r="B6777" t="s">
        <v>467</v>
      </c>
      <c r="C6777" t="s">
        <v>468</v>
      </c>
      <c r="D6777" t="s">
        <v>330</v>
      </c>
      <c r="E6777" t="s">
        <v>336</v>
      </c>
      <c r="F6777">
        <v>3</v>
      </c>
      <c r="G6777" t="s">
        <v>498</v>
      </c>
      <c r="H6777" s="4">
        <v>18284858</v>
      </c>
      <c r="I6777" s="4">
        <v>18132668</v>
      </c>
      <c r="J6777" s="3">
        <v>0.008323280388614449</v>
      </c>
      <c r="K6777" s="3">
        <v>0.008393138836491133</v>
      </c>
      <c r="L6777" t="s">
        <v>54</v>
      </c>
    </row>
    <row r="6778" spans="1:12" x14ac:dyDescent="0.25">
      <c r="A6778" t="s">
        <v>487</v>
      </c>
      <c r="B6778" t="s">
        <v>467</v>
      </c>
      <c r="C6778" t="s">
        <v>468</v>
      </c>
      <c r="D6778" t="s">
        <v>330</v>
      </c>
      <c r="E6778" t="s">
        <v>336</v>
      </c>
      <c r="F6778">
        <v>3</v>
      </c>
      <c r="G6778" t="s">
        <v>499</v>
      </c>
      <c r="H6778" s="4">
        <v>18284858</v>
      </c>
      <c r="I6778" s="4">
        <v>8018441</v>
      </c>
      <c r="J6778" s="3">
        <v>0.5614709723203757</v>
      </c>
      <c r="K6778" s="3">
        <v>1.2803507564625094</v>
      </c>
      <c r="L6778" t="s">
        <v>54</v>
      </c>
    </row>
    <row r="6779" spans="1:12" x14ac:dyDescent="0.25">
      <c r="A6779" t="s">
        <v>487</v>
      </c>
      <c r="B6779" t="s">
        <v>467</v>
      </c>
      <c r="C6779" t="s">
        <v>468</v>
      </c>
      <c r="D6779" t="s">
        <v>332</v>
      </c>
      <c r="E6779" t="s">
        <v>334</v>
      </c>
      <c r="F6779">
        <v>1</v>
      </c>
      <c r="G6779" t="s">
        <v>488</v>
      </c>
      <c r="H6779" s="4">
        <v>13814864</v>
      </c>
      <c r="I6779" s="4">
        <v>15592357.868752474</v>
      </c>
      <c r="J6779" s="3">
        <v>0.12866531793237154</v>
      </c>
      <c r="K6779" s="3">
        <v>-0.11399775990997628</v>
      </c>
      <c r="L6779" t="s">
        <v>54</v>
      </c>
    </row>
    <row r="6780" spans="1:12" x14ac:dyDescent="0.25">
      <c r="A6780" t="s">
        <v>487</v>
      </c>
      <c r="B6780" t="s">
        <v>467</v>
      </c>
      <c r="C6780" t="s">
        <v>468</v>
      </c>
      <c r="D6780" t="s">
        <v>332</v>
      </c>
      <c r="E6780" t="s">
        <v>334</v>
      </c>
      <c r="F6780">
        <v>1</v>
      </c>
      <c r="G6780" t="s">
        <v>498</v>
      </c>
      <c r="H6780" s="4">
        <v>13814864</v>
      </c>
      <c r="I6780" s="4">
        <v>13022291</v>
      </c>
      <c r="J6780" s="3">
        <v>0.057371031665603076</v>
      </c>
      <c r="K6780" s="3">
        <v>0.060862792883372055</v>
      </c>
      <c r="L6780" t="s">
        <v>54</v>
      </c>
    </row>
    <row r="6781" spans="1:12" x14ac:dyDescent="0.25">
      <c r="A6781" t="s">
        <v>487</v>
      </c>
      <c r="B6781" t="s">
        <v>467</v>
      </c>
      <c r="C6781" t="s">
        <v>468</v>
      </c>
      <c r="D6781" t="s">
        <v>332</v>
      </c>
      <c r="E6781" t="s">
        <v>334</v>
      </c>
      <c r="F6781">
        <v>1</v>
      </c>
      <c r="G6781" t="s">
        <v>499</v>
      </c>
      <c r="H6781" s="4">
        <v>13814864</v>
      </c>
      <c r="I6781" s="4">
        <v>13584379</v>
      </c>
      <c r="J6781" s="3">
        <v>0.01668384140444669</v>
      </c>
      <c r="K6781" s="3">
        <v>0.016966914718736868</v>
      </c>
      <c r="L6781" t="s">
        <v>54</v>
      </c>
    </row>
    <row r="6782" spans="1:12" x14ac:dyDescent="0.25">
      <c r="A6782" t="s">
        <v>487</v>
      </c>
      <c r="B6782" t="s">
        <v>467</v>
      </c>
      <c r="C6782" t="s">
        <v>468</v>
      </c>
      <c r="D6782" t="s">
        <v>332</v>
      </c>
      <c r="E6782" t="s">
        <v>336</v>
      </c>
      <c r="F6782">
        <v>2</v>
      </c>
      <c r="G6782" t="s">
        <v>488</v>
      </c>
      <c r="H6782" s="4">
        <v>18284858</v>
      </c>
      <c r="I6782" s="4">
        <v>21711313.97472812</v>
      </c>
      <c r="J6782" s="3">
        <v>0.18739308638481736</v>
      </c>
      <c r="K6782" s="3">
        <v>-0.15781891315820404</v>
      </c>
      <c r="L6782" t="s">
        <v>54</v>
      </c>
    </row>
    <row r="6783" spans="1:12" x14ac:dyDescent="0.25">
      <c r="A6783" t="s">
        <v>487</v>
      </c>
      <c r="B6783" t="s">
        <v>467</v>
      </c>
      <c r="C6783" t="s">
        <v>468</v>
      </c>
      <c r="D6783" t="s">
        <v>332</v>
      </c>
      <c r="E6783" t="s">
        <v>336</v>
      </c>
      <c r="F6783">
        <v>2</v>
      </c>
      <c r="G6783" t="s">
        <v>498</v>
      </c>
      <c r="H6783" s="4">
        <v>18284858</v>
      </c>
      <c r="I6783" s="4">
        <v>18132668</v>
      </c>
      <c r="J6783" s="3">
        <v>0.008323280388614449</v>
      </c>
      <c r="K6783" s="3">
        <v>0.008393138836491133</v>
      </c>
      <c r="L6783" t="s">
        <v>54</v>
      </c>
    </row>
    <row r="6784" spans="1:12" x14ac:dyDescent="0.25">
      <c r="A6784" t="s">
        <v>487</v>
      </c>
      <c r="B6784" t="s">
        <v>467</v>
      </c>
      <c r="C6784" t="s">
        <v>468</v>
      </c>
      <c r="D6784" t="s">
        <v>332</v>
      </c>
      <c r="E6784" t="s">
        <v>336</v>
      </c>
      <c r="F6784">
        <v>2</v>
      </c>
      <c r="G6784" t="s">
        <v>499</v>
      </c>
      <c r="H6784" s="4">
        <v>18284858</v>
      </c>
      <c r="I6784" s="4">
        <v>13584379</v>
      </c>
      <c r="J6784" s="3">
        <v>0.25706948339440205</v>
      </c>
      <c r="K6784" s="3">
        <v>0.3460208965017834</v>
      </c>
      <c r="L6784" t="s">
        <v>54</v>
      </c>
    </row>
    <row r="6785" spans="1:12" x14ac:dyDescent="0.25">
      <c r="A6785" t="s">
        <v>487</v>
      </c>
      <c r="B6785" t="s">
        <v>467</v>
      </c>
      <c r="C6785" t="s">
        <v>468</v>
      </c>
      <c r="D6785" t="s">
        <v>332</v>
      </c>
      <c r="E6785" t="s">
        <v>338</v>
      </c>
      <c r="F6785">
        <v>3</v>
      </c>
      <c r="G6785" t="s">
        <v>488</v>
      </c>
      <c r="H6785" s="4">
        <v>15560396</v>
      </c>
      <c r="I6785" s="4">
        <v>12906907.839723434</v>
      </c>
      <c r="J6785" s="3">
        <v>0.17052831819168135</v>
      </c>
      <c r="K6785" s="3">
        <v>0.20558666670803655</v>
      </c>
      <c r="L6785" t="s">
        <v>54</v>
      </c>
    </row>
    <row r="6786" spans="1:12" x14ac:dyDescent="0.25">
      <c r="A6786" t="s">
        <v>487</v>
      </c>
      <c r="B6786" t="s">
        <v>467</v>
      </c>
      <c r="C6786" t="s">
        <v>468</v>
      </c>
      <c r="D6786" t="s">
        <v>332</v>
      </c>
      <c r="E6786" t="s">
        <v>338</v>
      </c>
      <c r="F6786">
        <v>3</v>
      </c>
      <c r="G6786" t="s">
        <v>498</v>
      </c>
      <c r="H6786" s="4">
        <v>15560396</v>
      </c>
      <c r="I6786" s="4">
        <v>10779480</v>
      </c>
      <c r="J6786" s="3">
        <v>0.3072489928919547</v>
      </c>
      <c r="K6786" s="3">
        <v>0.44352009558902655</v>
      </c>
      <c r="L6786" t="s">
        <v>54</v>
      </c>
    </row>
    <row r="6787" spans="1:12" x14ac:dyDescent="0.25">
      <c r="A6787" t="s">
        <v>487</v>
      </c>
      <c r="B6787" t="s">
        <v>467</v>
      </c>
      <c r="C6787" t="s">
        <v>468</v>
      </c>
      <c r="D6787" t="s">
        <v>332</v>
      </c>
      <c r="E6787" t="s">
        <v>338</v>
      </c>
      <c r="F6787">
        <v>3</v>
      </c>
      <c r="G6787" t="s">
        <v>499</v>
      </c>
      <c r="H6787" s="4">
        <v>15560396</v>
      </c>
      <c r="I6787" s="4">
        <v>13584379</v>
      </c>
      <c r="J6787" s="3">
        <v>0.12699014857976623</v>
      </c>
      <c r="K6787" s="3">
        <v>0.14546244624064156</v>
      </c>
      <c r="L6787" t="s">
        <v>54</v>
      </c>
    </row>
    <row r="6788" spans="1:12" x14ac:dyDescent="0.25">
      <c r="A6788" t="s">
        <v>487</v>
      </c>
      <c r="B6788" t="s">
        <v>467</v>
      </c>
      <c r="C6788" t="s">
        <v>468</v>
      </c>
      <c r="D6788" t="s">
        <v>334</v>
      </c>
      <c r="E6788" t="s">
        <v>336</v>
      </c>
      <c r="F6788">
        <v>1</v>
      </c>
      <c r="G6788" t="s">
        <v>488</v>
      </c>
      <c r="H6788" s="4">
        <v>18284858</v>
      </c>
      <c r="I6788" s="4">
        <v>22189289.81298607</v>
      </c>
      <c r="J6788" s="3">
        <v>0.2135336141514508</v>
      </c>
      <c r="K6788" s="3">
        <v>-0.17596019727954687</v>
      </c>
      <c r="L6788" t="s">
        <v>54</v>
      </c>
    </row>
    <row r="6789" spans="1:12" x14ac:dyDescent="0.25">
      <c r="A6789" t="s">
        <v>487</v>
      </c>
      <c r="B6789" t="s">
        <v>467</v>
      </c>
      <c r="C6789" t="s">
        <v>468</v>
      </c>
      <c r="D6789" t="s">
        <v>334</v>
      </c>
      <c r="E6789" t="s">
        <v>336</v>
      </c>
      <c r="F6789">
        <v>1</v>
      </c>
      <c r="G6789" t="s">
        <v>498</v>
      </c>
      <c r="H6789" s="4">
        <v>18284858</v>
      </c>
      <c r="I6789" s="4">
        <v>18132668</v>
      </c>
      <c r="J6789" s="3">
        <v>0.008323280388614449</v>
      </c>
      <c r="K6789" s="3">
        <v>0.008393138836491133</v>
      </c>
      <c r="L6789" t="s">
        <v>54</v>
      </c>
    </row>
    <row r="6790" spans="1:12" x14ac:dyDescent="0.25">
      <c r="A6790" t="s">
        <v>487</v>
      </c>
      <c r="B6790" t="s">
        <v>467</v>
      </c>
      <c r="C6790" t="s">
        <v>468</v>
      </c>
      <c r="D6790" t="s">
        <v>334</v>
      </c>
      <c r="E6790" t="s">
        <v>336</v>
      </c>
      <c r="F6790">
        <v>1</v>
      </c>
      <c r="G6790" t="s">
        <v>499</v>
      </c>
      <c r="H6790" s="4">
        <v>18284858</v>
      </c>
      <c r="I6790" s="4">
        <v>13814864</v>
      </c>
      <c r="J6790" s="3">
        <v>0.2444642446772078</v>
      </c>
      <c r="K6790" s="3">
        <v>0.3235640973374765</v>
      </c>
      <c r="L6790" t="s">
        <v>54</v>
      </c>
    </row>
    <row r="6791" spans="1:12" x14ac:dyDescent="0.25">
      <c r="A6791" t="s">
        <v>487</v>
      </c>
      <c r="B6791" t="s">
        <v>467</v>
      </c>
      <c r="C6791" t="s">
        <v>468</v>
      </c>
      <c r="D6791" t="s">
        <v>334</v>
      </c>
      <c r="E6791" t="s">
        <v>338</v>
      </c>
      <c r="F6791">
        <v>2</v>
      </c>
      <c r="G6791" t="s">
        <v>488</v>
      </c>
      <c r="H6791" s="4">
        <v>15560396</v>
      </c>
      <c r="I6791" s="4">
        <v>13191054.165514257</v>
      </c>
      <c r="J6791" s="3">
        <v>0.15226745093670774</v>
      </c>
      <c r="K6791" s="3">
        <v>0.17961732282776763</v>
      </c>
      <c r="L6791" t="s">
        <v>54</v>
      </c>
    </row>
    <row r="6792" spans="1:12" x14ac:dyDescent="0.25">
      <c r="A6792" t="s">
        <v>487</v>
      </c>
      <c r="B6792" t="s">
        <v>467</v>
      </c>
      <c r="C6792" t="s">
        <v>468</v>
      </c>
      <c r="D6792" t="s">
        <v>334</v>
      </c>
      <c r="E6792" t="s">
        <v>338</v>
      </c>
      <c r="F6792">
        <v>2</v>
      </c>
      <c r="G6792" t="s">
        <v>498</v>
      </c>
      <c r="H6792" s="4">
        <v>15560396</v>
      </c>
      <c r="I6792" s="4">
        <v>10779480</v>
      </c>
      <c r="J6792" s="3">
        <v>0.3072489928919547</v>
      </c>
      <c r="K6792" s="3">
        <v>0.44352009558902655</v>
      </c>
      <c r="L6792" t="s">
        <v>54</v>
      </c>
    </row>
    <row r="6793" spans="1:12" x14ac:dyDescent="0.25">
      <c r="A6793" t="s">
        <v>487</v>
      </c>
      <c r="B6793" t="s">
        <v>467</v>
      </c>
      <c r="C6793" t="s">
        <v>468</v>
      </c>
      <c r="D6793" t="s">
        <v>334</v>
      </c>
      <c r="E6793" t="s">
        <v>338</v>
      </c>
      <c r="F6793">
        <v>2</v>
      </c>
      <c r="G6793" t="s">
        <v>499</v>
      </c>
      <c r="H6793" s="4">
        <v>15560396</v>
      </c>
      <c r="I6793" s="4">
        <v>13814864</v>
      </c>
      <c r="J6793" s="3">
        <v>0.11217786488210198</v>
      </c>
      <c r="K6793" s="3">
        <v>0.12635173245281314</v>
      </c>
      <c r="L6793" t="s">
        <v>54</v>
      </c>
    </row>
    <row r="6794" spans="1:12" x14ac:dyDescent="0.25">
      <c r="A6794" t="s">
        <v>487</v>
      </c>
      <c r="B6794" t="s">
        <v>467</v>
      </c>
      <c r="C6794" t="s">
        <v>468</v>
      </c>
      <c r="D6794" t="s">
        <v>334</v>
      </c>
      <c r="E6794" t="s">
        <v>340</v>
      </c>
      <c r="F6794">
        <v>3</v>
      </c>
      <c r="G6794" t="s">
        <v>488</v>
      </c>
      <c r="H6794" s="4">
        <v>15499239</v>
      </c>
      <c r="I6794" s="4">
        <v>12045823.306289848</v>
      </c>
      <c r="J6794" s="3">
        <v>0.22281195184551655</v>
      </c>
      <c r="K6794" s="3">
        <v>0.2866898846097897</v>
      </c>
      <c r="L6794" t="s">
        <v>54</v>
      </c>
    </row>
    <row r="6795" spans="1:12" x14ac:dyDescent="0.25">
      <c r="A6795" t="s">
        <v>487</v>
      </c>
      <c r="B6795" t="s">
        <v>467</v>
      </c>
      <c r="C6795" t="s">
        <v>468</v>
      </c>
      <c r="D6795" t="s">
        <v>334</v>
      </c>
      <c r="E6795" t="s">
        <v>340</v>
      </c>
      <c r="F6795">
        <v>3</v>
      </c>
      <c r="G6795" t="s">
        <v>498</v>
      </c>
      <c r="H6795" s="4">
        <v>15499239</v>
      </c>
      <c r="I6795" s="4">
        <v>9843619</v>
      </c>
      <c r="J6795" s="3">
        <v>0.3648966249246173</v>
      </c>
      <c r="K6795" s="3">
        <v>0.5745468206357844</v>
      </c>
      <c r="L6795" t="s">
        <v>54</v>
      </c>
    </row>
    <row r="6796" spans="1:12" x14ac:dyDescent="0.25">
      <c r="A6796" t="s">
        <v>487</v>
      </c>
      <c r="B6796" t="s">
        <v>467</v>
      </c>
      <c r="C6796" t="s">
        <v>468</v>
      </c>
      <c r="D6796" t="s">
        <v>334</v>
      </c>
      <c r="E6796" t="s">
        <v>340</v>
      </c>
      <c r="F6796">
        <v>3</v>
      </c>
      <c r="G6796" t="s">
        <v>499</v>
      </c>
      <c r="H6796" s="4">
        <v>15499239</v>
      </c>
      <c r="I6796" s="4">
        <v>13814864</v>
      </c>
      <c r="J6796" s="3">
        <v>0.10867469041544556</v>
      </c>
      <c r="K6796" s="3">
        <v>0.12192483400488054</v>
      </c>
      <c r="L6796" t="s">
        <v>54</v>
      </c>
    </row>
    <row r="6797" spans="1:12" x14ac:dyDescent="0.25">
      <c r="A6797" t="s">
        <v>487</v>
      </c>
      <c r="B6797" t="s">
        <v>467</v>
      </c>
      <c r="C6797" t="s">
        <v>468</v>
      </c>
      <c r="D6797" t="s">
        <v>336</v>
      </c>
      <c r="E6797" t="s">
        <v>338</v>
      </c>
      <c r="F6797">
        <v>1</v>
      </c>
      <c r="G6797" t="s">
        <v>488</v>
      </c>
      <c r="H6797" s="4">
        <v>15560396</v>
      </c>
      <c r="I6797" s="4">
        <v>13058594.045174113</v>
      </c>
      <c r="J6797" s="3">
        <v>0.16078009549537733</v>
      </c>
      <c r="K6797" s="3">
        <v>0.19158279568009426</v>
      </c>
      <c r="L6797" t="s">
        <v>54</v>
      </c>
    </row>
    <row r="6798" spans="1:12" x14ac:dyDescent="0.25">
      <c r="A6798" t="s">
        <v>487</v>
      </c>
      <c r="B6798" t="s">
        <v>467</v>
      </c>
      <c r="C6798" t="s">
        <v>468</v>
      </c>
      <c r="D6798" t="s">
        <v>336</v>
      </c>
      <c r="E6798" t="s">
        <v>338</v>
      </c>
      <c r="F6798">
        <v>1</v>
      </c>
      <c r="G6798" t="s">
        <v>498</v>
      </c>
      <c r="H6798" s="4">
        <v>15560396</v>
      </c>
      <c r="I6798" s="4">
        <v>10779480</v>
      </c>
      <c r="J6798" s="3">
        <v>0.3072489928919547</v>
      </c>
      <c r="K6798" s="3">
        <v>0.44352009558902655</v>
      </c>
      <c r="L6798" t="s">
        <v>54</v>
      </c>
    </row>
    <row r="6799" spans="1:12" x14ac:dyDescent="0.25">
      <c r="A6799" t="s">
        <v>487</v>
      </c>
      <c r="B6799" t="s">
        <v>467</v>
      </c>
      <c r="C6799" t="s">
        <v>468</v>
      </c>
      <c r="D6799" t="s">
        <v>336</v>
      </c>
      <c r="E6799" t="s">
        <v>338</v>
      </c>
      <c r="F6799">
        <v>1</v>
      </c>
      <c r="G6799" t="s">
        <v>499</v>
      </c>
      <c r="H6799" s="4">
        <v>15560396</v>
      </c>
      <c r="I6799" s="4">
        <v>18284858</v>
      </c>
      <c r="J6799" s="3">
        <v>0.1750895028635518</v>
      </c>
      <c r="K6799" s="3">
        <v>-0.14900099306212825</v>
      </c>
      <c r="L6799" t="s">
        <v>54</v>
      </c>
    </row>
    <row r="6800" spans="1:12" x14ac:dyDescent="0.25">
      <c r="A6800" t="s">
        <v>487</v>
      </c>
      <c r="B6800" t="s">
        <v>467</v>
      </c>
      <c r="C6800" t="s">
        <v>468</v>
      </c>
      <c r="D6800" t="s">
        <v>336</v>
      </c>
      <c r="E6800" t="s">
        <v>340</v>
      </c>
      <c r="F6800">
        <v>2</v>
      </c>
      <c r="G6800" t="s">
        <v>488</v>
      </c>
      <c r="H6800" s="4">
        <v>15499239</v>
      </c>
      <c r="I6800" s="4">
        <v>11924863.208277464</v>
      </c>
      <c r="J6800" s="3">
        <v>0.2306162123006514</v>
      </c>
      <c r="K6800" s="3">
        <v>0.2997414502198597</v>
      </c>
      <c r="L6800" t="s">
        <v>54</v>
      </c>
    </row>
    <row r="6801" spans="1:12" x14ac:dyDescent="0.25">
      <c r="A6801" t="s">
        <v>487</v>
      </c>
      <c r="B6801" t="s">
        <v>467</v>
      </c>
      <c r="C6801" t="s">
        <v>468</v>
      </c>
      <c r="D6801" t="s">
        <v>336</v>
      </c>
      <c r="E6801" t="s">
        <v>340</v>
      </c>
      <c r="F6801">
        <v>2</v>
      </c>
      <c r="G6801" t="s">
        <v>498</v>
      </c>
      <c r="H6801" s="4">
        <v>15499239</v>
      </c>
      <c r="I6801" s="4">
        <v>9843619</v>
      </c>
      <c r="J6801" s="3">
        <v>0.3648966249246173</v>
      </c>
      <c r="K6801" s="3">
        <v>0.5745468206357844</v>
      </c>
      <c r="L6801" t="s">
        <v>54</v>
      </c>
    </row>
    <row r="6802" spans="1:12" x14ac:dyDescent="0.25">
      <c r="A6802" t="s">
        <v>487</v>
      </c>
      <c r="B6802" t="s">
        <v>467</v>
      </c>
      <c r="C6802" t="s">
        <v>468</v>
      </c>
      <c r="D6802" t="s">
        <v>336</v>
      </c>
      <c r="E6802" t="s">
        <v>340</v>
      </c>
      <c r="F6802">
        <v>2</v>
      </c>
      <c r="G6802" t="s">
        <v>499</v>
      </c>
      <c r="H6802" s="4">
        <v>15499239</v>
      </c>
      <c r="I6802" s="4">
        <v>18284858</v>
      </c>
      <c r="J6802" s="3">
        <v>0.1797261788143276</v>
      </c>
      <c r="K6802" s="3">
        <v>-0.1523456731247243</v>
      </c>
      <c r="L6802" t="s">
        <v>54</v>
      </c>
    </row>
    <row r="6803" spans="1:12" x14ac:dyDescent="0.25">
      <c r="A6803" t="s">
        <v>487</v>
      </c>
      <c r="B6803" t="s">
        <v>467</v>
      </c>
      <c r="C6803" t="s">
        <v>468</v>
      </c>
      <c r="D6803" t="s">
        <v>336</v>
      </c>
      <c r="E6803" t="s">
        <v>342</v>
      </c>
      <c r="F6803">
        <v>3</v>
      </c>
      <c r="G6803" t="s">
        <v>488</v>
      </c>
      <c r="H6803" s="4">
        <v>11213883</v>
      </c>
      <c r="I6803" s="4">
        <v>9149820.510652808</v>
      </c>
      <c r="J6803" s="3">
        <v>0.1840631375721676</v>
      </c>
      <c r="K6803" s="3">
        <v>0.22558502507716707</v>
      </c>
      <c r="L6803" t="s">
        <v>54</v>
      </c>
    </row>
    <row r="6804" spans="1:12" x14ac:dyDescent="0.25">
      <c r="A6804" t="s">
        <v>487</v>
      </c>
      <c r="B6804" t="s">
        <v>467</v>
      </c>
      <c r="C6804" t="s">
        <v>468</v>
      </c>
      <c r="D6804" t="s">
        <v>336</v>
      </c>
      <c r="E6804" t="s">
        <v>342</v>
      </c>
      <c r="F6804">
        <v>3</v>
      </c>
      <c r="G6804" t="s">
        <v>498</v>
      </c>
      <c r="H6804" s="4">
        <v>11213883</v>
      </c>
      <c r="I6804" s="4">
        <v>7552904</v>
      </c>
      <c r="J6804" s="3">
        <v>0.3264684498670086</v>
      </c>
      <c r="K6804" s="3">
        <v>0.4847114434395035</v>
      </c>
      <c r="L6804" t="s">
        <v>54</v>
      </c>
    </row>
    <row r="6805" spans="1:12" x14ac:dyDescent="0.25">
      <c r="A6805" t="s">
        <v>487</v>
      </c>
      <c r="B6805" t="s">
        <v>467</v>
      </c>
      <c r="C6805" t="s">
        <v>468</v>
      </c>
      <c r="D6805" t="s">
        <v>336</v>
      </c>
      <c r="E6805" t="s">
        <v>342</v>
      </c>
      <c r="F6805">
        <v>3</v>
      </c>
      <c r="G6805" t="s">
        <v>499</v>
      </c>
      <c r="H6805" s="4">
        <v>11213883</v>
      </c>
      <c r="I6805" s="4">
        <v>18284858</v>
      </c>
      <c r="J6805" s="3">
        <v>0.6305554463159638</v>
      </c>
      <c r="K6805" s="3">
        <v>-0.3867120543129184</v>
      </c>
      <c r="L6805" t="s">
        <v>54</v>
      </c>
    </row>
    <row r="6806" spans="1:12" x14ac:dyDescent="0.25">
      <c r="A6806" t="s">
        <v>487</v>
      </c>
      <c r="B6806" t="s">
        <v>467</v>
      </c>
      <c r="C6806" t="s">
        <v>468</v>
      </c>
      <c r="D6806" t="s">
        <v>338</v>
      </c>
      <c r="E6806" t="s">
        <v>340</v>
      </c>
      <c r="F6806">
        <v>1</v>
      </c>
      <c r="G6806" t="s">
        <v>488</v>
      </c>
      <c r="H6806" s="4">
        <v>15499239</v>
      </c>
      <c r="I6806" s="4">
        <v>12169982.184893142</v>
      </c>
      <c r="J6806" s="3">
        <v>0.21480130831628944</v>
      </c>
      <c r="K6806" s="3">
        <v>0.27356299824658203</v>
      </c>
      <c r="L6806" t="s">
        <v>54</v>
      </c>
    </row>
    <row r="6807" spans="1:12" x14ac:dyDescent="0.25">
      <c r="A6807" t="s">
        <v>487</v>
      </c>
      <c r="B6807" t="s">
        <v>467</v>
      </c>
      <c r="C6807" t="s">
        <v>468</v>
      </c>
      <c r="D6807" t="s">
        <v>338</v>
      </c>
      <c r="E6807" t="s">
        <v>340</v>
      </c>
      <c r="F6807">
        <v>1</v>
      </c>
      <c r="G6807" t="s">
        <v>498</v>
      </c>
      <c r="H6807" s="4">
        <v>15499239</v>
      </c>
      <c r="I6807" s="4">
        <v>9843619</v>
      </c>
      <c r="J6807" s="3">
        <v>0.3648966249246173</v>
      </c>
      <c r="K6807" s="3">
        <v>0.5745468206357844</v>
      </c>
      <c r="L6807" t="s">
        <v>54</v>
      </c>
    </row>
    <row r="6808" spans="1:12" x14ac:dyDescent="0.25">
      <c r="A6808" t="s">
        <v>487</v>
      </c>
      <c r="B6808" t="s">
        <v>467</v>
      </c>
      <c r="C6808" t="s">
        <v>468</v>
      </c>
      <c r="D6808" t="s">
        <v>338</v>
      </c>
      <c r="E6808" t="s">
        <v>340</v>
      </c>
      <c r="F6808">
        <v>1</v>
      </c>
      <c r="G6808" t="s">
        <v>499</v>
      </c>
      <c r="H6808" s="4">
        <v>15499239</v>
      </c>
      <c r="I6808" s="4">
        <v>15560396</v>
      </c>
      <c r="J6808" s="3">
        <v>0.003945806629602911</v>
      </c>
      <c r="K6808" s="3">
        <v>-0.003930298431993633</v>
      </c>
      <c r="L6808" t="s">
        <v>54</v>
      </c>
    </row>
    <row r="6809" spans="1:12" x14ac:dyDescent="0.25">
      <c r="A6809" t="s">
        <v>487</v>
      </c>
      <c r="B6809" t="s">
        <v>467</v>
      </c>
      <c r="C6809" t="s">
        <v>468</v>
      </c>
      <c r="D6809" t="s">
        <v>338</v>
      </c>
      <c r="E6809" t="s">
        <v>342</v>
      </c>
      <c r="F6809">
        <v>2</v>
      </c>
      <c r="G6809" t="s">
        <v>488</v>
      </c>
      <c r="H6809" s="4">
        <v>11213883</v>
      </c>
      <c r="I6809" s="4">
        <v>9337897.69029136</v>
      </c>
      <c r="J6809" s="3">
        <v>0.1672913218114225</v>
      </c>
      <c r="K6809" s="3">
        <v>0.20090017816955819</v>
      </c>
      <c r="L6809" t="s">
        <v>54</v>
      </c>
    </row>
    <row r="6810" spans="1:12" x14ac:dyDescent="0.25">
      <c r="A6810" t="s">
        <v>487</v>
      </c>
      <c r="B6810" t="s">
        <v>467</v>
      </c>
      <c r="C6810" t="s">
        <v>468</v>
      </c>
      <c r="D6810" t="s">
        <v>338</v>
      </c>
      <c r="E6810" t="s">
        <v>342</v>
      </c>
      <c r="F6810">
        <v>2</v>
      </c>
      <c r="G6810" t="s">
        <v>498</v>
      </c>
      <c r="H6810" s="4">
        <v>11213883</v>
      </c>
      <c r="I6810" s="4">
        <v>7552904</v>
      </c>
      <c r="J6810" s="3">
        <v>0.3264684498670086</v>
      </c>
      <c r="K6810" s="3">
        <v>0.4847114434395035</v>
      </c>
      <c r="L6810" t="s">
        <v>54</v>
      </c>
    </row>
    <row r="6811" spans="1:12" x14ac:dyDescent="0.25">
      <c r="A6811" t="s">
        <v>487</v>
      </c>
      <c r="B6811" t="s">
        <v>467</v>
      </c>
      <c r="C6811" t="s">
        <v>468</v>
      </c>
      <c r="D6811" t="s">
        <v>338</v>
      </c>
      <c r="E6811" t="s">
        <v>342</v>
      </c>
      <c r="F6811">
        <v>2</v>
      </c>
      <c r="G6811" t="s">
        <v>499</v>
      </c>
      <c r="H6811" s="4">
        <v>11213883</v>
      </c>
      <c r="I6811" s="4">
        <v>15560396</v>
      </c>
      <c r="J6811" s="3">
        <v>0.38760106557202356</v>
      </c>
      <c r="K6811" s="3">
        <v>-0.2793317727903583</v>
      </c>
      <c r="L6811" t="s">
        <v>54</v>
      </c>
    </row>
    <row r="6812" spans="1:12" x14ac:dyDescent="0.25">
      <c r="A6812" t="s">
        <v>487</v>
      </c>
      <c r="B6812" t="s">
        <v>467</v>
      </c>
      <c r="C6812" t="s">
        <v>468</v>
      </c>
      <c r="D6812" t="s">
        <v>338</v>
      </c>
      <c r="E6812" t="s">
        <v>344</v>
      </c>
      <c r="F6812">
        <v>3</v>
      </c>
      <c r="G6812" t="s">
        <v>488</v>
      </c>
      <c r="H6812" s="4">
        <v>11443021</v>
      </c>
      <c r="I6812" s="4">
        <v>13532582.122519584</v>
      </c>
      <c r="J6812" s="3">
        <v>0.18260572295721422</v>
      </c>
      <c r="K6812" s="3">
        <v>-0.1544096391657837</v>
      </c>
      <c r="L6812" t="s">
        <v>54</v>
      </c>
    </row>
    <row r="6813" spans="1:12" x14ac:dyDescent="0.25">
      <c r="A6813" t="s">
        <v>487</v>
      </c>
      <c r="B6813" t="s">
        <v>467</v>
      </c>
      <c r="C6813" t="s">
        <v>468</v>
      </c>
      <c r="D6813" t="s">
        <v>338</v>
      </c>
      <c r="E6813" t="s">
        <v>344</v>
      </c>
      <c r="F6813">
        <v>3</v>
      </c>
      <c r="G6813" t="s">
        <v>498</v>
      </c>
      <c r="H6813" s="4">
        <v>11443021</v>
      </c>
      <c r="I6813" s="4">
        <v>10945750</v>
      </c>
      <c r="J6813" s="3">
        <v>0.04345626910935495</v>
      </c>
      <c r="K6813" s="3">
        <v>0.045430509558504445</v>
      </c>
      <c r="L6813" t="s">
        <v>54</v>
      </c>
    </row>
    <row r="6814" spans="1:12" x14ac:dyDescent="0.25">
      <c r="A6814" t="s">
        <v>487</v>
      </c>
      <c r="B6814" t="s">
        <v>467</v>
      </c>
      <c r="C6814" t="s">
        <v>468</v>
      </c>
      <c r="D6814" t="s">
        <v>338</v>
      </c>
      <c r="E6814" t="s">
        <v>344</v>
      </c>
      <c r="F6814">
        <v>3</v>
      </c>
      <c r="G6814" t="s">
        <v>499</v>
      </c>
      <c r="H6814" s="4">
        <v>11443021</v>
      </c>
      <c r="I6814" s="4">
        <v>15560396</v>
      </c>
      <c r="J6814" s="3">
        <v>0.3598153844164054</v>
      </c>
      <c r="K6814" s="3">
        <v>-0.26460605501299583</v>
      </c>
      <c r="L6814" t="s">
        <v>54</v>
      </c>
    </row>
    <row r="6815" spans="1:12" x14ac:dyDescent="0.25">
      <c r="A6815" t="s">
        <v>487</v>
      </c>
      <c r="B6815" t="s">
        <v>467</v>
      </c>
      <c r="C6815" t="s">
        <v>468</v>
      </c>
      <c r="D6815" t="s">
        <v>340</v>
      </c>
      <c r="E6815" t="s">
        <v>342</v>
      </c>
      <c r="F6815">
        <v>1</v>
      </c>
      <c r="G6815" t="s">
        <v>488</v>
      </c>
      <c r="H6815" s="4">
        <v>11213883</v>
      </c>
      <c r="I6815" s="4">
        <v>8928543.21762907</v>
      </c>
      <c r="J6815" s="3">
        <v>0.2037955793163644</v>
      </c>
      <c r="K6815" s="3">
        <v>0.2559588643597103</v>
      </c>
      <c r="L6815" t="s">
        <v>54</v>
      </c>
    </row>
    <row r="6816" spans="1:12" x14ac:dyDescent="0.25">
      <c r="A6816" t="s">
        <v>487</v>
      </c>
      <c r="B6816" t="s">
        <v>467</v>
      </c>
      <c r="C6816" t="s">
        <v>468</v>
      </c>
      <c r="D6816" t="s">
        <v>340</v>
      </c>
      <c r="E6816" t="s">
        <v>342</v>
      </c>
      <c r="F6816">
        <v>1</v>
      </c>
      <c r="G6816" t="s">
        <v>498</v>
      </c>
      <c r="H6816" s="4">
        <v>11213883</v>
      </c>
      <c r="I6816" s="4">
        <v>7552904</v>
      </c>
      <c r="J6816" s="3">
        <v>0.3264684498670086</v>
      </c>
      <c r="K6816" s="3">
        <v>0.4847114434395035</v>
      </c>
      <c r="L6816" t="s">
        <v>54</v>
      </c>
    </row>
    <row r="6817" spans="1:12" x14ac:dyDescent="0.25">
      <c r="A6817" t="s">
        <v>487</v>
      </c>
      <c r="B6817" t="s">
        <v>467</v>
      </c>
      <c r="C6817" t="s">
        <v>468</v>
      </c>
      <c r="D6817" t="s">
        <v>340</v>
      </c>
      <c r="E6817" t="s">
        <v>342</v>
      </c>
      <c r="F6817">
        <v>1</v>
      </c>
      <c r="G6817" t="s">
        <v>499</v>
      </c>
      <c r="H6817" s="4">
        <v>11213883</v>
      </c>
      <c r="I6817" s="4">
        <v>15499239</v>
      </c>
      <c r="J6817" s="3">
        <v>0.3821473792797731</v>
      </c>
      <c r="K6817" s="3">
        <v>-0.2764881553216903</v>
      </c>
      <c r="L6817" t="s">
        <v>54</v>
      </c>
    </row>
    <row r="6818" spans="1:12" x14ac:dyDescent="0.25">
      <c r="A6818" t="s">
        <v>487</v>
      </c>
      <c r="B6818" t="s">
        <v>467</v>
      </c>
      <c r="C6818" t="s">
        <v>468</v>
      </c>
      <c r="D6818" t="s">
        <v>340</v>
      </c>
      <c r="E6818" t="s">
        <v>344</v>
      </c>
      <c r="F6818">
        <v>2</v>
      </c>
      <c r="G6818" t="s">
        <v>488</v>
      </c>
      <c r="H6818" s="4">
        <v>11443021</v>
      </c>
      <c r="I6818" s="4">
        <v>12939341.20231945</v>
      </c>
      <c r="J6818" s="3">
        <v>0.13076268953097706</v>
      </c>
      <c r="K6818" s="3">
        <v>-0.11564114269211996</v>
      </c>
      <c r="L6818" t="s">
        <v>54</v>
      </c>
    </row>
    <row r="6819" spans="1:12" x14ac:dyDescent="0.25">
      <c r="A6819" t="s">
        <v>487</v>
      </c>
      <c r="B6819" t="s">
        <v>467</v>
      </c>
      <c r="C6819" t="s">
        <v>468</v>
      </c>
      <c r="D6819" t="s">
        <v>340</v>
      </c>
      <c r="E6819" t="s">
        <v>344</v>
      </c>
      <c r="F6819">
        <v>2</v>
      </c>
      <c r="G6819" t="s">
        <v>498</v>
      </c>
      <c r="H6819" s="4">
        <v>11443021</v>
      </c>
      <c r="I6819" s="4">
        <v>10945750</v>
      </c>
      <c r="J6819" s="3">
        <v>0.04345626910935495</v>
      </c>
      <c r="K6819" s="3">
        <v>0.045430509558504445</v>
      </c>
      <c r="L6819" t="s">
        <v>54</v>
      </c>
    </row>
    <row r="6820" spans="1:12" x14ac:dyDescent="0.25">
      <c r="A6820" t="s">
        <v>487</v>
      </c>
      <c r="B6820" t="s">
        <v>467</v>
      </c>
      <c r="C6820" t="s">
        <v>468</v>
      </c>
      <c r="D6820" t="s">
        <v>340</v>
      </c>
      <c r="E6820" t="s">
        <v>344</v>
      </c>
      <c r="F6820">
        <v>2</v>
      </c>
      <c r="G6820" t="s">
        <v>499</v>
      </c>
      <c r="H6820" s="4">
        <v>11443021</v>
      </c>
      <c r="I6820" s="4">
        <v>15499239</v>
      </c>
      <c r="J6820" s="3">
        <v>0.3544709041432328</v>
      </c>
      <c r="K6820" s="3">
        <v>-0.2617043327094963</v>
      </c>
      <c r="L6820" t="s">
        <v>54</v>
      </c>
    </row>
    <row r="6821" spans="1:12" x14ac:dyDescent="0.25">
      <c r="A6821" t="s">
        <v>487</v>
      </c>
      <c r="B6821" t="s">
        <v>467</v>
      </c>
      <c r="C6821" t="s">
        <v>468</v>
      </c>
      <c r="D6821" t="s">
        <v>340</v>
      </c>
      <c r="E6821" t="s">
        <v>346</v>
      </c>
      <c r="F6821">
        <v>3</v>
      </c>
      <c r="G6821" t="s">
        <v>488</v>
      </c>
      <c r="H6821" s="4">
        <v>17202466</v>
      </c>
      <c r="I6821" s="4">
        <v>13867747.725706117</v>
      </c>
      <c r="J6821" s="3">
        <v>0.1938511765867686</v>
      </c>
      <c r="K6821" s="3">
        <v>0.24046574398757212</v>
      </c>
      <c r="L6821" t="s">
        <v>54</v>
      </c>
    </row>
    <row r="6822" spans="1:12" x14ac:dyDescent="0.25">
      <c r="A6822" t="s">
        <v>487</v>
      </c>
      <c r="B6822" t="s">
        <v>467</v>
      </c>
      <c r="C6822" t="s">
        <v>468</v>
      </c>
      <c r="D6822" t="s">
        <v>340</v>
      </c>
      <c r="E6822" t="s">
        <v>346</v>
      </c>
      <c r="F6822">
        <v>3</v>
      </c>
      <c r="G6822" t="s">
        <v>498</v>
      </c>
      <c r="H6822" s="4">
        <v>17202466</v>
      </c>
      <c r="I6822" s="4">
        <v>11731115</v>
      </c>
      <c r="J6822" s="3">
        <v>0.3180562019422099</v>
      </c>
      <c r="K6822" s="3">
        <v>0.4663965019522867</v>
      </c>
      <c r="L6822" t="s">
        <v>54</v>
      </c>
    </row>
    <row r="6823" spans="1:12" x14ac:dyDescent="0.25">
      <c r="A6823" t="s">
        <v>487</v>
      </c>
      <c r="B6823" t="s">
        <v>467</v>
      </c>
      <c r="C6823" t="s">
        <v>468</v>
      </c>
      <c r="D6823" t="s">
        <v>340</v>
      </c>
      <c r="E6823" t="s">
        <v>346</v>
      </c>
      <c r="F6823">
        <v>3</v>
      </c>
      <c r="G6823" t="s">
        <v>499</v>
      </c>
      <c r="H6823" s="4">
        <v>17202466</v>
      </c>
      <c r="I6823" s="4">
        <v>15499239</v>
      </c>
      <c r="J6823" s="3">
        <v>0.09901063022010914</v>
      </c>
      <c r="K6823" s="3">
        <v>0.10989100819724117</v>
      </c>
      <c r="L6823" t="s">
        <v>54</v>
      </c>
    </row>
    <row r="6824" spans="1:12" x14ac:dyDescent="0.25">
      <c r="A6824" t="s">
        <v>487</v>
      </c>
      <c r="B6824" t="s">
        <v>467</v>
      </c>
      <c r="C6824" t="s">
        <v>468</v>
      </c>
      <c r="D6824" t="s">
        <v>342</v>
      </c>
      <c r="E6824" t="s">
        <v>344</v>
      </c>
      <c r="F6824">
        <v>1</v>
      </c>
      <c r="G6824" t="s">
        <v>488</v>
      </c>
      <c r="H6824" s="4">
        <v>11443021</v>
      </c>
      <c r="I6824" s="4">
        <v>13334141.709970947</v>
      </c>
      <c r="J6824" s="3">
        <v>0.1652641125076103</v>
      </c>
      <c r="K6824" s="3">
        <v>-0.14182545461901108</v>
      </c>
      <c r="L6824" t="s">
        <v>54</v>
      </c>
    </row>
    <row r="6825" spans="1:12" x14ac:dyDescent="0.25">
      <c r="A6825" t="s">
        <v>487</v>
      </c>
      <c r="B6825" t="s">
        <v>467</v>
      </c>
      <c r="C6825" t="s">
        <v>468</v>
      </c>
      <c r="D6825" t="s">
        <v>342</v>
      </c>
      <c r="E6825" t="s">
        <v>344</v>
      </c>
      <c r="F6825">
        <v>1</v>
      </c>
      <c r="G6825" t="s">
        <v>498</v>
      </c>
      <c r="H6825" s="4">
        <v>11443021</v>
      </c>
      <c r="I6825" s="4">
        <v>10945750</v>
      </c>
      <c r="J6825" s="3">
        <v>0.04345626910935495</v>
      </c>
      <c r="K6825" s="3">
        <v>0.045430509558504445</v>
      </c>
      <c r="L6825" t="s">
        <v>54</v>
      </c>
    </row>
    <row r="6826" spans="1:12" x14ac:dyDescent="0.25">
      <c r="A6826" t="s">
        <v>487</v>
      </c>
      <c r="B6826" t="s">
        <v>467</v>
      </c>
      <c r="C6826" t="s">
        <v>468</v>
      </c>
      <c r="D6826" t="s">
        <v>342</v>
      </c>
      <c r="E6826" t="s">
        <v>344</v>
      </c>
      <c r="F6826">
        <v>1</v>
      </c>
      <c r="G6826" t="s">
        <v>499</v>
      </c>
      <c r="H6826" s="4">
        <v>11443021</v>
      </c>
      <c r="I6826" s="4">
        <v>11213883</v>
      </c>
      <c r="J6826" s="3">
        <v>0.020024257580231655</v>
      </c>
      <c r="K6826" s="3">
        <v>0.020433421679181066</v>
      </c>
      <c r="L6826" t="s">
        <v>54</v>
      </c>
    </row>
    <row r="6827" spans="1:12" x14ac:dyDescent="0.25">
      <c r="A6827" t="s">
        <v>487</v>
      </c>
      <c r="B6827" t="s">
        <v>467</v>
      </c>
      <c r="C6827" t="s">
        <v>468</v>
      </c>
      <c r="D6827" t="s">
        <v>342</v>
      </c>
      <c r="E6827" t="s">
        <v>346</v>
      </c>
      <c r="F6827">
        <v>2</v>
      </c>
      <c r="G6827" t="s">
        <v>488</v>
      </c>
      <c r="H6827" s="4">
        <v>17202466</v>
      </c>
      <c r="I6827" s="4">
        <v>14290875.438043607</v>
      </c>
      <c r="J6827" s="3">
        <v>0.16925425470722585</v>
      </c>
      <c r="K6827" s="3">
        <v>0.2037377328337405</v>
      </c>
      <c r="L6827" t="s">
        <v>54</v>
      </c>
    </row>
    <row r="6828" spans="1:12" x14ac:dyDescent="0.25">
      <c r="A6828" t="s">
        <v>487</v>
      </c>
      <c r="B6828" t="s">
        <v>467</v>
      </c>
      <c r="C6828" t="s">
        <v>468</v>
      </c>
      <c r="D6828" t="s">
        <v>342</v>
      </c>
      <c r="E6828" t="s">
        <v>346</v>
      </c>
      <c r="F6828">
        <v>2</v>
      </c>
      <c r="G6828" t="s">
        <v>498</v>
      </c>
      <c r="H6828" s="4">
        <v>17202466</v>
      </c>
      <c r="I6828" s="4">
        <v>11731115</v>
      </c>
      <c r="J6828" s="3">
        <v>0.3180562019422099</v>
      </c>
      <c r="K6828" s="3">
        <v>0.4663965019522867</v>
      </c>
      <c r="L6828" t="s">
        <v>54</v>
      </c>
    </row>
    <row r="6829" spans="1:12" x14ac:dyDescent="0.25">
      <c r="A6829" t="s">
        <v>487</v>
      </c>
      <c r="B6829" t="s">
        <v>467</v>
      </c>
      <c r="C6829" t="s">
        <v>468</v>
      </c>
      <c r="D6829" t="s">
        <v>342</v>
      </c>
      <c r="E6829" t="s">
        <v>346</v>
      </c>
      <c r="F6829">
        <v>2</v>
      </c>
      <c r="G6829" t="s">
        <v>499</v>
      </c>
      <c r="H6829" s="4">
        <v>17202466</v>
      </c>
      <c r="I6829" s="4">
        <v>11213883</v>
      </c>
      <c r="J6829" s="3">
        <v>0.3481235190350035</v>
      </c>
      <c r="K6829" s="3">
        <v>0.5340329482660021</v>
      </c>
      <c r="L6829" t="s">
        <v>54</v>
      </c>
    </row>
    <row r="6830" spans="1:12" x14ac:dyDescent="0.25">
      <c r="A6830" t="s">
        <v>487</v>
      </c>
      <c r="B6830" t="s">
        <v>467</v>
      </c>
      <c r="C6830" t="s">
        <v>468</v>
      </c>
      <c r="D6830" t="s">
        <v>342</v>
      </c>
      <c r="E6830" t="s">
        <v>348</v>
      </c>
      <c r="F6830">
        <v>3</v>
      </c>
      <c r="G6830" t="s">
        <v>488</v>
      </c>
      <c r="H6830" s="4">
        <v>16454595</v>
      </c>
      <c r="I6830" s="4">
        <v>13258833.640047124</v>
      </c>
      <c r="J6830" s="3">
        <v>0.19421695641569278</v>
      </c>
      <c r="K6830" s="3">
        <v>0.24102884512408124</v>
      </c>
      <c r="L6830" t="s">
        <v>54</v>
      </c>
    </row>
    <row r="6831" spans="1:12" x14ac:dyDescent="0.25">
      <c r="A6831" t="s">
        <v>487</v>
      </c>
      <c r="B6831" t="s">
        <v>467</v>
      </c>
      <c r="C6831" t="s">
        <v>468</v>
      </c>
      <c r="D6831" t="s">
        <v>342</v>
      </c>
      <c r="E6831" t="s">
        <v>348</v>
      </c>
      <c r="F6831">
        <v>3</v>
      </c>
      <c r="G6831" t="s">
        <v>498</v>
      </c>
      <c r="H6831" s="4">
        <v>16454595</v>
      </c>
      <c r="I6831" s="4">
        <v>10883931</v>
      </c>
      <c r="J6831" s="3">
        <v>0.3385476215002557</v>
      </c>
      <c r="K6831" s="3">
        <v>0.5118246339488922</v>
      </c>
      <c r="L6831" t="s">
        <v>54</v>
      </c>
    </row>
    <row r="6832" spans="1:12" x14ac:dyDescent="0.25">
      <c r="A6832" t="s">
        <v>487</v>
      </c>
      <c r="B6832" t="s">
        <v>467</v>
      </c>
      <c r="C6832" t="s">
        <v>468</v>
      </c>
      <c r="D6832" t="s">
        <v>342</v>
      </c>
      <c r="E6832" t="s">
        <v>348</v>
      </c>
      <c r="F6832">
        <v>3</v>
      </c>
      <c r="G6832" t="s">
        <v>499</v>
      </c>
      <c r="H6832" s="4">
        <v>16454595</v>
      </c>
      <c r="I6832" s="4">
        <v>11213883</v>
      </c>
      <c r="J6832" s="3">
        <v>0.3184953503869284</v>
      </c>
      <c r="K6832" s="3">
        <v>0.4673414195600222</v>
      </c>
      <c r="L6832" t="s">
        <v>54</v>
      </c>
    </row>
    <row r="6833" spans="1:12" x14ac:dyDescent="0.25">
      <c r="A6833" t="s">
        <v>487</v>
      </c>
      <c r="B6833" t="s">
        <v>467</v>
      </c>
      <c r="C6833" t="s">
        <v>468</v>
      </c>
      <c r="D6833" t="s">
        <v>344</v>
      </c>
      <c r="E6833" t="s">
        <v>346</v>
      </c>
      <c r="F6833">
        <v>1</v>
      </c>
      <c r="G6833" t="s">
        <v>488</v>
      </c>
      <c r="H6833" s="4">
        <v>17202466</v>
      </c>
      <c r="I6833" s="4">
        <v>14190722.93162441</v>
      </c>
      <c r="J6833" s="3">
        <v>0.17507624013764012</v>
      </c>
      <c r="K6833" s="3">
        <v>0.21223323736832592</v>
      </c>
      <c r="L6833" t="s">
        <v>54</v>
      </c>
    </row>
    <row r="6834" spans="1:12" x14ac:dyDescent="0.25">
      <c r="A6834" t="s">
        <v>487</v>
      </c>
      <c r="B6834" t="s">
        <v>467</v>
      </c>
      <c r="C6834" t="s">
        <v>468</v>
      </c>
      <c r="D6834" t="s">
        <v>344</v>
      </c>
      <c r="E6834" t="s">
        <v>346</v>
      </c>
      <c r="F6834">
        <v>1</v>
      </c>
      <c r="G6834" t="s">
        <v>498</v>
      </c>
      <c r="H6834" s="4">
        <v>17202466</v>
      </c>
      <c r="I6834" s="4">
        <v>11731115</v>
      </c>
      <c r="J6834" s="3">
        <v>0.3180562019422099</v>
      </c>
      <c r="K6834" s="3">
        <v>0.4663965019522867</v>
      </c>
      <c r="L6834" t="s">
        <v>54</v>
      </c>
    </row>
    <row r="6835" spans="1:12" x14ac:dyDescent="0.25">
      <c r="A6835" t="s">
        <v>487</v>
      </c>
      <c r="B6835" t="s">
        <v>467</v>
      </c>
      <c r="C6835" t="s">
        <v>468</v>
      </c>
      <c r="D6835" t="s">
        <v>344</v>
      </c>
      <c r="E6835" t="s">
        <v>346</v>
      </c>
      <c r="F6835">
        <v>1</v>
      </c>
      <c r="G6835" t="s">
        <v>499</v>
      </c>
      <c r="H6835" s="4">
        <v>17202466</v>
      </c>
      <c r="I6835" s="4">
        <v>11443021</v>
      </c>
      <c r="J6835" s="3">
        <v>0.334803452016705</v>
      </c>
      <c r="K6835" s="3">
        <v>0.5033150773733615</v>
      </c>
      <c r="L6835" t="s">
        <v>54</v>
      </c>
    </row>
    <row r="6836" spans="1:12" x14ac:dyDescent="0.25">
      <c r="A6836" t="s">
        <v>487</v>
      </c>
      <c r="B6836" t="s">
        <v>467</v>
      </c>
      <c r="C6836" t="s">
        <v>468</v>
      </c>
      <c r="D6836" t="s">
        <v>344</v>
      </c>
      <c r="E6836" t="s">
        <v>348</v>
      </c>
      <c r="F6836">
        <v>2</v>
      </c>
      <c r="G6836" t="s">
        <v>488</v>
      </c>
      <c r="H6836" s="4">
        <v>16454595</v>
      </c>
      <c r="I6836" s="4">
        <v>13165913.830690246</v>
      </c>
      <c r="J6836" s="3">
        <v>0.1998639996493231</v>
      </c>
      <c r="K6836" s="3">
        <v>0.2497875355711134</v>
      </c>
      <c r="L6836" t="s">
        <v>54</v>
      </c>
    </row>
    <row r="6837" spans="1:12" x14ac:dyDescent="0.25">
      <c r="A6837" t="s">
        <v>487</v>
      </c>
      <c r="B6837" t="s">
        <v>467</v>
      </c>
      <c r="C6837" t="s">
        <v>468</v>
      </c>
      <c r="D6837" t="s">
        <v>344</v>
      </c>
      <c r="E6837" t="s">
        <v>348</v>
      </c>
      <c r="F6837">
        <v>2</v>
      </c>
      <c r="G6837" t="s">
        <v>498</v>
      </c>
      <c r="H6837" s="4">
        <v>16454595</v>
      </c>
      <c r="I6837" s="4">
        <v>10883931</v>
      </c>
      <c r="J6837" s="3">
        <v>0.3385476215002557</v>
      </c>
      <c r="K6837" s="3">
        <v>0.5118246339488922</v>
      </c>
      <c r="L6837" t="s">
        <v>54</v>
      </c>
    </row>
    <row r="6838" spans="1:12" x14ac:dyDescent="0.25">
      <c r="A6838" t="s">
        <v>487</v>
      </c>
      <c r="B6838" t="s">
        <v>467</v>
      </c>
      <c r="C6838" t="s">
        <v>468</v>
      </c>
      <c r="D6838" t="s">
        <v>344</v>
      </c>
      <c r="E6838" t="s">
        <v>348</v>
      </c>
      <c r="F6838">
        <v>2</v>
      </c>
      <c r="G6838" t="s">
        <v>499</v>
      </c>
      <c r="H6838" s="4">
        <v>16454595</v>
      </c>
      <c r="I6838" s="4">
        <v>11443021</v>
      </c>
      <c r="J6838" s="3">
        <v>0.30456987850506195</v>
      </c>
      <c r="K6838" s="3">
        <v>0.4379589970166095</v>
      </c>
      <c r="L6838" t="s">
        <v>54</v>
      </c>
    </row>
    <row r="6839" spans="1:12" x14ac:dyDescent="0.25">
      <c r="A6839" t="s">
        <v>487</v>
      </c>
      <c r="B6839" t="s">
        <v>467</v>
      </c>
      <c r="C6839" t="s">
        <v>468</v>
      </c>
      <c r="D6839" t="s">
        <v>344</v>
      </c>
      <c r="E6839" t="s">
        <v>350</v>
      </c>
      <c r="F6839">
        <v>3</v>
      </c>
      <c r="G6839" t="s">
        <v>488</v>
      </c>
      <c r="H6839" s="4">
        <v>10840986</v>
      </c>
      <c r="I6839" s="4">
        <v>12917449.78448213</v>
      </c>
      <c r="J6839" s="3">
        <v>0.19153827746684027</v>
      </c>
      <c r="K6839" s="3">
        <v>-0.16074874058938543</v>
      </c>
      <c r="L6839" t="s">
        <v>54</v>
      </c>
    </row>
    <row r="6840" spans="1:12" x14ac:dyDescent="0.25">
      <c r="A6840" t="s">
        <v>487</v>
      </c>
      <c r="B6840" t="s">
        <v>467</v>
      </c>
      <c r="C6840" t="s">
        <v>468</v>
      </c>
      <c r="D6840" t="s">
        <v>344</v>
      </c>
      <c r="E6840" t="s">
        <v>350</v>
      </c>
      <c r="F6840">
        <v>3</v>
      </c>
      <c r="G6840" t="s">
        <v>498</v>
      </c>
      <c r="H6840" s="4">
        <v>10840986</v>
      </c>
      <c r="I6840" s="4">
        <v>10678532</v>
      </c>
      <c r="J6840" s="3">
        <v>0.014985168323250302</v>
      </c>
      <c r="K6840" s="3">
        <v>0.015213139783633181</v>
      </c>
      <c r="L6840" t="s">
        <v>54</v>
      </c>
    </row>
    <row r="6841" spans="1:12" x14ac:dyDescent="0.25">
      <c r="A6841" t="s">
        <v>487</v>
      </c>
      <c r="B6841" t="s">
        <v>467</v>
      </c>
      <c r="C6841" t="s">
        <v>468</v>
      </c>
      <c r="D6841" t="s">
        <v>344</v>
      </c>
      <c r="E6841" t="s">
        <v>350</v>
      </c>
      <c r="F6841">
        <v>3</v>
      </c>
      <c r="G6841" t="s">
        <v>499</v>
      </c>
      <c r="H6841" s="4">
        <v>10840986</v>
      </c>
      <c r="I6841" s="4">
        <v>11443021</v>
      </c>
      <c r="J6841" s="3">
        <v>0.05553323286276728</v>
      </c>
      <c r="K6841" s="3">
        <v>-0.05261154375230107</v>
      </c>
      <c r="L6841" t="s">
        <v>54</v>
      </c>
    </row>
    <row r="6842" spans="1:12" x14ac:dyDescent="0.25">
      <c r="A6842" t="s">
        <v>487</v>
      </c>
      <c r="B6842" t="s">
        <v>467</v>
      </c>
      <c r="C6842" t="s">
        <v>468</v>
      </c>
      <c r="D6842" t="s">
        <v>346</v>
      </c>
      <c r="E6842" t="s">
        <v>348</v>
      </c>
      <c r="F6842">
        <v>1</v>
      </c>
      <c r="G6842" t="s">
        <v>488</v>
      </c>
      <c r="H6842" s="4">
        <v>16454595</v>
      </c>
      <c r="I6842" s="4">
        <v>13539916.766455907</v>
      </c>
      <c r="J6842" s="3">
        <v>0.1771346079039984</v>
      </c>
      <c r="K6842" s="3">
        <v>0.21526559459840858</v>
      </c>
      <c r="L6842" t="s">
        <v>54</v>
      </c>
    </row>
    <row r="6843" spans="1:12" x14ac:dyDescent="0.25">
      <c r="A6843" t="s">
        <v>487</v>
      </c>
      <c r="B6843" t="s">
        <v>467</v>
      </c>
      <c r="C6843" t="s">
        <v>468</v>
      </c>
      <c r="D6843" t="s">
        <v>346</v>
      </c>
      <c r="E6843" t="s">
        <v>348</v>
      </c>
      <c r="F6843">
        <v>1</v>
      </c>
      <c r="G6843" t="s">
        <v>498</v>
      </c>
      <c r="H6843" s="4">
        <v>16454595</v>
      </c>
      <c r="I6843" s="4">
        <v>10883931</v>
      </c>
      <c r="J6843" s="3">
        <v>0.3385476215002557</v>
      </c>
      <c r="K6843" s="3">
        <v>0.5118246339488922</v>
      </c>
      <c r="L6843" t="s">
        <v>54</v>
      </c>
    </row>
    <row r="6844" spans="1:12" x14ac:dyDescent="0.25">
      <c r="A6844" t="s">
        <v>487</v>
      </c>
      <c r="B6844" t="s">
        <v>467</v>
      </c>
      <c r="C6844" t="s">
        <v>468</v>
      </c>
      <c r="D6844" t="s">
        <v>346</v>
      </c>
      <c r="E6844" t="s">
        <v>348</v>
      </c>
      <c r="F6844">
        <v>1</v>
      </c>
      <c r="G6844" t="s">
        <v>499</v>
      </c>
      <c r="H6844" s="4">
        <v>16454595</v>
      </c>
      <c r="I6844" s="4">
        <v>17202466</v>
      </c>
      <c r="J6844" s="3">
        <v>0.04545058690292894</v>
      </c>
      <c r="K6844" s="3">
        <v>-0.04347463904303023</v>
      </c>
      <c r="L6844" t="s">
        <v>54</v>
      </c>
    </row>
    <row r="6845" spans="1:12" x14ac:dyDescent="0.25">
      <c r="A6845" t="s">
        <v>487</v>
      </c>
      <c r="B6845" t="s">
        <v>467</v>
      </c>
      <c r="C6845" t="s">
        <v>468</v>
      </c>
      <c r="D6845" t="s">
        <v>346</v>
      </c>
      <c r="E6845" t="s">
        <v>350</v>
      </c>
      <c r="F6845">
        <v>2</v>
      </c>
      <c r="G6845" t="s">
        <v>488</v>
      </c>
      <c r="H6845" s="4">
        <v>10840986</v>
      </c>
      <c r="I6845" s="4">
        <v>13284394.624326076</v>
      </c>
      <c r="J6845" s="3">
        <v>0.22538619866551587</v>
      </c>
      <c r="K6845" s="3">
        <v>-0.1839307468216702</v>
      </c>
      <c r="L6845" t="s">
        <v>54</v>
      </c>
    </row>
    <row r="6846" spans="1:12" x14ac:dyDescent="0.25">
      <c r="A6846" t="s">
        <v>487</v>
      </c>
      <c r="B6846" t="s">
        <v>467</v>
      </c>
      <c r="C6846" t="s">
        <v>468</v>
      </c>
      <c r="D6846" t="s">
        <v>346</v>
      </c>
      <c r="E6846" t="s">
        <v>350</v>
      </c>
      <c r="F6846">
        <v>2</v>
      </c>
      <c r="G6846" t="s">
        <v>498</v>
      </c>
      <c r="H6846" s="4">
        <v>10840986</v>
      </c>
      <c r="I6846" s="4">
        <v>10678532</v>
      </c>
      <c r="J6846" s="3">
        <v>0.014985168323250302</v>
      </c>
      <c r="K6846" s="3">
        <v>0.015213139783633181</v>
      </c>
      <c r="L6846" t="s">
        <v>54</v>
      </c>
    </row>
    <row r="6847" spans="1:12" x14ac:dyDescent="0.25">
      <c r="A6847" t="s">
        <v>487</v>
      </c>
      <c r="B6847" t="s">
        <v>467</v>
      </c>
      <c r="C6847" t="s">
        <v>468</v>
      </c>
      <c r="D6847" t="s">
        <v>346</v>
      </c>
      <c r="E6847" t="s">
        <v>350</v>
      </c>
      <c r="F6847">
        <v>2</v>
      </c>
      <c r="G6847" t="s">
        <v>499</v>
      </c>
      <c r="H6847" s="4">
        <v>10840986</v>
      </c>
      <c r="I6847" s="4">
        <v>17202466</v>
      </c>
      <c r="J6847" s="3">
        <v>0.5867990236312454</v>
      </c>
      <c r="K6847" s="3">
        <v>-0.3698004693048078</v>
      </c>
      <c r="L6847" t="s">
        <v>54</v>
      </c>
    </row>
    <row r="6848" spans="1:12" x14ac:dyDescent="0.25">
      <c r="A6848" t="s">
        <v>487</v>
      </c>
      <c r="B6848" t="s">
        <v>467</v>
      </c>
      <c r="C6848" t="s">
        <v>468</v>
      </c>
      <c r="D6848" t="s">
        <v>346</v>
      </c>
      <c r="E6848" t="s">
        <v>352</v>
      </c>
      <c r="F6848">
        <v>3</v>
      </c>
      <c r="G6848" t="s">
        <v>488</v>
      </c>
      <c r="H6848" s="4">
        <v>9297480</v>
      </c>
      <c r="I6848" s="4">
        <v>12019711.854421584</v>
      </c>
      <c r="J6848" s="3">
        <v>0.292792439932281</v>
      </c>
      <c r="K6848" s="3">
        <v>-0.22648062510917688</v>
      </c>
      <c r="L6848" t="s">
        <v>54</v>
      </c>
    </row>
    <row r="6849" spans="1:12" x14ac:dyDescent="0.25">
      <c r="A6849" t="s">
        <v>487</v>
      </c>
      <c r="B6849" t="s">
        <v>467</v>
      </c>
      <c r="C6849" t="s">
        <v>468</v>
      </c>
      <c r="D6849" t="s">
        <v>346</v>
      </c>
      <c r="E6849" t="s">
        <v>352</v>
      </c>
      <c r="F6849">
        <v>3</v>
      </c>
      <c r="G6849" t="s">
        <v>498</v>
      </c>
      <c r="H6849" s="4">
        <v>9297480</v>
      </c>
      <c r="I6849" s="4">
        <v>9661929</v>
      </c>
      <c r="J6849" s="3">
        <v>0.039198686095587194</v>
      </c>
      <c r="K6849" s="3">
        <v>-0.037720107444383</v>
      </c>
      <c r="L6849" t="s">
        <v>54</v>
      </c>
    </row>
    <row r="6850" spans="1:12" x14ac:dyDescent="0.25">
      <c r="A6850" t="s">
        <v>487</v>
      </c>
      <c r="B6850" t="s">
        <v>467</v>
      </c>
      <c r="C6850" t="s">
        <v>468</v>
      </c>
      <c r="D6850" t="s">
        <v>346</v>
      </c>
      <c r="E6850" t="s">
        <v>352</v>
      </c>
      <c r="F6850">
        <v>3</v>
      </c>
      <c r="G6850" t="s">
        <v>499</v>
      </c>
      <c r="H6850" s="4">
        <v>9297480</v>
      </c>
      <c r="I6850" s="4">
        <v>17202466</v>
      </c>
      <c r="J6850" s="3">
        <v>0.8502288792231874</v>
      </c>
      <c r="K6850" s="3">
        <v>-0.45952632605116034</v>
      </c>
      <c r="L6850" t="s">
        <v>54</v>
      </c>
    </row>
    <row r="6851" spans="1:12" x14ac:dyDescent="0.25">
      <c r="A6851" t="s">
        <v>487</v>
      </c>
      <c r="B6851" t="s">
        <v>467</v>
      </c>
      <c r="C6851" t="s">
        <v>468</v>
      </c>
      <c r="D6851" t="s">
        <v>348</v>
      </c>
      <c r="E6851" t="s">
        <v>350</v>
      </c>
      <c r="F6851">
        <v>1</v>
      </c>
      <c r="G6851" t="s">
        <v>488</v>
      </c>
      <c r="H6851" s="4">
        <v>10840986</v>
      </c>
      <c r="I6851" s="4">
        <v>14007236.61522504</v>
      </c>
      <c r="J6851" s="3">
        <v>0.29206297427420713</v>
      </c>
      <c r="K6851" s="3">
        <v>-0.2260439158844159</v>
      </c>
      <c r="L6851" t="s">
        <v>54</v>
      </c>
    </row>
    <row r="6852" spans="1:12" x14ac:dyDescent="0.25">
      <c r="A6852" t="s">
        <v>487</v>
      </c>
      <c r="B6852" t="s">
        <v>467</v>
      </c>
      <c r="C6852" t="s">
        <v>468</v>
      </c>
      <c r="D6852" t="s">
        <v>348</v>
      </c>
      <c r="E6852" t="s">
        <v>350</v>
      </c>
      <c r="F6852">
        <v>1</v>
      </c>
      <c r="G6852" t="s">
        <v>498</v>
      </c>
      <c r="H6852" s="4">
        <v>10840986</v>
      </c>
      <c r="I6852" s="4">
        <v>10678532</v>
      </c>
      <c r="J6852" s="3">
        <v>0.014985168323250302</v>
      </c>
      <c r="K6852" s="3">
        <v>0.015213139783633181</v>
      </c>
      <c r="L6852" t="s">
        <v>54</v>
      </c>
    </row>
    <row r="6853" spans="1:12" x14ac:dyDescent="0.25">
      <c r="A6853" t="s">
        <v>487</v>
      </c>
      <c r="B6853" t="s">
        <v>467</v>
      </c>
      <c r="C6853" t="s">
        <v>468</v>
      </c>
      <c r="D6853" t="s">
        <v>348</v>
      </c>
      <c r="E6853" t="s">
        <v>350</v>
      </c>
      <c r="F6853">
        <v>1</v>
      </c>
      <c r="G6853" t="s">
        <v>499</v>
      </c>
      <c r="H6853" s="4">
        <v>10840986</v>
      </c>
      <c r="I6853" s="4">
        <v>16454595</v>
      </c>
      <c r="J6853" s="3">
        <v>0.5178135088450442</v>
      </c>
      <c r="K6853" s="3">
        <v>-0.34115753076876093</v>
      </c>
      <c r="L6853" t="s">
        <v>54</v>
      </c>
    </row>
    <row r="6854" spans="1:12" x14ac:dyDescent="0.25">
      <c r="A6854" t="s">
        <v>487</v>
      </c>
      <c r="B6854" t="s">
        <v>467</v>
      </c>
      <c r="C6854" t="s">
        <v>468</v>
      </c>
      <c r="D6854" t="s">
        <v>348</v>
      </c>
      <c r="E6854" t="s">
        <v>352</v>
      </c>
      <c r="F6854">
        <v>2</v>
      </c>
      <c r="G6854" t="s">
        <v>488</v>
      </c>
      <c r="H6854" s="4">
        <v>9297480</v>
      </c>
      <c r="I6854" s="4">
        <v>12673738.830628091</v>
      </c>
      <c r="J6854" s="3">
        <v>0.36313698234662417</v>
      </c>
      <c r="K6854" s="3">
        <v>-0.26639801212163444</v>
      </c>
      <c r="L6854" t="s">
        <v>54</v>
      </c>
    </row>
    <row r="6855" spans="1:12" x14ac:dyDescent="0.25">
      <c r="A6855" t="s">
        <v>487</v>
      </c>
      <c r="B6855" t="s">
        <v>467</v>
      </c>
      <c r="C6855" t="s">
        <v>468</v>
      </c>
      <c r="D6855" t="s">
        <v>348</v>
      </c>
      <c r="E6855" t="s">
        <v>352</v>
      </c>
      <c r="F6855">
        <v>2</v>
      </c>
      <c r="G6855" t="s">
        <v>498</v>
      </c>
      <c r="H6855" s="4">
        <v>9297480</v>
      </c>
      <c r="I6855" s="4">
        <v>9661929</v>
      </c>
      <c r="J6855" s="3">
        <v>0.039198686095587194</v>
      </c>
      <c r="K6855" s="3">
        <v>-0.037720107444383</v>
      </c>
      <c r="L6855" t="s">
        <v>54</v>
      </c>
    </row>
    <row r="6856" spans="1:12" x14ac:dyDescent="0.25">
      <c r="A6856" t="s">
        <v>487</v>
      </c>
      <c r="B6856" t="s">
        <v>467</v>
      </c>
      <c r="C6856" t="s">
        <v>468</v>
      </c>
      <c r="D6856" t="s">
        <v>348</v>
      </c>
      <c r="E6856" t="s">
        <v>352</v>
      </c>
      <c r="F6856">
        <v>2</v>
      </c>
      <c r="G6856" t="s">
        <v>499</v>
      </c>
      <c r="H6856" s="4">
        <v>9297480</v>
      </c>
      <c r="I6856" s="4">
        <v>16454595</v>
      </c>
      <c r="J6856" s="3">
        <v>0.7697908465519689</v>
      </c>
      <c r="K6856" s="3">
        <v>-0.4349614803646033</v>
      </c>
      <c r="L6856" t="s">
        <v>54</v>
      </c>
    </row>
    <row r="6857" spans="1:12" x14ac:dyDescent="0.25">
      <c r="A6857" t="s">
        <v>487</v>
      </c>
      <c r="B6857" t="s">
        <v>467</v>
      </c>
      <c r="C6857" t="s">
        <v>468</v>
      </c>
      <c r="D6857" t="s">
        <v>348</v>
      </c>
      <c r="E6857" t="s">
        <v>354</v>
      </c>
      <c r="F6857">
        <v>3</v>
      </c>
      <c r="G6857" t="s">
        <v>488</v>
      </c>
      <c r="H6857" s="4">
        <v>11859016</v>
      </c>
      <c r="I6857" s="4">
        <v>10517943.887064409</v>
      </c>
      <c r="J6857" s="3">
        <v>0.11308460271371516</v>
      </c>
      <c r="K6857" s="3">
        <v>0.1275032579879915</v>
      </c>
      <c r="L6857" t="s">
        <v>54</v>
      </c>
    </row>
    <row r="6858" spans="1:12" x14ac:dyDescent="0.25">
      <c r="A6858" t="s">
        <v>487</v>
      </c>
      <c r="B6858" t="s">
        <v>467</v>
      </c>
      <c r="C6858" t="s">
        <v>468</v>
      </c>
      <c r="D6858" t="s">
        <v>348</v>
      </c>
      <c r="E6858" t="s">
        <v>354</v>
      </c>
      <c r="F6858">
        <v>3</v>
      </c>
      <c r="G6858" t="s">
        <v>498</v>
      </c>
      <c r="H6858" s="4">
        <v>11859016</v>
      </c>
      <c r="I6858" s="4">
        <v>8018441</v>
      </c>
      <c r="J6858" s="3">
        <v>0.32385275473108394</v>
      </c>
      <c r="K6858" s="3">
        <v>0.47896779436301895</v>
      </c>
      <c r="L6858" t="s">
        <v>54</v>
      </c>
    </row>
    <row r="6859" spans="1:12" x14ac:dyDescent="0.25">
      <c r="A6859" t="s">
        <v>487</v>
      </c>
      <c r="B6859" t="s">
        <v>467</v>
      </c>
      <c r="C6859" t="s">
        <v>468</v>
      </c>
      <c r="D6859" t="s">
        <v>348</v>
      </c>
      <c r="E6859" t="s">
        <v>354</v>
      </c>
      <c r="F6859">
        <v>3</v>
      </c>
      <c r="G6859" t="s">
        <v>499</v>
      </c>
      <c r="H6859" s="4">
        <v>11859016</v>
      </c>
      <c r="I6859" s="4">
        <v>16454595</v>
      </c>
      <c r="J6859" s="3">
        <v>0.3875177333431374</v>
      </c>
      <c r="K6859" s="3">
        <v>-0.2792884905401804</v>
      </c>
      <c r="L6859" t="s">
        <v>54</v>
      </c>
    </row>
    <row r="6860" spans="1:12" x14ac:dyDescent="0.25">
      <c r="A6860" t="s">
        <v>487</v>
      </c>
      <c r="B6860" t="s">
        <v>467</v>
      </c>
      <c r="C6860" t="s">
        <v>468</v>
      </c>
      <c r="D6860" t="s">
        <v>350</v>
      </c>
      <c r="E6860" t="s">
        <v>352</v>
      </c>
      <c r="F6860">
        <v>1</v>
      </c>
      <c r="G6860" t="s">
        <v>488</v>
      </c>
      <c r="H6860" s="4">
        <v>9297480</v>
      </c>
      <c r="I6860" s="4">
        <v>12629070.613590535</v>
      </c>
      <c r="J6860" s="3">
        <v>0.35833264643651125</v>
      </c>
      <c r="K6860" s="3">
        <v>-0.2638033086936189</v>
      </c>
      <c r="L6860" t="s">
        <v>54</v>
      </c>
    </row>
    <row r="6861" spans="1:12" x14ac:dyDescent="0.25">
      <c r="A6861" t="s">
        <v>487</v>
      </c>
      <c r="B6861" t="s">
        <v>467</v>
      </c>
      <c r="C6861" t="s">
        <v>468</v>
      </c>
      <c r="D6861" t="s">
        <v>350</v>
      </c>
      <c r="E6861" t="s">
        <v>352</v>
      </c>
      <c r="F6861">
        <v>1</v>
      </c>
      <c r="G6861" t="s">
        <v>498</v>
      </c>
      <c r="H6861" s="4">
        <v>9297480</v>
      </c>
      <c r="I6861" s="4">
        <v>9661929</v>
      </c>
      <c r="J6861" s="3">
        <v>0.039198686095587194</v>
      </c>
      <c r="K6861" s="3">
        <v>-0.037720107444383</v>
      </c>
      <c r="L6861" t="s">
        <v>54</v>
      </c>
    </row>
    <row r="6862" spans="1:12" x14ac:dyDescent="0.25">
      <c r="A6862" t="s">
        <v>487</v>
      </c>
      <c r="B6862" t="s">
        <v>467</v>
      </c>
      <c r="C6862" t="s">
        <v>468</v>
      </c>
      <c r="D6862" t="s">
        <v>350</v>
      </c>
      <c r="E6862" t="s">
        <v>352</v>
      </c>
      <c r="F6862">
        <v>1</v>
      </c>
      <c r="G6862" t="s">
        <v>499</v>
      </c>
      <c r="H6862" s="4">
        <v>9297480</v>
      </c>
      <c r="I6862" s="4">
        <v>10840986</v>
      </c>
      <c r="J6862" s="3">
        <v>0.1660133713651441</v>
      </c>
      <c r="K6862" s="3">
        <v>-0.14237690187958918</v>
      </c>
      <c r="L6862" t="s">
        <v>54</v>
      </c>
    </row>
    <row r="6863" spans="1:12" x14ac:dyDescent="0.25">
      <c r="A6863" t="s">
        <v>487</v>
      </c>
      <c r="B6863" t="s">
        <v>467</v>
      </c>
      <c r="C6863" t="s">
        <v>468</v>
      </c>
      <c r="D6863" t="s">
        <v>350</v>
      </c>
      <c r="E6863" t="s">
        <v>354</v>
      </c>
      <c r="F6863">
        <v>2</v>
      </c>
      <c r="G6863" t="s">
        <v>488</v>
      </c>
      <c r="H6863" s="4">
        <v>11859016</v>
      </c>
      <c r="I6863" s="4">
        <v>10480873.705438066</v>
      </c>
      <c r="J6863" s="3">
        <v>0.11621050975577854</v>
      </c>
      <c r="K6863" s="3">
        <v>0.1314911650778576</v>
      </c>
      <c r="L6863" t="s">
        <v>54</v>
      </c>
    </row>
    <row r="6864" spans="1:12" x14ac:dyDescent="0.25">
      <c r="A6864" t="s">
        <v>487</v>
      </c>
      <c r="B6864" t="s">
        <v>467</v>
      </c>
      <c r="C6864" t="s">
        <v>468</v>
      </c>
      <c r="D6864" t="s">
        <v>350</v>
      </c>
      <c r="E6864" t="s">
        <v>354</v>
      </c>
      <c r="F6864">
        <v>2</v>
      </c>
      <c r="G6864" t="s">
        <v>498</v>
      </c>
      <c r="H6864" s="4">
        <v>11859016</v>
      </c>
      <c r="I6864" s="4">
        <v>8018441</v>
      </c>
      <c r="J6864" s="3">
        <v>0.32385275473108394</v>
      </c>
      <c r="K6864" s="3">
        <v>0.47896779436301895</v>
      </c>
      <c r="L6864" t="s">
        <v>54</v>
      </c>
    </row>
    <row r="6865" spans="1:12" x14ac:dyDescent="0.25">
      <c r="A6865" t="s">
        <v>487</v>
      </c>
      <c r="B6865" t="s">
        <v>467</v>
      </c>
      <c r="C6865" t="s">
        <v>468</v>
      </c>
      <c r="D6865" t="s">
        <v>350</v>
      </c>
      <c r="E6865" t="s">
        <v>354</v>
      </c>
      <c r="F6865">
        <v>2</v>
      </c>
      <c r="G6865" t="s">
        <v>499</v>
      </c>
      <c r="H6865" s="4">
        <v>11859016</v>
      </c>
      <c r="I6865" s="4">
        <v>10840986</v>
      </c>
      <c r="J6865" s="3">
        <v>0.08584439046207544</v>
      </c>
      <c r="K6865" s="3">
        <v>0.093905665038217</v>
      </c>
      <c r="L6865" t="s">
        <v>54</v>
      </c>
    </row>
    <row r="6866" spans="1:12" x14ac:dyDescent="0.25">
      <c r="A6866" t="s">
        <v>487</v>
      </c>
      <c r="B6866" t="s">
        <v>467</v>
      </c>
      <c r="C6866" t="s">
        <v>468</v>
      </c>
      <c r="D6866" t="s">
        <v>350</v>
      </c>
      <c r="E6866" t="s">
        <v>356</v>
      </c>
      <c r="F6866">
        <v>3</v>
      </c>
      <c r="G6866" t="s">
        <v>488</v>
      </c>
      <c r="H6866" s="4">
        <v>14857363</v>
      </c>
      <c r="I6866" s="4">
        <v>17756090.076088987</v>
      </c>
      <c r="J6866" s="3">
        <v>0.19510373920923837</v>
      </c>
      <c r="K6866" s="3">
        <v>-0.1632525552453984</v>
      </c>
      <c r="L6866" t="s">
        <v>54</v>
      </c>
    </row>
    <row r="6867" spans="1:12" x14ac:dyDescent="0.25">
      <c r="A6867" t="s">
        <v>487</v>
      </c>
      <c r="B6867" t="s">
        <v>467</v>
      </c>
      <c r="C6867" t="s">
        <v>468</v>
      </c>
      <c r="D6867" t="s">
        <v>350</v>
      </c>
      <c r="E6867" t="s">
        <v>356</v>
      </c>
      <c r="F6867">
        <v>3</v>
      </c>
      <c r="G6867" t="s">
        <v>498</v>
      </c>
      <c r="H6867" s="4">
        <v>14857363</v>
      </c>
      <c r="I6867" s="4">
        <v>13584379</v>
      </c>
      <c r="J6867" s="3">
        <v>0.085680345832568</v>
      </c>
      <c r="K6867" s="3">
        <v>0.09370939959787636</v>
      </c>
      <c r="L6867" t="s">
        <v>54</v>
      </c>
    </row>
    <row r="6868" spans="1:12" x14ac:dyDescent="0.25">
      <c r="A6868" t="s">
        <v>487</v>
      </c>
      <c r="B6868" t="s">
        <v>467</v>
      </c>
      <c r="C6868" t="s">
        <v>468</v>
      </c>
      <c r="D6868" t="s">
        <v>350</v>
      </c>
      <c r="E6868" t="s">
        <v>356</v>
      </c>
      <c r="F6868">
        <v>3</v>
      </c>
      <c r="G6868" t="s">
        <v>499</v>
      </c>
      <c r="H6868" s="4">
        <v>14857363</v>
      </c>
      <c r="I6868" s="4">
        <v>10840986</v>
      </c>
      <c r="J6868" s="3">
        <v>0.27032906175880606</v>
      </c>
      <c r="K6868" s="3">
        <v>0.3704807846813934</v>
      </c>
      <c r="L6868" t="s">
        <v>54</v>
      </c>
    </row>
    <row r="6869" spans="1:12" x14ac:dyDescent="0.25">
      <c r="A6869" t="s">
        <v>487</v>
      </c>
      <c r="B6869" t="s">
        <v>467</v>
      </c>
      <c r="C6869" t="s">
        <v>468</v>
      </c>
      <c r="D6869" t="s">
        <v>352</v>
      </c>
      <c r="E6869" t="s">
        <v>354</v>
      </c>
      <c r="F6869">
        <v>1</v>
      </c>
      <c r="G6869" t="s">
        <v>488</v>
      </c>
      <c r="H6869" s="4">
        <v>11859016</v>
      </c>
      <c r="I6869" s="4">
        <v>9982017.994945602</v>
      </c>
      <c r="J6869" s="3">
        <v>0.1582760327715552</v>
      </c>
      <c r="K6869" s="3">
        <v>0.18803793040693936</v>
      </c>
      <c r="L6869" t="s">
        <v>54</v>
      </c>
    </row>
    <row r="6870" spans="1:12" x14ac:dyDescent="0.25">
      <c r="A6870" t="s">
        <v>487</v>
      </c>
      <c r="B6870" t="s">
        <v>467</v>
      </c>
      <c r="C6870" t="s">
        <v>468</v>
      </c>
      <c r="D6870" t="s">
        <v>352</v>
      </c>
      <c r="E6870" t="s">
        <v>354</v>
      </c>
      <c r="F6870">
        <v>1</v>
      </c>
      <c r="G6870" t="s">
        <v>498</v>
      </c>
      <c r="H6870" s="4">
        <v>11859016</v>
      </c>
      <c r="I6870" s="4">
        <v>8018441</v>
      </c>
      <c r="J6870" s="3">
        <v>0.32385275473108394</v>
      </c>
      <c r="K6870" s="3">
        <v>0.47896779436301895</v>
      </c>
      <c r="L6870" t="s">
        <v>54</v>
      </c>
    </row>
    <row r="6871" spans="1:12" x14ac:dyDescent="0.25">
      <c r="A6871" t="s">
        <v>487</v>
      </c>
      <c r="B6871" t="s">
        <v>467</v>
      </c>
      <c r="C6871" t="s">
        <v>468</v>
      </c>
      <c r="D6871" t="s">
        <v>352</v>
      </c>
      <c r="E6871" t="s">
        <v>354</v>
      </c>
      <c r="F6871">
        <v>1</v>
      </c>
      <c r="G6871" t="s">
        <v>499</v>
      </c>
      <c r="H6871" s="4">
        <v>11859016</v>
      </c>
      <c r="I6871" s="4">
        <v>9297480</v>
      </c>
      <c r="J6871" s="3">
        <v>0.21599903398393255</v>
      </c>
      <c r="K6871" s="3">
        <v>0.2755086324466415</v>
      </c>
      <c r="L6871" t="s">
        <v>54</v>
      </c>
    </row>
    <row r="6872" spans="1:12" x14ac:dyDescent="0.25">
      <c r="A6872" t="s">
        <v>487</v>
      </c>
      <c r="B6872" t="s">
        <v>467</v>
      </c>
      <c r="C6872" t="s">
        <v>468</v>
      </c>
      <c r="D6872" t="s">
        <v>352</v>
      </c>
      <c r="E6872" t="s">
        <v>356</v>
      </c>
      <c r="F6872">
        <v>2</v>
      </c>
      <c r="G6872" t="s">
        <v>488</v>
      </c>
      <c r="H6872" s="4">
        <v>14857363</v>
      </c>
      <c r="I6872" s="4">
        <v>16910957.58242296</v>
      </c>
      <c r="J6872" s="3">
        <v>0.1382206642203573</v>
      </c>
      <c r="K6872" s="3">
        <v>-0.12143573611452028</v>
      </c>
      <c r="L6872" t="s">
        <v>54</v>
      </c>
    </row>
    <row r="6873" spans="1:12" x14ac:dyDescent="0.25">
      <c r="A6873" t="s">
        <v>487</v>
      </c>
      <c r="B6873" t="s">
        <v>467</v>
      </c>
      <c r="C6873" t="s">
        <v>468</v>
      </c>
      <c r="D6873" t="s">
        <v>352</v>
      </c>
      <c r="E6873" t="s">
        <v>356</v>
      </c>
      <c r="F6873">
        <v>2</v>
      </c>
      <c r="G6873" t="s">
        <v>498</v>
      </c>
      <c r="H6873" s="4">
        <v>14857363</v>
      </c>
      <c r="I6873" s="4">
        <v>13584379</v>
      </c>
      <c r="J6873" s="3">
        <v>0.085680345832568</v>
      </c>
      <c r="K6873" s="3">
        <v>0.09370939959787636</v>
      </c>
      <c r="L6873" t="s">
        <v>54</v>
      </c>
    </row>
    <row r="6874" spans="1:12" x14ac:dyDescent="0.25">
      <c r="A6874" t="s">
        <v>487</v>
      </c>
      <c r="B6874" t="s">
        <v>467</v>
      </c>
      <c r="C6874" t="s">
        <v>468</v>
      </c>
      <c r="D6874" t="s">
        <v>352</v>
      </c>
      <c r="E6874" t="s">
        <v>356</v>
      </c>
      <c r="F6874">
        <v>2</v>
      </c>
      <c r="G6874" t="s">
        <v>499</v>
      </c>
      <c r="H6874" s="4">
        <v>14857363</v>
      </c>
      <c r="I6874" s="4">
        <v>9297480</v>
      </c>
      <c r="J6874" s="3">
        <v>0.3742173493371603</v>
      </c>
      <c r="K6874" s="3">
        <v>0.5979989201374997</v>
      </c>
      <c r="L6874" t="s">
        <v>54</v>
      </c>
    </row>
    <row r="6875" spans="1:12" x14ac:dyDescent="0.25">
      <c r="A6875" t="s">
        <v>487</v>
      </c>
      <c r="B6875" t="s">
        <v>467</v>
      </c>
      <c r="C6875" t="s">
        <v>468</v>
      </c>
      <c r="D6875" t="s">
        <v>352</v>
      </c>
      <c r="E6875" t="s">
        <v>358</v>
      </c>
      <c r="F6875">
        <v>3</v>
      </c>
      <c r="G6875" t="s">
        <v>488</v>
      </c>
      <c r="H6875" s="4">
        <v>15865997</v>
      </c>
      <c r="I6875" s="4">
        <v>17197884.357536107</v>
      </c>
      <c r="J6875" s="3">
        <v>0.08394602353297478</v>
      </c>
      <c r="K6875" s="3">
        <v>-0.07744483739085468</v>
      </c>
      <c r="L6875" t="s">
        <v>54</v>
      </c>
    </row>
    <row r="6876" spans="1:12" x14ac:dyDescent="0.25">
      <c r="A6876" t="s">
        <v>487</v>
      </c>
      <c r="B6876" t="s">
        <v>467</v>
      </c>
      <c r="C6876" t="s">
        <v>468</v>
      </c>
      <c r="D6876" t="s">
        <v>352</v>
      </c>
      <c r="E6876" t="s">
        <v>358</v>
      </c>
      <c r="F6876">
        <v>3</v>
      </c>
      <c r="G6876" t="s">
        <v>498</v>
      </c>
      <c r="H6876" s="4">
        <v>15865997</v>
      </c>
      <c r="I6876" s="4">
        <v>13814864</v>
      </c>
      <c r="J6876" s="3">
        <v>0.12927854455033616</v>
      </c>
      <c r="K6876" s="3">
        <v>0.14847290570504348</v>
      </c>
      <c r="L6876" t="s">
        <v>54</v>
      </c>
    </row>
    <row r="6877" spans="1:12" x14ac:dyDescent="0.25">
      <c r="A6877" t="s">
        <v>487</v>
      </c>
      <c r="B6877" t="s">
        <v>467</v>
      </c>
      <c r="C6877" t="s">
        <v>468</v>
      </c>
      <c r="D6877" t="s">
        <v>352</v>
      </c>
      <c r="E6877" t="s">
        <v>358</v>
      </c>
      <c r="F6877">
        <v>3</v>
      </c>
      <c r="G6877" t="s">
        <v>499</v>
      </c>
      <c r="H6877" s="4">
        <v>15865997</v>
      </c>
      <c r="I6877" s="4">
        <v>9297480</v>
      </c>
      <c r="J6877" s="3">
        <v>0.41399963708552323</v>
      </c>
      <c r="K6877" s="3">
        <v>0.7064835847993219</v>
      </c>
      <c r="L6877" t="s">
        <v>54</v>
      </c>
    </row>
    <row r="6878" spans="1:12" x14ac:dyDescent="0.25">
      <c r="A6878" t="s">
        <v>487</v>
      </c>
      <c r="B6878" t="s">
        <v>467</v>
      </c>
      <c r="C6878" t="s">
        <v>468</v>
      </c>
      <c r="D6878" t="s">
        <v>354</v>
      </c>
      <c r="E6878" t="s">
        <v>356</v>
      </c>
      <c r="F6878">
        <v>1</v>
      </c>
      <c r="G6878" t="s">
        <v>488</v>
      </c>
      <c r="H6878" s="4">
        <v>14857363</v>
      </c>
      <c r="I6878" s="4">
        <v>17134522.744278528</v>
      </c>
      <c r="J6878" s="3">
        <v>0.15326809638281894</v>
      </c>
      <c r="K6878" s="3">
        <v>-0.13289893032117894</v>
      </c>
      <c r="L6878" t="s">
        <v>54</v>
      </c>
    </row>
    <row r="6879" spans="1:12" x14ac:dyDescent="0.25">
      <c r="A6879" t="s">
        <v>487</v>
      </c>
      <c r="B6879" t="s">
        <v>467</v>
      </c>
      <c r="C6879" t="s">
        <v>468</v>
      </c>
      <c r="D6879" t="s">
        <v>354</v>
      </c>
      <c r="E6879" t="s">
        <v>356</v>
      </c>
      <c r="F6879">
        <v>1</v>
      </c>
      <c r="G6879" t="s">
        <v>498</v>
      </c>
      <c r="H6879" s="4">
        <v>14857363</v>
      </c>
      <c r="I6879" s="4">
        <v>13584379</v>
      </c>
      <c r="J6879" s="3">
        <v>0.085680345832568</v>
      </c>
      <c r="K6879" s="3">
        <v>0.09370939959787636</v>
      </c>
      <c r="L6879" t="s">
        <v>54</v>
      </c>
    </row>
    <row r="6880" spans="1:12" x14ac:dyDescent="0.25">
      <c r="A6880" t="s">
        <v>487</v>
      </c>
      <c r="B6880" t="s">
        <v>467</v>
      </c>
      <c r="C6880" t="s">
        <v>468</v>
      </c>
      <c r="D6880" t="s">
        <v>354</v>
      </c>
      <c r="E6880" t="s">
        <v>356</v>
      </c>
      <c r="F6880">
        <v>1</v>
      </c>
      <c r="G6880" t="s">
        <v>499</v>
      </c>
      <c r="H6880" s="4">
        <v>14857363</v>
      </c>
      <c r="I6880" s="4">
        <v>11859016</v>
      </c>
      <c r="J6880" s="3">
        <v>0.20180882704420697</v>
      </c>
      <c r="K6880" s="3">
        <v>0.2528326970804323</v>
      </c>
      <c r="L6880" t="s">
        <v>54</v>
      </c>
    </row>
    <row r="6881" spans="1:12" x14ac:dyDescent="0.25">
      <c r="A6881" t="s">
        <v>487</v>
      </c>
      <c r="B6881" t="s">
        <v>467</v>
      </c>
      <c r="C6881" t="s">
        <v>468</v>
      </c>
      <c r="D6881" t="s">
        <v>354</v>
      </c>
      <c r="E6881" t="s">
        <v>358</v>
      </c>
      <c r="F6881">
        <v>2</v>
      </c>
      <c r="G6881" t="s">
        <v>488</v>
      </c>
      <c r="H6881" s="4">
        <v>15865997</v>
      </c>
      <c r="I6881" s="4">
        <v>17425242.73042696</v>
      </c>
      <c r="J6881" s="3">
        <v>0.09827593755545017</v>
      </c>
      <c r="K6881" s="3">
        <v>-0.08948200920635063</v>
      </c>
      <c r="L6881" t="s">
        <v>54</v>
      </c>
    </row>
    <row r="6882" spans="1:12" x14ac:dyDescent="0.25">
      <c r="A6882" t="s">
        <v>487</v>
      </c>
      <c r="B6882" t="s">
        <v>467</v>
      </c>
      <c r="C6882" t="s">
        <v>468</v>
      </c>
      <c r="D6882" t="s">
        <v>354</v>
      </c>
      <c r="E6882" t="s">
        <v>358</v>
      </c>
      <c r="F6882">
        <v>2</v>
      </c>
      <c r="G6882" t="s">
        <v>498</v>
      </c>
      <c r="H6882" s="4">
        <v>15865997</v>
      </c>
      <c r="I6882" s="4">
        <v>13814864</v>
      </c>
      <c r="J6882" s="3">
        <v>0.12927854455033616</v>
      </c>
      <c r="K6882" s="3">
        <v>0.14847290570504348</v>
      </c>
      <c r="L6882" t="s">
        <v>54</v>
      </c>
    </row>
    <row r="6883" spans="1:12" x14ac:dyDescent="0.25">
      <c r="A6883" t="s">
        <v>487</v>
      </c>
      <c r="B6883" t="s">
        <v>467</v>
      </c>
      <c r="C6883" t="s">
        <v>468</v>
      </c>
      <c r="D6883" t="s">
        <v>354</v>
      </c>
      <c r="E6883" t="s">
        <v>358</v>
      </c>
      <c r="F6883">
        <v>2</v>
      </c>
      <c r="G6883" t="s">
        <v>499</v>
      </c>
      <c r="H6883" s="4">
        <v>15865997</v>
      </c>
      <c r="I6883" s="4">
        <v>11859016</v>
      </c>
      <c r="J6883" s="3">
        <v>0.2525514784857201</v>
      </c>
      <c r="K6883" s="3">
        <v>0.33788477897323016</v>
      </c>
      <c r="L6883" t="s">
        <v>54</v>
      </c>
    </row>
    <row r="6884" spans="1:12" x14ac:dyDescent="0.25">
      <c r="A6884" t="s">
        <v>487</v>
      </c>
      <c r="B6884" t="s">
        <v>467</v>
      </c>
      <c r="C6884" t="s">
        <v>468</v>
      </c>
      <c r="D6884" t="s">
        <v>354</v>
      </c>
      <c r="E6884" t="s">
        <v>360</v>
      </c>
      <c r="F6884">
        <v>3</v>
      </c>
      <c r="G6884" t="s">
        <v>488</v>
      </c>
      <c r="H6884" s="4">
        <v>16082905</v>
      </c>
      <c r="I6884" s="4">
        <v>23063425.665383983</v>
      </c>
      <c r="J6884" s="3">
        <v>0.4340335695189385</v>
      </c>
      <c r="K6884" s="3">
        <v>-0.3026662546432156</v>
      </c>
      <c r="L6884" t="s">
        <v>54</v>
      </c>
    </row>
    <row r="6885" spans="1:12" x14ac:dyDescent="0.25">
      <c r="A6885" t="s">
        <v>487</v>
      </c>
      <c r="B6885" t="s">
        <v>467</v>
      </c>
      <c r="C6885" t="s">
        <v>468</v>
      </c>
      <c r="D6885" t="s">
        <v>354</v>
      </c>
      <c r="E6885" t="s">
        <v>360</v>
      </c>
      <c r="F6885">
        <v>3</v>
      </c>
      <c r="G6885" t="s">
        <v>498</v>
      </c>
      <c r="H6885" s="4">
        <v>16082905</v>
      </c>
      <c r="I6885" s="4">
        <v>18284858</v>
      </c>
      <c r="J6885" s="3">
        <v>0.13691264109313586</v>
      </c>
      <c r="K6885" s="3">
        <v>-0.12042494396182896</v>
      </c>
      <c r="L6885" t="s">
        <v>54</v>
      </c>
    </row>
    <row r="6886" spans="1:12" x14ac:dyDescent="0.25">
      <c r="A6886" t="s">
        <v>487</v>
      </c>
      <c r="B6886" t="s">
        <v>467</v>
      </c>
      <c r="C6886" t="s">
        <v>468</v>
      </c>
      <c r="D6886" t="s">
        <v>354</v>
      </c>
      <c r="E6886" t="s">
        <v>360</v>
      </c>
      <c r="F6886">
        <v>3</v>
      </c>
      <c r="G6886" t="s">
        <v>499</v>
      </c>
      <c r="H6886" s="4">
        <v>16082905</v>
      </c>
      <c r="I6886" s="4">
        <v>11859016</v>
      </c>
      <c r="J6886" s="3">
        <v>0.26263221725179625</v>
      </c>
      <c r="K6886" s="3">
        <v>0.35617533528920103</v>
      </c>
      <c r="L6886" t="s">
        <v>54</v>
      </c>
    </row>
    <row r="6887" spans="1:12" x14ac:dyDescent="0.25">
      <c r="A6887" t="s">
        <v>487</v>
      </c>
      <c r="B6887" t="s">
        <v>467</v>
      </c>
      <c r="C6887" t="s">
        <v>468</v>
      </c>
      <c r="D6887" t="s">
        <v>356</v>
      </c>
      <c r="E6887" t="s">
        <v>358</v>
      </c>
      <c r="F6887">
        <v>1</v>
      </c>
      <c r="G6887" t="s">
        <v>488</v>
      </c>
      <c r="H6887" s="4">
        <v>15865997</v>
      </c>
      <c r="I6887" s="4">
        <v>17436495.254783023</v>
      </c>
      <c r="J6887" s="3">
        <v>0.09898516020033428</v>
      </c>
      <c r="K6887" s="3">
        <v>-0.09006960583734384</v>
      </c>
      <c r="L6887" t="s">
        <v>54</v>
      </c>
    </row>
    <row r="6888" spans="1:12" x14ac:dyDescent="0.25">
      <c r="A6888" t="s">
        <v>487</v>
      </c>
      <c r="B6888" t="s">
        <v>467</v>
      </c>
      <c r="C6888" t="s">
        <v>468</v>
      </c>
      <c r="D6888" t="s">
        <v>356</v>
      </c>
      <c r="E6888" t="s">
        <v>358</v>
      </c>
      <c r="F6888">
        <v>1</v>
      </c>
      <c r="G6888" t="s">
        <v>498</v>
      </c>
      <c r="H6888" s="4">
        <v>15865997</v>
      </c>
      <c r="I6888" s="4">
        <v>13814864</v>
      </c>
      <c r="J6888" s="3">
        <v>0.12927854455033616</v>
      </c>
      <c r="K6888" s="3">
        <v>0.14847290570504348</v>
      </c>
      <c r="L6888" t="s">
        <v>54</v>
      </c>
    </row>
    <row r="6889" spans="1:12" x14ac:dyDescent="0.25">
      <c r="A6889" t="s">
        <v>487</v>
      </c>
      <c r="B6889" t="s">
        <v>467</v>
      </c>
      <c r="C6889" t="s">
        <v>468</v>
      </c>
      <c r="D6889" t="s">
        <v>356</v>
      </c>
      <c r="E6889" t="s">
        <v>358</v>
      </c>
      <c r="F6889">
        <v>1</v>
      </c>
      <c r="G6889" t="s">
        <v>499</v>
      </c>
      <c r="H6889" s="4">
        <v>15865997</v>
      </c>
      <c r="I6889" s="4">
        <v>14857363</v>
      </c>
      <c r="J6889" s="3">
        <v>0.06357205286248321</v>
      </c>
      <c r="K6889" s="3">
        <v>0.06788782100834448</v>
      </c>
      <c r="L6889" t="s">
        <v>54</v>
      </c>
    </row>
    <row r="6890" spans="1:12" x14ac:dyDescent="0.25">
      <c r="A6890" t="s">
        <v>487</v>
      </c>
      <c r="B6890" t="s">
        <v>467</v>
      </c>
      <c r="C6890" t="s">
        <v>468</v>
      </c>
      <c r="D6890" t="s">
        <v>356</v>
      </c>
      <c r="E6890" t="s">
        <v>360</v>
      </c>
      <c r="F6890">
        <v>2</v>
      </c>
      <c r="G6890" t="s">
        <v>488</v>
      </c>
      <c r="H6890" s="4">
        <v>16082905</v>
      </c>
      <c r="I6890" s="4">
        <v>23078319.10262608</v>
      </c>
      <c r="J6890" s="3">
        <v>0.4349596110047334</v>
      </c>
      <c r="K6890" s="3">
        <v>-0.3031162742623692</v>
      </c>
      <c r="L6890" t="s">
        <v>54</v>
      </c>
    </row>
    <row r="6891" spans="1:12" x14ac:dyDescent="0.25">
      <c r="A6891" t="s">
        <v>487</v>
      </c>
      <c r="B6891" t="s">
        <v>467</v>
      </c>
      <c r="C6891" t="s">
        <v>468</v>
      </c>
      <c r="D6891" t="s">
        <v>356</v>
      </c>
      <c r="E6891" t="s">
        <v>360</v>
      </c>
      <c r="F6891">
        <v>2</v>
      </c>
      <c r="G6891" t="s">
        <v>498</v>
      </c>
      <c r="H6891" s="4">
        <v>16082905</v>
      </c>
      <c r="I6891" s="4">
        <v>18284858</v>
      </c>
      <c r="J6891" s="3">
        <v>0.13691264109313586</v>
      </c>
      <c r="K6891" s="3">
        <v>-0.12042494396182896</v>
      </c>
      <c r="L6891" t="s">
        <v>54</v>
      </c>
    </row>
    <row r="6892" spans="1:12" x14ac:dyDescent="0.25">
      <c r="A6892" t="s">
        <v>487</v>
      </c>
      <c r="B6892" t="s">
        <v>467</v>
      </c>
      <c r="C6892" t="s">
        <v>468</v>
      </c>
      <c r="D6892" t="s">
        <v>356</v>
      </c>
      <c r="E6892" t="s">
        <v>360</v>
      </c>
      <c r="F6892">
        <v>2</v>
      </c>
      <c r="G6892" t="s">
        <v>499</v>
      </c>
      <c r="H6892" s="4">
        <v>16082905</v>
      </c>
      <c r="I6892" s="4">
        <v>14857363</v>
      </c>
      <c r="J6892" s="3">
        <v>0.07620153199934962</v>
      </c>
      <c r="K6892" s="3">
        <v>0.08248718160820329</v>
      </c>
      <c r="L6892" t="s">
        <v>54</v>
      </c>
    </row>
    <row r="6893" spans="1:12" x14ac:dyDescent="0.25">
      <c r="A6893" t="s">
        <v>487</v>
      </c>
      <c r="B6893" t="s">
        <v>467</v>
      </c>
      <c r="C6893" t="s">
        <v>468</v>
      </c>
      <c r="D6893" t="s">
        <v>356</v>
      </c>
      <c r="E6893" t="s">
        <v>362</v>
      </c>
      <c r="F6893">
        <v>3</v>
      </c>
      <c r="G6893" t="s">
        <v>488</v>
      </c>
      <c r="H6893" s="4">
        <v>11986463</v>
      </c>
      <c r="I6893" s="4">
        <v>19639626.638130113</v>
      </c>
      <c r="J6893" s="3">
        <v>0.6384838995565342</v>
      </c>
      <c r="K6893" s="3">
        <v>-0.389679690919968</v>
      </c>
      <c r="L6893" t="s">
        <v>54</v>
      </c>
    </row>
    <row r="6894" spans="1:12" x14ac:dyDescent="0.25">
      <c r="A6894" t="s">
        <v>487</v>
      </c>
      <c r="B6894" t="s">
        <v>467</v>
      </c>
      <c r="C6894" t="s">
        <v>468</v>
      </c>
      <c r="D6894" t="s">
        <v>356</v>
      </c>
      <c r="E6894" t="s">
        <v>362</v>
      </c>
      <c r="F6894">
        <v>3</v>
      </c>
      <c r="G6894" t="s">
        <v>498</v>
      </c>
      <c r="H6894" s="4">
        <v>11986463</v>
      </c>
      <c r="I6894" s="4">
        <v>15560396</v>
      </c>
      <c r="J6894" s="3">
        <v>0.29816410395627135</v>
      </c>
      <c r="K6894" s="3">
        <v>-0.22968136543568685</v>
      </c>
      <c r="L6894" t="s">
        <v>54</v>
      </c>
    </row>
    <row r="6895" spans="1:12" x14ac:dyDescent="0.25">
      <c r="A6895" t="s">
        <v>487</v>
      </c>
      <c r="B6895" t="s">
        <v>467</v>
      </c>
      <c r="C6895" t="s">
        <v>468</v>
      </c>
      <c r="D6895" t="s">
        <v>356</v>
      </c>
      <c r="E6895" t="s">
        <v>362</v>
      </c>
      <c r="F6895">
        <v>3</v>
      </c>
      <c r="G6895" t="s">
        <v>499</v>
      </c>
      <c r="H6895" s="4">
        <v>11986463</v>
      </c>
      <c r="I6895" s="4">
        <v>14857363</v>
      </c>
      <c r="J6895" s="3">
        <v>0.2395118559995555</v>
      </c>
      <c r="K6895" s="3">
        <v>-0.19323079068607263</v>
      </c>
      <c r="L6895" t="s">
        <v>54</v>
      </c>
    </row>
    <row r="6896" spans="1:12" x14ac:dyDescent="0.25">
      <c r="A6896" t="s">
        <v>487</v>
      </c>
      <c r="B6896" t="s">
        <v>467</v>
      </c>
      <c r="C6896" t="s">
        <v>468</v>
      </c>
      <c r="D6896" t="s">
        <v>358</v>
      </c>
      <c r="E6896" t="s">
        <v>360</v>
      </c>
      <c r="F6896">
        <v>1</v>
      </c>
      <c r="G6896" t="s">
        <v>488</v>
      </c>
      <c r="H6896" s="4">
        <v>16082905</v>
      </c>
      <c r="I6896" s="4">
        <v>23211813.975318436</v>
      </c>
      <c r="J6896" s="3">
        <v>0.4432600314009463</v>
      </c>
      <c r="K6896" s="3">
        <v>-0.3071241645697635</v>
      </c>
      <c r="L6896" t="s">
        <v>54</v>
      </c>
    </row>
    <row r="6897" spans="1:12" x14ac:dyDescent="0.25">
      <c r="A6897" t="s">
        <v>487</v>
      </c>
      <c r="B6897" t="s">
        <v>467</v>
      </c>
      <c r="C6897" t="s">
        <v>468</v>
      </c>
      <c r="D6897" t="s">
        <v>358</v>
      </c>
      <c r="E6897" t="s">
        <v>360</v>
      </c>
      <c r="F6897">
        <v>1</v>
      </c>
      <c r="G6897" t="s">
        <v>498</v>
      </c>
      <c r="H6897" s="4">
        <v>16082905</v>
      </c>
      <c r="I6897" s="4">
        <v>18284858</v>
      </c>
      <c r="J6897" s="3">
        <v>0.13691264109313586</v>
      </c>
      <c r="K6897" s="3">
        <v>-0.12042494396182896</v>
      </c>
      <c r="L6897" t="s">
        <v>54</v>
      </c>
    </row>
    <row r="6898" spans="1:12" x14ac:dyDescent="0.25">
      <c r="A6898" t="s">
        <v>487</v>
      </c>
      <c r="B6898" t="s">
        <v>467</v>
      </c>
      <c r="C6898" t="s">
        <v>468</v>
      </c>
      <c r="D6898" t="s">
        <v>358</v>
      </c>
      <c r="E6898" t="s">
        <v>360</v>
      </c>
      <c r="F6898">
        <v>1</v>
      </c>
      <c r="G6898" t="s">
        <v>499</v>
      </c>
      <c r="H6898" s="4">
        <v>16082905</v>
      </c>
      <c r="I6898" s="4">
        <v>15865997</v>
      </c>
      <c r="J6898" s="3">
        <v>0.01348686695593862</v>
      </c>
      <c r="K6898" s="3">
        <v>0.013671249276046125</v>
      </c>
      <c r="L6898" t="s">
        <v>54</v>
      </c>
    </row>
    <row r="6899" spans="1:12" x14ac:dyDescent="0.25">
      <c r="A6899" t="s">
        <v>487</v>
      </c>
      <c r="B6899" t="s">
        <v>467</v>
      </c>
      <c r="C6899" t="s">
        <v>468</v>
      </c>
      <c r="D6899" t="s">
        <v>358</v>
      </c>
      <c r="E6899" t="s">
        <v>362</v>
      </c>
      <c r="F6899">
        <v>2</v>
      </c>
      <c r="G6899" t="s">
        <v>488</v>
      </c>
      <c r="H6899" s="4">
        <v>11986463</v>
      </c>
      <c r="I6899" s="4">
        <v>19753230.642222602</v>
      </c>
      <c r="J6899" s="3">
        <v>0.6479615915239217</v>
      </c>
      <c r="K6899" s="3">
        <v>-0.3931897411059995</v>
      </c>
      <c r="L6899" t="s">
        <v>54</v>
      </c>
    </row>
    <row r="6900" spans="1:12" x14ac:dyDescent="0.25">
      <c r="A6900" t="s">
        <v>487</v>
      </c>
      <c r="B6900" t="s">
        <v>467</v>
      </c>
      <c r="C6900" t="s">
        <v>468</v>
      </c>
      <c r="D6900" t="s">
        <v>358</v>
      </c>
      <c r="E6900" t="s">
        <v>362</v>
      </c>
      <c r="F6900">
        <v>2</v>
      </c>
      <c r="G6900" t="s">
        <v>498</v>
      </c>
      <c r="H6900" s="4">
        <v>11986463</v>
      </c>
      <c r="I6900" s="4">
        <v>15560396</v>
      </c>
      <c r="J6900" s="3">
        <v>0.29816410395627135</v>
      </c>
      <c r="K6900" s="3">
        <v>-0.22968136543568685</v>
      </c>
      <c r="L6900" t="s">
        <v>54</v>
      </c>
    </row>
    <row r="6901" spans="1:12" x14ac:dyDescent="0.25">
      <c r="A6901" t="s">
        <v>487</v>
      </c>
      <c r="B6901" t="s">
        <v>467</v>
      </c>
      <c r="C6901" t="s">
        <v>468</v>
      </c>
      <c r="D6901" t="s">
        <v>358</v>
      </c>
      <c r="E6901" t="s">
        <v>362</v>
      </c>
      <c r="F6901">
        <v>2</v>
      </c>
      <c r="G6901" t="s">
        <v>499</v>
      </c>
      <c r="H6901" s="4">
        <v>11986463</v>
      </c>
      <c r="I6901" s="4">
        <v>15865997</v>
      </c>
      <c r="J6901" s="3">
        <v>0.32365961501737417</v>
      </c>
      <c r="K6901" s="3">
        <v>-0.2445187655084014</v>
      </c>
      <c r="L6901" t="s">
        <v>54</v>
      </c>
    </row>
    <row r="6902" spans="1:12" x14ac:dyDescent="0.25">
      <c r="A6902" t="s">
        <v>487</v>
      </c>
      <c r="B6902" t="s">
        <v>467</v>
      </c>
      <c r="C6902" t="s">
        <v>468</v>
      </c>
      <c r="D6902" t="s">
        <v>358</v>
      </c>
      <c r="E6902" t="s">
        <v>364</v>
      </c>
      <c r="F6902">
        <v>3</v>
      </c>
      <c r="G6902" t="s">
        <v>488</v>
      </c>
      <c r="H6902" s="4">
        <v>8607477</v>
      </c>
      <c r="I6902" s="4">
        <v>19675594.550802667</v>
      </c>
      <c r="J6902" s="3">
        <v>1.2858724514515307</v>
      </c>
      <c r="K6902" s="3">
        <v>-0.5625302718159102</v>
      </c>
      <c r="L6902" t="s">
        <v>54</v>
      </c>
    </row>
    <row r="6903" spans="1:12" x14ac:dyDescent="0.25">
      <c r="A6903" t="s">
        <v>487</v>
      </c>
      <c r="B6903" t="s">
        <v>467</v>
      </c>
      <c r="C6903" t="s">
        <v>468</v>
      </c>
      <c r="D6903" t="s">
        <v>358</v>
      </c>
      <c r="E6903" t="s">
        <v>364</v>
      </c>
      <c r="F6903">
        <v>3</v>
      </c>
      <c r="G6903" t="s">
        <v>498</v>
      </c>
      <c r="H6903" s="4">
        <v>8607477</v>
      </c>
      <c r="I6903" s="4">
        <v>15499239</v>
      </c>
      <c r="J6903" s="3">
        <v>0.8006715556718885</v>
      </c>
      <c r="K6903" s="3">
        <v>-0.44465163741264974</v>
      </c>
      <c r="L6903" t="s">
        <v>54</v>
      </c>
    </row>
    <row r="6904" spans="1:12" x14ac:dyDescent="0.25">
      <c r="A6904" t="s">
        <v>487</v>
      </c>
      <c r="B6904" t="s">
        <v>467</v>
      </c>
      <c r="C6904" t="s">
        <v>468</v>
      </c>
      <c r="D6904" t="s">
        <v>358</v>
      </c>
      <c r="E6904" t="s">
        <v>364</v>
      </c>
      <c r="F6904">
        <v>3</v>
      </c>
      <c r="G6904" t="s">
        <v>499</v>
      </c>
      <c r="H6904" s="4">
        <v>8607477</v>
      </c>
      <c r="I6904" s="4">
        <v>15865997</v>
      </c>
      <c r="J6904" s="3">
        <v>0.8432807894810523</v>
      </c>
      <c r="K6904" s="3">
        <v>-0.4574890566284615</v>
      </c>
      <c r="L6904" t="s">
        <v>54</v>
      </c>
    </row>
    <row r="6905" spans="1:12" x14ac:dyDescent="0.25">
      <c r="A6905" t="s">
        <v>487</v>
      </c>
      <c r="B6905" t="s">
        <v>467</v>
      </c>
      <c r="C6905" t="s">
        <v>468</v>
      </c>
      <c r="D6905" t="s">
        <v>360</v>
      </c>
      <c r="E6905" t="s">
        <v>362</v>
      </c>
      <c r="F6905">
        <v>1</v>
      </c>
      <c r="G6905" t="s">
        <v>488</v>
      </c>
      <c r="H6905" s="4">
        <v>11986463</v>
      </c>
      <c r="I6905" s="4">
        <v>19586192.277197383</v>
      </c>
      <c r="J6905" s="3">
        <v>0.6340260072714848</v>
      </c>
      <c r="K6905" s="3">
        <v>-0.38801463651743745</v>
      </c>
      <c r="L6905" t="s">
        <v>54</v>
      </c>
    </row>
    <row r="6906" spans="1:12" x14ac:dyDescent="0.25">
      <c r="A6906" t="s">
        <v>487</v>
      </c>
      <c r="B6906" t="s">
        <v>467</v>
      </c>
      <c r="C6906" t="s">
        <v>468</v>
      </c>
      <c r="D6906" t="s">
        <v>360</v>
      </c>
      <c r="E6906" t="s">
        <v>362</v>
      </c>
      <c r="F6906">
        <v>1</v>
      </c>
      <c r="G6906" t="s">
        <v>498</v>
      </c>
      <c r="H6906" s="4">
        <v>11986463</v>
      </c>
      <c r="I6906" s="4">
        <v>15560396</v>
      </c>
      <c r="J6906" s="3">
        <v>0.29816410395627135</v>
      </c>
      <c r="K6906" s="3">
        <v>-0.22968136543568685</v>
      </c>
      <c r="L6906" t="s">
        <v>54</v>
      </c>
    </row>
    <row r="6907" spans="1:12" x14ac:dyDescent="0.25">
      <c r="A6907" t="s">
        <v>487</v>
      </c>
      <c r="B6907" t="s">
        <v>467</v>
      </c>
      <c r="C6907" t="s">
        <v>468</v>
      </c>
      <c r="D6907" t="s">
        <v>360</v>
      </c>
      <c r="E6907" t="s">
        <v>362</v>
      </c>
      <c r="F6907">
        <v>1</v>
      </c>
      <c r="G6907" t="s">
        <v>499</v>
      </c>
      <c r="H6907" s="4">
        <v>11986463</v>
      </c>
      <c r="I6907" s="4">
        <v>16082905</v>
      </c>
      <c r="J6907" s="3">
        <v>0.34175569557091195</v>
      </c>
      <c r="K6907" s="3">
        <v>-0.2547078404056978</v>
      </c>
      <c r="L6907" t="s">
        <v>54</v>
      </c>
    </row>
    <row r="6908" spans="1:12" x14ac:dyDescent="0.25">
      <c r="A6908" t="s">
        <v>487</v>
      </c>
      <c r="B6908" t="s">
        <v>467</v>
      </c>
      <c r="C6908" t="s">
        <v>468</v>
      </c>
      <c r="D6908" t="s">
        <v>360</v>
      </c>
      <c r="E6908" t="s">
        <v>364</v>
      </c>
      <c r="F6908">
        <v>2</v>
      </c>
      <c r="G6908" t="s">
        <v>488</v>
      </c>
      <c r="H6908" s="4">
        <v>8607477</v>
      </c>
      <c r="I6908" s="4">
        <v>19509212.69640159</v>
      </c>
      <c r="J6908" s="3">
        <v>1.2665425299889375</v>
      </c>
      <c r="K6908" s="3">
        <v>-0.5587993665378602</v>
      </c>
      <c r="L6908" t="s">
        <v>54</v>
      </c>
    </row>
    <row r="6909" spans="1:12" x14ac:dyDescent="0.25">
      <c r="A6909" t="s">
        <v>487</v>
      </c>
      <c r="B6909" t="s">
        <v>467</v>
      </c>
      <c r="C6909" t="s">
        <v>468</v>
      </c>
      <c r="D6909" t="s">
        <v>360</v>
      </c>
      <c r="E6909" t="s">
        <v>364</v>
      </c>
      <c r="F6909">
        <v>2</v>
      </c>
      <c r="G6909" t="s">
        <v>498</v>
      </c>
      <c r="H6909" s="4">
        <v>8607477</v>
      </c>
      <c r="I6909" s="4">
        <v>15499239</v>
      </c>
      <c r="J6909" s="3">
        <v>0.8006715556718885</v>
      </c>
      <c r="K6909" s="3">
        <v>-0.44465163741264974</v>
      </c>
      <c r="L6909" t="s">
        <v>54</v>
      </c>
    </row>
    <row r="6910" spans="1:12" x14ac:dyDescent="0.25">
      <c r="A6910" t="s">
        <v>487</v>
      </c>
      <c r="B6910" t="s">
        <v>467</v>
      </c>
      <c r="C6910" t="s">
        <v>468</v>
      </c>
      <c r="D6910" t="s">
        <v>360</v>
      </c>
      <c r="E6910" t="s">
        <v>364</v>
      </c>
      <c r="F6910">
        <v>2</v>
      </c>
      <c r="G6910" t="s">
        <v>499</v>
      </c>
      <c r="H6910" s="4">
        <v>8607477</v>
      </c>
      <c r="I6910" s="4">
        <v>16082905</v>
      </c>
      <c r="J6910" s="3">
        <v>0.868480740639795</v>
      </c>
      <c r="K6910" s="3">
        <v>-0.4648058295438542</v>
      </c>
      <c r="L6910" t="s">
        <v>54</v>
      </c>
    </row>
    <row r="6911" spans="1:12" x14ac:dyDescent="0.25">
      <c r="A6911" t="s">
        <v>487</v>
      </c>
      <c r="B6911" t="s">
        <v>467</v>
      </c>
      <c r="C6911" t="s">
        <v>468</v>
      </c>
      <c r="D6911" t="s">
        <v>360</v>
      </c>
      <c r="E6911" t="s">
        <v>366</v>
      </c>
      <c r="F6911">
        <v>3</v>
      </c>
      <c r="G6911" t="s">
        <v>488</v>
      </c>
      <c r="H6911" s="4">
        <v>10801810</v>
      </c>
      <c r="I6911" s="4">
        <v>14115146.466195013</v>
      </c>
      <c r="J6911" s="3">
        <v>0.3067390063512516</v>
      </c>
      <c r="K6911" s="3">
        <v>-0.23473624408576058</v>
      </c>
      <c r="L6911" t="s">
        <v>54</v>
      </c>
    </row>
    <row r="6912" spans="1:12" x14ac:dyDescent="0.25">
      <c r="A6912" t="s">
        <v>487</v>
      </c>
      <c r="B6912" t="s">
        <v>467</v>
      </c>
      <c r="C6912" t="s">
        <v>468</v>
      </c>
      <c r="D6912" t="s">
        <v>360</v>
      </c>
      <c r="E6912" t="s">
        <v>366</v>
      </c>
      <c r="F6912">
        <v>3</v>
      </c>
      <c r="G6912" t="s">
        <v>498</v>
      </c>
      <c r="H6912" s="4">
        <v>10801810</v>
      </c>
      <c r="I6912" s="4">
        <v>11213883</v>
      </c>
      <c r="J6912" s="3">
        <v>0.03814851399904275</v>
      </c>
      <c r="K6912" s="3">
        <v>-0.03674668266112639</v>
      </c>
      <c r="L6912" t="s">
        <v>54</v>
      </c>
    </row>
    <row r="6913" spans="1:12" x14ac:dyDescent="0.25">
      <c r="A6913" t="s">
        <v>487</v>
      </c>
      <c r="B6913" t="s">
        <v>467</v>
      </c>
      <c r="C6913" t="s">
        <v>468</v>
      </c>
      <c r="D6913" t="s">
        <v>360</v>
      </c>
      <c r="E6913" t="s">
        <v>366</v>
      </c>
      <c r="F6913">
        <v>3</v>
      </c>
      <c r="G6913" t="s">
        <v>499</v>
      </c>
      <c r="H6913" s="4">
        <v>10801810</v>
      </c>
      <c r="I6913" s="4">
        <v>16082905</v>
      </c>
      <c r="J6913" s="3">
        <v>0.48890834036147646</v>
      </c>
      <c r="K6913" s="3">
        <v>-0.3283669834523054</v>
      </c>
      <c r="L6913" t="s">
        <v>54</v>
      </c>
    </row>
    <row r="6914" spans="1:12" x14ac:dyDescent="0.25">
      <c r="A6914" t="s">
        <v>487</v>
      </c>
      <c r="B6914" t="s">
        <v>467</v>
      </c>
      <c r="C6914" t="s">
        <v>468</v>
      </c>
      <c r="D6914" t="s">
        <v>362</v>
      </c>
      <c r="E6914" t="s">
        <v>364</v>
      </c>
      <c r="F6914">
        <v>1</v>
      </c>
      <c r="G6914" t="s">
        <v>488</v>
      </c>
      <c r="H6914" s="4">
        <v>8607477</v>
      </c>
      <c r="I6914" s="4">
        <v>18639703.501437318</v>
      </c>
      <c r="J6914" s="3">
        <v>1.1655246364802738</v>
      </c>
      <c r="K6914" s="3">
        <v>-0.538218137464672</v>
      </c>
      <c r="L6914" t="s">
        <v>54</v>
      </c>
    </row>
    <row r="6915" spans="1:12" x14ac:dyDescent="0.25">
      <c r="A6915" t="s">
        <v>487</v>
      </c>
      <c r="B6915" t="s">
        <v>467</v>
      </c>
      <c r="C6915" t="s">
        <v>468</v>
      </c>
      <c r="D6915" t="s">
        <v>362</v>
      </c>
      <c r="E6915" t="s">
        <v>364</v>
      </c>
      <c r="F6915">
        <v>1</v>
      </c>
      <c r="G6915" t="s">
        <v>498</v>
      </c>
      <c r="H6915" s="4">
        <v>8607477</v>
      </c>
      <c r="I6915" s="4">
        <v>15499239</v>
      </c>
      <c r="J6915" s="3">
        <v>0.8006715556718885</v>
      </c>
      <c r="K6915" s="3">
        <v>-0.44465163741264974</v>
      </c>
      <c r="L6915" t="s">
        <v>54</v>
      </c>
    </row>
    <row r="6916" spans="1:12" x14ac:dyDescent="0.25">
      <c r="A6916" t="s">
        <v>487</v>
      </c>
      <c r="B6916" t="s">
        <v>467</v>
      </c>
      <c r="C6916" t="s">
        <v>468</v>
      </c>
      <c r="D6916" t="s">
        <v>362</v>
      </c>
      <c r="E6916" t="s">
        <v>364</v>
      </c>
      <c r="F6916">
        <v>1</v>
      </c>
      <c r="G6916" t="s">
        <v>499</v>
      </c>
      <c r="H6916" s="4">
        <v>8607477</v>
      </c>
      <c r="I6916" s="4">
        <v>11986463</v>
      </c>
      <c r="J6916" s="3">
        <v>0.3925640463517939</v>
      </c>
      <c r="K6916" s="3">
        <v>-0.28190017355411684</v>
      </c>
      <c r="L6916" t="s">
        <v>54</v>
      </c>
    </row>
    <row r="6917" spans="1:12" x14ac:dyDescent="0.25">
      <c r="A6917" t="s">
        <v>487</v>
      </c>
      <c r="B6917" t="s">
        <v>467</v>
      </c>
      <c r="C6917" t="s">
        <v>468</v>
      </c>
      <c r="D6917" t="s">
        <v>362</v>
      </c>
      <c r="E6917" t="s">
        <v>366</v>
      </c>
      <c r="F6917">
        <v>2</v>
      </c>
      <c r="G6917" t="s">
        <v>488</v>
      </c>
      <c r="H6917" s="4">
        <v>10801810</v>
      </c>
      <c r="I6917" s="4">
        <v>13486046.264581662</v>
      </c>
      <c r="J6917" s="3">
        <v>0.24849874831918556</v>
      </c>
      <c r="K6917" s="3">
        <v>-0.1990380436133649</v>
      </c>
      <c r="L6917" t="s">
        <v>54</v>
      </c>
    </row>
    <row r="6918" spans="1:12" x14ac:dyDescent="0.25">
      <c r="A6918" t="s">
        <v>487</v>
      </c>
      <c r="B6918" t="s">
        <v>467</v>
      </c>
      <c r="C6918" t="s">
        <v>468</v>
      </c>
      <c r="D6918" t="s">
        <v>362</v>
      </c>
      <c r="E6918" t="s">
        <v>366</v>
      </c>
      <c r="F6918">
        <v>2</v>
      </c>
      <c r="G6918" t="s">
        <v>498</v>
      </c>
      <c r="H6918" s="4">
        <v>10801810</v>
      </c>
      <c r="I6918" s="4">
        <v>11213883</v>
      </c>
      <c r="J6918" s="3">
        <v>0.03814851399904275</v>
      </c>
      <c r="K6918" s="3">
        <v>-0.03674668266112639</v>
      </c>
      <c r="L6918" t="s">
        <v>54</v>
      </c>
    </row>
    <row r="6919" spans="1:12" x14ac:dyDescent="0.25">
      <c r="A6919" t="s">
        <v>487</v>
      </c>
      <c r="B6919" t="s">
        <v>467</v>
      </c>
      <c r="C6919" t="s">
        <v>468</v>
      </c>
      <c r="D6919" t="s">
        <v>362</v>
      </c>
      <c r="E6919" t="s">
        <v>366</v>
      </c>
      <c r="F6919">
        <v>2</v>
      </c>
      <c r="G6919" t="s">
        <v>499</v>
      </c>
      <c r="H6919" s="4">
        <v>10801810</v>
      </c>
      <c r="I6919" s="4">
        <v>11986463</v>
      </c>
      <c r="J6919" s="3">
        <v>0.10967171242597305</v>
      </c>
      <c r="K6919" s="3">
        <v>-0.09883257471365824</v>
      </c>
      <c r="L6919" t="s">
        <v>54</v>
      </c>
    </row>
    <row r="6920" spans="1:12" x14ac:dyDescent="0.25">
      <c r="A6920" t="s">
        <v>487</v>
      </c>
      <c r="B6920" t="s">
        <v>467</v>
      </c>
      <c r="C6920" t="s">
        <v>468</v>
      </c>
      <c r="D6920" t="s">
        <v>362</v>
      </c>
      <c r="E6920" t="s">
        <v>368</v>
      </c>
      <c r="F6920">
        <v>3</v>
      </c>
      <c r="G6920" t="s">
        <v>488</v>
      </c>
      <c r="H6920" s="4">
        <v>12128968</v>
      </c>
      <c r="I6920" s="4">
        <v>13761612.334690804</v>
      </c>
      <c r="J6920" s="3">
        <v>0.13460702795908142</v>
      </c>
      <c r="K6920" s="3">
        <v>-0.11863757639612989</v>
      </c>
      <c r="L6920" t="s">
        <v>54</v>
      </c>
    </row>
    <row r="6921" spans="1:12" x14ac:dyDescent="0.25">
      <c r="A6921" t="s">
        <v>487</v>
      </c>
      <c r="B6921" t="s">
        <v>467</v>
      </c>
      <c r="C6921" t="s">
        <v>468</v>
      </c>
      <c r="D6921" t="s">
        <v>362</v>
      </c>
      <c r="E6921" t="s">
        <v>368</v>
      </c>
      <c r="F6921">
        <v>3</v>
      </c>
      <c r="G6921" t="s">
        <v>498</v>
      </c>
      <c r="H6921" s="4">
        <v>12128968</v>
      </c>
      <c r="I6921" s="4">
        <v>11443021</v>
      </c>
      <c r="J6921" s="3">
        <v>0.056554440575653266</v>
      </c>
      <c r="K6921" s="3">
        <v>0.059944572329282624</v>
      </c>
      <c r="L6921" t="s">
        <v>54</v>
      </c>
    </row>
    <row r="6922" spans="1:12" x14ac:dyDescent="0.25">
      <c r="A6922" t="s">
        <v>487</v>
      </c>
      <c r="B6922" t="s">
        <v>467</v>
      </c>
      <c r="C6922" t="s">
        <v>468</v>
      </c>
      <c r="D6922" t="s">
        <v>362</v>
      </c>
      <c r="E6922" t="s">
        <v>368</v>
      </c>
      <c r="F6922">
        <v>3</v>
      </c>
      <c r="G6922" t="s">
        <v>499</v>
      </c>
      <c r="H6922" s="4">
        <v>12128968</v>
      </c>
      <c r="I6922" s="4">
        <v>11986463</v>
      </c>
      <c r="J6922" s="3">
        <v>0.011749144692277199</v>
      </c>
      <c r="K6922" s="3">
        <v>0.011888828255674756</v>
      </c>
      <c r="L6922" t="s">
        <v>54</v>
      </c>
    </row>
    <row r="6923" spans="1:12" x14ac:dyDescent="0.25">
      <c r="A6923" t="s">
        <v>487</v>
      </c>
      <c r="B6923" t="s">
        <v>467</v>
      </c>
      <c r="C6923" t="s">
        <v>468</v>
      </c>
      <c r="D6923" t="s">
        <v>364</v>
      </c>
      <c r="E6923" t="s">
        <v>366</v>
      </c>
      <c r="F6923">
        <v>1</v>
      </c>
      <c r="G6923" t="s">
        <v>488</v>
      </c>
      <c r="H6923" s="4">
        <v>10801810</v>
      </c>
      <c r="I6923" s="4">
        <v>12533615.242720367</v>
      </c>
      <c r="J6923" s="3">
        <v>0.1603254679280942</v>
      </c>
      <c r="K6923" s="3">
        <v>-0.13817284232705443</v>
      </c>
      <c r="L6923" t="s">
        <v>54</v>
      </c>
    </row>
    <row r="6924" spans="1:12" x14ac:dyDescent="0.25">
      <c r="A6924" t="s">
        <v>487</v>
      </c>
      <c r="B6924" t="s">
        <v>467</v>
      </c>
      <c r="C6924" t="s">
        <v>468</v>
      </c>
      <c r="D6924" t="s">
        <v>364</v>
      </c>
      <c r="E6924" t="s">
        <v>366</v>
      </c>
      <c r="F6924">
        <v>1</v>
      </c>
      <c r="G6924" t="s">
        <v>498</v>
      </c>
      <c r="H6924" s="4">
        <v>10801810</v>
      </c>
      <c r="I6924" s="4">
        <v>11213883</v>
      </c>
      <c r="J6924" s="3">
        <v>0.03814851399904275</v>
      </c>
      <c r="K6924" s="3">
        <v>-0.03674668266112639</v>
      </c>
      <c r="L6924" t="s">
        <v>54</v>
      </c>
    </row>
    <row r="6925" spans="1:12" x14ac:dyDescent="0.25">
      <c r="A6925" t="s">
        <v>487</v>
      </c>
      <c r="B6925" t="s">
        <v>467</v>
      </c>
      <c r="C6925" t="s">
        <v>468</v>
      </c>
      <c r="D6925" t="s">
        <v>364</v>
      </c>
      <c r="E6925" t="s">
        <v>366</v>
      </c>
      <c r="F6925">
        <v>1</v>
      </c>
      <c r="G6925" t="s">
        <v>499</v>
      </c>
      <c r="H6925" s="4">
        <v>10801810</v>
      </c>
      <c r="I6925" s="4">
        <v>8607477</v>
      </c>
      <c r="J6925" s="3">
        <v>0.2031449358950028</v>
      </c>
      <c r="K6925" s="3">
        <v>0.254933356197176</v>
      </c>
      <c r="L6925" t="s">
        <v>54</v>
      </c>
    </row>
    <row r="6926" spans="1:12" x14ac:dyDescent="0.25">
      <c r="A6926" t="s">
        <v>487</v>
      </c>
      <c r="B6926" t="s">
        <v>467</v>
      </c>
      <c r="C6926" t="s">
        <v>468</v>
      </c>
      <c r="D6926" t="s">
        <v>364</v>
      </c>
      <c r="E6926" t="s">
        <v>368</v>
      </c>
      <c r="F6926">
        <v>2</v>
      </c>
      <c r="G6926" t="s">
        <v>488</v>
      </c>
      <c r="H6926" s="4">
        <v>12128968</v>
      </c>
      <c r="I6926" s="4">
        <v>12789719.888139484</v>
      </c>
      <c r="J6926" s="3">
        <v>0.05447717300758683</v>
      </c>
      <c r="K6926" s="3">
        <v>-0.05166273334510094</v>
      </c>
      <c r="L6926" t="s">
        <v>54</v>
      </c>
    </row>
    <row r="6927" spans="1:12" x14ac:dyDescent="0.25">
      <c r="A6927" t="s">
        <v>487</v>
      </c>
      <c r="B6927" t="s">
        <v>467</v>
      </c>
      <c r="C6927" t="s">
        <v>468</v>
      </c>
      <c r="D6927" t="s">
        <v>364</v>
      </c>
      <c r="E6927" t="s">
        <v>368</v>
      </c>
      <c r="F6927">
        <v>2</v>
      </c>
      <c r="G6927" t="s">
        <v>498</v>
      </c>
      <c r="H6927" s="4">
        <v>12128968</v>
      </c>
      <c r="I6927" s="4">
        <v>11443021</v>
      </c>
      <c r="J6927" s="3">
        <v>0.056554440575653266</v>
      </c>
      <c r="K6927" s="3">
        <v>0.059944572329282624</v>
      </c>
      <c r="L6927" t="s">
        <v>54</v>
      </c>
    </row>
    <row r="6928" spans="1:12" x14ac:dyDescent="0.25">
      <c r="A6928" t="s">
        <v>487</v>
      </c>
      <c r="B6928" t="s">
        <v>467</v>
      </c>
      <c r="C6928" t="s">
        <v>468</v>
      </c>
      <c r="D6928" t="s">
        <v>364</v>
      </c>
      <c r="E6928" t="s">
        <v>368</v>
      </c>
      <c r="F6928">
        <v>2</v>
      </c>
      <c r="G6928" t="s">
        <v>499</v>
      </c>
      <c r="H6928" s="4">
        <v>12128968</v>
      </c>
      <c r="I6928" s="4">
        <v>8607477</v>
      </c>
      <c r="J6928" s="3">
        <v>0.29033723231852865</v>
      </c>
      <c r="K6928" s="3">
        <v>0.4091200011338979</v>
      </c>
      <c r="L6928" t="s">
        <v>54</v>
      </c>
    </row>
    <row r="6929" spans="1:12" x14ac:dyDescent="0.25">
      <c r="A6929" t="s">
        <v>487</v>
      </c>
      <c r="B6929" t="s">
        <v>467</v>
      </c>
      <c r="C6929" t="s">
        <v>468</v>
      </c>
      <c r="D6929" t="s">
        <v>364</v>
      </c>
      <c r="E6929" t="s">
        <v>370</v>
      </c>
      <c r="F6929">
        <v>3</v>
      </c>
      <c r="G6929" t="s">
        <v>488</v>
      </c>
      <c r="H6929" s="4">
        <v>13853838</v>
      </c>
      <c r="I6929" s="4">
        <v>19226978.743222028</v>
      </c>
      <c r="J6929" s="3">
        <v>0.38784492378372176</v>
      </c>
      <c r="K6929" s="3">
        <v>-0.27945840139424866</v>
      </c>
      <c r="L6929" t="s">
        <v>54</v>
      </c>
    </row>
    <row r="6930" spans="1:12" x14ac:dyDescent="0.25">
      <c r="A6930" t="s">
        <v>487</v>
      </c>
      <c r="B6930" t="s">
        <v>467</v>
      </c>
      <c r="C6930" t="s">
        <v>468</v>
      </c>
      <c r="D6930" t="s">
        <v>364</v>
      </c>
      <c r="E6930" t="s">
        <v>370</v>
      </c>
      <c r="F6930">
        <v>3</v>
      </c>
      <c r="G6930" t="s">
        <v>498</v>
      </c>
      <c r="H6930" s="4">
        <v>13853838</v>
      </c>
      <c r="I6930" s="4">
        <v>17202466</v>
      </c>
      <c r="J6930" s="3">
        <v>0.2417112138888877</v>
      </c>
      <c r="K6930" s="3">
        <v>-0.19465976564057735</v>
      </c>
      <c r="L6930" t="s">
        <v>54</v>
      </c>
    </row>
    <row r="6931" spans="1:12" x14ac:dyDescent="0.25">
      <c r="A6931" t="s">
        <v>487</v>
      </c>
      <c r="B6931" t="s">
        <v>467</v>
      </c>
      <c r="C6931" t="s">
        <v>468</v>
      </c>
      <c r="D6931" t="s">
        <v>364</v>
      </c>
      <c r="E6931" t="s">
        <v>370</v>
      </c>
      <c r="F6931">
        <v>3</v>
      </c>
      <c r="G6931" t="s">
        <v>499</v>
      </c>
      <c r="H6931" s="4">
        <v>13853838</v>
      </c>
      <c r="I6931" s="4">
        <v>8607477</v>
      </c>
      <c r="J6931" s="3">
        <v>0.3786936876264902</v>
      </c>
      <c r="K6931" s="3">
        <v>0.609512055623268</v>
      </c>
      <c r="L6931" t="s">
        <v>54</v>
      </c>
    </row>
    <row r="6932" spans="1:12" x14ac:dyDescent="0.25">
      <c r="A6932" t="s">
        <v>487</v>
      </c>
      <c r="B6932" t="s">
        <v>467</v>
      </c>
      <c r="C6932" t="s">
        <v>468</v>
      </c>
      <c r="D6932" t="s">
        <v>366</v>
      </c>
      <c r="E6932" t="s">
        <v>368</v>
      </c>
      <c r="F6932">
        <v>1</v>
      </c>
      <c r="G6932" t="s">
        <v>488</v>
      </c>
      <c r="H6932" s="4">
        <v>12128968</v>
      </c>
      <c r="I6932" s="4">
        <v>12292465.19750697</v>
      </c>
      <c r="J6932" s="3">
        <v>0.013479893549638336</v>
      </c>
      <c r="K6932" s="3">
        <v>-0.013300602839219638</v>
      </c>
      <c r="L6932" t="s">
        <v>54</v>
      </c>
    </row>
    <row r="6933" spans="1:12" x14ac:dyDescent="0.25">
      <c r="A6933" t="s">
        <v>487</v>
      </c>
      <c r="B6933" t="s">
        <v>467</v>
      </c>
      <c r="C6933" t="s">
        <v>468</v>
      </c>
      <c r="D6933" t="s">
        <v>366</v>
      </c>
      <c r="E6933" t="s">
        <v>368</v>
      </c>
      <c r="F6933">
        <v>1</v>
      </c>
      <c r="G6933" t="s">
        <v>498</v>
      </c>
      <c r="H6933" s="4">
        <v>12128968</v>
      </c>
      <c r="I6933" s="4">
        <v>11443021</v>
      </c>
      <c r="J6933" s="3">
        <v>0.056554440575653266</v>
      </c>
      <c r="K6933" s="3">
        <v>0.059944572329282624</v>
      </c>
      <c r="L6933" t="s">
        <v>54</v>
      </c>
    </row>
    <row r="6934" spans="1:12" x14ac:dyDescent="0.25">
      <c r="A6934" t="s">
        <v>487</v>
      </c>
      <c r="B6934" t="s">
        <v>467</v>
      </c>
      <c r="C6934" t="s">
        <v>468</v>
      </c>
      <c r="D6934" t="s">
        <v>366</v>
      </c>
      <c r="E6934" t="s">
        <v>368</v>
      </c>
      <c r="F6934">
        <v>1</v>
      </c>
      <c r="G6934" t="s">
        <v>499</v>
      </c>
      <c r="H6934" s="4">
        <v>12128968</v>
      </c>
      <c r="I6934" s="4">
        <v>10801810</v>
      </c>
      <c r="J6934" s="3">
        <v>0.10942052118531437</v>
      </c>
      <c r="K6934" s="3">
        <v>0.12286440883518596</v>
      </c>
      <c r="L6934" t="s">
        <v>54</v>
      </c>
    </row>
    <row r="6935" spans="1:12" x14ac:dyDescent="0.25">
      <c r="A6935" t="s">
        <v>487</v>
      </c>
      <c r="B6935" t="s">
        <v>467</v>
      </c>
      <c r="C6935" t="s">
        <v>468</v>
      </c>
      <c r="D6935" t="s">
        <v>366</v>
      </c>
      <c r="E6935" t="s">
        <v>370</v>
      </c>
      <c r="F6935">
        <v>2</v>
      </c>
      <c r="G6935" t="s">
        <v>488</v>
      </c>
      <c r="H6935" s="4">
        <v>13853838</v>
      </c>
      <c r="I6935" s="4">
        <v>18479448.269499544</v>
      </c>
      <c r="J6935" s="3">
        <v>0.33388655688766855</v>
      </c>
      <c r="K6935" s="3">
        <v>-0.25031105918536245</v>
      </c>
      <c r="L6935" t="s">
        <v>54</v>
      </c>
    </row>
    <row r="6936" spans="1:12" x14ac:dyDescent="0.25">
      <c r="A6936" t="s">
        <v>487</v>
      </c>
      <c r="B6936" t="s">
        <v>467</v>
      </c>
      <c r="C6936" t="s">
        <v>468</v>
      </c>
      <c r="D6936" t="s">
        <v>366</v>
      </c>
      <c r="E6936" t="s">
        <v>370</v>
      </c>
      <c r="F6936">
        <v>2</v>
      </c>
      <c r="G6936" t="s">
        <v>498</v>
      </c>
      <c r="H6936" s="4">
        <v>13853838</v>
      </c>
      <c r="I6936" s="4">
        <v>17202466</v>
      </c>
      <c r="J6936" s="3">
        <v>0.2417112138888877</v>
      </c>
      <c r="K6936" s="3">
        <v>-0.19465976564057735</v>
      </c>
      <c r="L6936" t="s">
        <v>54</v>
      </c>
    </row>
    <row r="6937" spans="1:12" x14ac:dyDescent="0.25">
      <c r="A6937" t="s">
        <v>487</v>
      </c>
      <c r="B6937" t="s">
        <v>467</v>
      </c>
      <c r="C6937" t="s">
        <v>468</v>
      </c>
      <c r="D6937" t="s">
        <v>366</v>
      </c>
      <c r="E6937" t="s">
        <v>370</v>
      </c>
      <c r="F6937">
        <v>2</v>
      </c>
      <c r="G6937" t="s">
        <v>499</v>
      </c>
      <c r="H6937" s="4">
        <v>13853838</v>
      </c>
      <c r="I6937" s="4">
        <v>10801810</v>
      </c>
      <c r="J6937" s="3">
        <v>0.22030198418662034</v>
      </c>
      <c r="K6937" s="3">
        <v>0.2825478322614451</v>
      </c>
      <c r="L6937" t="s">
        <v>54</v>
      </c>
    </row>
    <row r="6938" spans="1:12" x14ac:dyDescent="0.25">
      <c r="A6938" t="s">
        <v>487</v>
      </c>
      <c r="B6938" t="s">
        <v>467</v>
      </c>
      <c r="C6938" t="s">
        <v>468</v>
      </c>
      <c r="D6938" t="s">
        <v>366</v>
      </c>
      <c r="E6938" t="s">
        <v>372</v>
      </c>
      <c r="F6938">
        <v>3</v>
      </c>
      <c r="G6938" t="s">
        <v>488</v>
      </c>
      <c r="H6938" s="4">
        <v>11460866</v>
      </c>
      <c r="I6938" s="4">
        <v>17676060.9262687</v>
      </c>
      <c r="J6938" s="3">
        <v>0.542297146329841</v>
      </c>
      <c r="K6938" s="3">
        <v>-0.35161651412007705</v>
      </c>
      <c r="L6938" t="s">
        <v>54</v>
      </c>
    </row>
    <row r="6939" spans="1:12" x14ac:dyDescent="0.25">
      <c r="A6939" t="s">
        <v>487</v>
      </c>
      <c r="B6939" t="s">
        <v>467</v>
      </c>
      <c r="C6939" t="s">
        <v>468</v>
      </c>
      <c r="D6939" t="s">
        <v>366</v>
      </c>
      <c r="E6939" t="s">
        <v>372</v>
      </c>
      <c r="F6939">
        <v>3</v>
      </c>
      <c r="G6939" t="s">
        <v>498</v>
      </c>
      <c r="H6939" s="4">
        <v>11460866</v>
      </c>
      <c r="I6939" s="4">
        <v>16454595</v>
      </c>
      <c r="J6939" s="3">
        <v>0.43572004070198533</v>
      </c>
      <c r="K6939" s="3">
        <v>-0.30348537900811295</v>
      </c>
      <c r="L6939" t="s">
        <v>54</v>
      </c>
    </row>
    <row r="6940" spans="1:12" x14ac:dyDescent="0.25">
      <c r="A6940" t="s">
        <v>487</v>
      </c>
      <c r="B6940" t="s">
        <v>467</v>
      </c>
      <c r="C6940" t="s">
        <v>468</v>
      </c>
      <c r="D6940" t="s">
        <v>366</v>
      </c>
      <c r="E6940" t="s">
        <v>372</v>
      </c>
      <c r="F6940">
        <v>3</v>
      </c>
      <c r="G6940" t="s">
        <v>499</v>
      </c>
      <c r="H6940" s="4">
        <v>11460866</v>
      </c>
      <c r="I6940" s="4">
        <v>10801810</v>
      </c>
      <c r="J6940" s="3">
        <v>0.057504904079674256</v>
      </c>
      <c r="K6940" s="3">
        <v>0.06101347829669287</v>
      </c>
      <c r="L6940" t="s">
        <v>54</v>
      </c>
    </row>
    <row r="6941" spans="1:12" x14ac:dyDescent="0.25">
      <c r="A6941" t="s">
        <v>487</v>
      </c>
      <c r="B6941" t="s">
        <v>467</v>
      </c>
      <c r="C6941" t="s">
        <v>468</v>
      </c>
      <c r="D6941" t="s">
        <v>368</v>
      </c>
      <c r="E6941" t="s">
        <v>370</v>
      </c>
      <c r="F6941">
        <v>1</v>
      </c>
      <c r="G6941" t="s">
        <v>488</v>
      </c>
      <c r="H6941" s="4">
        <v>13853838</v>
      </c>
      <c r="I6941" s="4">
        <v>18500254.742110893</v>
      </c>
      <c r="J6941" s="3">
        <v>0.33538841309613215</v>
      </c>
      <c r="K6941" s="3">
        <v>-0.25115420338156563</v>
      </c>
      <c r="L6941" t="s">
        <v>54</v>
      </c>
    </row>
    <row r="6942" spans="1:12" x14ac:dyDescent="0.25">
      <c r="A6942" t="s">
        <v>487</v>
      </c>
      <c r="B6942" t="s">
        <v>467</v>
      </c>
      <c r="C6942" t="s">
        <v>468</v>
      </c>
      <c r="D6942" t="s">
        <v>368</v>
      </c>
      <c r="E6942" t="s">
        <v>370</v>
      </c>
      <c r="F6942">
        <v>1</v>
      </c>
      <c r="G6942" t="s">
        <v>498</v>
      </c>
      <c r="H6942" s="4">
        <v>13853838</v>
      </c>
      <c r="I6942" s="4">
        <v>17202466</v>
      </c>
      <c r="J6942" s="3">
        <v>0.2417112138888877</v>
      </c>
      <c r="K6942" s="3">
        <v>-0.19465976564057735</v>
      </c>
      <c r="L6942" t="s">
        <v>54</v>
      </c>
    </row>
    <row r="6943" spans="1:12" x14ac:dyDescent="0.25">
      <c r="A6943" t="s">
        <v>487</v>
      </c>
      <c r="B6943" t="s">
        <v>467</v>
      </c>
      <c r="C6943" t="s">
        <v>468</v>
      </c>
      <c r="D6943" t="s">
        <v>368</v>
      </c>
      <c r="E6943" t="s">
        <v>370</v>
      </c>
      <c r="F6943">
        <v>1</v>
      </c>
      <c r="G6943" t="s">
        <v>499</v>
      </c>
      <c r="H6943" s="4">
        <v>13853838</v>
      </c>
      <c r="I6943" s="4">
        <v>12128968</v>
      </c>
      <c r="J6943" s="3">
        <v>0.12450484840374199</v>
      </c>
      <c r="K6943" s="3">
        <v>0.1422107800103026</v>
      </c>
      <c r="L6943" t="s">
        <v>54</v>
      </c>
    </row>
    <row r="6944" spans="1:12" x14ac:dyDescent="0.25">
      <c r="A6944" t="s">
        <v>487</v>
      </c>
      <c r="B6944" t="s">
        <v>467</v>
      </c>
      <c r="C6944" t="s">
        <v>468</v>
      </c>
      <c r="D6944" t="s">
        <v>368</v>
      </c>
      <c r="E6944" t="s">
        <v>372</v>
      </c>
      <c r="F6944">
        <v>2</v>
      </c>
      <c r="G6944" t="s">
        <v>488</v>
      </c>
      <c r="H6944" s="4">
        <v>11460866</v>
      </c>
      <c r="I6944" s="4">
        <v>17695962.844993513</v>
      </c>
      <c r="J6944" s="3">
        <v>0.5440336572291756</v>
      </c>
      <c r="K6944" s="3">
        <v>-0.3523457242541356</v>
      </c>
      <c r="L6944" t="s">
        <v>54</v>
      </c>
    </row>
    <row r="6945" spans="1:12" x14ac:dyDescent="0.25">
      <c r="A6945" t="s">
        <v>487</v>
      </c>
      <c r="B6945" t="s">
        <v>467</v>
      </c>
      <c r="C6945" t="s">
        <v>468</v>
      </c>
      <c r="D6945" t="s">
        <v>368</v>
      </c>
      <c r="E6945" t="s">
        <v>372</v>
      </c>
      <c r="F6945">
        <v>2</v>
      </c>
      <c r="G6945" t="s">
        <v>498</v>
      </c>
      <c r="H6945" s="4">
        <v>11460866</v>
      </c>
      <c r="I6945" s="4">
        <v>16454595</v>
      </c>
      <c r="J6945" s="3">
        <v>0.43572004070198533</v>
      </c>
      <c r="K6945" s="3">
        <v>-0.30348537900811295</v>
      </c>
      <c r="L6945" t="s">
        <v>54</v>
      </c>
    </row>
    <row r="6946" spans="1:12" x14ac:dyDescent="0.25">
      <c r="A6946" t="s">
        <v>487</v>
      </c>
      <c r="B6946" t="s">
        <v>467</v>
      </c>
      <c r="C6946" t="s">
        <v>468</v>
      </c>
      <c r="D6946" t="s">
        <v>368</v>
      </c>
      <c r="E6946" t="s">
        <v>372</v>
      </c>
      <c r="F6946">
        <v>2</v>
      </c>
      <c r="G6946" t="s">
        <v>499</v>
      </c>
      <c r="H6946" s="4">
        <v>11460866</v>
      </c>
      <c r="I6946" s="4">
        <v>12128968</v>
      </c>
      <c r="J6946" s="3">
        <v>0.05829419871063844</v>
      </c>
      <c r="K6946" s="3">
        <v>-0.055083169483174495</v>
      </c>
      <c r="L6946" t="s">
        <v>54</v>
      </c>
    </row>
    <row r="6947" spans="1:12" x14ac:dyDescent="0.25">
      <c r="A6947" t="s">
        <v>487</v>
      </c>
      <c r="B6947" t="s">
        <v>467</v>
      </c>
      <c r="C6947" t="s">
        <v>468</v>
      </c>
      <c r="D6947" t="s">
        <v>368</v>
      </c>
      <c r="E6947" t="s">
        <v>374</v>
      </c>
      <c r="F6947">
        <v>3</v>
      </c>
      <c r="G6947" t="s">
        <v>488</v>
      </c>
      <c r="H6947" s="4">
        <v>8926024</v>
      </c>
      <c r="I6947" s="4">
        <v>11658851.856219787</v>
      </c>
      <c r="J6947" s="3">
        <v>0.3061640721803781</v>
      </c>
      <c r="K6947" s="3">
        <v>-0.23439939797861595</v>
      </c>
      <c r="L6947" t="s">
        <v>54</v>
      </c>
    </row>
    <row r="6948" spans="1:12" x14ac:dyDescent="0.25">
      <c r="A6948" t="s">
        <v>487</v>
      </c>
      <c r="B6948" t="s">
        <v>467</v>
      </c>
      <c r="C6948" t="s">
        <v>468</v>
      </c>
      <c r="D6948" t="s">
        <v>368</v>
      </c>
      <c r="E6948" t="s">
        <v>374</v>
      </c>
      <c r="F6948">
        <v>3</v>
      </c>
      <c r="G6948" t="s">
        <v>498</v>
      </c>
      <c r="H6948" s="4">
        <v>8926024</v>
      </c>
      <c r="I6948" s="4">
        <v>10840986</v>
      </c>
      <c r="J6948" s="3">
        <v>0.21453695396741035</v>
      </c>
      <c r="K6948" s="3">
        <v>-0.17664094391414212</v>
      </c>
      <c r="L6948" t="s">
        <v>54</v>
      </c>
    </row>
    <row r="6949" spans="1:12" x14ac:dyDescent="0.25">
      <c r="A6949" t="s">
        <v>487</v>
      </c>
      <c r="B6949" t="s">
        <v>467</v>
      </c>
      <c r="C6949" t="s">
        <v>468</v>
      </c>
      <c r="D6949" t="s">
        <v>368</v>
      </c>
      <c r="E6949" t="s">
        <v>374</v>
      </c>
      <c r="F6949">
        <v>3</v>
      </c>
      <c r="G6949" t="s">
        <v>499</v>
      </c>
      <c r="H6949" s="4">
        <v>8926024</v>
      </c>
      <c r="I6949" s="4">
        <v>12128968</v>
      </c>
      <c r="J6949" s="3">
        <v>0.35883210710614266</v>
      </c>
      <c r="K6949" s="3">
        <v>-0.26407390966815975</v>
      </c>
      <c r="L6949" t="s">
        <v>54</v>
      </c>
    </row>
    <row r="6950" spans="1:12" x14ac:dyDescent="0.25">
      <c r="A6950" t="s">
        <v>487</v>
      </c>
      <c r="B6950" t="s">
        <v>467</v>
      </c>
      <c r="C6950" t="s">
        <v>468</v>
      </c>
      <c r="D6950" t="s">
        <v>370</v>
      </c>
      <c r="E6950" t="s">
        <v>372</v>
      </c>
      <c r="F6950">
        <v>1</v>
      </c>
      <c r="G6950" t="s">
        <v>488</v>
      </c>
      <c r="H6950" s="4">
        <v>11460866</v>
      </c>
      <c r="I6950" s="4">
        <v>16789511.74870583</v>
      </c>
      <c r="J6950" s="3">
        <v>0.4649426796112816</v>
      </c>
      <c r="K6950" s="3">
        <v>-0.3173794347603094</v>
      </c>
      <c r="L6950" t="s">
        <v>54</v>
      </c>
    </row>
    <row r="6951" spans="1:12" x14ac:dyDescent="0.25">
      <c r="A6951" t="s">
        <v>487</v>
      </c>
      <c r="B6951" t="s">
        <v>467</v>
      </c>
      <c r="C6951" t="s">
        <v>468</v>
      </c>
      <c r="D6951" t="s">
        <v>370</v>
      </c>
      <c r="E6951" t="s">
        <v>372</v>
      </c>
      <c r="F6951">
        <v>1</v>
      </c>
      <c r="G6951" t="s">
        <v>498</v>
      </c>
      <c r="H6951" s="4">
        <v>11460866</v>
      </c>
      <c r="I6951" s="4">
        <v>16454595</v>
      </c>
      <c r="J6951" s="3">
        <v>0.43572004070198533</v>
      </c>
      <c r="K6951" s="3">
        <v>-0.30348537900811295</v>
      </c>
      <c r="L6951" t="s">
        <v>54</v>
      </c>
    </row>
    <row r="6952" spans="1:12" x14ac:dyDescent="0.25">
      <c r="A6952" t="s">
        <v>487</v>
      </c>
      <c r="B6952" t="s">
        <v>467</v>
      </c>
      <c r="C6952" t="s">
        <v>468</v>
      </c>
      <c r="D6952" t="s">
        <v>370</v>
      </c>
      <c r="E6952" t="s">
        <v>372</v>
      </c>
      <c r="F6952">
        <v>1</v>
      </c>
      <c r="G6952" t="s">
        <v>499</v>
      </c>
      <c r="H6952" s="4">
        <v>11460866</v>
      </c>
      <c r="I6952" s="4">
        <v>13853838</v>
      </c>
      <c r="J6952" s="3">
        <v>0.20879504218965653</v>
      </c>
      <c r="K6952" s="3">
        <v>-0.17272989622081622</v>
      </c>
      <c r="L6952" t="s">
        <v>54</v>
      </c>
    </row>
    <row r="6953" spans="1:12" x14ac:dyDescent="0.25">
      <c r="A6953" t="s">
        <v>487</v>
      </c>
      <c r="B6953" t="s">
        <v>467</v>
      </c>
      <c r="C6953" t="s">
        <v>468</v>
      </c>
      <c r="D6953" t="s">
        <v>370</v>
      </c>
      <c r="E6953" t="s">
        <v>374</v>
      </c>
      <c r="F6953">
        <v>2</v>
      </c>
      <c r="G6953" t="s">
        <v>488</v>
      </c>
      <c r="H6953" s="4">
        <v>8926024</v>
      </c>
      <c r="I6953" s="4">
        <v>11061643.377704248</v>
      </c>
      <c r="J6953" s="3">
        <v>0.23925763337676975</v>
      </c>
      <c r="K6953" s="3">
        <v>-0.19306528919643023</v>
      </c>
      <c r="L6953" t="s">
        <v>54</v>
      </c>
    </row>
    <row r="6954" spans="1:12" x14ac:dyDescent="0.25">
      <c r="A6954" t="s">
        <v>487</v>
      </c>
      <c r="B6954" t="s">
        <v>467</v>
      </c>
      <c r="C6954" t="s">
        <v>468</v>
      </c>
      <c r="D6954" t="s">
        <v>370</v>
      </c>
      <c r="E6954" t="s">
        <v>374</v>
      </c>
      <c r="F6954">
        <v>2</v>
      </c>
      <c r="G6954" t="s">
        <v>498</v>
      </c>
      <c r="H6954" s="4">
        <v>8926024</v>
      </c>
      <c r="I6954" s="4">
        <v>10840986</v>
      </c>
      <c r="J6954" s="3">
        <v>0.21453695396741035</v>
      </c>
      <c r="K6954" s="3">
        <v>-0.17664094391414212</v>
      </c>
      <c r="L6954" t="s">
        <v>54</v>
      </c>
    </row>
    <row r="6955" spans="1:12" x14ac:dyDescent="0.25">
      <c r="A6955" t="s">
        <v>487</v>
      </c>
      <c r="B6955" t="s">
        <v>467</v>
      </c>
      <c r="C6955" t="s">
        <v>468</v>
      </c>
      <c r="D6955" t="s">
        <v>370</v>
      </c>
      <c r="E6955" t="s">
        <v>374</v>
      </c>
      <c r="F6955">
        <v>2</v>
      </c>
      <c r="G6955" t="s">
        <v>499</v>
      </c>
      <c r="H6955" s="4">
        <v>8926024</v>
      </c>
      <c r="I6955" s="4">
        <v>13853838</v>
      </c>
      <c r="J6955" s="3">
        <v>0.5520726809607502</v>
      </c>
      <c r="K6955" s="3">
        <v>-0.355700275981284</v>
      </c>
      <c r="L6955" t="s">
        <v>54</v>
      </c>
    </row>
    <row r="6956" spans="1:12" x14ac:dyDescent="0.25">
      <c r="A6956" t="s">
        <v>487</v>
      </c>
      <c r="B6956" t="s">
        <v>467</v>
      </c>
      <c r="C6956" t="s">
        <v>468</v>
      </c>
      <c r="D6956" t="s">
        <v>370</v>
      </c>
      <c r="E6956" t="s">
        <v>376</v>
      </c>
      <c r="F6956">
        <v>3</v>
      </c>
      <c r="G6956" t="s">
        <v>488</v>
      </c>
      <c r="H6956" s="4">
        <v>6924359</v>
      </c>
      <c r="I6956" s="4">
        <v>9486720.863889843</v>
      </c>
      <c r="J6956" s="3">
        <v>0.3700504066715552</v>
      </c>
      <c r="K6956" s="3">
        <v>-0.27009984805637016</v>
      </c>
      <c r="L6956" t="s">
        <v>377</v>
      </c>
    </row>
    <row r="6957" spans="1:12" x14ac:dyDescent="0.25">
      <c r="A6957" t="s">
        <v>487</v>
      </c>
      <c r="B6957" t="s">
        <v>467</v>
      </c>
      <c r="C6957" t="s">
        <v>468</v>
      </c>
      <c r="D6957" t="s">
        <v>370</v>
      </c>
      <c r="E6957" t="s">
        <v>376</v>
      </c>
      <c r="F6957">
        <v>3</v>
      </c>
      <c r="G6957" t="s">
        <v>498</v>
      </c>
      <c r="H6957" s="4">
        <v>6924359</v>
      </c>
      <c r="I6957" s="4">
        <v>9297480</v>
      </c>
      <c r="J6957" s="3">
        <v>0.3427206763831858</v>
      </c>
      <c r="K6957" s="3">
        <v>-0.255243463820304</v>
      </c>
      <c r="L6957" t="s">
        <v>377</v>
      </c>
    </row>
    <row r="6958" spans="1:12" x14ac:dyDescent="0.25">
      <c r="A6958" t="s">
        <v>487</v>
      </c>
      <c r="B6958" t="s">
        <v>467</v>
      </c>
      <c r="C6958" t="s">
        <v>468</v>
      </c>
      <c r="D6958" t="s">
        <v>370</v>
      </c>
      <c r="E6958" t="s">
        <v>376</v>
      </c>
      <c r="F6958">
        <v>3</v>
      </c>
      <c r="G6958" t="s">
        <v>499</v>
      </c>
      <c r="H6958" s="4">
        <v>6924359</v>
      </c>
      <c r="I6958" s="4">
        <v>13853838</v>
      </c>
      <c r="J6958" s="3">
        <v>1.0007394186234422</v>
      </c>
      <c r="K6958" s="3">
        <v>-0.5001847863386305</v>
      </c>
      <c r="L6958" t="s">
        <v>377</v>
      </c>
    </row>
    <row r="6959" spans="1:12" x14ac:dyDescent="0.25">
      <c r="A6959" t="s">
        <v>487</v>
      </c>
      <c r="B6959" t="s">
        <v>467</v>
      </c>
      <c r="C6959" t="s">
        <v>468</v>
      </c>
      <c r="D6959" t="s">
        <v>372</v>
      </c>
      <c r="E6959" t="s">
        <v>374</v>
      </c>
      <c r="F6959">
        <v>1</v>
      </c>
      <c r="G6959" t="s">
        <v>488</v>
      </c>
      <c r="H6959" s="4">
        <v>8926024</v>
      </c>
      <c r="I6959" s="4">
        <v>10325079.674693687</v>
      </c>
      <c r="J6959" s="3">
        <v>0.156738955070442</v>
      </c>
      <c r="K6959" s="3">
        <v>-0.13550071464559352</v>
      </c>
      <c r="L6959" t="s">
        <v>54</v>
      </c>
    </row>
    <row r="6960" spans="1:12" x14ac:dyDescent="0.25">
      <c r="A6960" t="s">
        <v>487</v>
      </c>
      <c r="B6960" t="s">
        <v>467</v>
      </c>
      <c r="C6960" t="s">
        <v>468</v>
      </c>
      <c r="D6960" t="s">
        <v>372</v>
      </c>
      <c r="E6960" t="s">
        <v>374</v>
      </c>
      <c r="F6960">
        <v>1</v>
      </c>
      <c r="G6960" t="s">
        <v>498</v>
      </c>
      <c r="H6960" s="4">
        <v>8926024</v>
      </c>
      <c r="I6960" s="4">
        <v>10840986</v>
      </c>
      <c r="J6960" s="3">
        <v>0.21453695396741035</v>
      </c>
      <c r="K6960" s="3">
        <v>-0.17664094391414212</v>
      </c>
      <c r="L6960" t="s">
        <v>54</v>
      </c>
    </row>
    <row r="6961" spans="1:12" x14ac:dyDescent="0.25">
      <c r="A6961" t="s">
        <v>487</v>
      </c>
      <c r="B6961" t="s">
        <v>467</v>
      </c>
      <c r="C6961" t="s">
        <v>468</v>
      </c>
      <c r="D6961" t="s">
        <v>372</v>
      </c>
      <c r="E6961" t="s">
        <v>374</v>
      </c>
      <c r="F6961">
        <v>1</v>
      </c>
      <c r="G6961" t="s">
        <v>499</v>
      </c>
      <c r="H6961" s="4">
        <v>8926024</v>
      </c>
      <c r="I6961" s="4">
        <v>11460866</v>
      </c>
      <c r="J6961" s="3">
        <v>0.28398332785123587</v>
      </c>
      <c r="K6961" s="3">
        <v>-0.22117368792201217</v>
      </c>
      <c r="L6961" t="s">
        <v>54</v>
      </c>
    </row>
    <row r="6962" spans="1:12" x14ac:dyDescent="0.25">
      <c r="A6962" t="s">
        <v>487</v>
      </c>
      <c r="B6962" t="s">
        <v>467</v>
      </c>
      <c r="C6962" t="s">
        <v>468</v>
      </c>
      <c r="D6962" t="s">
        <v>372</v>
      </c>
      <c r="E6962" t="s">
        <v>376</v>
      </c>
      <c r="F6962">
        <v>2</v>
      </c>
      <c r="G6962" t="s">
        <v>488</v>
      </c>
      <c r="H6962" s="4">
        <v>6924359</v>
      </c>
      <c r="I6962" s="4">
        <v>8855026.818950884</v>
      </c>
      <c r="J6962" s="3">
        <v>0.2788226056665872</v>
      </c>
      <c r="K6962" s="3">
        <v>-0.21803071390128478</v>
      </c>
      <c r="L6962" t="s">
        <v>377</v>
      </c>
    </row>
    <row r="6963" spans="1:12" x14ac:dyDescent="0.25">
      <c r="A6963" t="s">
        <v>487</v>
      </c>
      <c r="B6963" t="s">
        <v>467</v>
      </c>
      <c r="C6963" t="s">
        <v>468</v>
      </c>
      <c r="D6963" t="s">
        <v>372</v>
      </c>
      <c r="E6963" t="s">
        <v>376</v>
      </c>
      <c r="F6963">
        <v>2</v>
      </c>
      <c r="G6963" t="s">
        <v>498</v>
      </c>
      <c r="H6963" s="4">
        <v>6924359</v>
      </c>
      <c r="I6963" s="4">
        <v>9297480</v>
      </c>
      <c r="J6963" s="3">
        <v>0.3427206763831858</v>
      </c>
      <c r="K6963" s="3">
        <v>-0.255243463820304</v>
      </c>
      <c r="L6963" t="s">
        <v>377</v>
      </c>
    </row>
    <row r="6964" spans="1:12" x14ac:dyDescent="0.25">
      <c r="A6964" t="s">
        <v>487</v>
      </c>
      <c r="B6964" t="s">
        <v>467</v>
      </c>
      <c r="C6964" t="s">
        <v>468</v>
      </c>
      <c r="D6964" t="s">
        <v>372</v>
      </c>
      <c r="E6964" t="s">
        <v>376</v>
      </c>
      <c r="F6964">
        <v>2</v>
      </c>
      <c r="G6964" t="s">
        <v>499</v>
      </c>
      <c r="H6964" s="4">
        <v>6924359</v>
      </c>
      <c r="I6964" s="4">
        <v>11460866</v>
      </c>
      <c r="J6964" s="3">
        <v>0.6551519064797189</v>
      </c>
      <c r="K6964" s="3">
        <v>-0.39582584771517265</v>
      </c>
      <c r="L6964" t="s">
        <v>377</v>
      </c>
    </row>
    <row r="6965" spans="1:12" x14ac:dyDescent="0.25">
      <c r="A6965" t="s">
        <v>487</v>
      </c>
      <c r="B6965" t="s">
        <v>467</v>
      </c>
      <c r="C6965" t="s">
        <v>468</v>
      </c>
      <c r="D6965" t="s">
        <v>372</v>
      </c>
      <c r="E6965" t="s">
        <v>379</v>
      </c>
      <c r="F6965">
        <v>3</v>
      </c>
      <c r="G6965" t="s">
        <v>488</v>
      </c>
      <c r="H6965" s="4">
        <v>7447722</v>
      </c>
      <c r="I6965" s="4">
        <v>11294663.148118375</v>
      </c>
      <c r="J6965" s="3">
        <v>0.5165258783985728</v>
      </c>
      <c r="K6965" s="3">
        <v>-0.3405981300787401</v>
      </c>
      <c r="L6965" t="s">
        <v>377</v>
      </c>
    </row>
    <row r="6966" spans="1:12" x14ac:dyDescent="0.25">
      <c r="A6966" t="s">
        <v>487</v>
      </c>
      <c r="B6966" t="s">
        <v>467</v>
      </c>
      <c r="C6966" t="s">
        <v>468</v>
      </c>
      <c r="D6966" t="s">
        <v>372</v>
      </c>
      <c r="E6966" t="s">
        <v>379</v>
      </c>
      <c r="F6966">
        <v>3</v>
      </c>
      <c r="G6966" t="s">
        <v>498</v>
      </c>
      <c r="H6966" s="4">
        <v>7447722</v>
      </c>
      <c r="I6966" s="4">
        <v>11859016</v>
      </c>
      <c r="J6966" s="3">
        <v>0.5923011089833912</v>
      </c>
      <c r="K6966" s="3">
        <v>-0.37197807980021275</v>
      </c>
      <c r="L6966" t="s">
        <v>377</v>
      </c>
    </row>
    <row r="6967" spans="1:12" x14ac:dyDescent="0.25">
      <c r="A6967" t="s">
        <v>487</v>
      </c>
      <c r="B6967" t="s">
        <v>467</v>
      </c>
      <c r="C6967" t="s">
        <v>468</v>
      </c>
      <c r="D6967" t="s">
        <v>372</v>
      </c>
      <c r="E6967" t="s">
        <v>379</v>
      </c>
      <c r="F6967">
        <v>3</v>
      </c>
      <c r="G6967" t="s">
        <v>499</v>
      </c>
      <c r="H6967" s="4">
        <v>7447722</v>
      </c>
      <c r="I6967" s="4">
        <v>11460866</v>
      </c>
      <c r="J6967" s="3">
        <v>0.5388418096164169</v>
      </c>
      <c r="K6967" s="3">
        <v>-0.35016062486028543</v>
      </c>
      <c r="L6967" t="s">
        <v>377</v>
      </c>
    </row>
    <row r="6968" spans="1:12" x14ac:dyDescent="0.25">
      <c r="A6968" t="s">
        <v>487</v>
      </c>
      <c r="B6968" t="s">
        <v>467</v>
      </c>
      <c r="C6968" t="s">
        <v>468</v>
      </c>
      <c r="D6968" t="s">
        <v>374</v>
      </c>
      <c r="E6968" t="s">
        <v>376</v>
      </c>
      <c r="F6968">
        <v>1</v>
      </c>
      <c r="G6968" t="s">
        <v>488</v>
      </c>
      <c r="H6968" s="4">
        <v>6924359</v>
      </c>
      <c r="I6968" s="4">
        <v>8706380.193442686</v>
      </c>
      <c r="J6968" s="3">
        <v>0.25735540191412454</v>
      </c>
      <c r="K6968" s="3">
        <v>-0.2046799190764534</v>
      </c>
      <c r="L6968" t="s">
        <v>377</v>
      </c>
    </row>
    <row r="6969" spans="1:12" x14ac:dyDescent="0.25">
      <c r="A6969" t="s">
        <v>487</v>
      </c>
      <c r="B6969" t="s">
        <v>467</v>
      </c>
      <c r="C6969" t="s">
        <v>468</v>
      </c>
      <c r="D6969" t="s">
        <v>374</v>
      </c>
      <c r="E6969" t="s">
        <v>376</v>
      </c>
      <c r="F6969">
        <v>1</v>
      </c>
      <c r="G6969" t="s">
        <v>498</v>
      </c>
      <c r="H6969" s="4">
        <v>6924359</v>
      </c>
      <c r="I6969" s="4">
        <v>9297480</v>
      </c>
      <c r="J6969" s="3">
        <v>0.3427206763831858</v>
      </c>
      <c r="K6969" s="3">
        <v>-0.255243463820304</v>
      </c>
      <c r="L6969" t="s">
        <v>377</v>
      </c>
    </row>
    <row r="6970" spans="1:12" x14ac:dyDescent="0.25">
      <c r="A6970" t="s">
        <v>487</v>
      </c>
      <c r="B6970" t="s">
        <v>467</v>
      </c>
      <c r="C6970" t="s">
        <v>468</v>
      </c>
      <c r="D6970" t="s">
        <v>374</v>
      </c>
      <c r="E6970" t="s">
        <v>376</v>
      </c>
      <c r="F6970">
        <v>1</v>
      </c>
      <c r="G6970" t="s">
        <v>499</v>
      </c>
      <c r="H6970" s="4">
        <v>6924359</v>
      </c>
      <c r="I6970" s="4">
        <v>8926024</v>
      </c>
      <c r="J6970" s="3">
        <v>0.2890758552524501</v>
      </c>
      <c r="K6970" s="3">
        <v>-0.22425046134762802</v>
      </c>
      <c r="L6970" t="s">
        <v>377</v>
      </c>
    </row>
    <row r="6971" spans="1:12" x14ac:dyDescent="0.25">
      <c r="A6971" t="s">
        <v>487</v>
      </c>
      <c r="B6971" t="s">
        <v>467</v>
      </c>
      <c r="C6971" t="s">
        <v>468</v>
      </c>
      <c r="D6971" t="s">
        <v>374</v>
      </c>
      <c r="E6971" t="s">
        <v>379</v>
      </c>
      <c r="F6971">
        <v>2</v>
      </c>
      <c r="G6971" t="s">
        <v>488</v>
      </c>
      <c r="H6971" s="4">
        <v>7447722</v>
      </c>
      <c r="I6971" s="4">
        <v>11105063.094098605</v>
      </c>
      <c r="J6971" s="3">
        <v>0.49106842254565963</v>
      </c>
      <c r="K6971" s="3">
        <v>-0.32933996530304904</v>
      </c>
      <c r="L6971" t="s">
        <v>377</v>
      </c>
    </row>
    <row r="6972" spans="1:12" x14ac:dyDescent="0.25">
      <c r="A6972" t="s">
        <v>487</v>
      </c>
      <c r="B6972" t="s">
        <v>467</v>
      </c>
      <c r="C6972" t="s">
        <v>468</v>
      </c>
      <c r="D6972" t="s">
        <v>374</v>
      </c>
      <c r="E6972" t="s">
        <v>379</v>
      </c>
      <c r="F6972">
        <v>2</v>
      </c>
      <c r="G6972" t="s">
        <v>498</v>
      </c>
      <c r="H6972" s="4">
        <v>7447722</v>
      </c>
      <c r="I6972" s="4">
        <v>11859016</v>
      </c>
      <c r="J6972" s="3">
        <v>0.5923011089833912</v>
      </c>
      <c r="K6972" s="3">
        <v>-0.37197807980021275</v>
      </c>
      <c r="L6972" t="s">
        <v>377</v>
      </c>
    </row>
    <row r="6973" spans="1:12" x14ac:dyDescent="0.25">
      <c r="A6973" t="s">
        <v>487</v>
      </c>
      <c r="B6973" t="s">
        <v>467</v>
      </c>
      <c r="C6973" t="s">
        <v>468</v>
      </c>
      <c r="D6973" t="s">
        <v>374</v>
      </c>
      <c r="E6973" t="s">
        <v>379</v>
      </c>
      <c r="F6973">
        <v>2</v>
      </c>
      <c r="G6973" t="s">
        <v>499</v>
      </c>
      <c r="H6973" s="4">
        <v>7447722</v>
      </c>
      <c r="I6973" s="4">
        <v>8926024</v>
      </c>
      <c r="J6973" s="3">
        <v>0.19849049145497105</v>
      </c>
      <c r="K6973" s="3">
        <v>-0.1656170765393416</v>
      </c>
      <c r="L6973" t="s">
        <v>377</v>
      </c>
    </row>
    <row r="6974" spans="1:12" x14ac:dyDescent="0.25">
      <c r="A6974" t="s">
        <v>487</v>
      </c>
      <c r="B6974" t="s">
        <v>467</v>
      </c>
      <c r="C6974" t="s">
        <v>468</v>
      </c>
      <c r="D6974" t="s">
        <v>374</v>
      </c>
      <c r="E6974" t="s">
        <v>381</v>
      </c>
      <c r="F6974">
        <v>3</v>
      </c>
      <c r="G6974" t="s">
        <v>488</v>
      </c>
      <c r="H6974" s="4">
        <v>10852345</v>
      </c>
      <c r="I6974" s="4">
        <v>13912786.147427926</v>
      </c>
      <c r="J6974" s="3">
        <v>0.2820073585412117</v>
      </c>
      <c r="K6974" s="3">
        <v>-0.21997327602090064</v>
      </c>
      <c r="L6974" t="s">
        <v>377</v>
      </c>
    </row>
    <row r="6975" spans="1:12" x14ac:dyDescent="0.25">
      <c r="A6975" t="s">
        <v>487</v>
      </c>
      <c r="B6975" t="s">
        <v>467</v>
      </c>
      <c r="C6975" t="s">
        <v>468</v>
      </c>
      <c r="D6975" t="s">
        <v>374</v>
      </c>
      <c r="E6975" t="s">
        <v>381</v>
      </c>
      <c r="F6975">
        <v>3</v>
      </c>
      <c r="G6975" t="s">
        <v>498</v>
      </c>
      <c r="H6975" s="4">
        <v>10852345</v>
      </c>
      <c r="I6975" s="4">
        <v>14857363</v>
      </c>
      <c r="J6975" s="3">
        <v>0.36904632132502235</v>
      </c>
      <c r="K6975" s="3">
        <v>-0.26956452501025924</v>
      </c>
      <c r="L6975" t="s">
        <v>377</v>
      </c>
    </row>
    <row r="6976" spans="1:12" x14ac:dyDescent="0.25">
      <c r="A6976" t="s">
        <v>487</v>
      </c>
      <c r="B6976" t="s">
        <v>467</v>
      </c>
      <c r="C6976" t="s">
        <v>468</v>
      </c>
      <c r="D6976" t="s">
        <v>374</v>
      </c>
      <c r="E6976" t="s">
        <v>381</v>
      </c>
      <c r="F6976">
        <v>3</v>
      </c>
      <c r="G6976" t="s">
        <v>499</v>
      </c>
      <c r="H6976" s="4">
        <v>10852345</v>
      </c>
      <c r="I6976" s="4">
        <v>8926024</v>
      </c>
      <c r="J6976" s="3">
        <v>0.17750274249482484</v>
      </c>
      <c r="K6976" s="3">
        <v>0.21580952504721027</v>
      </c>
      <c r="L6976" t="s">
        <v>377</v>
      </c>
    </row>
    <row r="6977" spans="1:12" x14ac:dyDescent="0.25">
      <c r="A6977" t="s">
        <v>487</v>
      </c>
      <c r="B6977" t="s">
        <v>467</v>
      </c>
      <c r="C6977" t="s">
        <v>468</v>
      </c>
      <c r="D6977" t="s">
        <v>376</v>
      </c>
      <c r="E6977" t="s">
        <v>379</v>
      </c>
      <c r="F6977">
        <v>1</v>
      </c>
      <c r="G6977" t="s">
        <v>488</v>
      </c>
      <c r="H6977" s="4">
        <v>7447722</v>
      </c>
      <c r="I6977" s="4">
        <v>10890095.34712896</v>
      </c>
      <c r="J6977" s="3">
        <v>0.4622048657467289</v>
      </c>
      <c r="K6977" s="3">
        <v>-0.31610130466272723</v>
      </c>
      <c r="L6977" t="s">
        <v>377</v>
      </c>
    </row>
    <row r="6978" spans="1:12" x14ac:dyDescent="0.25">
      <c r="A6978" t="s">
        <v>487</v>
      </c>
      <c r="B6978" t="s">
        <v>467</v>
      </c>
      <c r="C6978" t="s">
        <v>468</v>
      </c>
      <c r="D6978" t="s">
        <v>376</v>
      </c>
      <c r="E6978" t="s">
        <v>379</v>
      </c>
      <c r="F6978">
        <v>1</v>
      </c>
      <c r="G6978" t="s">
        <v>498</v>
      </c>
      <c r="H6978" s="4">
        <v>7447722</v>
      </c>
      <c r="I6978" s="4">
        <v>11859016</v>
      </c>
      <c r="J6978" s="3">
        <v>0.5923011089833912</v>
      </c>
      <c r="K6978" s="3">
        <v>-0.37197807980021275</v>
      </c>
      <c r="L6978" t="s">
        <v>377</v>
      </c>
    </row>
    <row r="6979" spans="1:12" x14ac:dyDescent="0.25">
      <c r="A6979" t="s">
        <v>487</v>
      </c>
      <c r="B6979" t="s">
        <v>467</v>
      </c>
      <c r="C6979" t="s">
        <v>468</v>
      </c>
      <c r="D6979" t="s">
        <v>376</v>
      </c>
      <c r="E6979" t="s">
        <v>379</v>
      </c>
      <c r="F6979">
        <v>1</v>
      </c>
      <c r="G6979" t="s">
        <v>499</v>
      </c>
      <c r="H6979" s="4">
        <v>7447722</v>
      </c>
      <c r="I6979" s="4">
        <v>6924359</v>
      </c>
      <c r="J6979" s="3">
        <v>0.07027155417455162</v>
      </c>
      <c r="K6979" s="3">
        <v>0.07558288066808783</v>
      </c>
      <c r="L6979" t="s">
        <v>377</v>
      </c>
    </row>
    <row r="6980" spans="1:12" x14ac:dyDescent="0.25">
      <c r="A6980" t="s">
        <v>487</v>
      </c>
      <c r="B6980" t="s">
        <v>467</v>
      </c>
      <c r="C6980" t="s">
        <v>468</v>
      </c>
      <c r="D6980" t="s">
        <v>376</v>
      </c>
      <c r="E6980" t="s">
        <v>381</v>
      </c>
      <c r="F6980">
        <v>2</v>
      </c>
      <c r="G6980" t="s">
        <v>488</v>
      </c>
      <c r="H6980" s="4">
        <v>10852345</v>
      </c>
      <c r="I6980" s="4">
        <v>13643467.52520664</v>
      </c>
      <c r="J6980" s="3">
        <v>0.25719072930381776</v>
      </c>
      <c r="K6980" s="3">
        <v>-0.20457574440295132</v>
      </c>
      <c r="L6980" t="s">
        <v>377</v>
      </c>
    </row>
    <row r="6981" spans="1:12" x14ac:dyDescent="0.25">
      <c r="A6981" t="s">
        <v>487</v>
      </c>
      <c r="B6981" t="s">
        <v>467</v>
      </c>
      <c r="C6981" t="s">
        <v>468</v>
      </c>
      <c r="D6981" t="s">
        <v>376</v>
      </c>
      <c r="E6981" t="s">
        <v>381</v>
      </c>
      <c r="F6981">
        <v>2</v>
      </c>
      <c r="G6981" t="s">
        <v>498</v>
      </c>
      <c r="H6981" s="4">
        <v>10852345</v>
      </c>
      <c r="I6981" s="4">
        <v>14857363</v>
      </c>
      <c r="J6981" s="3">
        <v>0.36904632132502235</v>
      </c>
      <c r="K6981" s="3">
        <v>-0.26956452501025924</v>
      </c>
      <c r="L6981" t="s">
        <v>377</v>
      </c>
    </row>
    <row r="6982" spans="1:12" x14ac:dyDescent="0.25">
      <c r="A6982" t="s">
        <v>487</v>
      </c>
      <c r="B6982" t="s">
        <v>467</v>
      </c>
      <c r="C6982" t="s">
        <v>468</v>
      </c>
      <c r="D6982" t="s">
        <v>376</v>
      </c>
      <c r="E6982" t="s">
        <v>381</v>
      </c>
      <c r="F6982">
        <v>2</v>
      </c>
      <c r="G6982" t="s">
        <v>499</v>
      </c>
      <c r="H6982" s="4">
        <v>10852345</v>
      </c>
      <c r="I6982" s="4">
        <v>6924359</v>
      </c>
      <c r="J6982" s="3">
        <v>0.3619481319475192</v>
      </c>
      <c r="K6982" s="3">
        <v>0.5672707033243077</v>
      </c>
      <c r="L6982" t="s">
        <v>377</v>
      </c>
    </row>
    <row r="6983" spans="1:12" x14ac:dyDescent="0.25">
      <c r="A6983" t="s">
        <v>487</v>
      </c>
      <c r="B6983" t="s">
        <v>467</v>
      </c>
      <c r="C6983" t="s">
        <v>468</v>
      </c>
      <c r="D6983" t="s">
        <v>376</v>
      </c>
      <c r="E6983" t="s">
        <v>383</v>
      </c>
      <c r="F6983">
        <v>3</v>
      </c>
      <c r="G6983" t="s">
        <v>488</v>
      </c>
      <c r="H6983" s="4">
        <v>12501913</v>
      </c>
      <c r="I6983" s="4">
        <v>14569692.806491029</v>
      </c>
      <c r="J6983" s="3">
        <v>0.16539707215136024</v>
      </c>
      <c r="K6983" s="3">
        <v>-0.14192336337865682</v>
      </c>
      <c r="L6983" t="s">
        <v>377</v>
      </c>
    </row>
    <row r="6984" spans="1:12" x14ac:dyDescent="0.25">
      <c r="A6984" t="s">
        <v>487</v>
      </c>
      <c r="B6984" t="s">
        <v>467</v>
      </c>
      <c r="C6984" t="s">
        <v>468</v>
      </c>
      <c r="D6984" t="s">
        <v>376</v>
      </c>
      <c r="E6984" t="s">
        <v>383</v>
      </c>
      <c r="F6984">
        <v>3</v>
      </c>
      <c r="G6984" t="s">
        <v>498</v>
      </c>
      <c r="H6984" s="4">
        <v>12501913</v>
      </c>
      <c r="I6984" s="4">
        <v>15865997</v>
      </c>
      <c r="J6984" s="3">
        <v>0.2690855391490886</v>
      </c>
      <c r="K6984" s="3">
        <v>-0.21203104979787907</v>
      </c>
      <c r="L6984" t="s">
        <v>377</v>
      </c>
    </row>
    <row r="6985" spans="1:12" x14ac:dyDescent="0.25">
      <c r="A6985" t="s">
        <v>487</v>
      </c>
      <c r="B6985" t="s">
        <v>467</v>
      </c>
      <c r="C6985" t="s">
        <v>468</v>
      </c>
      <c r="D6985" t="s">
        <v>376</v>
      </c>
      <c r="E6985" t="s">
        <v>383</v>
      </c>
      <c r="F6985">
        <v>3</v>
      </c>
      <c r="G6985" t="s">
        <v>499</v>
      </c>
      <c r="H6985" s="4">
        <v>12501913</v>
      </c>
      <c r="I6985" s="4">
        <v>6924359</v>
      </c>
      <c r="J6985" s="3">
        <v>0.44613604333992724</v>
      </c>
      <c r="K6985" s="3">
        <v>0.8054975196982133</v>
      </c>
      <c r="L6985" t="s">
        <v>377</v>
      </c>
    </row>
    <row r="6986" spans="1:12" x14ac:dyDescent="0.25">
      <c r="A6986" t="s">
        <v>487</v>
      </c>
      <c r="B6986" t="s">
        <v>467</v>
      </c>
      <c r="C6986" t="s">
        <v>468</v>
      </c>
      <c r="D6986" t="s">
        <v>379</v>
      </c>
      <c r="E6986" t="s">
        <v>381</v>
      </c>
      <c r="F6986">
        <v>1</v>
      </c>
      <c r="G6986" t="s">
        <v>488</v>
      </c>
      <c r="H6986" s="4">
        <v>10852345</v>
      </c>
      <c r="I6986" s="4">
        <v>12589899.879723687</v>
      </c>
      <c r="J6986" s="3">
        <v>0.1601087027479947</v>
      </c>
      <c r="K6986" s="3">
        <v>-0.13801181076285265</v>
      </c>
      <c r="L6986" t="s">
        <v>377</v>
      </c>
    </row>
    <row r="6987" spans="1:12" x14ac:dyDescent="0.25">
      <c r="A6987" t="s">
        <v>487</v>
      </c>
      <c r="B6987" t="s">
        <v>467</v>
      </c>
      <c r="C6987" t="s">
        <v>468</v>
      </c>
      <c r="D6987" t="s">
        <v>379</v>
      </c>
      <c r="E6987" t="s">
        <v>381</v>
      </c>
      <c r="F6987">
        <v>1</v>
      </c>
      <c r="G6987" t="s">
        <v>498</v>
      </c>
      <c r="H6987" s="4">
        <v>10852345</v>
      </c>
      <c r="I6987" s="4">
        <v>14857363</v>
      </c>
      <c r="J6987" s="3">
        <v>0.36904632132502235</v>
      </c>
      <c r="K6987" s="3">
        <v>-0.26956452501025924</v>
      </c>
      <c r="L6987" t="s">
        <v>377</v>
      </c>
    </row>
    <row r="6988" spans="1:12" x14ac:dyDescent="0.25">
      <c r="A6988" t="s">
        <v>487</v>
      </c>
      <c r="B6988" t="s">
        <v>467</v>
      </c>
      <c r="C6988" t="s">
        <v>468</v>
      </c>
      <c r="D6988" t="s">
        <v>379</v>
      </c>
      <c r="E6988" t="s">
        <v>381</v>
      </c>
      <c r="F6988">
        <v>1</v>
      </c>
      <c r="G6988" t="s">
        <v>499</v>
      </c>
      <c r="H6988" s="4">
        <v>10852345</v>
      </c>
      <c r="I6988" s="4">
        <v>7447722</v>
      </c>
      <c r="J6988" s="3">
        <v>0.313722333744458</v>
      </c>
      <c r="K6988" s="3">
        <v>0.457136155189466</v>
      </c>
      <c r="L6988" t="s">
        <v>377</v>
      </c>
    </row>
    <row r="6989" spans="1:12" x14ac:dyDescent="0.25">
      <c r="A6989" t="s">
        <v>487</v>
      </c>
      <c r="B6989" t="s">
        <v>467</v>
      </c>
      <c r="C6989" t="s">
        <v>468</v>
      </c>
      <c r="D6989" t="s">
        <v>379</v>
      </c>
      <c r="E6989" t="s">
        <v>383</v>
      </c>
      <c r="F6989">
        <v>2</v>
      </c>
      <c r="G6989" t="s">
        <v>488</v>
      </c>
      <c r="H6989" s="4">
        <v>12501913</v>
      </c>
      <c r="I6989" s="4">
        <v>13444600.749271346</v>
      </c>
      <c r="J6989" s="3">
        <v>0.07540348019309895</v>
      </c>
      <c r="K6989" s="3">
        <v>-0.07011645543453099</v>
      </c>
      <c r="L6989" t="s">
        <v>377</v>
      </c>
    </row>
    <row r="6990" spans="1:12" x14ac:dyDescent="0.25">
      <c r="A6990" t="s">
        <v>487</v>
      </c>
      <c r="B6990" t="s">
        <v>467</v>
      </c>
      <c r="C6990" t="s">
        <v>468</v>
      </c>
      <c r="D6990" t="s">
        <v>379</v>
      </c>
      <c r="E6990" t="s">
        <v>383</v>
      </c>
      <c r="F6990">
        <v>2</v>
      </c>
      <c r="G6990" t="s">
        <v>498</v>
      </c>
      <c r="H6990" s="4">
        <v>12501913</v>
      </c>
      <c r="I6990" s="4">
        <v>15865997</v>
      </c>
      <c r="J6990" s="3">
        <v>0.2690855391490886</v>
      </c>
      <c r="K6990" s="3">
        <v>-0.21203104979787907</v>
      </c>
      <c r="L6990" t="s">
        <v>377</v>
      </c>
    </row>
    <row r="6991" spans="1:12" x14ac:dyDescent="0.25">
      <c r="A6991" t="s">
        <v>487</v>
      </c>
      <c r="B6991" t="s">
        <v>467</v>
      </c>
      <c r="C6991" t="s">
        <v>468</v>
      </c>
      <c r="D6991" t="s">
        <v>379</v>
      </c>
      <c r="E6991" t="s">
        <v>383</v>
      </c>
      <c r="F6991">
        <v>2</v>
      </c>
      <c r="G6991" t="s">
        <v>499</v>
      </c>
      <c r="H6991" s="4">
        <v>12501913</v>
      </c>
      <c r="I6991" s="4">
        <v>7447722</v>
      </c>
      <c r="J6991" s="3">
        <v>0.404273409997334</v>
      </c>
      <c r="K6991" s="3">
        <v>0.6786224029307216</v>
      </c>
      <c r="L6991" t="s">
        <v>377</v>
      </c>
    </row>
    <row r="6992" spans="1:12" x14ac:dyDescent="0.25">
      <c r="A6992" t="s">
        <v>487</v>
      </c>
      <c r="B6992" t="s">
        <v>467</v>
      </c>
      <c r="C6992" t="s">
        <v>468</v>
      </c>
      <c r="D6992" t="s">
        <v>379</v>
      </c>
      <c r="E6992" t="s">
        <v>385</v>
      </c>
      <c r="F6992">
        <v>3</v>
      </c>
      <c r="G6992" t="s">
        <v>488</v>
      </c>
      <c r="H6992" s="4">
        <v>17114027</v>
      </c>
      <c r="I6992" s="4">
        <v>13628405.23753155</v>
      </c>
      <c r="J6992" s="3">
        <v>0.20367046063842542</v>
      </c>
      <c r="K6992" s="3">
        <v>0.2557615290796698</v>
      </c>
      <c r="L6992" t="s">
        <v>377</v>
      </c>
    </row>
    <row r="6993" spans="1:12" x14ac:dyDescent="0.25">
      <c r="A6993" t="s">
        <v>487</v>
      </c>
      <c r="B6993" t="s">
        <v>467</v>
      </c>
      <c r="C6993" t="s">
        <v>468</v>
      </c>
      <c r="D6993" t="s">
        <v>379</v>
      </c>
      <c r="E6993" t="s">
        <v>385</v>
      </c>
      <c r="F6993">
        <v>3</v>
      </c>
      <c r="G6993" t="s">
        <v>498</v>
      </c>
      <c r="H6993" s="4">
        <v>17114027</v>
      </c>
      <c r="I6993" s="4">
        <v>16082905</v>
      </c>
      <c r="J6993" s="3">
        <v>0.06025010945699688</v>
      </c>
      <c r="K6993" s="3">
        <v>0.06411291989848848</v>
      </c>
      <c r="L6993" t="s">
        <v>377</v>
      </c>
    </row>
    <row r="6994" spans="1:12" x14ac:dyDescent="0.25">
      <c r="A6994" t="s">
        <v>487</v>
      </c>
      <c r="B6994" t="s">
        <v>467</v>
      </c>
      <c r="C6994" t="s">
        <v>468</v>
      </c>
      <c r="D6994" t="s">
        <v>379</v>
      </c>
      <c r="E6994" t="s">
        <v>385</v>
      </c>
      <c r="F6994">
        <v>3</v>
      </c>
      <c r="G6994" t="s">
        <v>499</v>
      </c>
      <c r="H6994" s="4">
        <v>17114027</v>
      </c>
      <c r="I6994" s="4">
        <v>7447722</v>
      </c>
      <c r="J6994" s="3">
        <v>0.5648176785043053</v>
      </c>
      <c r="K6994" s="3">
        <v>1.297887461427803</v>
      </c>
      <c r="L6994" t="s">
        <v>377</v>
      </c>
    </row>
    <row r="6995" spans="1:12" x14ac:dyDescent="0.25">
      <c r="A6995" t="s">
        <v>487</v>
      </c>
      <c r="B6995" t="s">
        <v>467</v>
      </c>
      <c r="C6995" t="s">
        <v>468</v>
      </c>
      <c r="D6995" t="s">
        <v>381</v>
      </c>
      <c r="E6995" t="s">
        <v>383</v>
      </c>
      <c r="F6995">
        <v>1</v>
      </c>
      <c r="G6995" t="s">
        <v>488</v>
      </c>
      <c r="H6995" s="4">
        <v>12501913</v>
      </c>
      <c r="I6995" s="4">
        <v>12964292.16610377</v>
      </c>
      <c r="J6995" s="3">
        <v>0.03698467315392205</v>
      </c>
      <c r="K6995" s="3">
        <v>-0.03566559285918427</v>
      </c>
      <c r="L6995" t="s">
        <v>377</v>
      </c>
    </row>
    <row r="6996" spans="1:12" x14ac:dyDescent="0.25">
      <c r="A6996" t="s">
        <v>487</v>
      </c>
      <c r="B6996" t="s">
        <v>467</v>
      </c>
      <c r="C6996" t="s">
        <v>468</v>
      </c>
      <c r="D6996" t="s">
        <v>381</v>
      </c>
      <c r="E6996" t="s">
        <v>383</v>
      </c>
      <c r="F6996">
        <v>1</v>
      </c>
      <c r="G6996" t="s">
        <v>498</v>
      </c>
      <c r="H6996" s="4">
        <v>12501913</v>
      </c>
      <c r="I6996" s="4">
        <v>15865997</v>
      </c>
      <c r="J6996" s="3">
        <v>0.2690855391490886</v>
      </c>
      <c r="K6996" s="3">
        <v>-0.21203104979787907</v>
      </c>
      <c r="L6996" t="s">
        <v>377</v>
      </c>
    </row>
    <row r="6997" spans="1:12" x14ac:dyDescent="0.25">
      <c r="A6997" t="s">
        <v>487</v>
      </c>
      <c r="B6997" t="s">
        <v>467</v>
      </c>
      <c r="C6997" t="s">
        <v>468</v>
      </c>
      <c r="D6997" t="s">
        <v>381</v>
      </c>
      <c r="E6997" t="s">
        <v>383</v>
      </c>
      <c r="F6997">
        <v>1</v>
      </c>
      <c r="G6997" t="s">
        <v>499</v>
      </c>
      <c r="H6997" s="4">
        <v>12501913</v>
      </c>
      <c r="I6997" s="4">
        <v>10852345</v>
      </c>
      <c r="J6997" s="3">
        <v>0.1319452470993839</v>
      </c>
      <c r="K6997" s="3">
        <v>0.15200106520756573</v>
      </c>
      <c r="L6997" t="s">
        <v>377</v>
      </c>
    </row>
    <row r="6998" spans="1:12" x14ac:dyDescent="0.25">
      <c r="A6998" t="s">
        <v>487</v>
      </c>
      <c r="B6998" t="s">
        <v>467</v>
      </c>
      <c r="C6998" t="s">
        <v>468</v>
      </c>
      <c r="D6998" t="s">
        <v>381</v>
      </c>
      <c r="E6998" t="s">
        <v>385</v>
      </c>
      <c r="F6998">
        <v>2</v>
      </c>
      <c r="G6998" t="s">
        <v>488</v>
      </c>
      <c r="H6998" s="4">
        <v>17114027</v>
      </c>
      <c r="I6998" s="4">
        <v>13141530.235994067</v>
      </c>
      <c r="J6998" s="3">
        <v>0.23211934654572725</v>
      </c>
      <c r="K6998" s="3">
        <v>0.3022857074228267</v>
      </c>
      <c r="L6998" t="s">
        <v>377</v>
      </c>
    </row>
    <row r="6999" spans="1:12" x14ac:dyDescent="0.25">
      <c r="A6999" t="s">
        <v>487</v>
      </c>
      <c r="B6999" t="s">
        <v>467</v>
      </c>
      <c r="C6999" t="s">
        <v>468</v>
      </c>
      <c r="D6999" t="s">
        <v>381</v>
      </c>
      <c r="E6999" t="s">
        <v>385</v>
      </c>
      <c r="F6999">
        <v>2</v>
      </c>
      <c r="G6999" t="s">
        <v>498</v>
      </c>
      <c r="H6999" s="4">
        <v>17114027</v>
      </c>
      <c r="I6999" s="4">
        <v>16082905</v>
      </c>
      <c r="J6999" s="3">
        <v>0.06025010945699688</v>
      </c>
      <c r="K6999" s="3">
        <v>0.06411291989848848</v>
      </c>
      <c r="L6999" t="s">
        <v>377</v>
      </c>
    </row>
    <row r="7000" spans="1:12" x14ac:dyDescent="0.25">
      <c r="A7000" t="s">
        <v>487</v>
      </c>
      <c r="B7000" t="s">
        <v>467</v>
      </c>
      <c r="C7000" t="s">
        <v>468</v>
      </c>
      <c r="D7000" t="s">
        <v>381</v>
      </c>
      <c r="E7000" t="s">
        <v>385</v>
      </c>
      <c r="F7000">
        <v>2</v>
      </c>
      <c r="G7000" t="s">
        <v>499</v>
      </c>
      <c r="H7000" s="4">
        <v>17114027</v>
      </c>
      <c r="I7000" s="4">
        <v>10852345</v>
      </c>
      <c r="J7000" s="3">
        <v>0.3658801052493373</v>
      </c>
      <c r="K7000" s="3">
        <v>0.5769888443465444</v>
      </c>
      <c r="L7000" t="s">
        <v>377</v>
      </c>
    </row>
    <row r="7001" spans="1:12" x14ac:dyDescent="0.25">
      <c r="A7001" t="s">
        <v>487</v>
      </c>
      <c r="B7001" t="s">
        <v>467</v>
      </c>
      <c r="C7001" t="s">
        <v>468</v>
      </c>
      <c r="D7001" t="s">
        <v>381</v>
      </c>
      <c r="E7001" t="s">
        <v>387</v>
      </c>
      <c r="F7001">
        <v>3</v>
      </c>
      <c r="G7001" t="s">
        <v>488</v>
      </c>
      <c r="H7001" s="4">
        <v>13165051</v>
      </c>
      <c r="I7001" s="4">
        <v>9794279.449957836</v>
      </c>
      <c r="J7001" s="3">
        <v>0.2560393841271229</v>
      </c>
      <c r="K7001" s="3">
        <v>0.34415717534552015</v>
      </c>
      <c r="L7001" t="s">
        <v>377</v>
      </c>
    </row>
    <row r="7002" spans="1:12" x14ac:dyDescent="0.25">
      <c r="A7002" t="s">
        <v>487</v>
      </c>
      <c r="B7002" t="s">
        <v>467</v>
      </c>
      <c r="C7002" t="s">
        <v>468</v>
      </c>
      <c r="D7002" t="s">
        <v>381</v>
      </c>
      <c r="E7002" t="s">
        <v>387</v>
      </c>
      <c r="F7002">
        <v>3</v>
      </c>
      <c r="G7002" t="s">
        <v>498</v>
      </c>
      <c r="H7002" s="4">
        <v>13165051</v>
      </c>
      <c r="I7002" s="4">
        <v>11986463</v>
      </c>
      <c r="J7002" s="3">
        <v>0.08952399804603871</v>
      </c>
      <c r="K7002" s="3">
        <v>0.09832658725096803</v>
      </c>
      <c r="L7002" t="s">
        <v>377</v>
      </c>
    </row>
    <row r="7003" spans="1:12" x14ac:dyDescent="0.25">
      <c r="A7003" t="s">
        <v>487</v>
      </c>
      <c r="B7003" t="s">
        <v>467</v>
      </c>
      <c r="C7003" t="s">
        <v>468</v>
      </c>
      <c r="D7003" t="s">
        <v>381</v>
      </c>
      <c r="E7003" t="s">
        <v>387</v>
      </c>
      <c r="F7003">
        <v>3</v>
      </c>
      <c r="G7003" t="s">
        <v>499</v>
      </c>
      <c r="H7003" s="4">
        <v>13165051</v>
      </c>
      <c r="I7003" s="4">
        <v>10852345</v>
      </c>
      <c r="J7003" s="3">
        <v>0.17567011324149068</v>
      </c>
      <c r="K7003" s="3">
        <v>0.21310656821175517</v>
      </c>
      <c r="L7003" t="s">
        <v>377</v>
      </c>
    </row>
    <row r="7004" spans="1:12" x14ac:dyDescent="0.25">
      <c r="A7004" t="s">
        <v>487</v>
      </c>
      <c r="B7004" t="s">
        <v>467</v>
      </c>
      <c r="C7004" t="s">
        <v>468</v>
      </c>
      <c r="D7004" t="s">
        <v>383</v>
      </c>
      <c r="E7004" t="s">
        <v>385</v>
      </c>
      <c r="F7004">
        <v>1</v>
      </c>
      <c r="G7004" t="s">
        <v>488</v>
      </c>
      <c r="H7004" s="4">
        <v>17114027</v>
      </c>
      <c r="I7004" s="4">
        <v>12658367.663620923</v>
      </c>
      <c r="J7004" s="3">
        <v>0.2603513092727432</v>
      </c>
      <c r="K7004" s="3">
        <v>0.35199319965908915</v>
      </c>
      <c r="L7004" t="s">
        <v>377</v>
      </c>
    </row>
    <row r="7005" spans="1:12" x14ac:dyDescent="0.25">
      <c r="A7005" t="s">
        <v>487</v>
      </c>
      <c r="B7005" t="s">
        <v>467</v>
      </c>
      <c r="C7005" t="s">
        <v>468</v>
      </c>
      <c r="D7005" t="s">
        <v>383</v>
      </c>
      <c r="E7005" t="s">
        <v>385</v>
      </c>
      <c r="F7005">
        <v>1</v>
      </c>
      <c r="G7005" t="s">
        <v>498</v>
      </c>
      <c r="H7005" s="4">
        <v>17114027</v>
      </c>
      <c r="I7005" s="4">
        <v>16082905</v>
      </c>
      <c r="J7005" s="3">
        <v>0.06025010945699688</v>
      </c>
      <c r="K7005" s="3">
        <v>0.06411291989848848</v>
      </c>
      <c r="L7005" t="s">
        <v>377</v>
      </c>
    </row>
    <row r="7006" spans="1:12" x14ac:dyDescent="0.25">
      <c r="A7006" t="s">
        <v>487</v>
      </c>
      <c r="B7006" t="s">
        <v>467</v>
      </c>
      <c r="C7006" t="s">
        <v>468</v>
      </c>
      <c r="D7006" t="s">
        <v>383</v>
      </c>
      <c r="E7006" t="s">
        <v>385</v>
      </c>
      <c r="F7006">
        <v>1</v>
      </c>
      <c r="G7006" t="s">
        <v>499</v>
      </c>
      <c r="H7006" s="4">
        <v>17114027</v>
      </c>
      <c r="I7006" s="4">
        <v>12501913</v>
      </c>
      <c r="J7006" s="3">
        <v>0.26949320577792707</v>
      </c>
      <c r="K7006" s="3">
        <v>0.3689126616062678</v>
      </c>
      <c r="L7006" t="s">
        <v>377</v>
      </c>
    </row>
    <row r="7007" spans="1:12" x14ac:dyDescent="0.25">
      <c r="A7007" t="s">
        <v>487</v>
      </c>
      <c r="B7007" t="s">
        <v>467</v>
      </c>
      <c r="C7007" t="s">
        <v>468</v>
      </c>
      <c r="D7007" t="s">
        <v>383</v>
      </c>
      <c r="E7007" t="s">
        <v>387</v>
      </c>
      <c r="F7007">
        <v>2</v>
      </c>
      <c r="G7007" t="s">
        <v>488</v>
      </c>
      <c r="H7007" s="4">
        <v>13165051</v>
      </c>
      <c r="I7007" s="4">
        <v>9434182.172958719</v>
      </c>
      <c r="J7007" s="3">
        <v>0.28339190080169696</v>
      </c>
      <c r="K7007" s="3">
        <v>0.3954628772947701</v>
      </c>
      <c r="L7007" t="s">
        <v>377</v>
      </c>
    </row>
    <row r="7008" spans="1:12" x14ac:dyDescent="0.25">
      <c r="A7008" t="s">
        <v>487</v>
      </c>
      <c r="B7008" t="s">
        <v>467</v>
      </c>
      <c r="C7008" t="s">
        <v>468</v>
      </c>
      <c r="D7008" t="s">
        <v>383</v>
      </c>
      <c r="E7008" t="s">
        <v>387</v>
      </c>
      <c r="F7008">
        <v>2</v>
      </c>
      <c r="G7008" t="s">
        <v>498</v>
      </c>
      <c r="H7008" s="4">
        <v>13165051</v>
      </c>
      <c r="I7008" s="4">
        <v>11986463</v>
      </c>
      <c r="J7008" s="3">
        <v>0.08952399804603871</v>
      </c>
      <c r="K7008" s="3">
        <v>0.09832658725096803</v>
      </c>
      <c r="L7008" t="s">
        <v>377</v>
      </c>
    </row>
    <row r="7009" spans="1:12" x14ac:dyDescent="0.25">
      <c r="A7009" t="s">
        <v>487</v>
      </c>
      <c r="B7009" t="s">
        <v>467</v>
      </c>
      <c r="C7009" t="s">
        <v>468</v>
      </c>
      <c r="D7009" t="s">
        <v>383</v>
      </c>
      <c r="E7009" t="s">
        <v>387</v>
      </c>
      <c r="F7009">
        <v>2</v>
      </c>
      <c r="G7009" t="s">
        <v>499</v>
      </c>
      <c r="H7009" s="4">
        <v>13165051</v>
      </c>
      <c r="I7009" s="4">
        <v>12501913</v>
      </c>
      <c r="J7009" s="3">
        <v>0.050371092371765215</v>
      </c>
      <c r="K7009" s="3">
        <v>0.0530429223111695</v>
      </c>
      <c r="L7009" t="s">
        <v>377</v>
      </c>
    </row>
    <row r="7010" spans="1:12" x14ac:dyDescent="0.25">
      <c r="A7010" t="s">
        <v>487</v>
      </c>
      <c r="B7010" t="s">
        <v>467</v>
      </c>
      <c r="C7010" t="s">
        <v>468</v>
      </c>
      <c r="D7010" t="s">
        <v>383</v>
      </c>
      <c r="E7010" t="s">
        <v>389</v>
      </c>
      <c r="F7010">
        <v>3</v>
      </c>
      <c r="G7010" t="s">
        <v>488</v>
      </c>
      <c r="H7010" s="4">
        <v>9346816</v>
      </c>
      <c r="I7010" s="4">
        <v>6774684.581060501</v>
      </c>
      <c r="J7010" s="3">
        <v>0.2751879804780044</v>
      </c>
      <c r="K7010" s="3">
        <v>0.3796680698803635</v>
      </c>
      <c r="L7010" t="s">
        <v>377</v>
      </c>
    </row>
    <row r="7011" spans="1:12" x14ac:dyDescent="0.25">
      <c r="A7011" t="s">
        <v>487</v>
      </c>
      <c r="B7011" t="s">
        <v>467</v>
      </c>
      <c r="C7011" t="s">
        <v>468</v>
      </c>
      <c r="D7011" t="s">
        <v>383</v>
      </c>
      <c r="E7011" t="s">
        <v>389</v>
      </c>
      <c r="F7011">
        <v>3</v>
      </c>
      <c r="G7011" t="s">
        <v>498</v>
      </c>
      <c r="H7011" s="4">
        <v>9346816</v>
      </c>
      <c r="I7011" s="4">
        <v>8607477</v>
      </c>
      <c r="J7011" s="3">
        <v>0.07910062635233217</v>
      </c>
      <c r="K7011" s="3">
        <v>0.08589497247567435</v>
      </c>
      <c r="L7011" t="s">
        <v>377</v>
      </c>
    </row>
    <row r="7012" spans="1:12" x14ac:dyDescent="0.25">
      <c r="A7012" t="s">
        <v>487</v>
      </c>
      <c r="B7012" t="s">
        <v>467</v>
      </c>
      <c r="C7012" t="s">
        <v>468</v>
      </c>
      <c r="D7012" t="s">
        <v>383</v>
      </c>
      <c r="E7012" t="s">
        <v>389</v>
      </c>
      <c r="F7012">
        <v>3</v>
      </c>
      <c r="G7012" t="s">
        <v>499</v>
      </c>
      <c r="H7012" s="4">
        <v>9346816</v>
      </c>
      <c r="I7012" s="4">
        <v>12501913</v>
      </c>
      <c r="J7012" s="3">
        <v>0.3375584798074553</v>
      </c>
      <c r="K7012" s="3">
        <v>-0.2523691374272081</v>
      </c>
      <c r="L7012" t="s">
        <v>377</v>
      </c>
    </row>
    <row r="7013" spans="1:12" x14ac:dyDescent="0.25">
      <c r="A7013" t="s">
        <v>487</v>
      </c>
      <c r="B7013" t="s">
        <v>467</v>
      </c>
      <c r="C7013" t="s">
        <v>468</v>
      </c>
      <c r="D7013" t="s">
        <v>385</v>
      </c>
      <c r="E7013" t="s">
        <v>387</v>
      </c>
      <c r="F7013">
        <v>1</v>
      </c>
      <c r="G7013" t="s">
        <v>488</v>
      </c>
      <c r="H7013" s="4">
        <v>13165051</v>
      </c>
      <c r="I7013" s="4">
        <v>9618511.862730445</v>
      </c>
      <c r="J7013" s="3">
        <v>0.26939045942697487</v>
      </c>
      <c r="K7013" s="3">
        <v>0.368720150048532</v>
      </c>
      <c r="L7013" t="s">
        <v>377</v>
      </c>
    </row>
    <row r="7014" spans="1:12" x14ac:dyDescent="0.25">
      <c r="A7014" t="s">
        <v>487</v>
      </c>
      <c r="B7014" t="s">
        <v>467</v>
      </c>
      <c r="C7014" t="s">
        <v>468</v>
      </c>
      <c r="D7014" t="s">
        <v>385</v>
      </c>
      <c r="E7014" t="s">
        <v>387</v>
      </c>
      <c r="F7014">
        <v>1</v>
      </c>
      <c r="G7014" t="s">
        <v>498</v>
      </c>
      <c r="H7014" s="4">
        <v>13165051</v>
      </c>
      <c r="I7014" s="4">
        <v>11986463</v>
      </c>
      <c r="J7014" s="3">
        <v>0.08952399804603871</v>
      </c>
      <c r="K7014" s="3">
        <v>0.09832658725096803</v>
      </c>
      <c r="L7014" t="s">
        <v>377</v>
      </c>
    </row>
    <row r="7015" spans="1:12" x14ac:dyDescent="0.25">
      <c r="A7015" t="s">
        <v>487</v>
      </c>
      <c r="B7015" t="s">
        <v>467</v>
      </c>
      <c r="C7015" t="s">
        <v>468</v>
      </c>
      <c r="D7015" t="s">
        <v>385</v>
      </c>
      <c r="E7015" t="s">
        <v>387</v>
      </c>
      <c r="F7015">
        <v>1</v>
      </c>
      <c r="G7015" t="s">
        <v>499</v>
      </c>
      <c r="H7015" s="4">
        <v>13165051</v>
      </c>
      <c r="I7015" s="4">
        <v>17114027</v>
      </c>
      <c r="J7015" s="3">
        <v>0.2999590354796195</v>
      </c>
      <c r="K7015" s="3">
        <v>-0.23074499064422418</v>
      </c>
      <c r="L7015" t="s">
        <v>377</v>
      </c>
    </row>
    <row r="7016" spans="1:12" x14ac:dyDescent="0.25">
      <c r="A7016" t="s">
        <v>487</v>
      </c>
      <c r="B7016" t="s">
        <v>467</v>
      </c>
      <c r="C7016" t="s">
        <v>468</v>
      </c>
      <c r="D7016" t="s">
        <v>385</v>
      </c>
      <c r="E7016" t="s">
        <v>389</v>
      </c>
      <c r="F7016">
        <v>2</v>
      </c>
      <c r="G7016" t="s">
        <v>488</v>
      </c>
      <c r="H7016" s="4">
        <v>9346816</v>
      </c>
      <c r="I7016" s="4">
        <v>6907051.699294401</v>
      </c>
      <c r="J7016" s="3">
        <v>0.26102624687440074</v>
      </c>
      <c r="K7016" s="3">
        <v>0.3532280351911708</v>
      </c>
      <c r="L7016" t="s">
        <v>377</v>
      </c>
    </row>
    <row r="7017" spans="1:12" x14ac:dyDescent="0.25">
      <c r="A7017" t="s">
        <v>487</v>
      </c>
      <c r="B7017" t="s">
        <v>467</v>
      </c>
      <c r="C7017" t="s">
        <v>468</v>
      </c>
      <c r="D7017" t="s">
        <v>385</v>
      </c>
      <c r="E7017" t="s">
        <v>389</v>
      </c>
      <c r="F7017">
        <v>2</v>
      </c>
      <c r="G7017" t="s">
        <v>498</v>
      </c>
      <c r="H7017" s="4">
        <v>9346816</v>
      </c>
      <c r="I7017" s="4">
        <v>8607477</v>
      </c>
      <c r="J7017" s="3">
        <v>0.07910062635233217</v>
      </c>
      <c r="K7017" s="3">
        <v>0.08589497247567435</v>
      </c>
      <c r="L7017" t="s">
        <v>377</v>
      </c>
    </row>
    <row r="7018" spans="1:12" x14ac:dyDescent="0.25">
      <c r="A7018" t="s">
        <v>487</v>
      </c>
      <c r="B7018" t="s">
        <v>467</v>
      </c>
      <c r="C7018" t="s">
        <v>468</v>
      </c>
      <c r="D7018" t="s">
        <v>385</v>
      </c>
      <c r="E7018" t="s">
        <v>389</v>
      </c>
      <c r="F7018">
        <v>2</v>
      </c>
      <c r="G7018" t="s">
        <v>499</v>
      </c>
      <c r="H7018" s="4">
        <v>9346816</v>
      </c>
      <c r="I7018" s="4">
        <v>17114027</v>
      </c>
      <c r="J7018" s="3">
        <v>0.831000738647257</v>
      </c>
      <c r="K7018" s="3">
        <v>-0.45385057532046663</v>
      </c>
      <c r="L7018" t="s">
        <v>377</v>
      </c>
    </row>
    <row r="7019" spans="1:12" x14ac:dyDescent="0.25">
      <c r="A7019" t="s">
        <v>487</v>
      </c>
      <c r="B7019" t="s">
        <v>467</v>
      </c>
      <c r="C7019" t="s">
        <v>468</v>
      </c>
      <c r="D7019" t="s">
        <v>385</v>
      </c>
      <c r="E7019" t="s">
        <v>391</v>
      </c>
      <c r="F7019">
        <v>3</v>
      </c>
      <c r="G7019" t="s">
        <v>488</v>
      </c>
      <c r="H7019" s="4">
        <v>6882701</v>
      </c>
      <c r="I7019" s="4">
        <v>8667889.57042293</v>
      </c>
      <c r="J7019" s="3">
        <v>0.2593732562874561</v>
      </c>
      <c r="K7019" s="3">
        <v>-0.20595423556322792</v>
      </c>
      <c r="L7019" t="s">
        <v>377</v>
      </c>
    </row>
    <row r="7020" spans="1:12" x14ac:dyDescent="0.25">
      <c r="A7020" t="s">
        <v>487</v>
      </c>
      <c r="B7020" t="s">
        <v>467</v>
      </c>
      <c r="C7020" t="s">
        <v>468</v>
      </c>
      <c r="D7020" t="s">
        <v>385</v>
      </c>
      <c r="E7020" t="s">
        <v>391</v>
      </c>
      <c r="F7020">
        <v>3</v>
      </c>
      <c r="G7020" t="s">
        <v>498</v>
      </c>
      <c r="H7020" s="4">
        <v>6882701</v>
      </c>
      <c r="I7020" s="4">
        <v>10801810</v>
      </c>
      <c r="J7020" s="3">
        <v>0.5694143912397183</v>
      </c>
      <c r="K7020" s="3">
        <v>-0.36281965707599007</v>
      </c>
      <c r="L7020" t="s">
        <v>377</v>
      </c>
    </row>
    <row r="7021" spans="1:12" x14ac:dyDescent="0.25">
      <c r="A7021" t="s">
        <v>487</v>
      </c>
      <c r="B7021" t="s">
        <v>467</v>
      </c>
      <c r="C7021" t="s">
        <v>468</v>
      </c>
      <c r="D7021" t="s">
        <v>385</v>
      </c>
      <c r="E7021" t="s">
        <v>391</v>
      </c>
      <c r="F7021">
        <v>3</v>
      </c>
      <c r="G7021" t="s">
        <v>499</v>
      </c>
      <c r="H7021" s="4">
        <v>6882701</v>
      </c>
      <c r="I7021" s="4">
        <v>17114027</v>
      </c>
      <c r="J7021" s="3">
        <v>1.4865277454301735</v>
      </c>
      <c r="K7021" s="3">
        <v>-0.5978327602264505</v>
      </c>
      <c r="L7021" t="s">
        <v>377</v>
      </c>
    </row>
    <row r="7022" spans="1:12" x14ac:dyDescent="0.25">
      <c r="A7022" t="s">
        <v>487</v>
      </c>
      <c r="B7022" t="s">
        <v>467</v>
      </c>
      <c r="C7022" t="s">
        <v>468</v>
      </c>
      <c r="D7022" t="s">
        <v>387</v>
      </c>
      <c r="E7022" t="s">
        <v>389</v>
      </c>
      <c r="F7022">
        <v>1</v>
      </c>
      <c r="G7022" t="s">
        <v>488</v>
      </c>
      <c r="H7022" s="4">
        <v>9346816</v>
      </c>
      <c r="I7022" s="4">
        <v>7142328.441675024</v>
      </c>
      <c r="J7022" s="3">
        <v>0.23585438702601783</v>
      </c>
      <c r="K7022" s="3">
        <v>0.3086511039539898</v>
      </c>
      <c r="L7022" t="s">
        <v>377</v>
      </c>
    </row>
    <row r="7023" spans="1:12" x14ac:dyDescent="0.25">
      <c r="A7023" t="s">
        <v>487</v>
      </c>
      <c r="B7023" t="s">
        <v>467</v>
      </c>
      <c r="C7023" t="s">
        <v>468</v>
      </c>
      <c r="D7023" t="s">
        <v>387</v>
      </c>
      <c r="E7023" t="s">
        <v>389</v>
      </c>
      <c r="F7023">
        <v>1</v>
      </c>
      <c r="G7023" t="s">
        <v>498</v>
      </c>
      <c r="H7023" s="4">
        <v>9346816</v>
      </c>
      <c r="I7023" s="4">
        <v>8607477</v>
      </c>
      <c r="J7023" s="3">
        <v>0.07910062635233217</v>
      </c>
      <c r="K7023" s="3">
        <v>0.08589497247567435</v>
      </c>
      <c r="L7023" t="s">
        <v>377</v>
      </c>
    </row>
    <row r="7024" spans="1:12" x14ac:dyDescent="0.25">
      <c r="A7024" t="s">
        <v>487</v>
      </c>
      <c r="B7024" t="s">
        <v>467</v>
      </c>
      <c r="C7024" t="s">
        <v>468</v>
      </c>
      <c r="D7024" t="s">
        <v>387</v>
      </c>
      <c r="E7024" t="s">
        <v>389</v>
      </c>
      <c r="F7024">
        <v>1</v>
      </c>
      <c r="G7024" t="s">
        <v>499</v>
      </c>
      <c r="H7024" s="4">
        <v>9346816</v>
      </c>
      <c r="I7024" s="4">
        <v>13165051</v>
      </c>
      <c r="J7024" s="3">
        <v>0.4085064903385281</v>
      </c>
      <c r="K7024" s="3">
        <v>-0.29002812066584477</v>
      </c>
      <c r="L7024" t="s">
        <v>377</v>
      </c>
    </row>
    <row r="7025" spans="1:12" x14ac:dyDescent="0.25">
      <c r="A7025" t="s">
        <v>487</v>
      </c>
      <c r="B7025" t="s">
        <v>467</v>
      </c>
      <c r="C7025" t="s">
        <v>468</v>
      </c>
      <c r="D7025" t="s">
        <v>387</v>
      </c>
      <c r="E7025" t="s">
        <v>391</v>
      </c>
      <c r="F7025">
        <v>2</v>
      </c>
      <c r="G7025" t="s">
        <v>488</v>
      </c>
      <c r="H7025" s="4">
        <v>6882701</v>
      </c>
      <c r="I7025" s="4">
        <v>8963146.202373784</v>
      </c>
      <c r="J7025" s="3">
        <v>0.3022716230697489</v>
      </c>
      <c r="K7025" s="3">
        <v>-0.2321110417481311</v>
      </c>
      <c r="L7025" t="s">
        <v>377</v>
      </c>
    </row>
    <row r="7026" spans="1:12" x14ac:dyDescent="0.25">
      <c r="A7026" t="s">
        <v>487</v>
      </c>
      <c r="B7026" t="s">
        <v>467</v>
      </c>
      <c r="C7026" t="s">
        <v>468</v>
      </c>
      <c r="D7026" t="s">
        <v>387</v>
      </c>
      <c r="E7026" t="s">
        <v>391</v>
      </c>
      <c r="F7026">
        <v>2</v>
      </c>
      <c r="G7026" t="s">
        <v>498</v>
      </c>
      <c r="H7026" s="4">
        <v>6882701</v>
      </c>
      <c r="I7026" s="4">
        <v>10801810</v>
      </c>
      <c r="J7026" s="3">
        <v>0.5694143912397183</v>
      </c>
      <c r="K7026" s="3">
        <v>-0.36281965707599007</v>
      </c>
      <c r="L7026" t="s">
        <v>377</v>
      </c>
    </row>
    <row r="7027" spans="1:12" x14ac:dyDescent="0.25">
      <c r="A7027" t="s">
        <v>487</v>
      </c>
      <c r="B7027" t="s">
        <v>467</v>
      </c>
      <c r="C7027" t="s">
        <v>468</v>
      </c>
      <c r="D7027" t="s">
        <v>387</v>
      </c>
      <c r="E7027" t="s">
        <v>391</v>
      </c>
      <c r="F7027">
        <v>2</v>
      </c>
      <c r="G7027" t="s">
        <v>499</v>
      </c>
      <c r="H7027" s="4">
        <v>6882701</v>
      </c>
      <c r="I7027" s="4">
        <v>13165051</v>
      </c>
      <c r="J7027" s="3">
        <v>0.9127739240742843</v>
      </c>
      <c r="K7027" s="3">
        <v>-0.4771990628824757</v>
      </c>
      <c r="L7027" t="s">
        <v>377</v>
      </c>
    </row>
    <row r="7028" spans="1:12" x14ac:dyDescent="0.25">
      <c r="A7028" t="s">
        <v>487</v>
      </c>
      <c r="B7028" t="s">
        <v>467</v>
      </c>
      <c r="C7028" t="s">
        <v>468</v>
      </c>
      <c r="D7028" t="s">
        <v>387</v>
      </c>
      <c r="E7028" t="s">
        <v>393</v>
      </c>
      <c r="F7028">
        <v>3</v>
      </c>
      <c r="G7028" t="s">
        <v>488</v>
      </c>
      <c r="H7028" s="4">
        <v>10443684</v>
      </c>
      <c r="I7028" s="4">
        <v>10064397.86183178</v>
      </c>
      <c r="J7028" s="3">
        <v>0.036317274456812314</v>
      </c>
      <c r="K7028" s="3">
        <v>0.037685924520792655</v>
      </c>
      <c r="L7028" t="s">
        <v>377</v>
      </c>
    </row>
    <row r="7029" spans="1:12" x14ac:dyDescent="0.25">
      <c r="A7029" t="s">
        <v>487</v>
      </c>
      <c r="B7029" t="s">
        <v>467</v>
      </c>
      <c r="C7029" t="s">
        <v>468</v>
      </c>
      <c r="D7029" t="s">
        <v>387</v>
      </c>
      <c r="E7029" t="s">
        <v>393</v>
      </c>
      <c r="F7029">
        <v>3</v>
      </c>
      <c r="G7029" t="s">
        <v>498</v>
      </c>
      <c r="H7029" s="4">
        <v>10443684</v>
      </c>
      <c r="I7029" s="4">
        <v>12128968</v>
      </c>
      <c r="J7029" s="3">
        <v>0.1613687277401346</v>
      </c>
      <c r="K7029" s="3">
        <v>-0.1389470233576344</v>
      </c>
      <c r="L7029" t="s">
        <v>377</v>
      </c>
    </row>
    <row r="7030" spans="1:12" x14ac:dyDescent="0.25">
      <c r="A7030" t="s">
        <v>487</v>
      </c>
      <c r="B7030" t="s">
        <v>467</v>
      </c>
      <c r="C7030" t="s">
        <v>468</v>
      </c>
      <c r="D7030" t="s">
        <v>387</v>
      </c>
      <c r="E7030" t="s">
        <v>393</v>
      </c>
      <c r="F7030">
        <v>3</v>
      </c>
      <c r="G7030" t="s">
        <v>499</v>
      </c>
      <c r="H7030" s="4">
        <v>10443684</v>
      </c>
      <c r="I7030" s="4">
        <v>13165051</v>
      </c>
      <c r="J7030" s="3">
        <v>0.26057538699945343</v>
      </c>
      <c r="K7030" s="3">
        <v>-0.20671146659439452</v>
      </c>
      <c r="L7030" t="s">
        <v>377</v>
      </c>
    </row>
    <row r="7031" spans="1:12" x14ac:dyDescent="0.25">
      <c r="A7031" t="s">
        <v>487</v>
      </c>
      <c r="B7031" t="s">
        <v>467</v>
      </c>
      <c r="C7031" t="s">
        <v>468</v>
      </c>
      <c r="D7031" t="s">
        <v>389</v>
      </c>
      <c r="E7031" t="s">
        <v>391</v>
      </c>
      <c r="F7031">
        <v>1</v>
      </c>
      <c r="G7031" t="s">
        <v>488</v>
      </c>
      <c r="H7031" s="4">
        <v>6882701</v>
      </c>
      <c r="I7031" s="4">
        <v>9440718.175386934</v>
      </c>
      <c r="J7031" s="3">
        <v>0.3716589134682639</v>
      </c>
      <c r="K7031" s="3">
        <v>-0.2709557819505709</v>
      </c>
      <c r="L7031" t="s">
        <v>377</v>
      </c>
    </row>
    <row r="7032" spans="1:12" x14ac:dyDescent="0.25">
      <c r="A7032" t="s">
        <v>487</v>
      </c>
      <c r="B7032" t="s">
        <v>467</v>
      </c>
      <c r="C7032" t="s">
        <v>468</v>
      </c>
      <c r="D7032" t="s">
        <v>389</v>
      </c>
      <c r="E7032" t="s">
        <v>391</v>
      </c>
      <c r="F7032">
        <v>1</v>
      </c>
      <c r="G7032" t="s">
        <v>498</v>
      </c>
      <c r="H7032" s="4">
        <v>6882701</v>
      </c>
      <c r="I7032" s="4">
        <v>10801810</v>
      </c>
      <c r="J7032" s="3">
        <v>0.5694143912397183</v>
      </c>
      <c r="K7032" s="3">
        <v>-0.36281965707599007</v>
      </c>
      <c r="L7032" t="s">
        <v>377</v>
      </c>
    </row>
    <row r="7033" spans="1:12" x14ac:dyDescent="0.25">
      <c r="A7033" t="s">
        <v>487</v>
      </c>
      <c r="B7033" t="s">
        <v>467</v>
      </c>
      <c r="C7033" t="s">
        <v>468</v>
      </c>
      <c r="D7033" t="s">
        <v>389</v>
      </c>
      <c r="E7033" t="s">
        <v>391</v>
      </c>
      <c r="F7033">
        <v>1</v>
      </c>
      <c r="G7033" t="s">
        <v>499</v>
      </c>
      <c r="H7033" s="4">
        <v>6882701</v>
      </c>
      <c r="I7033" s="4">
        <v>9346816</v>
      </c>
      <c r="J7033" s="3">
        <v>0.35801569761638635</v>
      </c>
      <c r="K7033" s="3">
        <v>-0.26363148691490235</v>
      </c>
      <c r="L7033" t="s">
        <v>377</v>
      </c>
    </row>
    <row r="7034" spans="1:12" x14ac:dyDescent="0.25">
      <c r="A7034" t="s">
        <v>487</v>
      </c>
      <c r="B7034" t="s">
        <v>467</v>
      </c>
      <c r="C7034" t="s">
        <v>468</v>
      </c>
      <c r="D7034" t="s">
        <v>389</v>
      </c>
      <c r="E7034" t="s">
        <v>393</v>
      </c>
      <c r="F7034">
        <v>2</v>
      </c>
      <c r="G7034" t="s">
        <v>488</v>
      </c>
      <c r="H7034" s="4">
        <v>10443684</v>
      </c>
      <c r="I7034" s="4">
        <v>10600646.432985444</v>
      </c>
      <c r="J7034" s="3">
        <v>0.015029412320924649</v>
      </c>
      <c r="K7034" s="3">
        <v>-0.014806873710742047</v>
      </c>
      <c r="L7034" t="s">
        <v>377</v>
      </c>
    </row>
    <row r="7035" spans="1:12" x14ac:dyDescent="0.25">
      <c r="A7035" t="s">
        <v>487</v>
      </c>
      <c r="B7035" t="s">
        <v>467</v>
      </c>
      <c r="C7035" t="s">
        <v>468</v>
      </c>
      <c r="D7035" t="s">
        <v>389</v>
      </c>
      <c r="E7035" t="s">
        <v>393</v>
      </c>
      <c r="F7035">
        <v>2</v>
      </c>
      <c r="G7035" t="s">
        <v>498</v>
      </c>
      <c r="H7035" s="4">
        <v>10443684</v>
      </c>
      <c r="I7035" s="4">
        <v>12128968</v>
      </c>
      <c r="J7035" s="3">
        <v>0.1613687277401346</v>
      </c>
      <c r="K7035" s="3">
        <v>-0.1389470233576344</v>
      </c>
      <c r="L7035" t="s">
        <v>377</v>
      </c>
    </row>
    <row r="7036" spans="1:12" x14ac:dyDescent="0.25">
      <c r="A7036" t="s">
        <v>487</v>
      </c>
      <c r="B7036" t="s">
        <v>467</v>
      </c>
      <c r="C7036" t="s">
        <v>468</v>
      </c>
      <c r="D7036" t="s">
        <v>389</v>
      </c>
      <c r="E7036" t="s">
        <v>393</v>
      </c>
      <c r="F7036">
        <v>2</v>
      </c>
      <c r="G7036" t="s">
        <v>499</v>
      </c>
      <c r="H7036" s="4">
        <v>10443684</v>
      </c>
      <c r="I7036" s="4">
        <v>9346816</v>
      </c>
      <c r="J7036" s="3">
        <v>0.10502692344961798</v>
      </c>
      <c r="K7036" s="3">
        <v>0.11735204801292762</v>
      </c>
      <c r="L7036" t="s">
        <v>377</v>
      </c>
    </row>
    <row r="7037" spans="1:12" x14ac:dyDescent="0.25">
      <c r="A7037" t="s">
        <v>487</v>
      </c>
      <c r="B7037" t="s">
        <v>467</v>
      </c>
      <c r="C7037" t="s">
        <v>468</v>
      </c>
      <c r="D7037" t="s">
        <v>389</v>
      </c>
      <c r="E7037" t="s">
        <v>395</v>
      </c>
      <c r="F7037">
        <v>3</v>
      </c>
      <c r="G7037" t="s">
        <v>488</v>
      </c>
      <c r="H7037" s="4">
        <v>12091152</v>
      </c>
      <c r="I7037" s="4">
        <v>12108172.630833736</v>
      </c>
      <c r="J7037" s="3">
        <v>0.0014076930662798458</v>
      </c>
      <c r="K7037" s="3">
        <v>-0.0014057142520740305</v>
      </c>
      <c r="L7037" t="s">
        <v>377</v>
      </c>
    </row>
    <row r="7038" spans="1:12" x14ac:dyDescent="0.25">
      <c r="A7038" t="s">
        <v>487</v>
      </c>
      <c r="B7038" t="s">
        <v>467</v>
      </c>
      <c r="C7038" t="s">
        <v>468</v>
      </c>
      <c r="D7038" t="s">
        <v>389</v>
      </c>
      <c r="E7038" t="s">
        <v>395</v>
      </c>
      <c r="F7038">
        <v>3</v>
      </c>
      <c r="G7038" t="s">
        <v>498</v>
      </c>
      <c r="H7038" s="4">
        <v>12091152</v>
      </c>
      <c r="I7038" s="4">
        <v>13853838</v>
      </c>
      <c r="J7038" s="3">
        <v>0.14578313133438403</v>
      </c>
      <c r="K7038" s="3">
        <v>-0.1272344890996993</v>
      </c>
      <c r="L7038" t="s">
        <v>377</v>
      </c>
    </row>
    <row r="7039" spans="1:12" x14ac:dyDescent="0.25">
      <c r="A7039" t="s">
        <v>487</v>
      </c>
      <c r="B7039" t="s">
        <v>467</v>
      </c>
      <c r="C7039" t="s">
        <v>468</v>
      </c>
      <c r="D7039" t="s">
        <v>389</v>
      </c>
      <c r="E7039" t="s">
        <v>395</v>
      </c>
      <c r="F7039">
        <v>3</v>
      </c>
      <c r="G7039" t="s">
        <v>499</v>
      </c>
      <c r="H7039" s="4">
        <v>12091152</v>
      </c>
      <c r="I7039" s="4">
        <v>9346816</v>
      </c>
      <c r="J7039" s="3">
        <v>0.22697059800422656</v>
      </c>
      <c r="K7039" s="3">
        <v>0.2936118567007203</v>
      </c>
      <c r="L7039" t="s">
        <v>377</v>
      </c>
    </row>
    <row r="7040" spans="1:12" x14ac:dyDescent="0.25">
      <c r="A7040" t="s">
        <v>487</v>
      </c>
      <c r="B7040" t="s">
        <v>467</v>
      </c>
      <c r="C7040" t="s">
        <v>468</v>
      </c>
      <c r="D7040" t="s">
        <v>391</v>
      </c>
      <c r="E7040" t="s">
        <v>393</v>
      </c>
      <c r="F7040">
        <v>1</v>
      </c>
      <c r="G7040" t="s">
        <v>488</v>
      </c>
      <c r="H7040" s="4">
        <v>10443684</v>
      </c>
      <c r="I7040" s="4">
        <v>10271069.043623554</v>
      </c>
      <c r="J7040" s="3">
        <v>0.016528167299627833</v>
      </c>
      <c r="K7040" s="3">
        <v>0.016805938665518813</v>
      </c>
      <c r="L7040" t="s">
        <v>377</v>
      </c>
    </row>
    <row r="7041" spans="1:12" x14ac:dyDescent="0.25">
      <c r="A7041" t="s">
        <v>487</v>
      </c>
      <c r="B7041" t="s">
        <v>467</v>
      </c>
      <c r="C7041" t="s">
        <v>468</v>
      </c>
      <c r="D7041" t="s">
        <v>391</v>
      </c>
      <c r="E7041" t="s">
        <v>393</v>
      </c>
      <c r="F7041">
        <v>1</v>
      </c>
      <c r="G7041" t="s">
        <v>498</v>
      </c>
      <c r="H7041" s="4">
        <v>10443684</v>
      </c>
      <c r="I7041" s="4">
        <v>12128968</v>
      </c>
      <c r="J7041" s="3">
        <v>0.1613687277401346</v>
      </c>
      <c r="K7041" s="3">
        <v>-0.1389470233576344</v>
      </c>
      <c r="L7041" t="s">
        <v>377</v>
      </c>
    </row>
    <row r="7042" spans="1:12" x14ac:dyDescent="0.25">
      <c r="A7042" t="s">
        <v>487</v>
      </c>
      <c r="B7042" t="s">
        <v>467</v>
      </c>
      <c r="C7042" t="s">
        <v>468</v>
      </c>
      <c r="D7042" t="s">
        <v>391</v>
      </c>
      <c r="E7042" t="s">
        <v>393</v>
      </c>
      <c r="F7042">
        <v>1</v>
      </c>
      <c r="G7042" t="s">
        <v>499</v>
      </c>
      <c r="H7042" s="4">
        <v>10443684</v>
      </c>
      <c r="I7042" s="4">
        <v>6882701</v>
      </c>
      <c r="J7042" s="3">
        <v>0.3409700063693999</v>
      </c>
      <c r="K7042" s="3">
        <v>0.5173816209653739</v>
      </c>
      <c r="L7042" t="s">
        <v>377</v>
      </c>
    </row>
    <row r="7043" spans="1:12" x14ac:dyDescent="0.25">
      <c r="A7043" t="s">
        <v>487</v>
      </c>
      <c r="B7043" t="s">
        <v>467</v>
      </c>
      <c r="C7043" t="s">
        <v>468</v>
      </c>
      <c r="D7043" t="s">
        <v>391</v>
      </c>
      <c r="E7043" t="s">
        <v>395</v>
      </c>
      <c r="F7043">
        <v>2</v>
      </c>
      <c r="G7043" t="s">
        <v>488</v>
      </c>
      <c r="H7043" s="4">
        <v>12091152</v>
      </c>
      <c r="I7043" s="4">
        <v>11731725.783856932</v>
      </c>
      <c r="J7043" s="3">
        <v>0.029726383072768245</v>
      </c>
      <c r="K7043" s="3">
        <v>0.030637113649352846</v>
      </c>
      <c r="L7043" t="s">
        <v>377</v>
      </c>
    </row>
    <row r="7044" spans="1:12" x14ac:dyDescent="0.25">
      <c r="A7044" t="s">
        <v>487</v>
      </c>
      <c r="B7044" t="s">
        <v>467</v>
      </c>
      <c r="C7044" t="s">
        <v>468</v>
      </c>
      <c r="D7044" t="s">
        <v>391</v>
      </c>
      <c r="E7044" t="s">
        <v>395</v>
      </c>
      <c r="F7044">
        <v>2</v>
      </c>
      <c r="G7044" t="s">
        <v>498</v>
      </c>
      <c r="H7044" s="4">
        <v>12091152</v>
      </c>
      <c r="I7044" s="4">
        <v>13853838</v>
      </c>
      <c r="J7044" s="3">
        <v>0.14578313133438403</v>
      </c>
      <c r="K7044" s="3">
        <v>-0.1272344890996993</v>
      </c>
      <c r="L7044" t="s">
        <v>377</v>
      </c>
    </row>
    <row r="7045" spans="1:12" x14ac:dyDescent="0.25">
      <c r="A7045" t="s">
        <v>487</v>
      </c>
      <c r="B7045" t="s">
        <v>467</v>
      </c>
      <c r="C7045" t="s">
        <v>468</v>
      </c>
      <c r="D7045" t="s">
        <v>391</v>
      </c>
      <c r="E7045" t="s">
        <v>395</v>
      </c>
      <c r="F7045">
        <v>2</v>
      </c>
      <c r="G7045" t="s">
        <v>499</v>
      </c>
      <c r="H7045" s="4">
        <v>12091152</v>
      </c>
      <c r="I7045" s="4">
        <v>6882701</v>
      </c>
      <c r="J7045" s="3">
        <v>0.4307654886813101</v>
      </c>
      <c r="K7045" s="3">
        <v>0.7567452080222575</v>
      </c>
      <c r="L7045" t="s">
        <v>377</v>
      </c>
    </row>
    <row r="7046" spans="1:12" x14ac:dyDescent="0.25">
      <c r="A7046" t="s">
        <v>487</v>
      </c>
      <c r="B7046" t="s">
        <v>467</v>
      </c>
      <c r="C7046" t="s">
        <v>468</v>
      </c>
      <c r="D7046" t="s">
        <v>391</v>
      </c>
      <c r="E7046" t="s">
        <v>397</v>
      </c>
      <c r="F7046">
        <v>3</v>
      </c>
      <c r="G7046" t="s">
        <v>488</v>
      </c>
      <c r="H7046" s="4">
        <v>13869586</v>
      </c>
      <c r="I7046" s="4">
        <v>9705306.00672025</v>
      </c>
      <c r="J7046" s="3">
        <v>0.3002454430348353</v>
      </c>
      <c r="K7046" s="3">
        <v>0.42907250841923733</v>
      </c>
      <c r="L7046" t="s">
        <v>377</v>
      </c>
    </row>
    <row r="7047" spans="1:12" x14ac:dyDescent="0.25">
      <c r="A7047" t="s">
        <v>487</v>
      </c>
      <c r="B7047" t="s">
        <v>467</v>
      </c>
      <c r="C7047" t="s">
        <v>468</v>
      </c>
      <c r="D7047" t="s">
        <v>391</v>
      </c>
      <c r="E7047" t="s">
        <v>397</v>
      </c>
      <c r="F7047">
        <v>3</v>
      </c>
      <c r="G7047" t="s">
        <v>498</v>
      </c>
      <c r="H7047" s="4">
        <v>13869586</v>
      </c>
      <c r="I7047" s="4">
        <v>11460866</v>
      </c>
      <c r="J7047" s="3">
        <v>0.173669206853038</v>
      </c>
      <c r="K7047" s="3">
        <v>0.2101691093849278</v>
      </c>
      <c r="L7047" t="s">
        <v>377</v>
      </c>
    </row>
    <row r="7048" spans="1:12" x14ac:dyDescent="0.25">
      <c r="A7048" t="s">
        <v>487</v>
      </c>
      <c r="B7048" t="s">
        <v>467</v>
      </c>
      <c r="C7048" t="s">
        <v>468</v>
      </c>
      <c r="D7048" t="s">
        <v>391</v>
      </c>
      <c r="E7048" t="s">
        <v>397</v>
      </c>
      <c r="F7048">
        <v>3</v>
      </c>
      <c r="G7048" t="s">
        <v>499</v>
      </c>
      <c r="H7048" s="4">
        <v>13869586</v>
      </c>
      <c r="I7048" s="4">
        <v>6882701</v>
      </c>
      <c r="J7048" s="3">
        <v>0.5037558439019016</v>
      </c>
      <c r="K7048" s="3">
        <v>1.0151370806315718</v>
      </c>
      <c r="L7048" t="s">
        <v>377</v>
      </c>
    </row>
    <row r="7049" spans="1:12" x14ac:dyDescent="0.25">
      <c r="A7049" t="s">
        <v>487</v>
      </c>
      <c r="B7049" t="s">
        <v>467</v>
      </c>
      <c r="C7049" t="s">
        <v>468</v>
      </c>
      <c r="D7049" t="s">
        <v>393</v>
      </c>
      <c r="E7049" t="s">
        <v>395</v>
      </c>
      <c r="F7049">
        <v>1</v>
      </c>
      <c r="G7049" t="s">
        <v>488</v>
      </c>
      <c r="H7049" s="4">
        <v>12091152</v>
      </c>
      <c r="I7049" s="4">
        <v>11502108.121672928</v>
      </c>
      <c r="J7049" s="3">
        <v>0.048716936014622236</v>
      </c>
      <c r="K7049" s="3">
        <v>0.05121181892014748</v>
      </c>
      <c r="L7049" t="s">
        <v>377</v>
      </c>
    </row>
    <row r="7050" spans="1:12" x14ac:dyDescent="0.25">
      <c r="A7050" t="s">
        <v>487</v>
      </c>
      <c r="B7050" t="s">
        <v>467</v>
      </c>
      <c r="C7050" t="s">
        <v>468</v>
      </c>
      <c r="D7050" t="s">
        <v>393</v>
      </c>
      <c r="E7050" t="s">
        <v>395</v>
      </c>
      <c r="F7050">
        <v>1</v>
      </c>
      <c r="G7050" t="s">
        <v>498</v>
      </c>
      <c r="H7050" s="4">
        <v>12091152</v>
      </c>
      <c r="I7050" s="4">
        <v>13853838</v>
      </c>
      <c r="J7050" s="3">
        <v>0.14578313133438403</v>
      </c>
      <c r="K7050" s="3">
        <v>-0.1272344890996993</v>
      </c>
      <c r="L7050" t="s">
        <v>377</v>
      </c>
    </row>
    <row r="7051" spans="1:12" x14ac:dyDescent="0.25">
      <c r="A7051" t="s">
        <v>487</v>
      </c>
      <c r="B7051" t="s">
        <v>467</v>
      </c>
      <c r="C7051" t="s">
        <v>468</v>
      </c>
      <c r="D7051" t="s">
        <v>393</v>
      </c>
      <c r="E7051" t="s">
        <v>395</v>
      </c>
      <c r="F7051">
        <v>1</v>
      </c>
      <c r="G7051" t="s">
        <v>499</v>
      </c>
      <c r="H7051" s="4">
        <v>12091152</v>
      </c>
      <c r="I7051" s="4">
        <v>10443684</v>
      </c>
      <c r="J7051" s="3">
        <v>0.13625401450581384</v>
      </c>
      <c r="K7051" s="3">
        <v>0.15774778325349562</v>
      </c>
      <c r="L7051" t="s">
        <v>377</v>
      </c>
    </row>
    <row r="7052" spans="1:12" x14ac:dyDescent="0.25">
      <c r="A7052" t="s">
        <v>487</v>
      </c>
      <c r="B7052" t="s">
        <v>467</v>
      </c>
      <c r="C7052" t="s">
        <v>468</v>
      </c>
      <c r="D7052" t="s">
        <v>393</v>
      </c>
      <c r="E7052" t="s">
        <v>397</v>
      </c>
      <c r="F7052">
        <v>2</v>
      </c>
      <c r="G7052" t="s">
        <v>488</v>
      </c>
      <c r="H7052" s="4">
        <v>13869586</v>
      </c>
      <c r="I7052" s="4">
        <v>9515350.179495756</v>
      </c>
      <c r="J7052" s="3">
        <v>0.31394129720268826</v>
      </c>
      <c r="K7052" s="3">
        <v>0.45760121680934157</v>
      </c>
      <c r="L7052" t="s">
        <v>377</v>
      </c>
    </row>
    <row r="7053" spans="1:12" x14ac:dyDescent="0.25">
      <c r="A7053" t="s">
        <v>487</v>
      </c>
      <c r="B7053" t="s">
        <v>467</v>
      </c>
      <c r="C7053" t="s">
        <v>468</v>
      </c>
      <c r="D7053" t="s">
        <v>393</v>
      </c>
      <c r="E7053" t="s">
        <v>397</v>
      </c>
      <c r="F7053">
        <v>2</v>
      </c>
      <c r="G7053" t="s">
        <v>498</v>
      </c>
      <c r="H7053" s="4">
        <v>13869586</v>
      </c>
      <c r="I7053" s="4">
        <v>11460866</v>
      </c>
      <c r="J7053" s="3">
        <v>0.173669206853038</v>
      </c>
      <c r="K7053" s="3">
        <v>0.2101691093849278</v>
      </c>
      <c r="L7053" t="s">
        <v>377</v>
      </c>
    </row>
    <row r="7054" spans="1:12" x14ac:dyDescent="0.25">
      <c r="A7054" t="s">
        <v>487</v>
      </c>
      <c r="B7054" t="s">
        <v>467</v>
      </c>
      <c r="C7054" t="s">
        <v>468</v>
      </c>
      <c r="D7054" t="s">
        <v>393</v>
      </c>
      <c r="E7054" t="s">
        <v>397</v>
      </c>
      <c r="F7054">
        <v>2</v>
      </c>
      <c r="G7054" t="s">
        <v>499</v>
      </c>
      <c r="H7054" s="4">
        <v>13869586</v>
      </c>
      <c r="I7054" s="4">
        <v>10443684</v>
      </c>
      <c r="J7054" s="3">
        <v>0.24700823802527344</v>
      </c>
      <c r="K7054" s="3">
        <v>0.32803577741341083</v>
      </c>
      <c r="L7054" t="s">
        <v>377</v>
      </c>
    </row>
    <row r="7055" spans="1:12" x14ac:dyDescent="0.25">
      <c r="A7055" t="s">
        <v>487</v>
      </c>
      <c r="B7055" t="s">
        <v>467</v>
      </c>
      <c r="C7055" t="s">
        <v>468</v>
      </c>
      <c r="D7055" t="s">
        <v>393</v>
      </c>
      <c r="E7055" t="s">
        <v>399</v>
      </c>
      <c r="F7055">
        <v>3</v>
      </c>
      <c r="G7055" t="s">
        <v>488</v>
      </c>
      <c r="H7055" s="4">
        <v>10795425</v>
      </c>
      <c r="I7055" s="4">
        <v>7410805.088427299</v>
      </c>
      <c r="J7055" s="3">
        <v>0.31352354461011966</v>
      </c>
      <c r="K7055" s="3">
        <v>0.45671419922487483</v>
      </c>
      <c r="L7055" t="s">
        <v>377</v>
      </c>
    </row>
    <row r="7056" spans="1:12" x14ac:dyDescent="0.25">
      <c r="A7056" t="s">
        <v>487</v>
      </c>
      <c r="B7056" t="s">
        <v>467</v>
      </c>
      <c r="C7056" t="s">
        <v>468</v>
      </c>
      <c r="D7056" t="s">
        <v>393</v>
      </c>
      <c r="E7056" t="s">
        <v>399</v>
      </c>
      <c r="F7056">
        <v>3</v>
      </c>
      <c r="G7056" t="s">
        <v>498</v>
      </c>
      <c r="H7056" s="4">
        <v>10795425</v>
      </c>
      <c r="I7056" s="4">
        <v>8926024</v>
      </c>
      <c r="J7056" s="3">
        <v>0.17316604024389962</v>
      </c>
      <c r="K7056" s="3">
        <v>0.20943266565270272</v>
      </c>
      <c r="L7056" t="s">
        <v>377</v>
      </c>
    </row>
    <row r="7057" spans="1:12" x14ac:dyDescent="0.25">
      <c r="A7057" t="s">
        <v>487</v>
      </c>
      <c r="B7057" t="s">
        <v>467</v>
      </c>
      <c r="C7057" t="s">
        <v>468</v>
      </c>
      <c r="D7057" t="s">
        <v>393</v>
      </c>
      <c r="E7057" t="s">
        <v>399</v>
      </c>
      <c r="F7057">
        <v>3</v>
      </c>
      <c r="G7057" t="s">
        <v>499</v>
      </c>
      <c r="H7057" s="4">
        <v>10795425</v>
      </c>
      <c r="I7057" s="4">
        <v>10443684</v>
      </c>
      <c r="J7057" s="3">
        <v>0.032582413383447154</v>
      </c>
      <c r="K7057" s="3">
        <v>0.03367978196199732</v>
      </c>
      <c r="L7057" t="s">
        <v>377</v>
      </c>
    </row>
    <row r="7058" spans="1:12" x14ac:dyDescent="0.25">
      <c r="A7058" t="s">
        <v>487</v>
      </c>
      <c r="B7058" t="s">
        <v>467</v>
      </c>
      <c r="C7058" t="s">
        <v>468</v>
      </c>
      <c r="D7058" t="s">
        <v>395</v>
      </c>
      <c r="E7058" t="s">
        <v>397</v>
      </c>
      <c r="F7058">
        <v>1</v>
      </c>
      <c r="G7058" t="s">
        <v>488</v>
      </c>
      <c r="H7058" s="4">
        <v>13869586</v>
      </c>
      <c r="I7058" s="4">
        <v>9579746.18444975</v>
      </c>
      <c r="J7058" s="3">
        <v>0.3092983320158402</v>
      </c>
      <c r="K7058" s="3">
        <v>0.44780307671550823</v>
      </c>
      <c r="L7058" t="s">
        <v>377</v>
      </c>
    </row>
    <row r="7059" spans="1:12" x14ac:dyDescent="0.25">
      <c r="A7059" t="s">
        <v>487</v>
      </c>
      <c r="B7059" t="s">
        <v>467</v>
      </c>
      <c r="C7059" t="s">
        <v>468</v>
      </c>
      <c r="D7059" t="s">
        <v>395</v>
      </c>
      <c r="E7059" t="s">
        <v>397</v>
      </c>
      <c r="F7059">
        <v>1</v>
      </c>
      <c r="G7059" t="s">
        <v>498</v>
      </c>
      <c r="H7059" s="4">
        <v>13869586</v>
      </c>
      <c r="I7059" s="4">
        <v>11460866</v>
      </c>
      <c r="J7059" s="3">
        <v>0.173669206853038</v>
      </c>
      <c r="K7059" s="3">
        <v>0.2101691093849278</v>
      </c>
      <c r="L7059" t="s">
        <v>377</v>
      </c>
    </row>
    <row r="7060" spans="1:12" x14ac:dyDescent="0.25">
      <c r="A7060" t="s">
        <v>487</v>
      </c>
      <c r="B7060" t="s">
        <v>467</v>
      </c>
      <c r="C7060" t="s">
        <v>468</v>
      </c>
      <c r="D7060" t="s">
        <v>395</v>
      </c>
      <c r="E7060" t="s">
        <v>397</v>
      </c>
      <c r="F7060">
        <v>1</v>
      </c>
      <c r="G7060" t="s">
        <v>499</v>
      </c>
      <c r="H7060" s="4">
        <v>13869586</v>
      </c>
      <c r="I7060" s="4">
        <v>12091152</v>
      </c>
      <c r="J7060" s="3">
        <v>0.1282254567656165</v>
      </c>
      <c r="K7060" s="3">
        <v>0.14708557133348418</v>
      </c>
      <c r="L7060" t="s">
        <v>377</v>
      </c>
    </row>
    <row r="7061" spans="1:12" x14ac:dyDescent="0.25">
      <c r="A7061" t="s">
        <v>487</v>
      </c>
      <c r="B7061" t="s">
        <v>467</v>
      </c>
      <c r="C7061" t="s">
        <v>468</v>
      </c>
      <c r="D7061" t="s">
        <v>395</v>
      </c>
      <c r="E7061" t="s">
        <v>399</v>
      </c>
      <c r="F7061">
        <v>2</v>
      </c>
      <c r="G7061" t="s">
        <v>488</v>
      </c>
      <c r="H7061" s="4">
        <v>10795425</v>
      </c>
      <c r="I7061" s="4">
        <v>7460958.391478175</v>
      </c>
      <c r="J7061" s="3">
        <v>0.308877752244291</v>
      </c>
      <c r="K7061" s="3">
        <v>0.4469220217513096</v>
      </c>
      <c r="L7061" t="s">
        <v>377</v>
      </c>
    </row>
    <row r="7062" spans="1:12" x14ac:dyDescent="0.25">
      <c r="A7062" t="s">
        <v>487</v>
      </c>
      <c r="B7062" t="s">
        <v>467</v>
      </c>
      <c r="C7062" t="s">
        <v>468</v>
      </c>
      <c r="D7062" t="s">
        <v>395</v>
      </c>
      <c r="E7062" t="s">
        <v>399</v>
      </c>
      <c r="F7062">
        <v>2</v>
      </c>
      <c r="G7062" t="s">
        <v>498</v>
      </c>
      <c r="H7062" s="4">
        <v>10795425</v>
      </c>
      <c r="I7062" s="4">
        <v>8926024</v>
      </c>
      <c r="J7062" s="3">
        <v>0.17316604024389962</v>
      </c>
      <c r="K7062" s="3">
        <v>0.20943266565270272</v>
      </c>
      <c r="L7062" t="s">
        <v>377</v>
      </c>
    </row>
    <row r="7063" spans="1:12" x14ac:dyDescent="0.25">
      <c r="A7063" t="s">
        <v>487</v>
      </c>
      <c r="B7063" t="s">
        <v>467</v>
      </c>
      <c r="C7063" t="s">
        <v>468</v>
      </c>
      <c r="D7063" t="s">
        <v>395</v>
      </c>
      <c r="E7063" t="s">
        <v>399</v>
      </c>
      <c r="F7063">
        <v>2</v>
      </c>
      <c r="G7063" t="s">
        <v>499</v>
      </c>
      <c r="H7063" s="4">
        <v>10795425</v>
      </c>
      <c r="I7063" s="4">
        <v>12091152</v>
      </c>
      <c r="J7063" s="3">
        <v>0.12002556638576063</v>
      </c>
      <c r="K7063" s="3">
        <v>-0.10716323804381915</v>
      </c>
      <c r="L7063" t="s">
        <v>377</v>
      </c>
    </row>
    <row r="7064" spans="1:12" x14ac:dyDescent="0.25">
      <c r="A7064" t="s">
        <v>487</v>
      </c>
      <c r="B7064" t="s">
        <v>467</v>
      </c>
      <c r="C7064" t="s">
        <v>468</v>
      </c>
      <c r="D7064" t="s">
        <v>395</v>
      </c>
      <c r="E7064" t="s">
        <v>401</v>
      </c>
      <c r="F7064">
        <v>3</v>
      </c>
      <c r="G7064" t="s">
        <v>488</v>
      </c>
      <c r="H7064" s="4">
        <v>9984420</v>
      </c>
      <c r="I7064" s="4">
        <v>5787835.030093738</v>
      </c>
      <c r="J7064" s="3">
        <v>0.4203133451824204</v>
      </c>
      <c r="K7064" s="3">
        <v>0.7250699005908424</v>
      </c>
      <c r="L7064" t="s">
        <v>377</v>
      </c>
    </row>
    <row r="7065" spans="1:12" x14ac:dyDescent="0.25">
      <c r="A7065" t="s">
        <v>487</v>
      </c>
      <c r="B7065" t="s">
        <v>467</v>
      </c>
      <c r="C7065" t="s">
        <v>468</v>
      </c>
      <c r="D7065" t="s">
        <v>395</v>
      </c>
      <c r="E7065" t="s">
        <v>401</v>
      </c>
      <c r="F7065">
        <v>3</v>
      </c>
      <c r="G7065" t="s">
        <v>498</v>
      </c>
      <c r="H7065" s="4">
        <v>9984420</v>
      </c>
      <c r="I7065" s="4">
        <v>6924359</v>
      </c>
      <c r="J7065" s="3">
        <v>0.30648360145106074</v>
      </c>
      <c r="K7065" s="3">
        <v>0.4419269711463545</v>
      </c>
      <c r="L7065" t="s">
        <v>377</v>
      </c>
    </row>
    <row r="7066" spans="1:12" x14ac:dyDescent="0.25">
      <c r="A7066" t="s">
        <v>487</v>
      </c>
      <c r="B7066" t="s">
        <v>467</v>
      </c>
      <c r="C7066" t="s">
        <v>468</v>
      </c>
      <c r="D7066" t="s">
        <v>395</v>
      </c>
      <c r="E7066" t="s">
        <v>401</v>
      </c>
      <c r="F7066">
        <v>3</v>
      </c>
      <c r="G7066" t="s">
        <v>499</v>
      </c>
      <c r="H7066" s="4">
        <v>9984420</v>
      </c>
      <c r="I7066" s="4">
        <v>12091152</v>
      </c>
      <c r="J7066" s="3">
        <v>0.21100194102411557</v>
      </c>
      <c r="K7066" s="3">
        <v>-0.17423749201068683</v>
      </c>
      <c r="L7066" t="s">
        <v>377</v>
      </c>
    </row>
    <row r="7067" spans="1:12" x14ac:dyDescent="0.25">
      <c r="A7067" t="s">
        <v>487</v>
      </c>
      <c r="B7067" t="s">
        <v>467</v>
      </c>
      <c r="C7067" t="s">
        <v>468</v>
      </c>
      <c r="D7067" t="s">
        <v>397</v>
      </c>
      <c r="E7067" t="s">
        <v>399</v>
      </c>
      <c r="F7067">
        <v>1</v>
      </c>
      <c r="G7067" t="s">
        <v>488</v>
      </c>
      <c r="H7067" s="4">
        <v>10795425</v>
      </c>
      <c r="I7067" s="4">
        <v>7843032.749070174</v>
      </c>
      <c r="J7067" s="3">
        <v>0.27348550436224844</v>
      </c>
      <c r="K7067" s="3">
        <v>0.37643502779965377</v>
      </c>
      <c r="L7067" t="s">
        <v>377</v>
      </c>
    </row>
    <row r="7068" spans="1:12" x14ac:dyDescent="0.25">
      <c r="A7068" t="s">
        <v>487</v>
      </c>
      <c r="B7068" t="s">
        <v>467</v>
      </c>
      <c r="C7068" t="s">
        <v>468</v>
      </c>
      <c r="D7068" t="s">
        <v>397</v>
      </c>
      <c r="E7068" t="s">
        <v>399</v>
      </c>
      <c r="F7068">
        <v>1</v>
      </c>
      <c r="G7068" t="s">
        <v>498</v>
      </c>
      <c r="H7068" s="4">
        <v>10795425</v>
      </c>
      <c r="I7068" s="4">
        <v>8926024</v>
      </c>
      <c r="J7068" s="3">
        <v>0.17316604024389962</v>
      </c>
      <c r="K7068" s="3">
        <v>0.20943266565270272</v>
      </c>
      <c r="L7068" t="s">
        <v>377</v>
      </c>
    </row>
    <row r="7069" spans="1:12" x14ac:dyDescent="0.25">
      <c r="A7069" t="s">
        <v>487</v>
      </c>
      <c r="B7069" t="s">
        <v>467</v>
      </c>
      <c r="C7069" t="s">
        <v>468</v>
      </c>
      <c r="D7069" t="s">
        <v>397</v>
      </c>
      <c r="E7069" t="s">
        <v>399</v>
      </c>
      <c r="F7069">
        <v>1</v>
      </c>
      <c r="G7069" t="s">
        <v>499</v>
      </c>
      <c r="H7069" s="4">
        <v>10795425</v>
      </c>
      <c r="I7069" s="4">
        <v>13869586</v>
      </c>
      <c r="J7069" s="3">
        <v>0.28476516672571944</v>
      </c>
      <c r="K7069" s="3">
        <v>-0.22164763966278445</v>
      </c>
      <c r="L7069" t="s">
        <v>377</v>
      </c>
    </row>
    <row r="7070" spans="1:12" x14ac:dyDescent="0.25">
      <c r="A7070" t="s">
        <v>487</v>
      </c>
      <c r="B7070" t="s">
        <v>467</v>
      </c>
      <c r="C7070" t="s">
        <v>468</v>
      </c>
      <c r="D7070" t="s">
        <v>397</v>
      </c>
      <c r="E7070" t="s">
        <v>401</v>
      </c>
      <c r="F7070">
        <v>2</v>
      </c>
      <c r="G7070" t="s">
        <v>488</v>
      </c>
      <c r="H7070" s="4">
        <v>9984420</v>
      </c>
      <c r="I7070" s="4">
        <v>6084229.036726632</v>
      </c>
      <c r="J7070" s="3">
        <v>0.39062769427501726</v>
      </c>
      <c r="K7070" s="3">
        <v>0.641032896646459</v>
      </c>
      <c r="L7070" t="s">
        <v>377</v>
      </c>
    </row>
    <row r="7071" spans="1:12" x14ac:dyDescent="0.25">
      <c r="A7071" t="s">
        <v>487</v>
      </c>
      <c r="B7071" t="s">
        <v>467</v>
      </c>
      <c r="C7071" t="s">
        <v>468</v>
      </c>
      <c r="D7071" t="s">
        <v>397</v>
      </c>
      <c r="E7071" t="s">
        <v>401</v>
      </c>
      <c r="F7071">
        <v>2</v>
      </c>
      <c r="G7071" t="s">
        <v>498</v>
      </c>
      <c r="H7071" s="4">
        <v>9984420</v>
      </c>
      <c r="I7071" s="4">
        <v>6924359</v>
      </c>
      <c r="J7071" s="3">
        <v>0.30648360145106074</v>
      </c>
      <c r="K7071" s="3">
        <v>0.4419269711463545</v>
      </c>
      <c r="L7071" t="s">
        <v>377</v>
      </c>
    </row>
    <row r="7072" spans="1:12" x14ac:dyDescent="0.25">
      <c r="A7072" t="s">
        <v>487</v>
      </c>
      <c r="B7072" t="s">
        <v>467</v>
      </c>
      <c r="C7072" t="s">
        <v>468</v>
      </c>
      <c r="D7072" t="s">
        <v>397</v>
      </c>
      <c r="E7072" t="s">
        <v>401</v>
      </c>
      <c r="F7072">
        <v>2</v>
      </c>
      <c r="G7072" t="s">
        <v>499</v>
      </c>
      <c r="H7072" s="4">
        <v>9984420</v>
      </c>
      <c r="I7072" s="4">
        <v>13869586</v>
      </c>
      <c r="J7072" s="3">
        <v>0.38912285340560593</v>
      </c>
      <c r="K7072" s="3">
        <v>-0.28012126677753757</v>
      </c>
      <c r="L7072" t="s">
        <v>377</v>
      </c>
    </row>
    <row r="7073" spans="1:12" x14ac:dyDescent="0.25">
      <c r="A7073" t="s">
        <v>487</v>
      </c>
      <c r="B7073" t="s">
        <v>467</v>
      </c>
      <c r="C7073" t="s">
        <v>468</v>
      </c>
      <c r="D7073" t="s">
        <v>397</v>
      </c>
      <c r="E7073" t="s">
        <v>403</v>
      </c>
      <c r="F7073">
        <v>3</v>
      </c>
      <c r="G7073" t="s">
        <v>488</v>
      </c>
      <c r="H7073" s="4">
        <v>6928477</v>
      </c>
      <c r="I7073" s="4">
        <v>6544092.593966857</v>
      </c>
      <c r="J7073" s="3">
        <v>0.05547891781024075</v>
      </c>
      <c r="K7073" s="3">
        <v>0.05873761725002422</v>
      </c>
      <c r="L7073" t="s">
        <v>377</v>
      </c>
    </row>
    <row r="7074" spans="1:12" x14ac:dyDescent="0.25">
      <c r="A7074" t="s">
        <v>487</v>
      </c>
      <c r="B7074" t="s">
        <v>467</v>
      </c>
      <c r="C7074" t="s">
        <v>468</v>
      </c>
      <c r="D7074" t="s">
        <v>397</v>
      </c>
      <c r="E7074" t="s">
        <v>403</v>
      </c>
      <c r="F7074">
        <v>3</v>
      </c>
      <c r="G7074" t="s">
        <v>498</v>
      </c>
      <c r="H7074" s="4">
        <v>6928477</v>
      </c>
      <c r="I7074" s="4">
        <v>7447722</v>
      </c>
      <c r="J7074" s="3">
        <v>0.07494359871585055</v>
      </c>
      <c r="K7074" s="3">
        <v>-0.06971863342912102</v>
      </c>
      <c r="L7074" t="s">
        <v>377</v>
      </c>
    </row>
    <row r="7075" spans="1:12" x14ac:dyDescent="0.25">
      <c r="A7075" t="s">
        <v>487</v>
      </c>
      <c r="B7075" t="s">
        <v>467</v>
      </c>
      <c r="C7075" t="s">
        <v>468</v>
      </c>
      <c r="D7075" t="s">
        <v>397</v>
      </c>
      <c r="E7075" t="s">
        <v>403</v>
      </c>
      <c r="F7075">
        <v>3</v>
      </c>
      <c r="G7075" t="s">
        <v>499</v>
      </c>
      <c r="H7075" s="4">
        <v>6928477</v>
      </c>
      <c r="I7075" s="4">
        <v>13869586</v>
      </c>
      <c r="J7075" s="3">
        <v>1.0018232001058818</v>
      </c>
      <c r="K7075" s="3">
        <v>-0.5004553848975737</v>
      </c>
      <c r="L7075" t="s">
        <v>377</v>
      </c>
    </row>
    <row r="7076" spans="1:12" x14ac:dyDescent="0.25">
      <c r="A7076" t="s">
        <v>487</v>
      </c>
      <c r="B7076" t="s">
        <v>467</v>
      </c>
      <c r="C7076" t="s">
        <v>468</v>
      </c>
      <c r="D7076" t="s">
        <v>399</v>
      </c>
      <c r="E7076" t="s">
        <v>401</v>
      </c>
      <c r="F7076">
        <v>1</v>
      </c>
      <c r="G7076" t="s">
        <v>488</v>
      </c>
      <c r="H7076" s="4">
        <v>9984420</v>
      </c>
      <c r="I7076" s="4">
        <v>6307005.059482189</v>
      </c>
      <c r="J7076" s="3">
        <v>0.36831532933488487</v>
      </c>
      <c r="K7076" s="3">
        <v>0.5830683352614482</v>
      </c>
      <c r="L7076" t="s">
        <v>377</v>
      </c>
    </row>
    <row r="7077" spans="1:12" x14ac:dyDescent="0.25">
      <c r="A7077" t="s">
        <v>487</v>
      </c>
      <c r="B7077" t="s">
        <v>467</v>
      </c>
      <c r="C7077" t="s">
        <v>468</v>
      </c>
      <c r="D7077" t="s">
        <v>399</v>
      </c>
      <c r="E7077" t="s">
        <v>401</v>
      </c>
      <c r="F7077">
        <v>1</v>
      </c>
      <c r="G7077" t="s">
        <v>498</v>
      </c>
      <c r="H7077" s="4">
        <v>9984420</v>
      </c>
      <c r="I7077" s="4">
        <v>6924359</v>
      </c>
      <c r="J7077" s="3">
        <v>0.30648360145106074</v>
      </c>
      <c r="K7077" s="3">
        <v>0.4419269711463545</v>
      </c>
      <c r="L7077" t="s">
        <v>377</v>
      </c>
    </row>
    <row r="7078" spans="1:12" x14ac:dyDescent="0.25">
      <c r="A7078" t="s">
        <v>487</v>
      </c>
      <c r="B7078" t="s">
        <v>467</v>
      </c>
      <c r="C7078" t="s">
        <v>468</v>
      </c>
      <c r="D7078" t="s">
        <v>399</v>
      </c>
      <c r="E7078" t="s">
        <v>401</v>
      </c>
      <c r="F7078">
        <v>1</v>
      </c>
      <c r="G7078" t="s">
        <v>499</v>
      </c>
      <c r="H7078" s="4">
        <v>9984420</v>
      </c>
      <c r="I7078" s="4">
        <v>10795425</v>
      </c>
      <c r="J7078" s="3">
        <v>0.08122705174662123</v>
      </c>
      <c r="K7078" s="3">
        <v>-0.07512487928914331</v>
      </c>
      <c r="L7078" t="s">
        <v>377</v>
      </c>
    </row>
    <row r="7079" spans="1:12" x14ac:dyDescent="0.25">
      <c r="A7079" t="s">
        <v>487</v>
      </c>
      <c r="B7079" t="s">
        <v>467</v>
      </c>
      <c r="C7079" t="s">
        <v>468</v>
      </c>
      <c r="D7079" t="s">
        <v>399</v>
      </c>
      <c r="E7079" t="s">
        <v>403</v>
      </c>
      <c r="F7079">
        <v>2</v>
      </c>
      <c r="G7079" t="s">
        <v>488</v>
      </c>
      <c r="H7079" s="4">
        <v>6928477</v>
      </c>
      <c r="I7079" s="4">
        <v>6783706.670266057</v>
      </c>
      <c r="J7079" s="3">
        <v>0.02089497154049045</v>
      </c>
      <c r="K7079" s="3">
        <v>0.02134088880471371</v>
      </c>
      <c r="L7079" t="s">
        <v>377</v>
      </c>
    </row>
    <row r="7080" spans="1:12" x14ac:dyDescent="0.25">
      <c r="A7080" t="s">
        <v>487</v>
      </c>
      <c r="B7080" t="s">
        <v>467</v>
      </c>
      <c r="C7080" t="s">
        <v>468</v>
      </c>
      <c r="D7080" t="s">
        <v>399</v>
      </c>
      <c r="E7080" t="s">
        <v>403</v>
      </c>
      <c r="F7080">
        <v>2</v>
      </c>
      <c r="G7080" t="s">
        <v>498</v>
      </c>
      <c r="H7080" s="4">
        <v>6928477</v>
      </c>
      <c r="I7080" s="4">
        <v>7447722</v>
      </c>
      <c r="J7080" s="3">
        <v>0.07494359871585055</v>
      </c>
      <c r="K7080" s="3">
        <v>-0.06971863342912102</v>
      </c>
      <c r="L7080" t="s">
        <v>377</v>
      </c>
    </row>
    <row r="7081" spans="1:12" x14ac:dyDescent="0.25">
      <c r="A7081" t="s">
        <v>487</v>
      </c>
      <c r="B7081" t="s">
        <v>467</v>
      </c>
      <c r="C7081" t="s">
        <v>468</v>
      </c>
      <c r="D7081" t="s">
        <v>399</v>
      </c>
      <c r="E7081" t="s">
        <v>403</v>
      </c>
      <c r="F7081">
        <v>2</v>
      </c>
      <c r="G7081" t="s">
        <v>499</v>
      </c>
      <c r="H7081" s="4">
        <v>6928477</v>
      </c>
      <c r="I7081" s="4">
        <v>10795425</v>
      </c>
      <c r="J7081" s="3">
        <v>0.5581238127802113</v>
      </c>
      <c r="K7081" s="3">
        <v>-0.35820247929099597</v>
      </c>
      <c r="L7081" t="s">
        <v>377</v>
      </c>
    </row>
    <row r="7082" spans="1:12" x14ac:dyDescent="0.25">
      <c r="A7082" t="s">
        <v>487</v>
      </c>
      <c r="B7082" t="s">
        <v>467</v>
      </c>
      <c r="C7082" t="s">
        <v>468</v>
      </c>
      <c r="D7082" t="s">
        <v>399</v>
      </c>
      <c r="E7082" t="s">
        <v>405</v>
      </c>
      <c r="F7082">
        <v>3</v>
      </c>
      <c r="G7082" t="s">
        <v>488</v>
      </c>
      <c r="H7082" s="4">
        <v>12655066</v>
      </c>
      <c r="I7082" s="4">
        <v>9884784.255444618</v>
      </c>
      <c r="J7082" s="3">
        <v>0.21890693770821756</v>
      </c>
      <c r="K7082" s="3">
        <v>0.28025717840320985</v>
      </c>
      <c r="L7082" t="s">
        <v>377</v>
      </c>
    </row>
    <row r="7083" spans="1:12" x14ac:dyDescent="0.25">
      <c r="A7083" t="s">
        <v>487</v>
      </c>
      <c r="B7083" t="s">
        <v>467</v>
      </c>
      <c r="C7083" t="s">
        <v>468</v>
      </c>
      <c r="D7083" t="s">
        <v>399</v>
      </c>
      <c r="E7083" t="s">
        <v>405</v>
      </c>
      <c r="F7083">
        <v>3</v>
      </c>
      <c r="G7083" t="s">
        <v>498</v>
      </c>
      <c r="H7083" s="4">
        <v>12655066</v>
      </c>
      <c r="I7083" s="4">
        <v>10852345</v>
      </c>
      <c r="J7083" s="3">
        <v>0.1424505411508719</v>
      </c>
      <c r="K7083" s="3">
        <v>0.16611349897188118</v>
      </c>
      <c r="L7083" t="s">
        <v>377</v>
      </c>
    </row>
    <row r="7084" spans="1:12" x14ac:dyDescent="0.25">
      <c r="A7084" t="s">
        <v>487</v>
      </c>
      <c r="B7084" t="s">
        <v>467</v>
      </c>
      <c r="C7084" t="s">
        <v>468</v>
      </c>
      <c r="D7084" t="s">
        <v>399</v>
      </c>
      <c r="E7084" t="s">
        <v>405</v>
      </c>
      <c r="F7084">
        <v>3</v>
      </c>
      <c r="G7084" t="s">
        <v>499</v>
      </c>
      <c r="H7084" s="4">
        <v>12655066</v>
      </c>
      <c r="I7084" s="4">
        <v>10795425</v>
      </c>
      <c r="J7084" s="3">
        <v>0.14694834463921405</v>
      </c>
      <c r="K7084" s="3">
        <v>0.1722619535590308</v>
      </c>
      <c r="L7084" t="s">
        <v>377</v>
      </c>
    </row>
    <row r="7085" spans="1:12" x14ac:dyDescent="0.25">
      <c r="A7085" t="s">
        <v>487</v>
      </c>
      <c r="B7085" t="s">
        <v>467</v>
      </c>
      <c r="C7085" t="s">
        <v>468</v>
      </c>
      <c r="D7085" t="s">
        <v>401</v>
      </c>
      <c r="E7085" t="s">
        <v>403</v>
      </c>
      <c r="F7085">
        <v>1</v>
      </c>
      <c r="G7085" t="s">
        <v>488</v>
      </c>
      <c r="H7085" s="4">
        <v>6928477</v>
      </c>
      <c r="I7085" s="4">
        <v>7216400.969120286</v>
      </c>
      <c r="J7085" s="3">
        <v>0.04155660314962241</v>
      </c>
      <c r="K7085" s="3">
        <v>-0.039898554743887205</v>
      </c>
      <c r="L7085" t="s">
        <v>377</v>
      </c>
    </row>
    <row r="7086" spans="1:12" x14ac:dyDescent="0.25">
      <c r="A7086" t="s">
        <v>487</v>
      </c>
      <c r="B7086" t="s">
        <v>467</v>
      </c>
      <c r="C7086" t="s">
        <v>468</v>
      </c>
      <c r="D7086" t="s">
        <v>401</v>
      </c>
      <c r="E7086" t="s">
        <v>403</v>
      </c>
      <c r="F7086">
        <v>1</v>
      </c>
      <c r="G7086" t="s">
        <v>498</v>
      </c>
      <c r="H7086" s="4">
        <v>6928477</v>
      </c>
      <c r="I7086" s="4">
        <v>7447722</v>
      </c>
      <c r="J7086" s="3">
        <v>0.07494359871585055</v>
      </c>
      <c r="K7086" s="3">
        <v>-0.06971863342912102</v>
      </c>
      <c r="L7086" t="s">
        <v>377</v>
      </c>
    </row>
    <row r="7087" spans="1:12" x14ac:dyDescent="0.25">
      <c r="A7087" t="s">
        <v>487</v>
      </c>
      <c r="B7087" t="s">
        <v>467</v>
      </c>
      <c r="C7087" t="s">
        <v>468</v>
      </c>
      <c r="D7087" t="s">
        <v>401</v>
      </c>
      <c r="E7087" t="s">
        <v>403</v>
      </c>
      <c r="F7087">
        <v>1</v>
      </c>
      <c r="G7087" t="s">
        <v>499</v>
      </c>
      <c r="H7087" s="4">
        <v>6928477</v>
      </c>
      <c r="I7087" s="4">
        <v>9984420</v>
      </c>
      <c r="J7087" s="3">
        <v>0.44106994942755817</v>
      </c>
      <c r="K7087" s="3">
        <v>-0.30607115886551245</v>
      </c>
      <c r="L7087" t="s">
        <v>377</v>
      </c>
    </row>
    <row r="7088" spans="1:12" x14ac:dyDescent="0.25">
      <c r="A7088" t="s">
        <v>487</v>
      </c>
      <c r="B7088" t="s">
        <v>467</v>
      </c>
      <c r="C7088" t="s">
        <v>468</v>
      </c>
      <c r="D7088" t="s">
        <v>401</v>
      </c>
      <c r="E7088" t="s">
        <v>405</v>
      </c>
      <c r="F7088">
        <v>2</v>
      </c>
      <c r="G7088" t="s">
        <v>488</v>
      </c>
      <c r="H7088" s="4">
        <v>12655066</v>
      </c>
      <c r="I7088" s="4">
        <v>10515278.76244947</v>
      </c>
      <c r="J7088" s="3">
        <v>0.1690854269389453</v>
      </c>
      <c r="K7088" s="3">
        <v>0.20349315371379467</v>
      </c>
      <c r="L7088" t="s">
        <v>377</v>
      </c>
    </row>
    <row r="7089" spans="1:12" x14ac:dyDescent="0.25">
      <c r="A7089" t="s">
        <v>487</v>
      </c>
      <c r="B7089" t="s">
        <v>467</v>
      </c>
      <c r="C7089" t="s">
        <v>468</v>
      </c>
      <c r="D7089" t="s">
        <v>401</v>
      </c>
      <c r="E7089" t="s">
        <v>405</v>
      </c>
      <c r="F7089">
        <v>2</v>
      </c>
      <c r="G7089" t="s">
        <v>498</v>
      </c>
      <c r="H7089" s="4">
        <v>12655066</v>
      </c>
      <c r="I7089" s="4">
        <v>10852345</v>
      </c>
      <c r="J7089" s="3">
        <v>0.1424505411508719</v>
      </c>
      <c r="K7089" s="3">
        <v>0.16611349897188118</v>
      </c>
      <c r="L7089" t="s">
        <v>377</v>
      </c>
    </row>
    <row r="7090" spans="1:12" x14ac:dyDescent="0.25">
      <c r="A7090" t="s">
        <v>487</v>
      </c>
      <c r="B7090" t="s">
        <v>467</v>
      </c>
      <c r="C7090" t="s">
        <v>468</v>
      </c>
      <c r="D7090" t="s">
        <v>401</v>
      </c>
      <c r="E7090" t="s">
        <v>405</v>
      </c>
      <c r="F7090">
        <v>2</v>
      </c>
      <c r="G7090" t="s">
        <v>499</v>
      </c>
      <c r="H7090" s="4">
        <v>12655066</v>
      </c>
      <c r="I7090" s="4">
        <v>9984420</v>
      </c>
      <c r="J7090" s="3">
        <v>0.21103374727559698</v>
      </c>
      <c r="K7090" s="3">
        <v>0.26748133592136547</v>
      </c>
      <c r="L7090" t="s">
        <v>377</v>
      </c>
    </row>
    <row r="7091" spans="1:12" x14ac:dyDescent="0.25">
      <c r="A7091" t="s">
        <v>487</v>
      </c>
      <c r="B7091" t="s">
        <v>467</v>
      </c>
      <c r="C7091" t="s">
        <v>468</v>
      </c>
      <c r="D7091" t="s">
        <v>401</v>
      </c>
      <c r="E7091" t="s">
        <v>407</v>
      </c>
      <c r="F7091">
        <v>3</v>
      </c>
      <c r="G7091" t="s">
        <v>488</v>
      </c>
      <c r="H7091" s="4">
        <v>13658099</v>
      </c>
      <c r="I7091" s="4">
        <v>12113612.335296283</v>
      </c>
      <c r="J7091" s="3">
        <v>0.11308211081964756</v>
      </c>
      <c r="K7091" s="3">
        <v>0.1275000901426768</v>
      </c>
      <c r="L7091" t="s">
        <v>377</v>
      </c>
    </row>
    <row r="7092" spans="1:12" x14ac:dyDescent="0.25">
      <c r="A7092" t="s">
        <v>487</v>
      </c>
      <c r="B7092" t="s">
        <v>467</v>
      </c>
      <c r="C7092" t="s">
        <v>468</v>
      </c>
      <c r="D7092" t="s">
        <v>401</v>
      </c>
      <c r="E7092" t="s">
        <v>407</v>
      </c>
      <c r="F7092">
        <v>3</v>
      </c>
      <c r="G7092" t="s">
        <v>498</v>
      </c>
      <c r="H7092" s="4">
        <v>13658099</v>
      </c>
      <c r="I7092" s="4">
        <v>12501913</v>
      </c>
      <c r="J7092" s="3">
        <v>0.08465204418272265</v>
      </c>
      <c r="K7092" s="3">
        <v>0.09248072674957825</v>
      </c>
      <c r="L7092" t="s">
        <v>377</v>
      </c>
    </row>
    <row r="7093" spans="1:12" x14ac:dyDescent="0.25">
      <c r="A7093" t="s">
        <v>487</v>
      </c>
      <c r="B7093" t="s">
        <v>467</v>
      </c>
      <c r="C7093" t="s">
        <v>468</v>
      </c>
      <c r="D7093" t="s">
        <v>401</v>
      </c>
      <c r="E7093" t="s">
        <v>407</v>
      </c>
      <c r="F7093">
        <v>3</v>
      </c>
      <c r="G7093" t="s">
        <v>499</v>
      </c>
      <c r="H7093" s="4">
        <v>13658099</v>
      </c>
      <c r="I7093" s="4">
        <v>9984420</v>
      </c>
      <c r="J7093" s="3">
        <v>0.26897440119594973</v>
      </c>
      <c r="K7093" s="3">
        <v>0.3679411523153073</v>
      </c>
      <c r="L7093" t="s">
        <v>377</v>
      </c>
    </row>
    <row r="7094" spans="1:12" x14ac:dyDescent="0.25">
      <c r="A7094" t="s">
        <v>487</v>
      </c>
      <c r="B7094" t="s">
        <v>467</v>
      </c>
      <c r="C7094" t="s">
        <v>468</v>
      </c>
      <c r="D7094" t="s">
        <v>403</v>
      </c>
      <c r="E7094" t="s">
        <v>405</v>
      </c>
      <c r="F7094">
        <v>1</v>
      </c>
      <c r="G7094" t="s">
        <v>488</v>
      </c>
      <c r="H7094" s="4">
        <v>12655066</v>
      </c>
      <c r="I7094" s="4">
        <v>10788630.745076811</v>
      </c>
      <c r="J7094" s="3">
        <v>0.14748522488331464</v>
      </c>
      <c r="K7094" s="3">
        <v>0.17300019798850766</v>
      </c>
      <c r="L7094" t="s">
        <v>377</v>
      </c>
    </row>
    <row r="7095" spans="1:12" x14ac:dyDescent="0.25">
      <c r="A7095" t="s">
        <v>487</v>
      </c>
      <c r="B7095" t="s">
        <v>467</v>
      </c>
      <c r="C7095" t="s">
        <v>468</v>
      </c>
      <c r="D7095" t="s">
        <v>403</v>
      </c>
      <c r="E7095" t="s">
        <v>405</v>
      </c>
      <c r="F7095">
        <v>1</v>
      </c>
      <c r="G7095" t="s">
        <v>498</v>
      </c>
      <c r="H7095" s="4">
        <v>12655066</v>
      </c>
      <c r="I7095" s="4">
        <v>10852345</v>
      </c>
      <c r="J7095" s="3">
        <v>0.1424505411508719</v>
      </c>
      <c r="K7095" s="3">
        <v>0.16611349897188118</v>
      </c>
      <c r="L7095" t="s">
        <v>377</v>
      </c>
    </row>
    <row r="7096" spans="1:12" x14ac:dyDescent="0.25">
      <c r="A7096" t="s">
        <v>487</v>
      </c>
      <c r="B7096" t="s">
        <v>467</v>
      </c>
      <c r="C7096" t="s">
        <v>468</v>
      </c>
      <c r="D7096" t="s">
        <v>403</v>
      </c>
      <c r="E7096" t="s">
        <v>405</v>
      </c>
      <c r="F7096">
        <v>1</v>
      </c>
      <c r="G7096" t="s">
        <v>499</v>
      </c>
      <c r="H7096" s="4">
        <v>12655066</v>
      </c>
      <c r="I7096" s="4">
        <v>6928477</v>
      </c>
      <c r="J7096" s="3">
        <v>0.4525135625527358</v>
      </c>
      <c r="K7096" s="3">
        <v>0.8265292646565761</v>
      </c>
      <c r="L7096" t="s">
        <v>377</v>
      </c>
    </row>
    <row r="7097" spans="1:12" x14ac:dyDescent="0.25">
      <c r="A7097" t="s">
        <v>487</v>
      </c>
      <c r="B7097" t="s">
        <v>467</v>
      </c>
      <c r="C7097" t="s">
        <v>468</v>
      </c>
      <c r="D7097" t="s">
        <v>403</v>
      </c>
      <c r="E7097" t="s">
        <v>407</v>
      </c>
      <c r="F7097">
        <v>2</v>
      </c>
      <c r="G7097" t="s">
        <v>488</v>
      </c>
      <c r="H7097" s="4">
        <v>13658099</v>
      </c>
      <c r="I7097" s="4">
        <v>12428514.110459581</v>
      </c>
      <c r="J7097" s="3">
        <v>0.09002606362279399</v>
      </c>
      <c r="K7097" s="3">
        <v>0.09893257380668102</v>
      </c>
      <c r="L7097" t="s">
        <v>377</v>
      </c>
    </row>
    <row r="7098" spans="1:12" x14ac:dyDescent="0.25">
      <c r="A7098" t="s">
        <v>487</v>
      </c>
      <c r="B7098" t="s">
        <v>467</v>
      </c>
      <c r="C7098" t="s">
        <v>468</v>
      </c>
      <c r="D7098" t="s">
        <v>403</v>
      </c>
      <c r="E7098" t="s">
        <v>407</v>
      </c>
      <c r="F7098">
        <v>2</v>
      </c>
      <c r="G7098" t="s">
        <v>498</v>
      </c>
      <c r="H7098" s="4">
        <v>13658099</v>
      </c>
      <c r="I7098" s="4">
        <v>12501913</v>
      </c>
      <c r="J7098" s="3">
        <v>0.08465204418272265</v>
      </c>
      <c r="K7098" s="3">
        <v>0.09248072674957825</v>
      </c>
      <c r="L7098" t="s">
        <v>377</v>
      </c>
    </row>
    <row r="7099" spans="1:12" x14ac:dyDescent="0.25">
      <c r="A7099" t="s">
        <v>487</v>
      </c>
      <c r="B7099" t="s">
        <v>467</v>
      </c>
      <c r="C7099" t="s">
        <v>468</v>
      </c>
      <c r="D7099" t="s">
        <v>403</v>
      </c>
      <c r="E7099" t="s">
        <v>407</v>
      </c>
      <c r="F7099">
        <v>2</v>
      </c>
      <c r="G7099" t="s">
        <v>499</v>
      </c>
      <c r="H7099" s="4">
        <v>13658099</v>
      </c>
      <c r="I7099" s="4">
        <v>6928477</v>
      </c>
      <c r="J7099" s="3">
        <v>0.4927202533822606</v>
      </c>
      <c r="K7099" s="3">
        <v>0.9712988871868955</v>
      </c>
      <c r="L7099" t="s">
        <v>377</v>
      </c>
    </row>
    <row r="7100" spans="1:12" x14ac:dyDescent="0.25">
      <c r="A7100" t="s">
        <v>487</v>
      </c>
      <c r="B7100" t="s">
        <v>467</v>
      </c>
      <c r="C7100" t="s">
        <v>468</v>
      </c>
      <c r="D7100" t="s">
        <v>403</v>
      </c>
      <c r="E7100" t="s">
        <v>409</v>
      </c>
      <c r="F7100">
        <v>3</v>
      </c>
      <c r="G7100" t="s">
        <v>488</v>
      </c>
      <c r="H7100" s="4">
        <v>15389812</v>
      </c>
      <c r="I7100" s="4">
        <v>17013550.330760278</v>
      </c>
      <c r="J7100" s="3">
        <v>0.1055073532256455</v>
      </c>
      <c r="K7100" s="3">
        <v>-0.09543794794109375</v>
      </c>
      <c r="L7100" t="s">
        <v>377</v>
      </c>
    </row>
    <row r="7101" spans="1:12" x14ac:dyDescent="0.25">
      <c r="A7101" t="s">
        <v>487</v>
      </c>
      <c r="B7101" t="s">
        <v>467</v>
      </c>
      <c r="C7101" t="s">
        <v>468</v>
      </c>
      <c r="D7101" t="s">
        <v>403</v>
      </c>
      <c r="E7101" t="s">
        <v>409</v>
      </c>
      <c r="F7101">
        <v>3</v>
      </c>
      <c r="G7101" t="s">
        <v>498</v>
      </c>
      <c r="H7101" s="4">
        <v>15389812</v>
      </c>
      <c r="I7101" s="4">
        <v>17114027</v>
      </c>
      <c r="J7101" s="3">
        <v>0.11203613143552371</v>
      </c>
      <c r="K7101" s="3">
        <v>-0.10074864320361304</v>
      </c>
      <c r="L7101" t="s">
        <v>377</v>
      </c>
    </row>
    <row r="7102" spans="1:12" x14ac:dyDescent="0.25">
      <c r="A7102" t="s">
        <v>487</v>
      </c>
      <c r="B7102" t="s">
        <v>467</v>
      </c>
      <c r="C7102" t="s">
        <v>468</v>
      </c>
      <c r="D7102" t="s">
        <v>403</v>
      </c>
      <c r="E7102" t="s">
        <v>409</v>
      </c>
      <c r="F7102">
        <v>3</v>
      </c>
      <c r="G7102" t="s">
        <v>499</v>
      </c>
      <c r="H7102" s="4">
        <v>15389812</v>
      </c>
      <c r="I7102" s="4">
        <v>6928477</v>
      </c>
      <c r="J7102" s="3">
        <v>0.5498010631968734</v>
      </c>
      <c r="K7102" s="3">
        <v>1.2212402523671508</v>
      </c>
      <c r="L7102" t="s">
        <v>377</v>
      </c>
    </row>
    <row r="7103" spans="1:12" x14ac:dyDescent="0.25">
      <c r="A7103" t="s">
        <v>487</v>
      </c>
      <c r="B7103" t="s">
        <v>467</v>
      </c>
      <c r="C7103" t="s">
        <v>468</v>
      </c>
      <c r="D7103" t="s">
        <v>405</v>
      </c>
      <c r="E7103" t="s">
        <v>407</v>
      </c>
      <c r="F7103">
        <v>1</v>
      </c>
      <c r="G7103" t="s">
        <v>488</v>
      </c>
      <c r="H7103" s="4">
        <v>13658099</v>
      </c>
      <c r="I7103" s="4">
        <v>12882414.839779299</v>
      </c>
      <c r="J7103" s="3">
        <v>0.056792981235580534</v>
      </c>
      <c r="K7103" s="3">
        <v>0.06021263636267051</v>
      </c>
      <c r="L7103" t="s">
        <v>377</v>
      </c>
    </row>
    <row r="7104" spans="1:12" x14ac:dyDescent="0.25">
      <c r="A7104" t="s">
        <v>487</v>
      </c>
      <c r="B7104" t="s">
        <v>467</v>
      </c>
      <c r="C7104" t="s">
        <v>468</v>
      </c>
      <c r="D7104" t="s">
        <v>405</v>
      </c>
      <c r="E7104" t="s">
        <v>407</v>
      </c>
      <c r="F7104">
        <v>1</v>
      </c>
      <c r="G7104" t="s">
        <v>498</v>
      </c>
      <c r="H7104" s="4">
        <v>13658099</v>
      </c>
      <c r="I7104" s="4">
        <v>12501913</v>
      </c>
      <c r="J7104" s="3">
        <v>0.08465204418272265</v>
      </c>
      <c r="K7104" s="3">
        <v>0.09248072674957825</v>
      </c>
      <c r="L7104" t="s">
        <v>377</v>
      </c>
    </row>
    <row r="7105" spans="1:12" x14ac:dyDescent="0.25">
      <c r="A7105" t="s">
        <v>487</v>
      </c>
      <c r="B7105" t="s">
        <v>467</v>
      </c>
      <c r="C7105" t="s">
        <v>468</v>
      </c>
      <c r="D7105" t="s">
        <v>405</v>
      </c>
      <c r="E7105" t="s">
        <v>407</v>
      </c>
      <c r="F7105">
        <v>1</v>
      </c>
      <c r="G7105" t="s">
        <v>499</v>
      </c>
      <c r="H7105" s="4">
        <v>13658099</v>
      </c>
      <c r="I7105" s="4">
        <v>12655066</v>
      </c>
      <c r="J7105" s="3">
        <v>0.07343869743512622</v>
      </c>
      <c r="K7105" s="3">
        <v>0.07925940488970978</v>
      </c>
      <c r="L7105" t="s">
        <v>377</v>
      </c>
    </row>
    <row r="7106" spans="1:12" x14ac:dyDescent="0.25">
      <c r="A7106" t="s">
        <v>487</v>
      </c>
      <c r="B7106" t="s">
        <v>467</v>
      </c>
      <c r="C7106" t="s">
        <v>468</v>
      </c>
      <c r="D7106" t="s">
        <v>405</v>
      </c>
      <c r="E7106" t="s">
        <v>409</v>
      </c>
      <c r="F7106">
        <v>2</v>
      </c>
      <c r="G7106" t="s">
        <v>488</v>
      </c>
      <c r="H7106" s="4">
        <v>15389812</v>
      </c>
      <c r="I7106" s="4">
        <v>17634900.78623836</v>
      </c>
      <c r="J7106" s="3">
        <v>0.14588149525402658</v>
      </c>
      <c r="K7106" s="3">
        <v>-0.12730940839714547</v>
      </c>
      <c r="L7106" t="s">
        <v>377</v>
      </c>
    </row>
    <row r="7107" spans="1:12" x14ac:dyDescent="0.25">
      <c r="A7107" t="s">
        <v>487</v>
      </c>
      <c r="B7107" t="s">
        <v>467</v>
      </c>
      <c r="C7107" t="s">
        <v>468</v>
      </c>
      <c r="D7107" t="s">
        <v>405</v>
      </c>
      <c r="E7107" t="s">
        <v>409</v>
      </c>
      <c r="F7107">
        <v>2</v>
      </c>
      <c r="G7107" t="s">
        <v>498</v>
      </c>
      <c r="H7107" s="4">
        <v>15389812</v>
      </c>
      <c r="I7107" s="4">
        <v>17114027</v>
      </c>
      <c r="J7107" s="3">
        <v>0.11203613143552371</v>
      </c>
      <c r="K7107" s="3">
        <v>-0.10074864320361304</v>
      </c>
      <c r="L7107" t="s">
        <v>377</v>
      </c>
    </row>
    <row r="7108" spans="1:12" x14ac:dyDescent="0.25">
      <c r="A7108" t="s">
        <v>487</v>
      </c>
      <c r="B7108" t="s">
        <v>467</v>
      </c>
      <c r="C7108" t="s">
        <v>468</v>
      </c>
      <c r="D7108" t="s">
        <v>405</v>
      </c>
      <c r="E7108" t="s">
        <v>409</v>
      </c>
      <c r="F7108">
        <v>2</v>
      </c>
      <c r="G7108" t="s">
        <v>499</v>
      </c>
      <c r="H7108" s="4">
        <v>15389812</v>
      </c>
      <c r="I7108" s="4">
        <v>12655066</v>
      </c>
      <c r="J7108" s="3">
        <v>0.17769846701181274</v>
      </c>
      <c r="K7108" s="3">
        <v>0.21609891248295346</v>
      </c>
      <c r="L7108" t="s">
        <v>377</v>
      </c>
    </row>
    <row r="7109" spans="1:12" x14ac:dyDescent="0.25">
      <c r="A7109" t="s">
        <v>487</v>
      </c>
      <c r="B7109" t="s">
        <v>467</v>
      </c>
      <c r="C7109" t="s">
        <v>468</v>
      </c>
      <c r="D7109" t="s">
        <v>405</v>
      </c>
      <c r="E7109" t="s">
        <v>411</v>
      </c>
      <c r="F7109">
        <v>3</v>
      </c>
      <c r="G7109" t="s">
        <v>488</v>
      </c>
      <c r="H7109" s="4">
        <v>16957000</v>
      </c>
      <c r="I7109" s="4">
        <v>13565735.769305969</v>
      </c>
      <c r="J7109" s="3">
        <v>0.1999919933180416</v>
      </c>
      <c r="K7109" s="3">
        <v>0.24998748968464765</v>
      </c>
      <c r="L7109" t="s">
        <v>377</v>
      </c>
    </row>
    <row r="7110" spans="1:12" x14ac:dyDescent="0.25">
      <c r="A7110" t="s">
        <v>487</v>
      </c>
      <c r="B7110" t="s">
        <v>467</v>
      </c>
      <c r="C7110" t="s">
        <v>468</v>
      </c>
      <c r="D7110" t="s">
        <v>405</v>
      </c>
      <c r="E7110" t="s">
        <v>411</v>
      </c>
      <c r="F7110">
        <v>3</v>
      </c>
      <c r="G7110" t="s">
        <v>498</v>
      </c>
      <c r="H7110" s="4">
        <v>16957000</v>
      </c>
      <c r="I7110" s="4">
        <v>13165051</v>
      </c>
      <c r="J7110" s="3">
        <v>0.22362145426667454</v>
      </c>
      <c r="K7110" s="3">
        <v>0.2880314705958982</v>
      </c>
      <c r="L7110" t="s">
        <v>377</v>
      </c>
    </row>
    <row r="7111" spans="1:12" x14ac:dyDescent="0.25">
      <c r="A7111" t="s">
        <v>487</v>
      </c>
      <c r="B7111" t="s">
        <v>467</v>
      </c>
      <c r="C7111" t="s">
        <v>468</v>
      </c>
      <c r="D7111" t="s">
        <v>405</v>
      </c>
      <c r="E7111" t="s">
        <v>411</v>
      </c>
      <c r="F7111">
        <v>3</v>
      </c>
      <c r="G7111" t="s">
        <v>499</v>
      </c>
      <c r="H7111" s="4">
        <v>16957000</v>
      </c>
      <c r="I7111" s="4">
        <v>12655066</v>
      </c>
      <c r="J7111" s="3">
        <v>0.25369664445361795</v>
      </c>
      <c r="K7111" s="3">
        <v>0.3399376976777521</v>
      </c>
      <c r="L7111" t="s">
        <v>377</v>
      </c>
    </row>
    <row r="7112" spans="1:12" x14ac:dyDescent="0.25">
      <c r="A7112" t="s">
        <v>487</v>
      </c>
      <c r="B7112" t="s">
        <v>467</v>
      </c>
      <c r="C7112" t="s">
        <v>468</v>
      </c>
      <c r="D7112" t="s">
        <v>407</v>
      </c>
      <c r="E7112" t="s">
        <v>409</v>
      </c>
      <c r="F7112">
        <v>1</v>
      </c>
      <c r="G7112" t="s">
        <v>488</v>
      </c>
      <c r="H7112" s="4">
        <v>15389812</v>
      </c>
      <c r="I7112" s="4">
        <v>18069186.016709294</v>
      </c>
      <c r="J7112" s="3">
        <v>0.17410050341805958</v>
      </c>
      <c r="K7112" s="3">
        <v>-0.14828415703018225</v>
      </c>
      <c r="L7112" t="s">
        <v>377</v>
      </c>
    </row>
    <row r="7113" spans="1:12" x14ac:dyDescent="0.25">
      <c r="A7113" t="s">
        <v>487</v>
      </c>
      <c r="B7113" t="s">
        <v>467</v>
      </c>
      <c r="C7113" t="s">
        <v>468</v>
      </c>
      <c r="D7113" t="s">
        <v>407</v>
      </c>
      <c r="E7113" t="s">
        <v>409</v>
      </c>
      <c r="F7113">
        <v>1</v>
      </c>
      <c r="G7113" t="s">
        <v>498</v>
      </c>
      <c r="H7113" s="4">
        <v>15389812</v>
      </c>
      <c r="I7113" s="4">
        <v>17114027</v>
      </c>
      <c r="J7113" s="3">
        <v>0.11203613143552371</v>
      </c>
      <c r="K7113" s="3">
        <v>-0.10074864320361304</v>
      </c>
      <c r="L7113" t="s">
        <v>377</v>
      </c>
    </row>
    <row r="7114" spans="1:12" x14ac:dyDescent="0.25">
      <c r="A7114" t="s">
        <v>487</v>
      </c>
      <c r="B7114" t="s">
        <v>467</v>
      </c>
      <c r="C7114" t="s">
        <v>468</v>
      </c>
      <c r="D7114" t="s">
        <v>407</v>
      </c>
      <c r="E7114" t="s">
        <v>409</v>
      </c>
      <c r="F7114">
        <v>1</v>
      </c>
      <c r="G7114" t="s">
        <v>499</v>
      </c>
      <c r="H7114" s="4">
        <v>15389812</v>
      </c>
      <c r="I7114" s="4">
        <v>13658099</v>
      </c>
      <c r="J7114" s="3">
        <v>0.11252333686727298</v>
      </c>
      <c r="K7114" s="3">
        <v>0.1267901923979318</v>
      </c>
      <c r="L7114" t="s">
        <v>377</v>
      </c>
    </row>
    <row r="7115" spans="1:12" x14ac:dyDescent="0.25">
      <c r="A7115" t="s">
        <v>487</v>
      </c>
      <c r="B7115" t="s">
        <v>467</v>
      </c>
      <c r="C7115" t="s">
        <v>468</v>
      </c>
      <c r="D7115" t="s">
        <v>407</v>
      </c>
      <c r="E7115" t="s">
        <v>411</v>
      </c>
      <c r="F7115">
        <v>2</v>
      </c>
      <c r="G7115" t="s">
        <v>488</v>
      </c>
      <c r="H7115" s="4">
        <v>16957000</v>
      </c>
      <c r="I7115" s="4">
        <v>13899811.85833496</v>
      </c>
      <c r="J7115" s="3">
        <v>0.18029062579849264</v>
      </c>
      <c r="K7115" s="3">
        <v>0.21994456995702502</v>
      </c>
      <c r="L7115" t="s">
        <v>377</v>
      </c>
    </row>
    <row r="7116" spans="1:12" x14ac:dyDescent="0.25">
      <c r="A7116" t="s">
        <v>487</v>
      </c>
      <c r="B7116" t="s">
        <v>467</v>
      </c>
      <c r="C7116" t="s">
        <v>468</v>
      </c>
      <c r="D7116" t="s">
        <v>407</v>
      </c>
      <c r="E7116" t="s">
        <v>411</v>
      </c>
      <c r="F7116">
        <v>2</v>
      </c>
      <c r="G7116" t="s">
        <v>498</v>
      </c>
      <c r="H7116" s="4">
        <v>16957000</v>
      </c>
      <c r="I7116" s="4">
        <v>13165051</v>
      </c>
      <c r="J7116" s="3">
        <v>0.22362145426667454</v>
      </c>
      <c r="K7116" s="3">
        <v>0.2880314705958982</v>
      </c>
      <c r="L7116" t="s">
        <v>377</v>
      </c>
    </row>
    <row r="7117" spans="1:12" x14ac:dyDescent="0.25">
      <c r="A7117" t="s">
        <v>487</v>
      </c>
      <c r="B7117" t="s">
        <v>467</v>
      </c>
      <c r="C7117" t="s">
        <v>468</v>
      </c>
      <c r="D7117" t="s">
        <v>407</v>
      </c>
      <c r="E7117" t="s">
        <v>411</v>
      </c>
      <c r="F7117">
        <v>2</v>
      </c>
      <c r="G7117" t="s">
        <v>499</v>
      </c>
      <c r="H7117" s="4">
        <v>16957000</v>
      </c>
      <c r="I7117" s="4">
        <v>13658099</v>
      </c>
      <c r="J7117" s="3">
        <v>0.19454508462581824</v>
      </c>
      <c r="K7117" s="3">
        <v>0.24153441851607607</v>
      </c>
      <c r="L7117" t="s">
        <v>377</v>
      </c>
    </row>
    <row r="7118" spans="1:12" x14ac:dyDescent="0.25">
      <c r="A7118" t="s">
        <v>487</v>
      </c>
      <c r="B7118" t="s">
        <v>467</v>
      </c>
      <c r="C7118" t="s">
        <v>468</v>
      </c>
      <c r="D7118" t="s">
        <v>407</v>
      </c>
      <c r="E7118" t="s">
        <v>413</v>
      </c>
      <c r="F7118">
        <v>3</v>
      </c>
      <c r="G7118" t="s">
        <v>488</v>
      </c>
      <c r="H7118" s="4">
        <v>13242335</v>
      </c>
      <c r="I7118" s="4">
        <v>9868475.547453249</v>
      </c>
      <c r="J7118" s="3">
        <v>0.254778288915569</v>
      </c>
      <c r="K7118" s="3">
        <v>0.3418825366008472</v>
      </c>
      <c r="L7118" t="s">
        <v>377</v>
      </c>
    </row>
    <row r="7119" spans="1:12" x14ac:dyDescent="0.25">
      <c r="A7119" t="s">
        <v>487</v>
      </c>
      <c r="B7119" t="s">
        <v>467</v>
      </c>
      <c r="C7119" t="s">
        <v>468</v>
      </c>
      <c r="D7119" t="s">
        <v>407</v>
      </c>
      <c r="E7119" t="s">
        <v>413</v>
      </c>
      <c r="F7119">
        <v>3</v>
      </c>
      <c r="G7119" t="s">
        <v>498</v>
      </c>
      <c r="H7119" s="4">
        <v>13242335</v>
      </c>
      <c r="I7119" s="4">
        <v>9346816</v>
      </c>
      <c r="J7119" s="3">
        <v>0.2941716094631347</v>
      </c>
      <c r="K7119" s="3">
        <v>0.4167749744939881</v>
      </c>
      <c r="L7119" t="s">
        <v>377</v>
      </c>
    </row>
    <row r="7120" spans="1:12" x14ac:dyDescent="0.25">
      <c r="A7120" t="s">
        <v>487</v>
      </c>
      <c r="B7120" t="s">
        <v>467</v>
      </c>
      <c r="C7120" t="s">
        <v>468</v>
      </c>
      <c r="D7120" t="s">
        <v>407</v>
      </c>
      <c r="E7120" t="s">
        <v>413</v>
      </c>
      <c r="F7120">
        <v>3</v>
      </c>
      <c r="G7120" t="s">
        <v>499</v>
      </c>
      <c r="H7120" s="4">
        <v>13242335</v>
      </c>
      <c r="I7120" s="4">
        <v>13658099</v>
      </c>
      <c r="J7120" s="3">
        <v>0.031396577718355564</v>
      </c>
      <c r="K7120" s="3">
        <v>-0.03044083953411086</v>
      </c>
      <c r="L7120" t="s">
        <v>377</v>
      </c>
    </row>
    <row r="7121" spans="1:12" x14ac:dyDescent="0.25">
      <c r="A7121" t="s">
        <v>487</v>
      </c>
      <c r="B7121" t="s">
        <v>467</v>
      </c>
      <c r="C7121" t="s">
        <v>468</v>
      </c>
      <c r="D7121" t="s">
        <v>409</v>
      </c>
      <c r="E7121" t="s">
        <v>411</v>
      </c>
      <c r="F7121">
        <v>1</v>
      </c>
      <c r="G7121" t="s">
        <v>488</v>
      </c>
      <c r="H7121" s="4">
        <v>16957000</v>
      </c>
      <c r="I7121" s="4">
        <v>13718944.28448672</v>
      </c>
      <c r="J7121" s="3">
        <v>0.19095687418253698</v>
      </c>
      <c r="K7121" s="3">
        <v>0.23602805349788095</v>
      </c>
      <c r="L7121" t="s">
        <v>377</v>
      </c>
    </row>
    <row r="7122" spans="1:12" x14ac:dyDescent="0.25">
      <c r="A7122" t="s">
        <v>487</v>
      </c>
      <c r="B7122" t="s">
        <v>467</v>
      </c>
      <c r="C7122" t="s">
        <v>468</v>
      </c>
      <c r="D7122" t="s">
        <v>409</v>
      </c>
      <c r="E7122" t="s">
        <v>411</v>
      </c>
      <c r="F7122">
        <v>1</v>
      </c>
      <c r="G7122" t="s">
        <v>498</v>
      </c>
      <c r="H7122" s="4">
        <v>16957000</v>
      </c>
      <c r="I7122" s="4">
        <v>13165051</v>
      </c>
      <c r="J7122" s="3">
        <v>0.22362145426667454</v>
      </c>
      <c r="K7122" s="3">
        <v>0.2880314705958982</v>
      </c>
      <c r="L7122" t="s">
        <v>377</v>
      </c>
    </row>
    <row r="7123" spans="1:12" x14ac:dyDescent="0.25">
      <c r="A7123" t="s">
        <v>487</v>
      </c>
      <c r="B7123" t="s">
        <v>467</v>
      </c>
      <c r="C7123" t="s">
        <v>468</v>
      </c>
      <c r="D7123" t="s">
        <v>409</v>
      </c>
      <c r="E7123" t="s">
        <v>411</v>
      </c>
      <c r="F7123">
        <v>1</v>
      </c>
      <c r="G7123" t="s">
        <v>499</v>
      </c>
      <c r="H7123" s="4">
        <v>16957000</v>
      </c>
      <c r="I7123" s="4">
        <v>15389812</v>
      </c>
      <c r="J7123" s="3">
        <v>0.09242130093766586</v>
      </c>
      <c r="K7123" s="3">
        <v>0.10183282290907777</v>
      </c>
      <c r="L7123" t="s">
        <v>377</v>
      </c>
    </row>
    <row r="7124" spans="1:12" x14ac:dyDescent="0.25">
      <c r="A7124" t="s">
        <v>487</v>
      </c>
      <c r="B7124" t="s">
        <v>467</v>
      </c>
      <c r="C7124" t="s">
        <v>468</v>
      </c>
      <c r="D7124" t="s">
        <v>409</v>
      </c>
      <c r="E7124" t="s">
        <v>413</v>
      </c>
      <c r="F7124">
        <v>2</v>
      </c>
      <c r="G7124" t="s">
        <v>488</v>
      </c>
      <c r="H7124" s="4">
        <v>13242335</v>
      </c>
      <c r="I7124" s="4">
        <v>9740064.656137604</v>
      </c>
      <c r="J7124" s="3">
        <v>0.264475286561048</v>
      </c>
      <c r="K7124" s="3">
        <v>0.35957362373929164</v>
      </c>
      <c r="L7124" t="s">
        <v>377</v>
      </c>
    </row>
    <row r="7125" spans="1:12" x14ac:dyDescent="0.25">
      <c r="A7125" t="s">
        <v>487</v>
      </c>
      <c r="B7125" t="s">
        <v>467</v>
      </c>
      <c r="C7125" t="s">
        <v>468</v>
      </c>
      <c r="D7125" t="s">
        <v>409</v>
      </c>
      <c r="E7125" t="s">
        <v>413</v>
      </c>
      <c r="F7125">
        <v>2</v>
      </c>
      <c r="G7125" t="s">
        <v>498</v>
      </c>
      <c r="H7125" s="4">
        <v>13242335</v>
      </c>
      <c r="I7125" s="4">
        <v>9346816</v>
      </c>
      <c r="J7125" s="3">
        <v>0.2941716094631347</v>
      </c>
      <c r="K7125" s="3">
        <v>0.4167749744939881</v>
      </c>
      <c r="L7125" t="s">
        <v>377</v>
      </c>
    </row>
    <row r="7126" spans="1:12" x14ac:dyDescent="0.25">
      <c r="A7126" t="s">
        <v>487</v>
      </c>
      <c r="B7126" t="s">
        <v>467</v>
      </c>
      <c r="C7126" t="s">
        <v>468</v>
      </c>
      <c r="D7126" t="s">
        <v>409</v>
      </c>
      <c r="E7126" t="s">
        <v>413</v>
      </c>
      <c r="F7126">
        <v>2</v>
      </c>
      <c r="G7126" t="s">
        <v>499</v>
      </c>
      <c r="H7126" s="4">
        <v>13242335</v>
      </c>
      <c r="I7126" s="4">
        <v>15389812</v>
      </c>
      <c r="J7126" s="3">
        <v>0.1621675482458343</v>
      </c>
      <c r="K7126" s="3">
        <v>-0.13953887155996447</v>
      </c>
      <c r="L7126" t="s">
        <v>377</v>
      </c>
    </row>
    <row r="7127" spans="1:12" x14ac:dyDescent="0.25">
      <c r="A7127" t="s">
        <v>487</v>
      </c>
      <c r="B7127" t="s">
        <v>467</v>
      </c>
      <c r="C7127" t="s">
        <v>468</v>
      </c>
      <c r="D7127" t="s">
        <v>409</v>
      </c>
      <c r="E7127" t="s">
        <v>415</v>
      </c>
      <c r="F7127">
        <v>3</v>
      </c>
      <c r="G7127" t="s">
        <v>488</v>
      </c>
      <c r="H7127" s="4">
        <v>6887650</v>
      </c>
      <c r="I7127" s="4">
        <v>7172276.928192761</v>
      </c>
      <c r="J7127" s="3">
        <v>0.04132424385570707</v>
      </c>
      <c r="K7127" s="3">
        <v>-0.039684319365019254</v>
      </c>
      <c r="L7127" t="s">
        <v>377</v>
      </c>
    </row>
    <row r="7128" spans="1:12" x14ac:dyDescent="0.25">
      <c r="A7128" t="s">
        <v>487</v>
      </c>
      <c r="B7128" t="s">
        <v>467</v>
      </c>
      <c r="C7128" t="s">
        <v>468</v>
      </c>
      <c r="D7128" t="s">
        <v>409</v>
      </c>
      <c r="E7128" t="s">
        <v>415</v>
      </c>
      <c r="F7128">
        <v>3</v>
      </c>
      <c r="G7128" t="s">
        <v>498</v>
      </c>
      <c r="H7128" s="4">
        <v>6887650</v>
      </c>
      <c r="I7128" s="4">
        <v>6882701</v>
      </c>
      <c r="J7128" s="3">
        <v>0.0007185324457543574</v>
      </c>
      <c r="K7128" s="3">
        <v>0.0007190491058670135</v>
      </c>
      <c r="L7128" t="s">
        <v>377</v>
      </c>
    </row>
    <row r="7129" spans="1:12" x14ac:dyDescent="0.25">
      <c r="A7129" t="s">
        <v>487</v>
      </c>
      <c r="B7129" t="s">
        <v>467</v>
      </c>
      <c r="C7129" t="s">
        <v>468</v>
      </c>
      <c r="D7129" t="s">
        <v>409</v>
      </c>
      <c r="E7129" t="s">
        <v>415</v>
      </c>
      <c r="F7129">
        <v>3</v>
      </c>
      <c r="G7129" t="s">
        <v>499</v>
      </c>
      <c r="H7129" s="4">
        <v>6887650</v>
      </c>
      <c r="I7129" s="4">
        <v>15389812</v>
      </c>
      <c r="J7129" s="3">
        <v>1.234406800577846</v>
      </c>
      <c r="K7129" s="3">
        <v>-0.5524539221141883</v>
      </c>
      <c r="L7129" t="s">
        <v>377</v>
      </c>
    </row>
    <row r="7130" spans="1:12" x14ac:dyDescent="0.25">
      <c r="A7130" t="s">
        <v>487</v>
      </c>
      <c r="B7130" t="s">
        <v>467</v>
      </c>
      <c r="C7130" t="s">
        <v>468</v>
      </c>
      <c r="D7130" t="s">
        <v>411</v>
      </c>
      <c r="E7130" t="s">
        <v>413</v>
      </c>
      <c r="F7130">
        <v>1</v>
      </c>
      <c r="G7130" t="s">
        <v>488</v>
      </c>
      <c r="H7130" s="4">
        <v>13242335</v>
      </c>
      <c r="I7130" s="4">
        <v>9887826.042714814</v>
      </c>
      <c r="J7130" s="3">
        <v>0.2533170288536868</v>
      </c>
      <c r="K7130" s="3">
        <v>0.3392564698037677</v>
      </c>
      <c r="L7130" t="s">
        <v>377</v>
      </c>
    </row>
    <row r="7131" spans="1:12" x14ac:dyDescent="0.25">
      <c r="A7131" t="s">
        <v>487</v>
      </c>
      <c r="B7131" t="s">
        <v>467</v>
      </c>
      <c r="C7131" t="s">
        <v>468</v>
      </c>
      <c r="D7131" t="s">
        <v>411</v>
      </c>
      <c r="E7131" t="s">
        <v>413</v>
      </c>
      <c r="F7131">
        <v>1</v>
      </c>
      <c r="G7131" t="s">
        <v>498</v>
      </c>
      <c r="H7131" s="4">
        <v>13242335</v>
      </c>
      <c r="I7131" s="4">
        <v>9346816</v>
      </c>
      <c r="J7131" s="3">
        <v>0.2941716094631347</v>
      </c>
      <c r="K7131" s="3">
        <v>0.4167749744939881</v>
      </c>
      <c r="L7131" t="s">
        <v>377</v>
      </c>
    </row>
    <row r="7132" spans="1:12" x14ac:dyDescent="0.25">
      <c r="A7132" t="s">
        <v>487</v>
      </c>
      <c r="B7132" t="s">
        <v>467</v>
      </c>
      <c r="C7132" t="s">
        <v>468</v>
      </c>
      <c r="D7132" t="s">
        <v>411</v>
      </c>
      <c r="E7132" t="s">
        <v>413</v>
      </c>
      <c r="F7132">
        <v>1</v>
      </c>
      <c r="G7132" t="s">
        <v>499</v>
      </c>
      <c r="H7132" s="4">
        <v>13242335</v>
      </c>
      <c r="I7132" s="4">
        <v>16957000</v>
      </c>
      <c r="J7132" s="3">
        <v>0.28051435037702943</v>
      </c>
      <c r="K7132" s="3">
        <v>-0.21906380845668455</v>
      </c>
      <c r="L7132" t="s">
        <v>377</v>
      </c>
    </row>
    <row r="7133" spans="1:12" x14ac:dyDescent="0.25">
      <c r="A7133" t="s">
        <v>487</v>
      </c>
      <c r="B7133" t="s">
        <v>467</v>
      </c>
      <c r="C7133" t="s">
        <v>468</v>
      </c>
      <c r="D7133" t="s">
        <v>411</v>
      </c>
      <c r="E7133" t="s">
        <v>415</v>
      </c>
      <c r="F7133">
        <v>2</v>
      </c>
      <c r="G7133" t="s">
        <v>488</v>
      </c>
      <c r="H7133" s="4">
        <v>6887650</v>
      </c>
      <c r="I7133" s="4">
        <v>7281083.760718013</v>
      </c>
      <c r="J7133" s="3">
        <v>0.0571216250416344</v>
      </c>
      <c r="K7133" s="3">
        <v>-0.054035054896719836</v>
      </c>
      <c r="L7133" t="s">
        <v>377</v>
      </c>
    </row>
    <row r="7134" spans="1:12" x14ac:dyDescent="0.25">
      <c r="A7134" t="s">
        <v>487</v>
      </c>
      <c r="B7134" t="s">
        <v>467</v>
      </c>
      <c r="C7134" t="s">
        <v>468</v>
      </c>
      <c r="D7134" t="s">
        <v>411</v>
      </c>
      <c r="E7134" t="s">
        <v>415</v>
      </c>
      <c r="F7134">
        <v>2</v>
      </c>
      <c r="G7134" t="s">
        <v>498</v>
      </c>
      <c r="H7134" s="4">
        <v>6887650</v>
      </c>
      <c r="I7134" s="4">
        <v>6882701</v>
      </c>
      <c r="J7134" s="3">
        <v>0.0007185324457543574</v>
      </c>
      <c r="K7134" s="3">
        <v>0.0007190491058670135</v>
      </c>
      <c r="L7134" t="s">
        <v>377</v>
      </c>
    </row>
    <row r="7135" spans="1:12" x14ac:dyDescent="0.25">
      <c r="A7135" t="s">
        <v>487</v>
      </c>
      <c r="B7135" t="s">
        <v>467</v>
      </c>
      <c r="C7135" t="s">
        <v>468</v>
      </c>
      <c r="D7135" t="s">
        <v>411</v>
      </c>
      <c r="E7135" t="s">
        <v>415</v>
      </c>
      <c r="F7135">
        <v>2</v>
      </c>
      <c r="G7135" t="s">
        <v>499</v>
      </c>
      <c r="H7135" s="4">
        <v>6887650</v>
      </c>
      <c r="I7135" s="4">
        <v>16957000</v>
      </c>
      <c r="J7135" s="3">
        <v>1.4619427526079287</v>
      </c>
      <c r="K7135" s="3">
        <v>-0.5938167128619449</v>
      </c>
      <c r="L7135" t="s">
        <v>377</v>
      </c>
    </row>
    <row r="7136" spans="1:12" x14ac:dyDescent="0.25">
      <c r="A7136" t="s">
        <v>487</v>
      </c>
      <c r="B7136" t="s">
        <v>467</v>
      </c>
      <c r="C7136" t="s">
        <v>468</v>
      </c>
      <c r="D7136" t="s">
        <v>411</v>
      </c>
      <c r="E7136" t="s">
        <v>417</v>
      </c>
      <c r="F7136">
        <v>3</v>
      </c>
      <c r="G7136" t="s">
        <v>488</v>
      </c>
      <c r="H7136" s="4">
        <v>11637150</v>
      </c>
      <c r="I7136" s="4">
        <v>11048182.679222958</v>
      </c>
      <c r="J7136" s="3">
        <v>0.05061095893556772</v>
      </c>
      <c r="K7136" s="3">
        <v>0.05330897740174451</v>
      </c>
      <c r="L7136" t="s">
        <v>377</v>
      </c>
    </row>
    <row r="7137" spans="1:12" x14ac:dyDescent="0.25">
      <c r="A7137" t="s">
        <v>487</v>
      </c>
      <c r="B7137" t="s">
        <v>467</v>
      </c>
      <c r="C7137" t="s">
        <v>468</v>
      </c>
      <c r="D7137" t="s">
        <v>411</v>
      </c>
      <c r="E7137" t="s">
        <v>417</v>
      </c>
      <c r="F7137">
        <v>3</v>
      </c>
      <c r="G7137" t="s">
        <v>498</v>
      </c>
      <c r="H7137" s="4">
        <v>11637150</v>
      </c>
      <c r="I7137" s="4">
        <v>10443684</v>
      </c>
      <c r="J7137" s="3">
        <v>0.10255655379538804</v>
      </c>
      <c r="K7137" s="3">
        <v>0.11427634156682642</v>
      </c>
      <c r="L7137" t="s">
        <v>377</v>
      </c>
    </row>
    <row r="7138" spans="1:12" x14ac:dyDescent="0.25">
      <c r="A7138" t="s">
        <v>487</v>
      </c>
      <c r="B7138" t="s">
        <v>467</v>
      </c>
      <c r="C7138" t="s">
        <v>468</v>
      </c>
      <c r="D7138" t="s">
        <v>411</v>
      </c>
      <c r="E7138" t="s">
        <v>417</v>
      </c>
      <c r="F7138">
        <v>3</v>
      </c>
      <c r="G7138" t="s">
        <v>499</v>
      </c>
      <c r="H7138" s="4">
        <v>11637150</v>
      </c>
      <c r="I7138" s="4">
        <v>16957000</v>
      </c>
      <c r="J7138" s="3">
        <v>0.45714371645978613</v>
      </c>
      <c r="K7138" s="3">
        <v>-0.3137258949106564</v>
      </c>
      <c r="L7138" t="s">
        <v>377</v>
      </c>
    </row>
    <row r="7139" spans="1:12" x14ac:dyDescent="0.25">
      <c r="A7139" t="s">
        <v>487</v>
      </c>
      <c r="B7139" t="s">
        <v>467</v>
      </c>
      <c r="C7139" t="s">
        <v>468</v>
      </c>
      <c r="D7139" t="s">
        <v>413</v>
      </c>
      <c r="E7139" t="s">
        <v>415</v>
      </c>
      <c r="F7139">
        <v>1</v>
      </c>
      <c r="G7139" t="s">
        <v>488</v>
      </c>
      <c r="H7139" s="4">
        <v>6887650</v>
      </c>
      <c r="I7139" s="4">
        <v>7470862.770782301</v>
      </c>
      <c r="J7139" s="3">
        <v>0.08467514620840216</v>
      </c>
      <c r="K7139" s="3">
        <v>-0.07806498240915097</v>
      </c>
      <c r="L7139" t="s">
        <v>377</v>
      </c>
    </row>
    <row r="7140" spans="1:12" x14ac:dyDescent="0.25">
      <c r="A7140" t="s">
        <v>487</v>
      </c>
      <c r="B7140" t="s">
        <v>467</v>
      </c>
      <c r="C7140" t="s">
        <v>468</v>
      </c>
      <c r="D7140" t="s">
        <v>413</v>
      </c>
      <c r="E7140" t="s">
        <v>415</v>
      </c>
      <c r="F7140">
        <v>1</v>
      </c>
      <c r="G7140" t="s">
        <v>498</v>
      </c>
      <c r="H7140" s="4">
        <v>6887650</v>
      </c>
      <c r="I7140" s="4">
        <v>6882701</v>
      </c>
      <c r="J7140" s="3">
        <v>0.0007185324457543574</v>
      </c>
      <c r="K7140" s="3">
        <v>0.0007190491058670135</v>
      </c>
      <c r="L7140" t="s">
        <v>377</v>
      </c>
    </row>
    <row r="7141" spans="1:12" x14ac:dyDescent="0.25">
      <c r="A7141" t="s">
        <v>487</v>
      </c>
      <c r="B7141" t="s">
        <v>467</v>
      </c>
      <c r="C7141" t="s">
        <v>468</v>
      </c>
      <c r="D7141" t="s">
        <v>413</v>
      </c>
      <c r="E7141" t="s">
        <v>415</v>
      </c>
      <c r="F7141">
        <v>1</v>
      </c>
      <c r="G7141" t="s">
        <v>499</v>
      </c>
      <c r="H7141" s="4">
        <v>6887650</v>
      </c>
      <c r="I7141" s="4">
        <v>13242335</v>
      </c>
      <c r="J7141" s="3">
        <v>0.9226201970193026</v>
      </c>
      <c r="K7141" s="3">
        <v>-0.479876471936407</v>
      </c>
      <c r="L7141" t="s">
        <v>377</v>
      </c>
    </row>
    <row r="7142" spans="1:12" x14ac:dyDescent="0.25">
      <c r="A7142" t="s">
        <v>487</v>
      </c>
      <c r="B7142" t="s">
        <v>467</v>
      </c>
      <c r="C7142" t="s">
        <v>468</v>
      </c>
      <c r="D7142" t="s">
        <v>413</v>
      </c>
      <c r="E7142" t="s">
        <v>417</v>
      </c>
      <c r="F7142">
        <v>2</v>
      </c>
      <c r="G7142" t="s">
        <v>488</v>
      </c>
      <c r="H7142" s="4">
        <v>11637150</v>
      </c>
      <c r="I7142" s="4">
        <v>11336149.861139514</v>
      </c>
      <c r="J7142" s="3">
        <v>0.02586545149460877</v>
      </c>
      <c r="K7142" s="3">
        <v>0.026552237095269823</v>
      </c>
      <c r="L7142" t="s">
        <v>377</v>
      </c>
    </row>
    <row r="7143" spans="1:12" x14ac:dyDescent="0.25">
      <c r="A7143" t="s">
        <v>487</v>
      </c>
      <c r="B7143" t="s">
        <v>467</v>
      </c>
      <c r="C7143" t="s">
        <v>468</v>
      </c>
      <c r="D7143" t="s">
        <v>413</v>
      </c>
      <c r="E7143" t="s">
        <v>417</v>
      </c>
      <c r="F7143">
        <v>2</v>
      </c>
      <c r="G7143" t="s">
        <v>498</v>
      </c>
      <c r="H7143" s="4">
        <v>11637150</v>
      </c>
      <c r="I7143" s="4">
        <v>10443684</v>
      </c>
      <c r="J7143" s="3">
        <v>0.10255655379538804</v>
      </c>
      <c r="K7143" s="3">
        <v>0.11427634156682642</v>
      </c>
      <c r="L7143" t="s">
        <v>377</v>
      </c>
    </row>
    <row r="7144" spans="1:12" x14ac:dyDescent="0.25">
      <c r="A7144" t="s">
        <v>487</v>
      </c>
      <c r="B7144" t="s">
        <v>467</v>
      </c>
      <c r="C7144" t="s">
        <v>468</v>
      </c>
      <c r="D7144" t="s">
        <v>413</v>
      </c>
      <c r="E7144" t="s">
        <v>417</v>
      </c>
      <c r="F7144">
        <v>2</v>
      </c>
      <c r="G7144" t="s">
        <v>499</v>
      </c>
      <c r="H7144" s="4">
        <v>11637150</v>
      </c>
      <c r="I7144" s="4">
        <v>13242335</v>
      </c>
      <c r="J7144" s="3">
        <v>0.13793626446337806</v>
      </c>
      <c r="K7144" s="3">
        <v>-0.12121616014094191</v>
      </c>
      <c r="L7144" t="s">
        <v>377</v>
      </c>
    </row>
    <row r="7145" spans="1:12" x14ac:dyDescent="0.25">
      <c r="A7145" t="s">
        <v>487</v>
      </c>
      <c r="B7145" t="s">
        <v>467</v>
      </c>
      <c r="C7145" t="s">
        <v>468</v>
      </c>
      <c r="D7145" t="s">
        <v>413</v>
      </c>
      <c r="E7145" t="s">
        <v>419</v>
      </c>
      <c r="F7145">
        <v>3</v>
      </c>
      <c r="G7145" t="s">
        <v>488</v>
      </c>
      <c r="H7145" s="4">
        <v>12489209</v>
      </c>
      <c r="I7145" s="4">
        <v>13124402.372363692</v>
      </c>
      <c r="J7145" s="3">
        <v>0.05085937567092457</v>
      </c>
      <c r="K7145" s="3">
        <v>-0.04839788924036885</v>
      </c>
      <c r="L7145" t="s">
        <v>377</v>
      </c>
    </row>
    <row r="7146" spans="1:12" x14ac:dyDescent="0.25">
      <c r="A7146" t="s">
        <v>487</v>
      </c>
      <c r="B7146" t="s">
        <v>467</v>
      </c>
      <c r="C7146" t="s">
        <v>468</v>
      </c>
      <c r="D7146" t="s">
        <v>413</v>
      </c>
      <c r="E7146" t="s">
        <v>419</v>
      </c>
      <c r="F7146">
        <v>3</v>
      </c>
      <c r="G7146" t="s">
        <v>498</v>
      </c>
      <c r="H7146" s="4">
        <v>12489209</v>
      </c>
      <c r="I7146" s="4">
        <v>12091152</v>
      </c>
      <c r="J7146" s="3">
        <v>0.03187207452449551</v>
      </c>
      <c r="K7146" s="3">
        <v>0.03292134612152754</v>
      </c>
      <c r="L7146" t="s">
        <v>377</v>
      </c>
    </row>
    <row r="7147" spans="1:12" x14ac:dyDescent="0.25">
      <c r="A7147" t="s">
        <v>487</v>
      </c>
      <c r="B7147" t="s">
        <v>467</v>
      </c>
      <c r="C7147" t="s">
        <v>468</v>
      </c>
      <c r="D7147" t="s">
        <v>413</v>
      </c>
      <c r="E7147" t="s">
        <v>419</v>
      </c>
      <c r="F7147">
        <v>3</v>
      </c>
      <c r="G7147" t="s">
        <v>499</v>
      </c>
      <c r="H7147" s="4">
        <v>12489209</v>
      </c>
      <c r="I7147" s="4">
        <v>13242335</v>
      </c>
      <c r="J7147" s="3">
        <v>0.060302137629372685</v>
      </c>
      <c r="K7147" s="3">
        <v>-0.05687259837483344</v>
      </c>
      <c r="L7147" t="s">
        <v>377</v>
      </c>
    </row>
    <row r="7148" spans="1:12" x14ac:dyDescent="0.25">
      <c r="A7148" t="s">
        <v>487</v>
      </c>
      <c r="B7148" t="s">
        <v>467</v>
      </c>
      <c r="C7148" t="s">
        <v>468</v>
      </c>
      <c r="D7148" t="s">
        <v>415</v>
      </c>
      <c r="E7148" t="s">
        <v>417</v>
      </c>
      <c r="F7148">
        <v>1</v>
      </c>
      <c r="G7148" t="s">
        <v>488</v>
      </c>
      <c r="H7148" s="4">
        <v>11637150</v>
      </c>
      <c r="I7148" s="4">
        <v>11652540.141900526</v>
      </c>
      <c r="J7148" s="3">
        <v>0.0013225009474421452</v>
      </c>
      <c r="K7148" s="3">
        <v>-0.0013207542486969052</v>
      </c>
      <c r="L7148" t="s">
        <v>377</v>
      </c>
    </row>
    <row r="7149" spans="1:12" x14ac:dyDescent="0.25">
      <c r="A7149" t="s">
        <v>487</v>
      </c>
      <c r="B7149" t="s">
        <v>467</v>
      </c>
      <c r="C7149" t="s">
        <v>468</v>
      </c>
      <c r="D7149" t="s">
        <v>415</v>
      </c>
      <c r="E7149" t="s">
        <v>417</v>
      </c>
      <c r="F7149">
        <v>1</v>
      </c>
      <c r="G7149" t="s">
        <v>498</v>
      </c>
      <c r="H7149" s="4">
        <v>11637150</v>
      </c>
      <c r="I7149" s="4">
        <v>10443684</v>
      </c>
      <c r="J7149" s="3">
        <v>0.10255655379538804</v>
      </c>
      <c r="K7149" s="3">
        <v>0.11427634156682642</v>
      </c>
      <c r="L7149" t="s">
        <v>377</v>
      </c>
    </row>
    <row r="7150" spans="1:12" x14ac:dyDescent="0.25">
      <c r="A7150" t="s">
        <v>487</v>
      </c>
      <c r="B7150" t="s">
        <v>467</v>
      </c>
      <c r="C7150" t="s">
        <v>468</v>
      </c>
      <c r="D7150" t="s">
        <v>415</v>
      </c>
      <c r="E7150" t="s">
        <v>417</v>
      </c>
      <c r="F7150">
        <v>1</v>
      </c>
      <c r="G7150" t="s">
        <v>499</v>
      </c>
      <c r="H7150" s="4">
        <v>11637150</v>
      </c>
      <c r="I7150" s="4">
        <v>6887650</v>
      </c>
      <c r="J7150" s="3">
        <v>0.408132575415802</v>
      </c>
      <c r="K7150" s="3">
        <v>0.6895675593272016</v>
      </c>
      <c r="L7150" t="s">
        <v>377</v>
      </c>
    </row>
    <row r="7151" spans="1:12" x14ac:dyDescent="0.25">
      <c r="A7151" t="s">
        <v>487</v>
      </c>
      <c r="B7151" t="s">
        <v>467</v>
      </c>
      <c r="C7151" t="s">
        <v>468</v>
      </c>
      <c r="D7151" t="s">
        <v>415</v>
      </c>
      <c r="E7151" t="s">
        <v>419</v>
      </c>
      <c r="F7151">
        <v>2</v>
      </c>
      <c r="G7151" t="s">
        <v>488</v>
      </c>
      <c r="H7151" s="4">
        <v>12489209</v>
      </c>
      <c r="I7151" s="4">
        <v>13490702.518557707</v>
      </c>
      <c r="J7151" s="3">
        <v>0.08018870679141545</v>
      </c>
      <c r="K7151" s="3">
        <v>-0.07423583146838054</v>
      </c>
      <c r="L7151" t="s">
        <v>377</v>
      </c>
    </row>
    <row r="7152" spans="1:12" x14ac:dyDescent="0.25">
      <c r="A7152" t="s">
        <v>487</v>
      </c>
      <c r="B7152" t="s">
        <v>467</v>
      </c>
      <c r="C7152" t="s">
        <v>468</v>
      </c>
      <c r="D7152" t="s">
        <v>415</v>
      </c>
      <c r="E7152" t="s">
        <v>419</v>
      </c>
      <c r="F7152">
        <v>2</v>
      </c>
      <c r="G7152" t="s">
        <v>498</v>
      </c>
      <c r="H7152" s="4">
        <v>12489209</v>
      </c>
      <c r="I7152" s="4">
        <v>12091152</v>
      </c>
      <c r="J7152" s="3">
        <v>0.03187207452449551</v>
      </c>
      <c r="K7152" s="3">
        <v>0.03292134612152754</v>
      </c>
      <c r="L7152" t="s">
        <v>377</v>
      </c>
    </row>
    <row r="7153" spans="1:12" x14ac:dyDescent="0.25">
      <c r="A7153" t="s">
        <v>487</v>
      </c>
      <c r="B7153" t="s">
        <v>467</v>
      </c>
      <c r="C7153" t="s">
        <v>468</v>
      </c>
      <c r="D7153" t="s">
        <v>415</v>
      </c>
      <c r="E7153" t="s">
        <v>419</v>
      </c>
      <c r="F7153">
        <v>2</v>
      </c>
      <c r="G7153" t="s">
        <v>499</v>
      </c>
      <c r="H7153" s="4">
        <v>12489209</v>
      </c>
      <c r="I7153" s="4">
        <v>6887650</v>
      </c>
      <c r="J7153" s="3">
        <v>0.4485119113628413</v>
      </c>
      <c r="K7153" s="3">
        <v>0.8132757907268807</v>
      </c>
      <c r="L7153" t="s">
        <v>377</v>
      </c>
    </row>
    <row r="7154" spans="1:12" x14ac:dyDescent="0.25">
      <c r="A7154" t="s">
        <v>487</v>
      </c>
      <c r="B7154" t="s">
        <v>467</v>
      </c>
      <c r="C7154" t="s">
        <v>468</v>
      </c>
      <c r="D7154" t="s">
        <v>415</v>
      </c>
      <c r="E7154" t="s">
        <v>421</v>
      </c>
      <c r="F7154">
        <v>3</v>
      </c>
      <c r="G7154" t="s">
        <v>488</v>
      </c>
      <c r="H7154" s="4">
        <v>14416838</v>
      </c>
      <c r="I7154" s="4">
        <v>15474990.206189841</v>
      </c>
      <c r="J7154" s="3">
        <v>0.0733969686133562</v>
      </c>
      <c r="K7154" s="3">
        <v>-0.06837821491910158</v>
      </c>
      <c r="L7154" t="s">
        <v>377</v>
      </c>
    </row>
    <row r="7155" spans="1:12" x14ac:dyDescent="0.25">
      <c r="A7155" t="s">
        <v>487</v>
      </c>
      <c r="B7155" t="s">
        <v>467</v>
      </c>
      <c r="C7155" t="s">
        <v>468</v>
      </c>
      <c r="D7155" t="s">
        <v>415</v>
      </c>
      <c r="E7155" t="s">
        <v>421</v>
      </c>
      <c r="F7155">
        <v>3</v>
      </c>
      <c r="G7155" t="s">
        <v>498</v>
      </c>
      <c r="H7155" s="4">
        <v>14416838</v>
      </c>
      <c r="I7155" s="4">
        <v>13869586</v>
      </c>
      <c r="J7155" s="3">
        <v>0.03795922517822563</v>
      </c>
      <c r="K7155" s="3">
        <v>0.03945698162872345</v>
      </c>
      <c r="L7155" t="s">
        <v>377</v>
      </c>
    </row>
    <row r="7156" spans="1:12" x14ac:dyDescent="0.25">
      <c r="A7156" t="s">
        <v>487</v>
      </c>
      <c r="B7156" t="s">
        <v>467</v>
      </c>
      <c r="C7156" t="s">
        <v>468</v>
      </c>
      <c r="D7156" t="s">
        <v>415</v>
      </c>
      <c r="E7156" t="s">
        <v>421</v>
      </c>
      <c r="F7156">
        <v>3</v>
      </c>
      <c r="G7156" t="s">
        <v>499</v>
      </c>
      <c r="H7156" s="4">
        <v>14416838</v>
      </c>
      <c r="I7156" s="4">
        <v>6887650</v>
      </c>
      <c r="J7156" s="3">
        <v>0.5222496084092781</v>
      </c>
      <c r="K7156" s="3">
        <v>1.0931432346300989</v>
      </c>
      <c r="L7156" t="s">
        <v>377</v>
      </c>
    </row>
    <row r="7157" spans="1:12" x14ac:dyDescent="0.25">
      <c r="A7157" t="s">
        <v>487</v>
      </c>
      <c r="B7157" t="s">
        <v>467</v>
      </c>
      <c r="C7157" t="s">
        <v>468</v>
      </c>
      <c r="D7157" t="s">
        <v>417</v>
      </c>
      <c r="E7157" t="s">
        <v>419</v>
      </c>
      <c r="F7157">
        <v>1</v>
      </c>
      <c r="G7157" t="s">
        <v>488</v>
      </c>
      <c r="H7157" s="4">
        <v>12489209</v>
      </c>
      <c r="I7157" s="4">
        <v>13745849.368162133</v>
      </c>
      <c r="J7157" s="3">
        <v>0.10061809103860243</v>
      </c>
      <c r="K7157" s="3">
        <v>-0.09141962308074891</v>
      </c>
      <c r="L7157" t="s">
        <v>377</v>
      </c>
    </row>
    <row r="7158" spans="1:12" x14ac:dyDescent="0.25">
      <c r="A7158" t="s">
        <v>487</v>
      </c>
      <c r="B7158" t="s">
        <v>467</v>
      </c>
      <c r="C7158" t="s">
        <v>468</v>
      </c>
      <c r="D7158" t="s">
        <v>417</v>
      </c>
      <c r="E7158" t="s">
        <v>419</v>
      </c>
      <c r="F7158">
        <v>1</v>
      </c>
      <c r="G7158" t="s">
        <v>498</v>
      </c>
      <c r="H7158" s="4">
        <v>12489209</v>
      </c>
      <c r="I7158" s="4">
        <v>12091152</v>
      </c>
      <c r="J7158" s="3">
        <v>0.03187207452449551</v>
      </c>
      <c r="K7158" s="3">
        <v>0.03292134612152754</v>
      </c>
      <c r="L7158" t="s">
        <v>377</v>
      </c>
    </row>
    <row r="7159" spans="1:12" x14ac:dyDescent="0.25">
      <c r="A7159" t="s">
        <v>487</v>
      </c>
      <c r="B7159" t="s">
        <v>467</v>
      </c>
      <c r="C7159" t="s">
        <v>468</v>
      </c>
      <c r="D7159" t="s">
        <v>417</v>
      </c>
      <c r="E7159" t="s">
        <v>419</v>
      </c>
      <c r="F7159">
        <v>1</v>
      </c>
      <c r="G7159" t="s">
        <v>499</v>
      </c>
      <c r="H7159" s="4">
        <v>12489209</v>
      </c>
      <c r="I7159" s="4">
        <v>11637150</v>
      </c>
      <c r="J7159" s="3">
        <v>0.06822361608329239</v>
      </c>
      <c r="K7159" s="3">
        <v>0.07321887231839411</v>
      </c>
      <c r="L7159" t="s">
        <v>377</v>
      </c>
    </row>
    <row r="7160" spans="1:12" x14ac:dyDescent="0.25">
      <c r="A7160" t="s">
        <v>487</v>
      </c>
      <c r="B7160" t="s">
        <v>467</v>
      </c>
      <c r="C7160" t="s">
        <v>468</v>
      </c>
      <c r="D7160" t="s">
        <v>417</v>
      </c>
      <c r="E7160" t="s">
        <v>421</v>
      </c>
      <c r="F7160">
        <v>2</v>
      </c>
      <c r="G7160" t="s">
        <v>488</v>
      </c>
      <c r="H7160" s="4">
        <v>14416838</v>
      </c>
      <c r="I7160" s="4">
        <v>15767665.475942273</v>
      </c>
      <c r="J7160" s="3">
        <v>0.09369790212959823</v>
      </c>
      <c r="K7160" s="3">
        <v>-0.08567073407305069</v>
      </c>
      <c r="L7160" t="s">
        <v>377</v>
      </c>
    </row>
    <row r="7161" spans="1:12" x14ac:dyDescent="0.25">
      <c r="A7161" t="s">
        <v>487</v>
      </c>
      <c r="B7161" t="s">
        <v>467</v>
      </c>
      <c r="C7161" t="s">
        <v>468</v>
      </c>
      <c r="D7161" t="s">
        <v>417</v>
      </c>
      <c r="E7161" t="s">
        <v>421</v>
      </c>
      <c r="F7161">
        <v>2</v>
      </c>
      <c r="G7161" t="s">
        <v>498</v>
      </c>
      <c r="H7161" s="4">
        <v>14416838</v>
      </c>
      <c r="I7161" s="4">
        <v>13869586</v>
      </c>
      <c r="J7161" s="3">
        <v>0.03795922517822563</v>
      </c>
      <c r="K7161" s="3">
        <v>0.03945698162872345</v>
      </c>
      <c r="L7161" t="s">
        <v>377</v>
      </c>
    </row>
    <row r="7162" spans="1:12" x14ac:dyDescent="0.25">
      <c r="A7162" t="s">
        <v>487</v>
      </c>
      <c r="B7162" t="s">
        <v>467</v>
      </c>
      <c r="C7162" t="s">
        <v>468</v>
      </c>
      <c r="D7162" t="s">
        <v>417</v>
      </c>
      <c r="E7162" t="s">
        <v>421</v>
      </c>
      <c r="F7162">
        <v>2</v>
      </c>
      <c r="G7162" t="s">
        <v>499</v>
      </c>
      <c r="H7162" s="4">
        <v>14416838</v>
      </c>
      <c r="I7162" s="4">
        <v>11637150</v>
      </c>
      <c r="J7162" s="3">
        <v>0.19280843691244917</v>
      </c>
      <c r="K7162" s="3">
        <v>0.2388632955663543</v>
      </c>
      <c r="L7162" t="s">
        <v>377</v>
      </c>
    </row>
    <row r="7163" spans="1:12" x14ac:dyDescent="0.25">
      <c r="A7163" t="s">
        <v>487</v>
      </c>
      <c r="B7163" t="s">
        <v>467</v>
      </c>
      <c r="C7163" t="s">
        <v>468</v>
      </c>
      <c r="D7163" t="s">
        <v>417</v>
      </c>
      <c r="E7163" t="s">
        <v>423</v>
      </c>
      <c r="F7163">
        <v>3</v>
      </c>
      <c r="G7163" t="s">
        <v>488</v>
      </c>
      <c r="H7163" s="4">
        <v>9241569</v>
      </c>
      <c r="I7163" s="4">
        <v>12272799.640207294</v>
      </c>
      <c r="J7163" s="3">
        <v>0.3279995680611479</v>
      </c>
      <c r="K7163" s="3">
        <v>-0.24698770688609525</v>
      </c>
      <c r="L7163" t="s">
        <v>377</v>
      </c>
    </row>
    <row r="7164" spans="1:12" x14ac:dyDescent="0.25">
      <c r="A7164" t="s">
        <v>487</v>
      </c>
      <c r="B7164" t="s">
        <v>467</v>
      </c>
      <c r="C7164" t="s">
        <v>468</v>
      </c>
      <c r="D7164" t="s">
        <v>417</v>
      </c>
      <c r="E7164" t="s">
        <v>423</v>
      </c>
      <c r="F7164">
        <v>3</v>
      </c>
      <c r="G7164" t="s">
        <v>498</v>
      </c>
      <c r="H7164" s="4">
        <v>9241569</v>
      </c>
      <c r="I7164" s="4">
        <v>10795425</v>
      </c>
      <c r="J7164" s="3">
        <v>0.16813768311419847</v>
      </c>
      <c r="K7164" s="3">
        <v>-0.14393652866839424</v>
      </c>
      <c r="L7164" t="s">
        <v>377</v>
      </c>
    </row>
    <row r="7165" spans="1:12" x14ac:dyDescent="0.25">
      <c r="A7165" t="s">
        <v>487</v>
      </c>
      <c r="B7165" t="s">
        <v>467</v>
      </c>
      <c r="C7165" t="s">
        <v>468</v>
      </c>
      <c r="D7165" t="s">
        <v>417</v>
      </c>
      <c r="E7165" t="s">
        <v>423</v>
      </c>
      <c r="F7165">
        <v>3</v>
      </c>
      <c r="G7165" t="s">
        <v>499</v>
      </c>
      <c r="H7165" s="4">
        <v>9241569</v>
      </c>
      <c r="I7165" s="4">
        <v>11637150</v>
      </c>
      <c r="J7165" s="3">
        <v>0.2592179964246331</v>
      </c>
      <c r="K7165" s="3">
        <v>-0.20585633080264498</v>
      </c>
      <c r="L7165" t="s">
        <v>377</v>
      </c>
    </row>
    <row r="7166" spans="1:12" x14ac:dyDescent="0.25">
      <c r="A7166" t="s">
        <v>487</v>
      </c>
      <c r="B7166" t="s">
        <v>467</v>
      </c>
      <c r="C7166" t="s">
        <v>468</v>
      </c>
      <c r="D7166" t="s">
        <v>419</v>
      </c>
      <c r="E7166" t="s">
        <v>421</v>
      </c>
      <c r="F7166">
        <v>1</v>
      </c>
      <c r="G7166" t="s">
        <v>488</v>
      </c>
      <c r="H7166" s="4">
        <v>14416838</v>
      </c>
      <c r="I7166" s="4">
        <v>15952773.403442493</v>
      </c>
      <c r="J7166" s="3">
        <v>0.10653760578030305</v>
      </c>
      <c r="K7166" s="3">
        <v>-0.09628014920032958</v>
      </c>
      <c r="L7166" t="s">
        <v>377</v>
      </c>
    </row>
    <row r="7167" spans="1:12" x14ac:dyDescent="0.25">
      <c r="A7167" t="s">
        <v>487</v>
      </c>
      <c r="B7167" t="s">
        <v>467</v>
      </c>
      <c r="C7167" t="s">
        <v>468</v>
      </c>
      <c r="D7167" t="s">
        <v>419</v>
      </c>
      <c r="E7167" t="s">
        <v>421</v>
      </c>
      <c r="F7167">
        <v>1</v>
      </c>
      <c r="G7167" t="s">
        <v>498</v>
      </c>
      <c r="H7167" s="4">
        <v>14416838</v>
      </c>
      <c r="I7167" s="4">
        <v>13869586</v>
      </c>
      <c r="J7167" s="3">
        <v>0.03795922517822563</v>
      </c>
      <c r="K7167" s="3">
        <v>0.03945698162872345</v>
      </c>
      <c r="L7167" t="s">
        <v>377</v>
      </c>
    </row>
    <row r="7168" spans="1:12" x14ac:dyDescent="0.25">
      <c r="A7168" t="s">
        <v>487</v>
      </c>
      <c r="B7168" t="s">
        <v>467</v>
      </c>
      <c r="C7168" t="s">
        <v>468</v>
      </c>
      <c r="D7168" t="s">
        <v>419</v>
      </c>
      <c r="E7168" t="s">
        <v>421</v>
      </c>
      <c r="F7168">
        <v>1</v>
      </c>
      <c r="G7168" t="s">
        <v>499</v>
      </c>
      <c r="H7168" s="4">
        <v>14416838</v>
      </c>
      <c r="I7168" s="4">
        <v>12489209</v>
      </c>
      <c r="J7168" s="3">
        <v>0.13370678091825683</v>
      </c>
      <c r="K7168" s="3">
        <v>0.15434356170995298</v>
      </c>
      <c r="L7168" t="s">
        <v>377</v>
      </c>
    </row>
    <row r="7169" spans="1:12" x14ac:dyDescent="0.25">
      <c r="A7169" t="s">
        <v>487</v>
      </c>
      <c r="B7169" t="s">
        <v>467</v>
      </c>
      <c r="C7169" t="s">
        <v>468</v>
      </c>
      <c r="D7169" t="s">
        <v>419</v>
      </c>
      <c r="E7169" t="s">
        <v>423</v>
      </c>
      <c r="F7169">
        <v>2</v>
      </c>
      <c r="G7169" t="s">
        <v>488</v>
      </c>
      <c r="H7169" s="4">
        <v>9241569</v>
      </c>
      <c r="I7169" s="4">
        <v>12416878.83249422</v>
      </c>
      <c r="J7169" s="3">
        <v>0.34358990691885977</v>
      </c>
      <c r="K7169" s="3">
        <v>-0.25572528131502953</v>
      </c>
      <c r="L7169" t="s">
        <v>377</v>
      </c>
    </row>
    <row r="7170" spans="1:12" x14ac:dyDescent="0.25">
      <c r="A7170" t="s">
        <v>487</v>
      </c>
      <c r="B7170" t="s">
        <v>467</v>
      </c>
      <c r="C7170" t="s">
        <v>468</v>
      </c>
      <c r="D7170" t="s">
        <v>419</v>
      </c>
      <c r="E7170" t="s">
        <v>423</v>
      </c>
      <c r="F7170">
        <v>2</v>
      </c>
      <c r="G7170" t="s">
        <v>498</v>
      </c>
      <c r="H7170" s="4">
        <v>9241569</v>
      </c>
      <c r="I7170" s="4">
        <v>10795425</v>
      </c>
      <c r="J7170" s="3">
        <v>0.16813768311419847</v>
      </c>
      <c r="K7170" s="3">
        <v>-0.14393652866839424</v>
      </c>
      <c r="L7170" t="s">
        <v>377</v>
      </c>
    </row>
    <row r="7171" spans="1:12" x14ac:dyDescent="0.25">
      <c r="A7171" t="s">
        <v>487</v>
      </c>
      <c r="B7171" t="s">
        <v>467</v>
      </c>
      <c r="C7171" t="s">
        <v>468</v>
      </c>
      <c r="D7171" t="s">
        <v>419</v>
      </c>
      <c r="E7171" t="s">
        <v>423</v>
      </c>
      <c r="F7171">
        <v>2</v>
      </c>
      <c r="G7171" t="s">
        <v>499</v>
      </c>
      <c r="H7171" s="4">
        <v>9241569</v>
      </c>
      <c r="I7171" s="4">
        <v>12489209</v>
      </c>
      <c r="J7171" s="3">
        <v>0.3514165181258723</v>
      </c>
      <c r="K7171" s="3">
        <v>-0.2600356836049425</v>
      </c>
      <c r="L7171" t="s">
        <v>377</v>
      </c>
    </row>
    <row r="7172" spans="1:12" x14ac:dyDescent="0.25">
      <c r="A7172" t="s">
        <v>487</v>
      </c>
      <c r="B7172" t="s">
        <v>467</v>
      </c>
      <c r="C7172" t="s">
        <v>468</v>
      </c>
      <c r="D7172" t="s">
        <v>419</v>
      </c>
      <c r="E7172" t="s">
        <v>425</v>
      </c>
      <c r="F7172">
        <v>3</v>
      </c>
      <c r="G7172" t="s">
        <v>488</v>
      </c>
      <c r="H7172" s="4">
        <v>5725397</v>
      </c>
      <c r="I7172" s="4">
        <v>11484062.309055172</v>
      </c>
      <c r="J7172" s="3">
        <v>1.0058106554104758</v>
      </c>
      <c r="K7172" s="3">
        <v>-0.5014484556143927</v>
      </c>
      <c r="L7172" t="s">
        <v>377</v>
      </c>
    </row>
    <row r="7173" spans="1:12" x14ac:dyDescent="0.25">
      <c r="A7173" t="s">
        <v>487</v>
      </c>
      <c r="B7173" t="s">
        <v>467</v>
      </c>
      <c r="C7173" t="s">
        <v>468</v>
      </c>
      <c r="D7173" t="s">
        <v>419</v>
      </c>
      <c r="E7173" t="s">
        <v>425</v>
      </c>
      <c r="F7173">
        <v>3</v>
      </c>
      <c r="G7173" t="s">
        <v>498</v>
      </c>
      <c r="H7173" s="4">
        <v>5725397</v>
      </c>
      <c r="I7173" s="4">
        <v>9984420</v>
      </c>
      <c r="J7173" s="3">
        <v>0.7438825639514605</v>
      </c>
      <c r="K7173" s="3">
        <v>-0.4265668912165153</v>
      </c>
      <c r="L7173" t="s">
        <v>377</v>
      </c>
    </row>
    <row r="7174" spans="1:12" x14ac:dyDescent="0.25">
      <c r="A7174" t="s">
        <v>487</v>
      </c>
      <c r="B7174" t="s">
        <v>467</v>
      </c>
      <c r="C7174" t="s">
        <v>468</v>
      </c>
      <c r="D7174" t="s">
        <v>419</v>
      </c>
      <c r="E7174" t="s">
        <v>425</v>
      </c>
      <c r="F7174">
        <v>3</v>
      </c>
      <c r="G7174" t="s">
        <v>499</v>
      </c>
      <c r="H7174" s="4">
        <v>5725397</v>
      </c>
      <c r="I7174" s="4">
        <v>12489209</v>
      </c>
      <c r="J7174" s="3">
        <v>1.1813699556554769</v>
      </c>
      <c r="K7174" s="3">
        <v>-0.5415724886980432</v>
      </c>
      <c r="L7174" t="s">
        <v>377</v>
      </c>
    </row>
    <row r="7175" spans="1:12" x14ac:dyDescent="0.25">
      <c r="A7175" t="s">
        <v>487</v>
      </c>
      <c r="B7175" t="s">
        <v>467</v>
      </c>
      <c r="C7175" t="s">
        <v>468</v>
      </c>
      <c r="D7175" t="s">
        <v>421</v>
      </c>
      <c r="E7175" t="s">
        <v>423</v>
      </c>
      <c r="F7175">
        <v>1</v>
      </c>
      <c r="G7175" t="s">
        <v>488</v>
      </c>
      <c r="H7175" s="4">
        <v>9241569</v>
      </c>
      <c r="I7175" s="4">
        <v>12263303.001512343</v>
      </c>
      <c r="J7175" s="3">
        <v>0.3269719678024741</v>
      </c>
      <c r="K7175" s="3">
        <v>-0.24640457804391647</v>
      </c>
      <c r="L7175" t="s">
        <v>377</v>
      </c>
    </row>
    <row r="7176" spans="1:12" x14ac:dyDescent="0.25">
      <c r="A7176" t="s">
        <v>487</v>
      </c>
      <c r="B7176" t="s">
        <v>467</v>
      </c>
      <c r="C7176" t="s">
        <v>468</v>
      </c>
      <c r="D7176" t="s">
        <v>421</v>
      </c>
      <c r="E7176" t="s">
        <v>423</v>
      </c>
      <c r="F7176">
        <v>1</v>
      </c>
      <c r="G7176" t="s">
        <v>498</v>
      </c>
      <c r="H7176" s="4">
        <v>9241569</v>
      </c>
      <c r="I7176" s="4">
        <v>10795425</v>
      </c>
      <c r="J7176" s="3">
        <v>0.16813768311419847</v>
      </c>
      <c r="K7176" s="3">
        <v>-0.14393652866839424</v>
      </c>
      <c r="L7176" t="s">
        <v>377</v>
      </c>
    </row>
    <row r="7177" spans="1:12" x14ac:dyDescent="0.25">
      <c r="A7177" t="s">
        <v>487</v>
      </c>
      <c r="B7177" t="s">
        <v>467</v>
      </c>
      <c r="C7177" t="s">
        <v>468</v>
      </c>
      <c r="D7177" t="s">
        <v>421</v>
      </c>
      <c r="E7177" t="s">
        <v>423</v>
      </c>
      <c r="F7177">
        <v>1</v>
      </c>
      <c r="G7177" t="s">
        <v>499</v>
      </c>
      <c r="H7177" s="4">
        <v>9241569</v>
      </c>
      <c r="I7177" s="4">
        <v>14416838</v>
      </c>
      <c r="J7177" s="3">
        <v>0.5599989568870827</v>
      </c>
      <c r="K7177" s="3">
        <v>-0.3589739303445041</v>
      </c>
      <c r="L7177" t="s">
        <v>377</v>
      </c>
    </row>
    <row r="7178" spans="1:12" x14ac:dyDescent="0.25">
      <c r="A7178" t="s">
        <v>487</v>
      </c>
      <c r="B7178" t="s">
        <v>467</v>
      </c>
      <c r="C7178" t="s">
        <v>468</v>
      </c>
      <c r="D7178" t="s">
        <v>421</v>
      </c>
      <c r="E7178" t="s">
        <v>425</v>
      </c>
      <c r="F7178">
        <v>2</v>
      </c>
      <c r="G7178" t="s">
        <v>488</v>
      </c>
      <c r="H7178" s="4">
        <v>5725397</v>
      </c>
      <c r="I7178" s="4">
        <v>11342023.843837539</v>
      </c>
      <c r="J7178" s="3">
        <v>0.9810021634897176</v>
      </c>
      <c r="K7178" s="3">
        <v>-0.49520499349763053</v>
      </c>
      <c r="L7178" t="s">
        <v>377</v>
      </c>
    </row>
    <row r="7179" spans="1:12" x14ac:dyDescent="0.25">
      <c r="A7179" t="s">
        <v>487</v>
      </c>
      <c r="B7179" t="s">
        <v>467</v>
      </c>
      <c r="C7179" t="s">
        <v>468</v>
      </c>
      <c r="D7179" t="s">
        <v>421</v>
      </c>
      <c r="E7179" t="s">
        <v>425</v>
      </c>
      <c r="F7179">
        <v>2</v>
      </c>
      <c r="G7179" t="s">
        <v>498</v>
      </c>
      <c r="H7179" s="4">
        <v>5725397</v>
      </c>
      <c r="I7179" s="4">
        <v>9984420</v>
      </c>
      <c r="J7179" s="3">
        <v>0.7438825639514605</v>
      </c>
      <c r="K7179" s="3">
        <v>-0.4265668912165153</v>
      </c>
      <c r="L7179" t="s">
        <v>377</v>
      </c>
    </row>
    <row r="7180" spans="1:12" x14ac:dyDescent="0.25">
      <c r="A7180" t="s">
        <v>487</v>
      </c>
      <c r="B7180" t="s">
        <v>467</v>
      </c>
      <c r="C7180" t="s">
        <v>468</v>
      </c>
      <c r="D7180" t="s">
        <v>421</v>
      </c>
      <c r="E7180" t="s">
        <v>425</v>
      </c>
      <c r="F7180">
        <v>2</v>
      </c>
      <c r="G7180" t="s">
        <v>499</v>
      </c>
      <c r="H7180" s="4">
        <v>5725397</v>
      </c>
      <c r="I7180" s="4">
        <v>14416838</v>
      </c>
      <c r="J7180" s="3">
        <v>1.5180503640184253</v>
      </c>
      <c r="K7180" s="3">
        <v>-0.6028673555185957</v>
      </c>
      <c r="L7180" t="s">
        <v>377</v>
      </c>
    </row>
    <row r="7181" spans="1:12" x14ac:dyDescent="0.25">
      <c r="A7181" t="s">
        <v>487</v>
      </c>
      <c r="B7181" t="s">
        <v>467</v>
      </c>
      <c r="C7181" t="s">
        <v>468</v>
      </c>
      <c r="D7181" t="s">
        <v>421</v>
      </c>
      <c r="E7181" t="s">
        <v>427</v>
      </c>
      <c r="F7181">
        <v>3</v>
      </c>
      <c r="G7181" t="s">
        <v>488</v>
      </c>
      <c r="H7181" s="4">
        <v>6007698</v>
      </c>
      <c r="I7181" s="4">
        <v>7870557.46207391</v>
      </c>
      <c r="J7181" s="3">
        <v>0.3100787459812244</v>
      </c>
      <c r="K7181" s="3">
        <v>-0.2366871052083066</v>
      </c>
      <c r="L7181" t="s">
        <v>377</v>
      </c>
    </row>
    <row r="7182" spans="1:12" x14ac:dyDescent="0.25">
      <c r="A7182" t="s">
        <v>487</v>
      </c>
      <c r="B7182" t="s">
        <v>467</v>
      </c>
      <c r="C7182" t="s">
        <v>468</v>
      </c>
      <c r="D7182" t="s">
        <v>421</v>
      </c>
      <c r="E7182" t="s">
        <v>427</v>
      </c>
      <c r="F7182">
        <v>3</v>
      </c>
      <c r="G7182" t="s">
        <v>498</v>
      </c>
      <c r="H7182" s="4">
        <v>6007698</v>
      </c>
      <c r="I7182" s="4">
        <v>6928477</v>
      </c>
      <c r="J7182" s="3">
        <v>0.15326652571417537</v>
      </c>
      <c r="K7182" s="3">
        <v>-0.1328977493899453</v>
      </c>
      <c r="L7182" t="s">
        <v>377</v>
      </c>
    </row>
    <row r="7183" spans="1:12" x14ac:dyDescent="0.25">
      <c r="A7183" t="s">
        <v>487</v>
      </c>
      <c r="B7183" t="s">
        <v>467</v>
      </c>
      <c r="C7183" t="s">
        <v>468</v>
      </c>
      <c r="D7183" t="s">
        <v>421</v>
      </c>
      <c r="E7183" t="s">
        <v>427</v>
      </c>
      <c r="F7183">
        <v>3</v>
      </c>
      <c r="G7183" t="s">
        <v>499</v>
      </c>
      <c r="H7183" s="4">
        <v>6007698</v>
      </c>
      <c r="I7183" s="4">
        <v>14416838</v>
      </c>
      <c r="J7183" s="3">
        <v>1.3997274829726793</v>
      </c>
      <c r="K7183" s="3">
        <v>-0.5832860159765962</v>
      </c>
      <c r="L7183" t="s">
        <v>377</v>
      </c>
    </row>
    <row r="7184" spans="1:12" x14ac:dyDescent="0.25">
      <c r="A7184" t="s">
        <v>487</v>
      </c>
      <c r="B7184" t="s">
        <v>467</v>
      </c>
      <c r="C7184" t="s">
        <v>468</v>
      </c>
      <c r="D7184" t="s">
        <v>423</v>
      </c>
      <c r="E7184" t="s">
        <v>425</v>
      </c>
      <c r="F7184">
        <v>1</v>
      </c>
      <c r="G7184" t="s">
        <v>488</v>
      </c>
      <c r="H7184" s="4">
        <v>5725397</v>
      </c>
      <c r="I7184" s="4">
        <v>11048008.306240585</v>
      </c>
      <c r="J7184" s="3">
        <v>0.9296492987718729</v>
      </c>
      <c r="K7184" s="3">
        <v>-0.48177111735461414</v>
      </c>
      <c r="L7184" t="s">
        <v>377</v>
      </c>
    </row>
    <row r="7185" spans="1:12" x14ac:dyDescent="0.25">
      <c r="A7185" t="s">
        <v>487</v>
      </c>
      <c r="B7185" t="s">
        <v>467</v>
      </c>
      <c r="C7185" t="s">
        <v>468</v>
      </c>
      <c r="D7185" t="s">
        <v>423</v>
      </c>
      <c r="E7185" t="s">
        <v>425</v>
      </c>
      <c r="F7185">
        <v>1</v>
      </c>
      <c r="G7185" t="s">
        <v>498</v>
      </c>
      <c r="H7185" s="4">
        <v>5725397</v>
      </c>
      <c r="I7185" s="4">
        <v>9984420</v>
      </c>
      <c r="J7185" s="3">
        <v>0.7438825639514605</v>
      </c>
      <c r="K7185" s="3">
        <v>-0.4265668912165153</v>
      </c>
      <c r="L7185" t="s">
        <v>377</v>
      </c>
    </row>
    <row r="7186" spans="1:12" x14ac:dyDescent="0.25">
      <c r="A7186" t="s">
        <v>487</v>
      </c>
      <c r="B7186" t="s">
        <v>467</v>
      </c>
      <c r="C7186" t="s">
        <v>468</v>
      </c>
      <c r="D7186" t="s">
        <v>423</v>
      </c>
      <c r="E7186" t="s">
        <v>425</v>
      </c>
      <c r="F7186">
        <v>1</v>
      </c>
      <c r="G7186" t="s">
        <v>499</v>
      </c>
      <c r="H7186" s="4">
        <v>5725397</v>
      </c>
      <c r="I7186" s="4">
        <v>9241569</v>
      </c>
      <c r="J7186" s="3">
        <v>0.6141359280413219</v>
      </c>
      <c r="K7186" s="3">
        <v>-0.3804734888632006</v>
      </c>
      <c r="L7186" t="s">
        <v>377</v>
      </c>
    </row>
    <row r="7187" spans="1:12" x14ac:dyDescent="0.25">
      <c r="A7187" t="s">
        <v>487</v>
      </c>
      <c r="B7187" t="s">
        <v>467</v>
      </c>
      <c r="C7187" t="s">
        <v>468</v>
      </c>
      <c r="D7187" t="s">
        <v>423</v>
      </c>
      <c r="E7187" t="s">
        <v>427</v>
      </c>
      <c r="F7187">
        <v>2</v>
      </c>
      <c r="G7187" t="s">
        <v>488</v>
      </c>
      <c r="H7187" s="4">
        <v>6007698</v>
      </c>
      <c r="I7187" s="4">
        <v>7666531.600793721</v>
      </c>
      <c r="J7187" s="3">
        <v>0.27611800739546516</v>
      </c>
      <c r="K7187" s="3">
        <v>-0.2163734120161953</v>
      </c>
      <c r="L7187" t="s">
        <v>377</v>
      </c>
    </row>
    <row r="7188" spans="1:12" x14ac:dyDescent="0.25">
      <c r="A7188" t="s">
        <v>487</v>
      </c>
      <c r="B7188" t="s">
        <v>467</v>
      </c>
      <c r="C7188" t="s">
        <v>468</v>
      </c>
      <c r="D7188" t="s">
        <v>423</v>
      </c>
      <c r="E7188" t="s">
        <v>427</v>
      </c>
      <c r="F7188">
        <v>2</v>
      </c>
      <c r="G7188" t="s">
        <v>498</v>
      </c>
      <c r="H7188" s="4">
        <v>6007698</v>
      </c>
      <c r="I7188" s="4">
        <v>6928477</v>
      </c>
      <c r="J7188" s="3">
        <v>0.15326652571417537</v>
      </c>
      <c r="K7188" s="3">
        <v>-0.1328977493899453</v>
      </c>
      <c r="L7188" t="s">
        <v>377</v>
      </c>
    </row>
    <row r="7189" spans="1:12" x14ac:dyDescent="0.25">
      <c r="A7189" t="s">
        <v>487</v>
      </c>
      <c r="B7189" t="s">
        <v>467</v>
      </c>
      <c r="C7189" t="s">
        <v>468</v>
      </c>
      <c r="D7189" t="s">
        <v>423</v>
      </c>
      <c r="E7189" t="s">
        <v>427</v>
      </c>
      <c r="F7189">
        <v>2</v>
      </c>
      <c r="G7189" t="s">
        <v>499</v>
      </c>
      <c r="H7189" s="4">
        <v>6007698</v>
      </c>
      <c r="I7189" s="4">
        <v>9241569</v>
      </c>
      <c r="J7189" s="3">
        <v>0.5382878766542526</v>
      </c>
      <c r="K7189" s="3">
        <v>-0.34992661960322974</v>
      </c>
      <c r="L7189" t="s">
        <v>377</v>
      </c>
    </row>
    <row r="7190" spans="1:12" x14ac:dyDescent="0.25">
      <c r="A7190" t="s">
        <v>487</v>
      </c>
      <c r="B7190" t="s">
        <v>467</v>
      </c>
      <c r="C7190" t="s">
        <v>468</v>
      </c>
      <c r="D7190" t="s">
        <v>423</v>
      </c>
      <c r="E7190" t="s">
        <v>429</v>
      </c>
      <c r="F7190">
        <v>3</v>
      </c>
      <c r="G7190" t="s">
        <v>488</v>
      </c>
      <c r="H7190" s="4">
        <v>9532491</v>
      </c>
      <c r="I7190" s="4">
        <v>14003144.327264158</v>
      </c>
      <c r="J7190" s="3">
        <v>0.46899108819134033</v>
      </c>
      <c r="K7190" s="3">
        <v>-0.3192606762296797</v>
      </c>
      <c r="L7190" t="s">
        <v>377</v>
      </c>
    </row>
    <row r="7191" spans="1:12" x14ac:dyDescent="0.25">
      <c r="A7191" t="s">
        <v>487</v>
      </c>
      <c r="B7191" t="s">
        <v>467</v>
      </c>
      <c r="C7191" t="s">
        <v>468</v>
      </c>
      <c r="D7191" t="s">
        <v>423</v>
      </c>
      <c r="E7191" t="s">
        <v>429</v>
      </c>
      <c r="F7191">
        <v>3</v>
      </c>
      <c r="G7191" t="s">
        <v>498</v>
      </c>
      <c r="H7191" s="4">
        <v>9532491</v>
      </c>
      <c r="I7191" s="4">
        <v>12655066</v>
      </c>
      <c r="J7191" s="3">
        <v>0.32757177531035697</v>
      </c>
      <c r="K7191" s="3">
        <v>-0.24674505846117278</v>
      </c>
      <c r="L7191" t="s">
        <v>377</v>
      </c>
    </row>
    <row r="7192" spans="1:12" x14ac:dyDescent="0.25">
      <c r="A7192" t="s">
        <v>487</v>
      </c>
      <c r="B7192" t="s">
        <v>467</v>
      </c>
      <c r="C7192" t="s">
        <v>468</v>
      </c>
      <c r="D7192" t="s">
        <v>423</v>
      </c>
      <c r="E7192" t="s">
        <v>429</v>
      </c>
      <c r="F7192">
        <v>3</v>
      </c>
      <c r="G7192" t="s">
        <v>499</v>
      </c>
      <c r="H7192" s="4">
        <v>9532491</v>
      </c>
      <c r="I7192" s="4">
        <v>9241569</v>
      </c>
      <c r="J7192" s="3">
        <v>0.030518990261831875</v>
      </c>
      <c r="K7192" s="3">
        <v>0.03147971951516025</v>
      </c>
      <c r="L7192" t="s">
        <v>377</v>
      </c>
    </row>
    <row r="7193" spans="1:12" x14ac:dyDescent="0.25">
      <c r="A7193" t="s">
        <v>487</v>
      </c>
      <c r="B7193" t="s">
        <v>467</v>
      </c>
      <c r="C7193" t="s">
        <v>468</v>
      </c>
      <c r="D7193" t="s">
        <v>425</v>
      </c>
      <c r="E7193" t="s">
        <v>427</v>
      </c>
      <c r="F7193">
        <v>1</v>
      </c>
      <c r="G7193" t="s">
        <v>488</v>
      </c>
      <c r="H7193" s="4">
        <v>6007698</v>
      </c>
      <c r="I7193" s="4">
        <v>7165086.621625196</v>
      </c>
      <c r="J7193" s="3">
        <v>0.19265093245785594</v>
      </c>
      <c r="K7193" s="3">
        <v>-0.16153169985859508</v>
      </c>
      <c r="L7193" t="s">
        <v>377</v>
      </c>
    </row>
    <row r="7194" spans="1:12" x14ac:dyDescent="0.25">
      <c r="A7194" t="s">
        <v>487</v>
      </c>
      <c r="B7194" t="s">
        <v>467</v>
      </c>
      <c r="C7194" t="s">
        <v>468</v>
      </c>
      <c r="D7194" t="s">
        <v>425</v>
      </c>
      <c r="E7194" t="s">
        <v>427</v>
      </c>
      <c r="F7194">
        <v>1</v>
      </c>
      <c r="G7194" t="s">
        <v>498</v>
      </c>
      <c r="H7194" s="4">
        <v>6007698</v>
      </c>
      <c r="I7194" s="4">
        <v>6928477</v>
      </c>
      <c r="J7194" s="3">
        <v>0.15326652571417537</v>
      </c>
      <c r="K7194" s="3">
        <v>-0.1328977493899453</v>
      </c>
      <c r="L7194" t="s">
        <v>377</v>
      </c>
    </row>
    <row r="7195" spans="1:12" x14ac:dyDescent="0.25">
      <c r="A7195" t="s">
        <v>487</v>
      </c>
      <c r="B7195" t="s">
        <v>467</v>
      </c>
      <c r="C7195" t="s">
        <v>468</v>
      </c>
      <c r="D7195" t="s">
        <v>425</v>
      </c>
      <c r="E7195" t="s">
        <v>427</v>
      </c>
      <c r="F7195">
        <v>1</v>
      </c>
      <c r="G7195" t="s">
        <v>499</v>
      </c>
      <c r="H7195" s="4">
        <v>6007698</v>
      </c>
      <c r="I7195" s="4">
        <v>5725397</v>
      </c>
      <c r="J7195" s="3">
        <v>0.046989878652355696</v>
      </c>
      <c r="K7195" s="3">
        <v>0.049306799161700055</v>
      </c>
      <c r="L7195" t="s">
        <v>377</v>
      </c>
    </row>
    <row r="7196" spans="1:12" x14ac:dyDescent="0.25">
      <c r="A7196" t="s">
        <v>487</v>
      </c>
      <c r="B7196" t="s">
        <v>467</v>
      </c>
      <c r="C7196" t="s">
        <v>468</v>
      </c>
      <c r="D7196" t="s">
        <v>425</v>
      </c>
      <c r="E7196" t="s">
        <v>429</v>
      </c>
      <c r="F7196">
        <v>2</v>
      </c>
      <c r="G7196" t="s">
        <v>488</v>
      </c>
      <c r="H7196" s="4">
        <v>9532491</v>
      </c>
      <c r="I7196" s="4">
        <v>13087240.39819774</v>
      </c>
      <c r="J7196" s="3">
        <v>0.37290875996607187</v>
      </c>
      <c r="K7196" s="3">
        <v>-0.27161947744822273</v>
      </c>
      <c r="L7196" t="s">
        <v>377</v>
      </c>
    </row>
    <row r="7197" spans="1:12" x14ac:dyDescent="0.25">
      <c r="A7197" t="s">
        <v>487</v>
      </c>
      <c r="B7197" t="s">
        <v>467</v>
      </c>
      <c r="C7197" t="s">
        <v>468</v>
      </c>
      <c r="D7197" t="s">
        <v>425</v>
      </c>
      <c r="E7197" t="s">
        <v>429</v>
      </c>
      <c r="F7197">
        <v>2</v>
      </c>
      <c r="G7197" t="s">
        <v>498</v>
      </c>
      <c r="H7197" s="4">
        <v>9532491</v>
      </c>
      <c r="I7197" s="4">
        <v>12655066</v>
      </c>
      <c r="J7197" s="3">
        <v>0.32757177531035697</v>
      </c>
      <c r="K7197" s="3">
        <v>-0.24674505846117278</v>
      </c>
      <c r="L7197" t="s">
        <v>377</v>
      </c>
    </row>
    <row r="7198" spans="1:12" x14ac:dyDescent="0.25">
      <c r="A7198" t="s">
        <v>487</v>
      </c>
      <c r="B7198" t="s">
        <v>467</v>
      </c>
      <c r="C7198" t="s">
        <v>468</v>
      </c>
      <c r="D7198" t="s">
        <v>425</v>
      </c>
      <c r="E7198" t="s">
        <v>429</v>
      </c>
      <c r="F7198">
        <v>2</v>
      </c>
      <c r="G7198" t="s">
        <v>499</v>
      </c>
      <c r="H7198" s="4">
        <v>9532491</v>
      </c>
      <c r="I7198" s="4">
        <v>5725397</v>
      </c>
      <c r="J7198" s="3">
        <v>0.3993808124235313</v>
      </c>
      <c r="K7198" s="3">
        <v>0.6649484743154056</v>
      </c>
      <c r="L7198" t="s">
        <v>377</v>
      </c>
    </row>
    <row r="7199" spans="1:12" x14ac:dyDescent="0.25">
      <c r="A7199" t="s">
        <v>487</v>
      </c>
      <c r="B7199" t="s">
        <v>467</v>
      </c>
      <c r="C7199" t="s">
        <v>468</v>
      </c>
      <c r="D7199" t="s">
        <v>425</v>
      </c>
      <c r="E7199" t="s">
        <v>431</v>
      </c>
      <c r="F7199">
        <v>3</v>
      </c>
      <c r="G7199" t="s">
        <v>488</v>
      </c>
      <c r="H7199" s="4">
        <v>10744980</v>
      </c>
      <c r="I7199" s="4">
        <v>14124527.28380746</v>
      </c>
      <c r="J7199" s="3">
        <v>0.3145233666146852</v>
      </c>
      <c r="K7199" s="3">
        <v>-0.23926799218844064</v>
      </c>
      <c r="L7199" t="s">
        <v>377</v>
      </c>
    </row>
    <row r="7200" spans="1:12" x14ac:dyDescent="0.25">
      <c r="A7200" t="s">
        <v>487</v>
      </c>
      <c r="B7200" t="s">
        <v>467</v>
      </c>
      <c r="C7200" t="s">
        <v>468</v>
      </c>
      <c r="D7200" t="s">
        <v>425</v>
      </c>
      <c r="E7200" t="s">
        <v>431</v>
      </c>
      <c r="F7200">
        <v>3</v>
      </c>
      <c r="G7200" t="s">
        <v>498</v>
      </c>
      <c r="H7200" s="4">
        <v>10744980</v>
      </c>
      <c r="I7200" s="4">
        <v>13658099</v>
      </c>
      <c r="J7200" s="3">
        <v>0.2711144180817461</v>
      </c>
      <c r="K7200" s="3">
        <v>-0.21328876002436356</v>
      </c>
      <c r="L7200" t="s">
        <v>377</v>
      </c>
    </row>
    <row r="7201" spans="1:12" x14ac:dyDescent="0.25">
      <c r="A7201" t="s">
        <v>487</v>
      </c>
      <c r="B7201" t="s">
        <v>467</v>
      </c>
      <c r="C7201" t="s">
        <v>468</v>
      </c>
      <c r="D7201" t="s">
        <v>425</v>
      </c>
      <c r="E7201" t="s">
        <v>431</v>
      </c>
      <c r="F7201">
        <v>3</v>
      </c>
      <c r="G7201" t="s">
        <v>499</v>
      </c>
      <c r="H7201" s="4">
        <v>10744980</v>
      </c>
      <c r="I7201" s="4">
        <v>5725397</v>
      </c>
      <c r="J7201" s="3">
        <v>0.4671561045250899</v>
      </c>
      <c r="K7201" s="3">
        <v>0.8767222604825482</v>
      </c>
      <c r="L7201" t="s">
        <v>377</v>
      </c>
    </row>
    <row r="7202" spans="1:12" x14ac:dyDescent="0.25">
      <c r="A7202" t="s">
        <v>487</v>
      </c>
      <c r="B7202" t="s">
        <v>467</v>
      </c>
      <c r="C7202" t="s">
        <v>468</v>
      </c>
      <c r="D7202" t="s">
        <v>427</v>
      </c>
      <c r="E7202" t="s">
        <v>429</v>
      </c>
      <c r="F7202">
        <v>1</v>
      </c>
      <c r="G7202" t="s">
        <v>488</v>
      </c>
      <c r="H7202" s="4">
        <v>9532491</v>
      </c>
      <c r="I7202" s="4">
        <v>13020612.408005584</v>
      </c>
      <c r="J7202" s="3">
        <v>0.3659191923711844</v>
      </c>
      <c r="K7202" s="3">
        <v>-0.267892269480424</v>
      </c>
      <c r="L7202" t="s">
        <v>377</v>
      </c>
    </row>
    <row r="7203" spans="1:12" x14ac:dyDescent="0.25">
      <c r="A7203" t="s">
        <v>487</v>
      </c>
      <c r="B7203" t="s">
        <v>467</v>
      </c>
      <c r="C7203" t="s">
        <v>468</v>
      </c>
      <c r="D7203" t="s">
        <v>427</v>
      </c>
      <c r="E7203" t="s">
        <v>429</v>
      </c>
      <c r="F7203">
        <v>1</v>
      </c>
      <c r="G7203" t="s">
        <v>498</v>
      </c>
      <c r="H7203" s="4">
        <v>9532491</v>
      </c>
      <c r="I7203" s="4">
        <v>12655066</v>
      </c>
      <c r="J7203" s="3">
        <v>0.32757177531035697</v>
      </c>
      <c r="K7203" s="3">
        <v>-0.24674505846117278</v>
      </c>
      <c r="L7203" t="s">
        <v>377</v>
      </c>
    </row>
    <row r="7204" spans="1:12" x14ac:dyDescent="0.25">
      <c r="A7204" t="s">
        <v>487</v>
      </c>
      <c r="B7204" t="s">
        <v>467</v>
      </c>
      <c r="C7204" t="s">
        <v>468</v>
      </c>
      <c r="D7204" t="s">
        <v>427</v>
      </c>
      <c r="E7204" t="s">
        <v>429</v>
      </c>
      <c r="F7204">
        <v>1</v>
      </c>
      <c r="G7204" t="s">
        <v>499</v>
      </c>
      <c r="H7204" s="4">
        <v>9532491</v>
      </c>
      <c r="I7204" s="4">
        <v>6007698</v>
      </c>
      <c r="J7204" s="3">
        <v>0.3697662027690349</v>
      </c>
      <c r="K7204" s="3">
        <v>0.5867127475448999</v>
      </c>
      <c r="L7204" t="s">
        <v>377</v>
      </c>
    </row>
    <row r="7205" spans="1:12" x14ac:dyDescent="0.25">
      <c r="A7205" t="s">
        <v>487</v>
      </c>
      <c r="B7205" t="s">
        <v>467</v>
      </c>
      <c r="C7205" t="s">
        <v>468</v>
      </c>
      <c r="D7205" t="s">
        <v>427</v>
      </c>
      <c r="E7205" t="s">
        <v>431</v>
      </c>
      <c r="F7205">
        <v>2</v>
      </c>
      <c r="G7205" t="s">
        <v>488</v>
      </c>
      <c r="H7205" s="4">
        <v>10744980</v>
      </c>
      <c r="I7205" s="4">
        <v>14052618.398763677</v>
      </c>
      <c r="J7205" s="3">
        <v>0.30783104284639684</v>
      </c>
      <c r="K7205" s="3">
        <v>-0.23537523790261586</v>
      </c>
      <c r="L7205" t="s">
        <v>377</v>
      </c>
    </row>
    <row r="7206" spans="1:12" x14ac:dyDescent="0.25">
      <c r="A7206" t="s">
        <v>487</v>
      </c>
      <c r="B7206" t="s">
        <v>467</v>
      </c>
      <c r="C7206" t="s">
        <v>468</v>
      </c>
      <c r="D7206" t="s">
        <v>427</v>
      </c>
      <c r="E7206" t="s">
        <v>431</v>
      </c>
      <c r="F7206">
        <v>2</v>
      </c>
      <c r="G7206" t="s">
        <v>498</v>
      </c>
      <c r="H7206" s="4">
        <v>10744980</v>
      </c>
      <c r="I7206" s="4">
        <v>13658099</v>
      </c>
      <c r="J7206" s="3">
        <v>0.2711144180817461</v>
      </c>
      <c r="K7206" s="3">
        <v>-0.21328876002436356</v>
      </c>
      <c r="L7206" t="s">
        <v>377</v>
      </c>
    </row>
    <row r="7207" spans="1:12" x14ac:dyDescent="0.25">
      <c r="A7207" t="s">
        <v>487</v>
      </c>
      <c r="B7207" t="s">
        <v>467</v>
      </c>
      <c r="C7207" t="s">
        <v>468</v>
      </c>
      <c r="D7207" t="s">
        <v>427</v>
      </c>
      <c r="E7207" t="s">
        <v>431</v>
      </c>
      <c r="F7207">
        <v>2</v>
      </c>
      <c r="G7207" t="s">
        <v>499</v>
      </c>
      <c r="H7207" s="4">
        <v>10744980</v>
      </c>
      <c r="I7207" s="4">
        <v>6007698</v>
      </c>
      <c r="J7207" s="3">
        <v>0.4408832775863706</v>
      </c>
      <c r="K7207" s="3">
        <v>0.7885353091982986</v>
      </c>
      <c r="L7207" t="s">
        <v>377</v>
      </c>
    </row>
    <row r="7208" spans="1:12" x14ac:dyDescent="0.25">
      <c r="A7208" t="s">
        <v>487</v>
      </c>
      <c r="B7208" t="s">
        <v>467</v>
      </c>
      <c r="C7208" t="s">
        <v>468</v>
      </c>
      <c r="D7208" t="s">
        <v>427</v>
      </c>
      <c r="E7208" t="s">
        <v>433</v>
      </c>
      <c r="F7208">
        <v>3</v>
      </c>
      <c r="G7208" t="s">
        <v>488</v>
      </c>
      <c r="H7208" s="4">
        <v>13964215</v>
      </c>
      <c r="I7208" s="4">
        <v>15834352.58923764</v>
      </c>
      <c r="J7208" s="3">
        <v>0.13392357459675605</v>
      </c>
      <c r="K7208" s="3">
        <v>-0.11810635001956081</v>
      </c>
      <c r="L7208" t="s">
        <v>377</v>
      </c>
    </row>
    <row r="7209" spans="1:12" x14ac:dyDescent="0.25">
      <c r="A7209" t="s">
        <v>487</v>
      </c>
      <c r="B7209" t="s">
        <v>467</v>
      </c>
      <c r="C7209" t="s">
        <v>468</v>
      </c>
      <c r="D7209" t="s">
        <v>427</v>
      </c>
      <c r="E7209" t="s">
        <v>433</v>
      </c>
      <c r="F7209">
        <v>3</v>
      </c>
      <c r="G7209" t="s">
        <v>498</v>
      </c>
      <c r="H7209" s="4">
        <v>13964215</v>
      </c>
      <c r="I7209" s="4">
        <v>15389812</v>
      </c>
      <c r="J7209" s="3">
        <v>0.1020893046977578</v>
      </c>
      <c r="K7209" s="3">
        <v>-0.09263251558888438</v>
      </c>
      <c r="L7209" t="s">
        <v>377</v>
      </c>
    </row>
    <row r="7210" spans="1:12" x14ac:dyDescent="0.25">
      <c r="A7210" t="s">
        <v>487</v>
      </c>
      <c r="B7210" t="s">
        <v>467</v>
      </c>
      <c r="C7210" t="s">
        <v>468</v>
      </c>
      <c r="D7210" t="s">
        <v>427</v>
      </c>
      <c r="E7210" t="s">
        <v>433</v>
      </c>
      <c r="F7210">
        <v>3</v>
      </c>
      <c r="G7210" t="s">
        <v>499</v>
      </c>
      <c r="H7210" s="4">
        <v>13964215</v>
      </c>
      <c r="I7210" s="4">
        <v>6007698</v>
      </c>
      <c r="J7210" s="3">
        <v>0.5697790387787641</v>
      </c>
      <c r="K7210" s="3">
        <v>1.32438697817367</v>
      </c>
      <c r="L7210" t="s">
        <v>377</v>
      </c>
    </row>
    <row r="7211" spans="1:12" x14ac:dyDescent="0.25">
      <c r="A7211" t="s">
        <v>487</v>
      </c>
      <c r="B7211" t="s">
        <v>467</v>
      </c>
      <c r="C7211" t="s">
        <v>468</v>
      </c>
      <c r="D7211" t="s">
        <v>429</v>
      </c>
      <c r="E7211" t="s">
        <v>431</v>
      </c>
      <c r="F7211">
        <v>1</v>
      </c>
      <c r="G7211" t="s">
        <v>488</v>
      </c>
      <c r="H7211" s="4">
        <v>10744980</v>
      </c>
      <c r="I7211" s="4">
        <v>13582713.14456219</v>
      </c>
      <c r="J7211" s="3">
        <v>0.26409850409793134</v>
      </c>
      <c r="K7211" s="3">
        <v>-0.20892240853207378</v>
      </c>
      <c r="L7211" t="s">
        <v>377</v>
      </c>
    </row>
    <row r="7212" spans="1:12" x14ac:dyDescent="0.25">
      <c r="A7212" t="s">
        <v>487</v>
      </c>
      <c r="B7212" t="s">
        <v>467</v>
      </c>
      <c r="C7212" t="s">
        <v>468</v>
      </c>
      <c r="D7212" t="s">
        <v>429</v>
      </c>
      <c r="E7212" t="s">
        <v>431</v>
      </c>
      <c r="F7212">
        <v>1</v>
      </c>
      <c r="G7212" t="s">
        <v>498</v>
      </c>
      <c r="H7212" s="4">
        <v>10744980</v>
      </c>
      <c r="I7212" s="4">
        <v>13658099</v>
      </c>
      <c r="J7212" s="3">
        <v>0.2711144180817461</v>
      </c>
      <c r="K7212" s="3">
        <v>-0.21328876002436356</v>
      </c>
      <c r="L7212" t="s">
        <v>377</v>
      </c>
    </row>
    <row r="7213" spans="1:12" x14ac:dyDescent="0.25">
      <c r="A7213" t="s">
        <v>487</v>
      </c>
      <c r="B7213" t="s">
        <v>467</v>
      </c>
      <c r="C7213" t="s">
        <v>468</v>
      </c>
      <c r="D7213" t="s">
        <v>429</v>
      </c>
      <c r="E7213" t="s">
        <v>431</v>
      </c>
      <c r="F7213">
        <v>1</v>
      </c>
      <c r="G7213" t="s">
        <v>499</v>
      </c>
      <c r="H7213" s="4">
        <v>10744980</v>
      </c>
      <c r="I7213" s="4">
        <v>9532491</v>
      </c>
      <c r="J7213" s="3">
        <v>0.11284236918077092</v>
      </c>
      <c r="K7213" s="3">
        <v>0.12719539939770202</v>
      </c>
      <c r="L7213" t="s">
        <v>377</v>
      </c>
    </row>
    <row r="7214" spans="1:12" x14ac:dyDescent="0.25">
      <c r="A7214" t="s">
        <v>487</v>
      </c>
      <c r="B7214" t="s">
        <v>467</v>
      </c>
      <c r="C7214" t="s">
        <v>468</v>
      </c>
      <c r="D7214" t="s">
        <v>429</v>
      </c>
      <c r="E7214" t="s">
        <v>433</v>
      </c>
      <c r="F7214">
        <v>2</v>
      </c>
      <c r="G7214" t="s">
        <v>488</v>
      </c>
      <c r="H7214" s="4">
        <v>13964215</v>
      </c>
      <c r="I7214" s="4">
        <v>15304867.957447149</v>
      </c>
      <c r="J7214" s="3">
        <v>0.09600632455509664</v>
      </c>
      <c r="K7214" s="3">
        <v>-0.08759650597278133</v>
      </c>
      <c r="L7214" t="s">
        <v>377</v>
      </c>
    </row>
    <row r="7215" spans="1:12" x14ac:dyDescent="0.25">
      <c r="A7215" t="s">
        <v>487</v>
      </c>
      <c r="B7215" t="s">
        <v>467</v>
      </c>
      <c r="C7215" t="s">
        <v>468</v>
      </c>
      <c r="D7215" t="s">
        <v>429</v>
      </c>
      <c r="E7215" t="s">
        <v>433</v>
      </c>
      <c r="F7215">
        <v>2</v>
      </c>
      <c r="G7215" t="s">
        <v>498</v>
      </c>
      <c r="H7215" s="4">
        <v>13964215</v>
      </c>
      <c r="I7215" s="4">
        <v>15389812</v>
      </c>
      <c r="J7215" s="3">
        <v>0.1020893046977578</v>
      </c>
      <c r="K7215" s="3">
        <v>-0.09263251558888438</v>
      </c>
      <c r="L7215" t="s">
        <v>377</v>
      </c>
    </row>
    <row r="7216" spans="1:12" x14ac:dyDescent="0.25">
      <c r="A7216" t="s">
        <v>487</v>
      </c>
      <c r="B7216" t="s">
        <v>467</v>
      </c>
      <c r="C7216" t="s">
        <v>468</v>
      </c>
      <c r="D7216" t="s">
        <v>429</v>
      </c>
      <c r="E7216" t="s">
        <v>433</v>
      </c>
      <c r="F7216">
        <v>2</v>
      </c>
      <c r="G7216" t="s">
        <v>499</v>
      </c>
      <c r="H7216" s="4">
        <v>13964215</v>
      </c>
      <c r="I7216" s="4">
        <v>9532491</v>
      </c>
      <c r="J7216" s="3">
        <v>0.31736291656924503</v>
      </c>
      <c r="K7216" s="3">
        <v>0.4649072314886004</v>
      </c>
      <c r="L7216" t="s">
        <v>377</v>
      </c>
    </row>
    <row r="7217" spans="1:12" x14ac:dyDescent="0.25">
      <c r="A7217" t="s">
        <v>487</v>
      </c>
      <c r="B7217" t="s">
        <v>467</v>
      </c>
      <c r="C7217" t="s">
        <v>468</v>
      </c>
      <c r="D7217" t="s">
        <v>429</v>
      </c>
      <c r="E7217" t="s">
        <v>435</v>
      </c>
      <c r="F7217">
        <v>3</v>
      </c>
      <c r="G7217" t="s">
        <v>488</v>
      </c>
      <c r="H7217" s="4">
        <v>8504237</v>
      </c>
      <c r="I7217" s="4">
        <v>16863405.865804683</v>
      </c>
      <c r="J7217" s="3">
        <v>0.9829416637618029</v>
      </c>
      <c r="K7217" s="3">
        <v>-0.49569872968278955</v>
      </c>
      <c r="L7217" t="s">
        <v>377</v>
      </c>
    </row>
    <row r="7218" spans="1:12" x14ac:dyDescent="0.25">
      <c r="A7218" t="s">
        <v>487</v>
      </c>
      <c r="B7218" t="s">
        <v>467</v>
      </c>
      <c r="C7218" t="s">
        <v>468</v>
      </c>
      <c r="D7218" t="s">
        <v>429</v>
      </c>
      <c r="E7218" t="s">
        <v>435</v>
      </c>
      <c r="F7218">
        <v>3</v>
      </c>
      <c r="G7218" t="s">
        <v>498</v>
      </c>
      <c r="H7218" s="4">
        <v>8504237</v>
      </c>
      <c r="I7218" s="4">
        <v>16957000</v>
      </c>
      <c r="J7218" s="3">
        <v>0.9939472524107689</v>
      </c>
      <c r="K7218" s="3">
        <v>-0.498482219732264</v>
      </c>
      <c r="L7218" t="s">
        <v>377</v>
      </c>
    </row>
    <row r="7219" spans="1:12" x14ac:dyDescent="0.25">
      <c r="A7219" t="s">
        <v>487</v>
      </c>
      <c r="B7219" t="s">
        <v>467</v>
      </c>
      <c r="C7219" t="s">
        <v>468</v>
      </c>
      <c r="D7219" t="s">
        <v>429</v>
      </c>
      <c r="E7219" t="s">
        <v>435</v>
      </c>
      <c r="F7219">
        <v>3</v>
      </c>
      <c r="G7219" t="s">
        <v>499</v>
      </c>
      <c r="H7219" s="4">
        <v>8504237</v>
      </c>
      <c r="I7219" s="4">
        <v>9532491</v>
      </c>
      <c r="J7219" s="3">
        <v>0.12091078835173573</v>
      </c>
      <c r="K7219" s="3">
        <v>-0.10786834207344125</v>
      </c>
      <c r="L7219" t="s">
        <v>377</v>
      </c>
    </row>
    <row r="7220" spans="1:12" x14ac:dyDescent="0.25">
      <c r="A7220" t="s">
        <v>487</v>
      </c>
      <c r="B7220" t="s">
        <v>467</v>
      </c>
      <c r="C7220" t="s">
        <v>468</v>
      </c>
      <c r="D7220" t="s">
        <v>431</v>
      </c>
      <c r="E7220" t="s">
        <v>433</v>
      </c>
      <c r="F7220">
        <v>1</v>
      </c>
      <c r="G7220" t="s">
        <v>488</v>
      </c>
      <c r="H7220" s="4">
        <v>13964215</v>
      </c>
      <c r="I7220" s="4">
        <v>14912723.381048193</v>
      </c>
      <c r="J7220" s="3">
        <v>0.06792421779872289</v>
      </c>
      <c r="K7220" s="3">
        <v>-0.06360396802193778</v>
      </c>
      <c r="L7220" t="s">
        <v>377</v>
      </c>
    </row>
    <row r="7221" spans="1:12" x14ac:dyDescent="0.25">
      <c r="A7221" t="s">
        <v>487</v>
      </c>
      <c r="B7221" t="s">
        <v>467</v>
      </c>
      <c r="C7221" t="s">
        <v>468</v>
      </c>
      <c r="D7221" t="s">
        <v>431</v>
      </c>
      <c r="E7221" t="s">
        <v>433</v>
      </c>
      <c r="F7221">
        <v>1</v>
      </c>
      <c r="G7221" t="s">
        <v>498</v>
      </c>
      <c r="H7221" s="4">
        <v>13964215</v>
      </c>
      <c r="I7221" s="4">
        <v>15389812</v>
      </c>
      <c r="J7221" s="3">
        <v>0.1020893046977578</v>
      </c>
      <c r="K7221" s="3">
        <v>-0.09263251558888438</v>
      </c>
      <c r="L7221" t="s">
        <v>377</v>
      </c>
    </row>
    <row r="7222" spans="1:12" x14ac:dyDescent="0.25">
      <c r="A7222" t="s">
        <v>487</v>
      </c>
      <c r="B7222" t="s">
        <v>467</v>
      </c>
      <c r="C7222" t="s">
        <v>468</v>
      </c>
      <c r="D7222" t="s">
        <v>431</v>
      </c>
      <c r="E7222" t="s">
        <v>433</v>
      </c>
      <c r="F7222">
        <v>1</v>
      </c>
      <c r="G7222" t="s">
        <v>499</v>
      </c>
      <c r="H7222" s="4">
        <v>13964215</v>
      </c>
      <c r="I7222" s="4">
        <v>10744980</v>
      </c>
      <c r="J7222" s="3">
        <v>0.23053462009858772</v>
      </c>
      <c r="K7222" s="3">
        <v>0.29960362885738273</v>
      </c>
      <c r="L7222" t="s">
        <v>377</v>
      </c>
    </row>
    <row r="7223" spans="1:12" x14ac:dyDescent="0.25">
      <c r="A7223" t="s">
        <v>487</v>
      </c>
      <c r="B7223" t="s">
        <v>467</v>
      </c>
      <c r="C7223" t="s">
        <v>468</v>
      </c>
      <c r="D7223" t="s">
        <v>431</v>
      </c>
      <c r="E7223" t="s">
        <v>435</v>
      </c>
      <c r="F7223">
        <v>2</v>
      </c>
      <c r="G7223" t="s">
        <v>488</v>
      </c>
      <c r="H7223" s="4">
        <v>8504237</v>
      </c>
      <c r="I7223" s="4">
        <v>16431328.100202538</v>
      </c>
      <c r="J7223" s="3">
        <v>0.9321343114264734</v>
      </c>
      <c r="K7223" s="3">
        <v>-0.48243763692508984</v>
      </c>
      <c r="L7223" t="s">
        <v>377</v>
      </c>
    </row>
    <row r="7224" spans="1:12" x14ac:dyDescent="0.25">
      <c r="A7224" t="s">
        <v>487</v>
      </c>
      <c r="B7224" t="s">
        <v>467</v>
      </c>
      <c r="C7224" t="s">
        <v>468</v>
      </c>
      <c r="D7224" t="s">
        <v>431</v>
      </c>
      <c r="E7224" t="s">
        <v>435</v>
      </c>
      <c r="F7224">
        <v>2</v>
      </c>
      <c r="G7224" t="s">
        <v>498</v>
      </c>
      <c r="H7224" s="4">
        <v>8504237</v>
      </c>
      <c r="I7224" s="4">
        <v>16957000</v>
      </c>
      <c r="J7224" s="3">
        <v>0.9939472524107689</v>
      </c>
      <c r="K7224" s="3">
        <v>-0.498482219732264</v>
      </c>
      <c r="L7224" t="s">
        <v>377</v>
      </c>
    </row>
    <row r="7225" spans="1:12" x14ac:dyDescent="0.25">
      <c r="A7225" t="s">
        <v>487</v>
      </c>
      <c r="B7225" t="s">
        <v>467</v>
      </c>
      <c r="C7225" t="s">
        <v>468</v>
      </c>
      <c r="D7225" t="s">
        <v>431</v>
      </c>
      <c r="E7225" t="s">
        <v>435</v>
      </c>
      <c r="F7225">
        <v>2</v>
      </c>
      <c r="G7225" t="s">
        <v>499</v>
      </c>
      <c r="H7225" s="4">
        <v>8504237</v>
      </c>
      <c r="I7225" s="4">
        <v>10744980</v>
      </c>
      <c r="J7225" s="3">
        <v>0.2634854837653278</v>
      </c>
      <c r="K7225" s="3">
        <v>-0.20853859197504324</v>
      </c>
      <c r="L7225" t="s">
        <v>377</v>
      </c>
    </row>
    <row r="7226" spans="1:12" x14ac:dyDescent="0.25">
      <c r="A7226" t="s">
        <v>487</v>
      </c>
      <c r="B7226" t="s">
        <v>467</v>
      </c>
      <c r="C7226" t="s">
        <v>468</v>
      </c>
      <c r="D7226" t="s">
        <v>431</v>
      </c>
      <c r="E7226" t="s">
        <v>437</v>
      </c>
      <c r="F7226">
        <v>3</v>
      </c>
      <c r="G7226" t="s">
        <v>488</v>
      </c>
      <c r="H7226" s="4">
        <v>6057824</v>
      </c>
      <c r="I7226" s="4">
        <v>12831818.78857083</v>
      </c>
      <c r="J7226" s="3">
        <v>1.1182224489471517</v>
      </c>
      <c r="K7226" s="3">
        <v>-0.52790605137008</v>
      </c>
      <c r="L7226" t="s">
        <v>377</v>
      </c>
    </row>
    <row r="7227" spans="1:12" x14ac:dyDescent="0.25">
      <c r="A7227" t="s">
        <v>487</v>
      </c>
      <c r="B7227" t="s">
        <v>467</v>
      </c>
      <c r="C7227" t="s">
        <v>468</v>
      </c>
      <c r="D7227" t="s">
        <v>431</v>
      </c>
      <c r="E7227" t="s">
        <v>437</v>
      </c>
      <c r="F7227">
        <v>3</v>
      </c>
      <c r="G7227" t="s">
        <v>498</v>
      </c>
      <c r="H7227" s="4">
        <v>6057824</v>
      </c>
      <c r="I7227" s="4">
        <v>13242335</v>
      </c>
      <c r="J7227" s="3">
        <v>1.1859887312672008</v>
      </c>
      <c r="K7227" s="3">
        <v>-0.5425411001911672</v>
      </c>
      <c r="L7227" t="s">
        <v>377</v>
      </c>
    </row>
    <row r="7228" spans="1:12" x14ac:dyDescent="0.25">
      <c r="A7228" t="s">
        <v>487</v>
      </c>
      <c r="B7228" t="s">
        <v>467</v>
      </c>
      <c r="C7228" t="s">
        <v>468</v>
      </c>
      <c r="D7228" t="s">
        <v>431</v>
      </c>
      <c r="E7228" t="s">
        <v>437</v>
      </c>
      <c r="F7228">
        <v>3</v>
      </c>
      <c r="G7228" t="s">
        <v>499</v>
      </c>
      <c r="H7228" s="4">
        <v>6057824</v>
      </c>
      <c r="I7228" s="4">
        <v>10744980</v>
      </c>
      <c r="J7228" s="3">
        <v>0.7737359157347589</v>
      </c>
      <c r="K7228" s="3">
        <v>-0.43621821538988437</v>
      </c>
      <c r="L7228" t="s">
        <v>377</v>
      </c>
    </row>
    <row r="7229" spans="1:12" x14ac:dyDescent="0.25">
      <c r="A7229" t="s">
        <v>487</v>
      </c>
      <c r="B7229" t="s">
        <v>467</v>
      </c>
      <c r="C7229" t="s">
        <v>468</v>
      </c>
      <c r="D7229" t="s">
        <v>433</v>
      </c>
      <c r="E7229" t="s">
        <v>435</v>
      </c>
      <c r="F7229">
        <v>1</v>
      </c>
      <c r="G7229" t="s">
        <v>488</v>
      </c>
      <c r="H7229" s="4">
        <v>8504237</v>
      </c>
      <c r="I7229" s="4">
        <v>16442796.864866117</v>
      </c>
      <c r="J7229" s="3">
        <v>0.9334829056229403</v>
      </c>
      <c r="K7229" s="3">
        <v>-0.48279863396164113</v>
      </c>
      <c r="L7229" t="s">
        <v>377</v>
      </c>
    </row>
    <row r="7230" spans="1:12" x14ac:dyDescent="0.25">
      <c r="A7230" t="s">
        <v>487</v>
      </c>
      <c r="B7230" t="s">
        <v>467</v>
      </c>
      <c r="C7230" t="s">
        <v>468</v>
      </c>
      <c r="D7230" t="s">
        <v>433</v>
      </c>
      <c r="E7230" t="s">
        <v>435</v>
      </c>
      <c r="F7230">
        <v>1</v>
      </c>
      <c r="G7230" t="s">
        <v>498</v>
      </c>
      <c r="H7230" s="4">
        <v>8504237</v>
      </c>
      <c r="I7230" s="4">
        <v>16957000</v>
      </c>
      <c r="J7230" s="3">
        <v>0.9939472524107689</v>
      </c>
      <c r="K7230" s="3">
        <v>-0.498482219732264</v>
      </c>
      <c r="L7230" t="s">
        <v>377</v>
      </c>
    </row>
    <row r="7231" spans="1:12" x14ac:dyDescent="0.25">
      <c r="A7231" t="s">
        <v>487</v>
      </c>
      <c r="B7231" t="s">
        <v>467</v>
      </c>
      <c r="C7231" t="s">
        <v>468</v>
      </c>
      <c r="D7231" t="s">
        <v>433</v>
      </c>
      <c r="E7231" t="s">
        <v>435</v>
      </c>
      <c r="F7231">
        <v>1</v>
      </c>
      <c r="G7231" t="s">
        <v>499</v>
      </c>
      <c r="H7231" s="4">
        <v>8504237</v>
      </c>
      <c r="I7231" s="4">
        <v>13964215</v>
      </c>
      <c r="J7231" s="3">
        <v>0.6420303197100458</v>
      </c>
      <c r="K7231" s="3">
        <v>-0.39099784699677</v>
      </c>
      <c r="L7231" t="s">
        <v>377</v>
      </c>
    </row>
    <row r="7232" spans="1:12" x14ac:dyDescent="0.25">
      <c r="A7232" t="s">
        <v>487</v>
      </c>
      <c r="B7232" t="s">
        <v>467</v>
      </c>
      <c r="C7232" t="s">
        <v>468</v>
      </c>
      <c r="D7232" t="s">
        <v>433</v>
      </c>
      <c r="E7232" t="s">
        <v>437</v>
      </c>
      <c r="F7232">
        <v>2</v>
      </c>
      <c r="G7232" t="s">
        <v>488</v>
      </c>
      <c r="H7232" s="4">
        <v>6057824</v>
      </c>
      <c r="I7232" s="4">
        <v>12840775.161968913</v>
      </c>
      <c r="J7232" s="3">
        <v>1.1197009292394287</v>
      </c>
      <c r="K7232" s="3">
        <v>-0.5282353344257812</v>
      </c>
      <c r="L7232" t="s">
        <v>377</v>
      </c>
    </row>
    <row r="7233" spans="1:12" x14ac:dyDescent="0.25">
      <c r="A7233" t="s">
        <v>487</v>
      </c>
      <c r="B7233" t="s">
        <v>467</v>
      </c>
      <c r="C7233" t="s">
        <v>468</v>
      </c>
      <c r="D7233" t="s">
        <v>433</v>
      </c>
      <c r="E7233" t="s">
        <v>437</v>
      </c>
      <c r="F7233">
        <v>2</v>
      </c>
      <c r="G7233" t="s">
        <v>498</v>
      </c>
      <c r="H7233" s="4">
        <v>6057824</v>
      </c>
      <c r="I7233" s="4">
        <v>13242335</v>
      </c>
      <c r="J7233" s="3">
        <v>1.1859887312672008</v>
      </c>
      <c r="K7233" s="3">
        <v>-0.5425411001911672</v>
      </c>
      <c r="L7233" t="s">
        <v>377</v>
      </c>
    </row>
    <row r="7234" spans="1:12" x14ac:dyDescent="0.25">
      <c r="A7234" t="s">
        <v>487</v>
      </c>
      <c r="B7234" t="s">
        <v>467</v>
      </c>
      <c r="C7234" t="s">
        <v>468</v>
      </c>
      <c r="D7234" t="s">
        <v>433</v>
      </c>
      <c r="E7234" t="s">
        <v>437</v>
      </c>
      <c r="F7234">
        <v>2</v>
      </c>
      <c r="G7234" t="s">
        <v>499</v>
      </c>
      <c r="H7234" s="4">
        <v>6057824</v>
      </c>
      <c r="I7234" s="4">
        <v>13964215</v>
      </c>
      <c r="J7234" s="3">
        <v>1.3051536327235653</v>
      </c>
      <c r="K7234" s="3">
        <v>-0.5661894349234812</v>
      </c>
      <c r="L7234" t="s">
        <v>377</v>
      </c>
    </row>
    <row r="7235" spans="1:12" x14ac:dyDescent="0.25">
      <c r="A7235" t="s">
        <v>487</v>
      </c>
      <c r="B7235" t="s">
        <v>467</v>
      </c>
      <c r="C7235" t="s">
        <v>468</v>
      </c>
      <c r="D7235" t="s">
        <v>433</v>
      </c>
      <c r="E7235" t="s">
        <v>11</v>
      </c>
      <c r="F7235">
        <v>3</v>
      </c>
      <c r="G7235" t="s">
        <v>488</v>
      </c>
      <c r="H7235" s="4">
        <v>5576474</v>
      </c>
      <c r="I7235" s="4">
        <v>6678789.280314626</v>
      </c>
      <c r="J7235" s="3">
        <v>0.1976724504255962</v>
      </c>
      <c r="K7235" s="3">
        <v>-0.1650471715829756</v>
      </c>
      <c r="L7235" t="s">
        <v>377</v>
      </c>
    </row>
    <row r="7236" spans="1:12" x14ac:dyDescent="0.25">
      <c r="A7236" t="s">
        <v>487</v>
      </c>
      <c r="B7236" t="s">
        <v>467</v>
      </c>
      <c r="C7236" t="s">
        <v>468</v>
      </c>
      <c r="D7236" t="s">
        <v>433</v>
      </c>
      <c r="E7236" t="s">
        <v>11</v>
      </c>
      <c r="F7236">
        <v>3</v>
      </c>
      <c r="G7236" t="s">
        <v>498</v>
      </c>
      <c r="H7236" s="4">
        <v>5576474</v>
      </c>
      <c r="I7236" s="4">
        <v>6887650</v>
      </c>
      <c r="J7236" s="3">
        <v>0.23512635403661883</v>
      </c>
      <c r="K7236" s="3">
        <v>-0.19036623521810778</v>
      </c>
      <c r="L7236" t="s">
        <v>377</v>
      </c>
    </row>
    <row r="7237" spans="1:12" x14ac:dyDescent="0.25">
      <c r="A7237" t="s">
        <v>487</v>
      </c>
      <c r="B7237" t="s">
        <v>467</v>
      </c>
      <c r="C7237" t="s">
        <v>468</v>
      </c>
      <c r="D7237" t="s">
        <v>433</v>
      </c>
      <c r="E7237" t="s">
        <v>11</v>
      </c>
      <c r="F7237">
        <v>3</v>
      </c>
      <c r="G7237" t="s">
        <v>499</v>
      </c>
      <c r="H7237" s="4">
        <v>5576474</v>
      </c>
      <c r="I7237" s="4">
        <v>13964215</v>
      </c>
      <c r="J7237" s="3">
        <v>1.5041298497939737</v>
      </c>
      <c r="K7237" s="3">
        <v>-0.6006596862050606</v>
      </c>
      <c r="L7237" t="s">
        <v>377</v>
      </c>
    </row>
    <row r="7238" spans="1:12" x14ac:dyDescent="0.25">
      <c r="A7238" t="s">
        <v>487</v>
      </c>
      <c r="B7238" t="s">
        <v>467</v>
      </c>
      <c r="C7238" t="s">
        <v>468</v>
      </c>
      <c r="D7238" t="s">
        <v>435</v>
      </c>
      <c r="E7238" t="s">
        <v>437</v>
      </c>
      <c r="F7238">
        <v>1</v>
      </c>
      <c r="G7238" t="s">
        <v>488</v>
      </c>
      <c r="H7238" s="4">
        <v>6057824</v>
      </c>
      <c r="I7238" s="4">
        <v>11972835.347851263</v>
      </c>
      <c r="J7238" s="3">
        <v>0.9764250905690333</v>
      </c>
      <c r="K7238" s="3">
        <v>-0.49403597193147875</v>
      </c>
      <c r="L7238" t="s">
        <v>377</v>
      </c>
    </row>
    <row r="7239" spans="1:12" x14ac:dyDescent="0.25">
      <c r="A7239" t="s">
        <v>487</v>
      </c>
      <c r="B7239" t="s">
        <v>467</v>
      </c>
      <c r="C7239" t="s">
        <v>468</v>
      </c>
      <c r="D7239" t="s">
        <v>435</v>
      </c>
      <c r="E7239" t="s">
        <v>437</v>
      </c>
      <c r="F7239">
        <v>1</v>
      </c>
      <c r="G7239" t="s">
        <v>498</v>
      </c>
      <c r="H7239" s="4">
        <v>6057824</v>
      </c>
      <c r="I7239" s="4">
        <v>13242335</v>
      </c>
      <c r="J7239" s="3">
        <v>1.1859887312672008</v>
      </c>
      <c r="K7239" s="3">
        <v>-0.5425411001911672</v>
      </c>
      <c r="L7239" t="s">
        <v>377</v>
      </c>
    </row>
    <row r="7240" spans="1:12" x14ac:dyDescent="0.25">
      <c r="A7240" t="s">
        <v>487</v>
      </c>
      <c r="B7240" t="s">
        <v>467</v>
      </c>
      <c r="C7240" t="s">
        <v>468</v>
      </c>
      <c r="D7240" t="s">
        <v>435</v>
      </c>
      <c r="E7240" t="s">
        <v>437</v>
      </c>
      <c r="F7240">
        <v>1</v>
      </c>
      <c r="G7240" t="s">
        <v>499</v>
      </c>
      <c r="H7240" s="4">
        <v>6057824</v>
      </c>
      <c r="I7240" s="4">
        <v>8504237</v>
      </c>
      <c r="J7240" s="3">
        <v>0.40384352533186835</v>
      </c>
      <c r="K7240" s="3">
        <v>-0.28766989913380825</v>
      </c>
      <c r="L7240" t="s">
        <v>377</v>
      </c>
    </row>
    <row r="7241" spans="1:12" x14ac:dyDescent="0.25">
      <c r="A7241" t="s">
        <v>487</v>
      </c>
      <c r="B7241" t="s">
        <v>467</v>
      </c>
      <c r="C7241" t="s">
        <v>468</v>
      </c>
      <c r="D7241" t="s">
        <v>435</v>
      </c>
      <c r="E7241" t="s">
        <v>11</v>
      </c>
      <c r="F7241">
        <v>2</v>
      </c>
      <c r="G7241" t="s">
        <v>488</v>
      </c>
      <c r="H7241" s="4">
        <v>5576474</v>
      </c>
      <c r="I7241" s="4">
        <v>6227353.362048895</v>
      </c>
      <c r="J7241" s="3">
        <v>0.11671880153102034</v>
      </c>
      <c r="K7241" s="3">
        <v>-0.10451942008229734</v>
      </c>
      <c r="L7241" t="s">
        <v>377</v>
      </c>
    </row>
    <row r="7242" spans="1:12" x14ac:dyDescent="0.25">
      <c r="A7242" t="s">
        <v>487</v>
      </c>
      <c r="B7242" t="s">
        <v>467</v>
      </c>
      <c r="C7242" t="s">
        <v>468</v>
      </c>
      <c r="D7242" t="s">
        <v>435</v>
      </c>
      <c r="E7242" t="s">
        <v>11</v>
      </c>
      <c r="F7242">
        <v>2</v>
      </c>
      <c r="G7242" t="s">
        <v>498</v>
      </c>
      <c r="H7242" s="4">
        <v>5576474</v>
      </c>
      <c r="I7242" s="4">
        <v>6887650</v>
      </c>
      <c r="J7242" s="3">
        <v>0.23512635403661883</v>
      </c>
      <c r="K7242" s="3">
        <v>-0.19036623521810778</v>
      </c>
      <c r="L7242" t="s">
        <v>377</v>
      </c>
    </row>
    <row r="7243" spans="1:12" x14ac:dyDescent="0.25">
      <c r="A7243" t="s">
        <v>487</v>
      </c>
      <c r="B7243" t="s">
        <v>467</v>
      </c>
      <c r="C7243" t="s">
        <v>468</v>
      </c>
      <c r="D7243" t="s">
        <v>435</v>
      </c>
      <c r="E7243" t="s">
        <v>11</v>
      </c>
      <c r="F7243">
        <v>2</v>
      </c>
      <c r="G7243" t="s">
        <v>499</v>
      </c>
      <c r="H7243" s="4">
        <v>5576474</v>
      </c>
      <c r="I7243" s="4">
        <v>8504237</v>
      </c>
      <c r="J7243" s="3">
        <v>0.525020469924185</v>
      </c>
      <c r="K7243" s="3">
        <v>-0.3442710968661856</v>
      </c>
      <c r="L7243" t="s">
        <v>377</v>
      </c>
    </row>
    <row r="7244" spans="1:12" x14ac:dyDescent="0.25">
      <c r="A7244" t="s">
        <v>487</v>
      </c>
      <c r="B7244" t="s">
        <v>467</v>
      </c>
      <c r="C7244" t="s">
        <v>468</v>
      </c>
      <c r="D7244" t="s">
        <v>437</v>
      </c>
      <c r="E7244" t="s">
        <v>11</v>
      </c>
      <c r="F7244">
        <v>1</v>
      </c>
      <c r="G7244" t="s">
        <v>488</v>
      </c>
      <c r="H7244" s="4">
        <v>5576474</v>
      </c>
      <c r="I7244" s="4">
        <v>5676733.915231795</v>
      </c>
      <c r="J7244" s="3">
        <v>0.017979087723137426</v>
      </c>
      <c r="K7244" s="3">
        <v>-0.017661549181084205</v>
      </c>
      <c r="L7244" t="s">
        <v>377</v>
      </c>
    </row>
    <row r="7245" spans="1:12" x14ac:dyDescent="0.25">
      <c r="A7245" t="s">
        <v>487</v>
      </c>
      <c r="B7245" t="s">
        <v>467</v>
      </c>
      <c r="C7245" t="s">
        <v>468</v>
      </c>
      <c r="D7245" t="s">
        <v>437</v>
      </c>
      <c r="E7245" t="s">
        <v>11</v>
      </c>
      <c r="F7245">
        <v>1</v>
      </c>
      <c r="G7245" t="s">
        <v>498</v>
      </c>
      <c r="H7245" s="4">
        <v>5576474</v>
      </c>
      <c r="I7245" s="4">
        <v>6887650</v>
      </c>
      <c r="J7245" s="3">
        <v>0.23512635403661883</v>
      </c>
      <c r="K7245" s="3">
        <v>-0.19036623521810778</v>
      </c>
      <c r="L7245" t="s">
        <v>377</v>
      </c>
    </row>
    <row r="7246" spans="1:12" x14ac:dyDescent="0.25">
      <c r="A7246" t="s">
        <v>487</v>
      </c>
      <c r="B7246" t="s">
        <v>467</v>
      </c>
      <c r="C7246" t="s">
        <v>468</v>
      </c>
      <c r="D7246" t="s">
        <v>437</v>
      </c>
      <c r="E7246" t="s">
        <v>11</v>
      </c>
      <c r="F7246">
        <v>1</v>
      </c>
      <c r="G7246" t="s">
        <v>499</v>
      </c>
      <c r="H7246" s="4">
        <v>5576474</v>
      </c>
      <c r="I7246" s="4">
        <v>6057824</v>
      </c>
      <c r="J7246" s="3">
        <v>0.0863179851641019</v>
      </c>
      <c r="K7246" s="3">
        <v>-0.07945922496262685</v>
      </c>
      <c r="L7246" t="s">
        <v>377</v>
      </c>
    </row>
    <row r="7247" spans="1:12" x14ac:dyDescent="0.25">
      <c r="A7247" t="s">
        <v>490</v>
      </c>
      <c r="B7247" t="s">
        <v>491</v>
      </c>
      <c r="C7247" t="s">
        <v>492</v>
      </c>
      <c r="D7247" t="s">
        <v>114</v>
      </c>
      <c r="E7247" t="s">
        <v>116</v>
      </c>
      <c r="F7247">
        <v>1</v>
      </c>
      <c r="G7247" t="s">
        <v>488</v>
      </c>
      <c r="H7247" s="4">
        <v>81183923</v>
      </c>
      <c r="I7247" s="4">
        <v>79032318.28783306</v>
      </c>
      <c r="J7247" s="3">
        <v>0.026502842344375686</v>
      </c>
      <c r="K7247" s="3">
        <v>0.027224365408728902</v>
      </c>
      <c r="L7247" t="s">
        <v>54</v>
      </c>
    </row>
    <row r="7248" spans="1:12" x14ac:dyDescent="0.25">
      <c r="A7248" t="s">
        <v>490</v>
      </c>
      <c r="B7248" t="s">
        <v>491</v>
      </c>
      <c r="C7248" t="s">
        <v>492</v>
      </c>
      <c r="D7248" t="s">
        <v>114</v>
      </c>
      <c r="E7248" t="s">
        <v>116</v>
      </c>
      <c r="F7248">
        <v>1</v>
      </c>
      <c r="G7248" t="s">
        <v>498</v>
      </c>
      <c r="H7248" s="4">
        <v>81183923</v>
      </c>
      <c r="I7248" s="4">
        <v>95184767</v>
      </c>
      <c r="J7248" s="3">
        <v>0.17245833266766378</v>
      </c>
      <c r="K7248" s="3">
        <v>-0.14709122521674084</v>
      </c>
      <c r="L7248" t="s">
        <v>54</v>
      </c>
    </row>
    <row r="7249" spans="1:12" x14ac:dyDescent="0.25">
      <c r="A7249" t="s">
        <v>490</v>
      </c>
      <c r="B7249" t="s">
        <v>491</v>
      </c>
      <c r="C7249" t="s">
        <v>492</v>
      </c>
      <c r="D7249" t="s">
        <v>114</v>
      </c>
      <c r="E7249" t="s">
        <v>116</v>
      </c>
      <c r="F7249">
        <v>1</v>
      </c>
      <c r="G7249" t="s">
        <v>499</v>
      </c>
      <c r="H7249" s="4">
        <v>81183923</v>
      </c>
      <c r="I7249" s="4">
        <v>57666348</v>
      </c>
      <c r="J7249" s="3">
        <v>0.289682662908517</v>
      </c>
      <c r="K7249" s="3">
        <v>0.40782147327935525</v>
      </c>
      <c r="L7249" t="s">
        <v>54</v>
      </c>
    </row>
    <row r="7250" spans="1:12" x14ac:dyDescent="0.25">
      <c r="A7250" t="s">
        <v>490</v>
      </c>
      <c r="B7250" t="s">
        <v>491</v>
      </c>
      <c r="C7250" t="s">
        <v>492</v>
      </c>
      <c r="D7250" t="s">
        <v>114</v>
      </c>
      <c r="E7250" t="s">
        <v>118</v>
      </c>
      <c r="F7250">
        <v>2</v>
      </c>
      <c r="G7250" t="s">
        <v>488</v>
      </c>
      <c r="H7250" s="4">
        <v>84016002</v>
      </c>
      <c r="I7250" s="4">
        <v>83191167.89325757</v>
      </c>
      <c r="J7250" s="3">
        <v>0.009817583402057465</v>
      </c>
      <c r="K7250" s="3">
        <v>0.009914923995306446</v>
      </c>
      <c r="L7250" t="s">
        <v>54</v>
      </c>
    </row>
    <row r="7251" spans="1:12" x14ac:dyDescent="0.25">
      <c r="A7251" t="s">
        <v>490</v>
      </c>
      <c r="B7251" t="s">
        <v>491</v>
      </c>
      <c r="C7251" t="s">
        <v>492</v>
      </c>
      <c r="D7251" t="s">
        <v>114</v>
      </c>
      <c r="E7251" t="s">
        <v>118</v>
      </c>
      <c r="F7251">
        <v>2</v>
      </c>
      <c r="G7251" t="s">
        <v>498</v>
      </c>
      <c r="H7251" s="4">
        <v>84016002</v>
      </c>
      <c r="I7251" s="4">
        <v>100193593</v>
      </c>
      <c r="J7251" s="3">
        <v>0.19255368757013694</v>
      </c>
      <c r="K7251" s="3">
        <v>-0.1614633282988464</v>
      </c>
      <c r="L7251" t="s">
        <v>54</v>
      </c>
    </row>
    <row r="7252" spans="1:12" x14ac:dyDescent="0.25">
      <c r="A7252" t="s">
        <v>490</v>
      </c>
      <c r="B7252" t="s">
        <v>491</v>
      </c>
      <c r="C7252" t="s">
        <v>492</v>
      </c>
      <c r="D7252" t="s">
        <v>114</v>
      </c>
      <c r="E7252" t="s">
        <v>118</v>
      </c>
      <c r="F7252">
        <v>2</v>
      </c>
      <c r="G7252" t="s">
        <v>499</v>
      </c>
      <c r="H7252" s="4">
        <v>84016002</v>
      </c>
      <c r="I7252" s="4">
        <v>57666348</v>
      </c>
      <c r="J7252" s="3">
        <v>0.3136266112734096</v>
      </c>
      <c r="K7252" s="3">
        <v>0.45693294120168665</v>
      </c>
      <c r="L7252" t="s">
        <v>54</v>
      </c>
    </row>
    <row r="7253" spans="1:12" x14ac:dyDescent="0.25">
      <c r="A7253" t="s">
        <v>490</v>
      </c>
      <c r="B7253" t="s">
        <v>491</v>
      </c>
      <c r="C7253" t="s">
        <v>492</v>
      </c>
      <c r="D7253" t="s">
        <v>114</v>
      </c>
      <c r="E7253" t="s">
        <v>120</v>
      </c>
      <c r="F7253">
        <v>3</v>
      </c>
      <c r="G7253" t="s">
        <v>488</v>
      </c>
      <c r="H7253" s="4">
        <v>87117031</v>
      </c>
      <c r="I7253" s="4">
        <v>70100136.62767619</v>
      </c>
      <c r="J7253" s="3">
        <v>0.19533372725160722</v>
      </c>
      <c r="K7253" s="3">
        <v>0.24275122975445645</v>
      </c>
      <c r="L7253" t="s">
        <v>54</v>
      </c>
    </row>
    <row r="7254" spans="1:12" x14ac:dyDescent="0.25">
      <c r="A7254" t="s">
        <v>490</v>
      </c>
      <c r="B7254" t="s">
        <v>491</v>
      </c>
      <c r="C7254" t="s">
        <v>492</v>
      </c>
      <c r="D7254" t="s">
        <v>114</v>
      </c>
      <c r="E7254" t="s">
        <v>120</v>
      </c>
      <c r="F7254">
        <v>3</v>
      </c>
      <c r="G7254" t="s">
        <v>498</v>
      </c>
      <c r="H7254" s="4">
        <v>87117031</v>
      </c>
      <c r="I7254" s="4">
        <v>84427046</v>
      </c>
      <c r="J7254" s="3">
        <v>0.030877831454104537</v>
      </c>
      <c r="K7254" s="3">
        <v>0.031861650116243555</v>
      </c>
      <c r="L7254" t="s">
        <v>54</v>
      </c>
    </row>
    <row r="7255" spans="1:12" x14ac:dyDescent="0.25">
      <c r="A7255" t="s">
        <v>490</v>
      </c>
      <c r="B7255" t="s">
        <v>491</v>
      </c>
      <c r="C7255" t="s">
        <v>492</v>
      </c>
      <c r="D7255" t="s">
        <v>114</v>
      </c>
      <c r="E7255" t="s">
        <v>120</v>
      </c>
      <c r="F7255">
        <v>3</v>
      </c>
      <c r="G7255" t="s">
        <v>499</v>
      </c>
      <c r="H7255" s="4">
        <v>87117031</v>
      </c>
      <c r="I7255" s="4">
        <v>57666348</v>
      </c>
      <c r="J7255" s="3">
        <v>0.33805884638102507</v>
      </c>
      <c r="K7255" s="3">
        <v>0.5107083077291455</v>
      </c>
      <c r="L7255" t="s">
        <v>54</v>
      </c>
    </row>
    <row r="7256" spans="1:12" x14ac:dyDescent="0.25">
      <c r="A7256" t="s">
        <v>490</v>
      </c>
      <c r="B7256" t="s">
        <v>491</v>
      </c>
      <c r="C7256" t="s">
        <v>492</v>
      </c>
      <c r="D7256" t="s">
        <v>116</v>
      </c>
      <c r="E7256" t="s">
        <v>118</v>
      </c>
      <c r="F7256">
        <v>1</v>
      </c>
      <c r="G7256" t="s">
        <v>488</v>
      </c>
      <c r="H7256" s="4">
        <v>84016002</v>
      </c>
      <c r="I7256" s="4">
        <v>81166046.6629884</v>
      </c>
      <c r="J7256" s="3">
        <v>0.033921577665783305</v>
      </c>
      <c r="K7256" s="3">
        <v>0.03511265429552061</v>
      </c>
      <c r="L7256" t="s">
        <v>54</v>
      </c>
    </row>
    <row r="7257" spans="1:12" x14ac:dyDescent="0.25">
      <c r="A7257" t="s">
        <v>490</v>
      </c>
      <c r="B7257" t="s">
        <v>491</v>
      </c>
      <c r="C7257" t="s">
        <v>492</v>
      </c>
      <c r="D7257" t="s">
        <v>116</v>
      </c>
      <c r="E7257" t="s">
        <v>118</v>
      </c>
      <c r="F7257">
        <v>1</v>
      </c>
      <c r="G7257" t="s">
        <v>498</v>
      </c>
      <c r="H7257" s="4">
        <v>84016002</v>
      </c>
      <c r="I7257" s="4">
        <v>100193593</v>
      </c>
      <c r="J7257" s="3">
        <v>0.19255368757013694</v>
      </c>
      <c r="K7257" s="3">
        <v>-0.1614633282988464</v>
      </c>
      <c r="L7257" t="s">
        <v>54</v>
      </c>
    </row>
    <row r="7258" spans="1:12" x14ac:dyDescent="0.25">
      <c r="A7258" t="s">
        <v>490</v>
      </c>
      <c r="B7258" t="s">
        <v>491</v>
      </c>
      <c r="C7258" t="s">
        <v>492</v>
      </c>
      <c r="D7258" t="s">
        <v>116</v>
      </c>
      <c r="E7258" t="s">
        <v>118</v>
      </c>
      <c r="F7258">
        <v>1</v>
      </c>
      <c r="G7258" t="s">
        <v>499</v>
      </c>
      <c r="H7258" s="4">
        <v>84016002</v>
      </c>
      <c r="I7258" s="4">
        <v>81183923</v>
      </c>
      <c r="J7258" s="3">
        <v>0.033708804663187854</v>
      </c>
      <c r="K7258" s="3">
        <v>0.034884727115244235</v>
      </c>
      <c r="L7258" t="s">
        <v>54</v>
      </c>
    </row>
    <row r="7259" spans="1:12" x14ac:dyDescent="0.25">
      <c r="A7259" t="s">
        <v>490</v>
      </c>
      <c r="B7259" t="s">
        <v>491</v>
      </c>
      <c r="C7259" t="s">
        <v>492</v>
      </c>
      <c r="D7259" t="s">
        <v>116</v>
      </c>
      <c r="E7259" t="s">
        <v>120</v>
      </c>
      <c r="F7259">
        <v>2</v>
      </c>
      <c r="G7259" t="s">
        <v>488</v>
      </c>
      <c r="H7259" s="4">
        <v>87117031</v>
      </c>
      <c r="I7259" s="4">
        <v>68393690.15595905</v>
      </c>
      <c r="J7259" s="3">
        <v>0.21492170508015757</v>
      </c>
      <c r="K7259" s="3">
        <v>0.273758307255331</v>
      </c>
      <c r="L7259" t="s">
        <v>54</v>
      </c>
    </row>
    <row r="7260" spans="1:12" x14ac:dyDescent="0.25">
      <c r="A7260" t="s">
        <v>490</v>
      </c>
      <c r="B7260" t="s">
        <v>491</v>
      </c>
      <c r="C7260" t="s">
        <v>492</v>
      </c>
      <c r="D7260" t="s">
        <v>116</v>
      </c>
      <c r="E7260" t="s">
        <v>120</v>
      </c>
      <c r="F7260">
        <v>2</v>
      </c>
      <c r="G7260" t="s">
        <v>498</v>
      </c>
      <c r="H7260" s="4">
        <v>87117031</v>
      </c>
      <c r="I7260" s="4">
        <v>84427046</v>
      </c>
      <c r="J7260" s="3">
        <v>0.030877831454104537</v>
      </c>
      <c r="K7260" s="3">
        <v>0.031861650116243555</v>
      </c>
      <c r="L7260" t="s">
        <v>54</v>
      </c>
    </row>
    <row r="7261" spans="1:12" x14ac:dyDescent="0.25">
      <c r="A7261" t="s">
        <v>490</v>
      </c>
      <c r="B7261" t="s">
        <v>491</v>
      </c>
      <c r="C7261" t="s">
        <v>492</v>
      </c>
      <c r="D7261" t="s">
        <v>116</v>
      </c>
      <c r="E7261" t="s">
        <v>120</v>
      </c>
      <c r="F7261">
        <v>2</v>
      </c>
      <c r="G7261" t="s">
        <v>499</v>
      </c>
      <c r="H7261" s="4">
        <v>87117031</v>
      </c>
      <c r="I7261" s="4">
        <v>81183923</v>
      </c>
      <c r="J7261" s="3">
        <v>0.06810502988789872</v>
      </c>
      <c r="K7261" s="3">
        <v>0.07308230226814735</v>
      </c>
      <c r="L7261" t="s">
        <v>54</v>
      </c>
    </row>
    <row r="7262" spans="1:12" x14ac:dyDescent="0.25">
      <c r="A7262" t="s">
        <v>490</v>
      </c>
      <c r="B7262" t="s">
        <v>491</v>
      </c>
      <c r="C7262" t="s">
        <v>492</v>
      </c>
      <c r="D7262" t="s">
        <v>116</v>
      </c>
      <c r="E7262" t="s">
        <v>122</v>
      </c>
      <c r="F7262">
        <v>3</v>
      </c>
      <c r="G7262" t="s">
        <v>488</v>
      </c>
      <c r="H7262" s="4">
        <v>79817473</v>
      </c>
      <c r="I7262" s="4">
        <v>54360815.62761821</v>
      </c>
      <c r="J7262" s="3">
        <v>0.31893589731137933</v>
      </c>
      <c r="K7262" s="3">
        <v>0.46829057067069546</v>
      </c>
      <c r="L7262" t="s">
        <v>54</v>
      </c>
    </row>
    <row r="7263" spans="1:12" x14ac:dyDescent="0.25">
      <c r="A7263" t="s">
        <v>490</v>
      </c>
      <c r="B7263" t="s">
        <v>491</v>
      </c>
      <c r="C7263" t="s">
        <v>492</v>
      </c>
      <c r="D7263" t="s">
        <v>116</v>
      </c>
      <c r="E7263" t="s">
        <v>122</v>
      </c>
      <c r="F7263">
        <v>3</v>
      </c>
      <c r="G7263" t="s">
        <v>498</v>
      </c>
      <c r="H7263" s="4">
        <v>79817473</v>
      </c>
      <c r="I7263" s="4">
        <v>67104481</v>
      </c>
      <c r="J7263" s="3">
        <v>0.15927580167816138</v>
      </c>
      <c r="K7263" s="3">
        <v>0.1894507164134091</v>
      </c>
      <c r="L7263" t="s">
        <v>54</v>
      </c>
    </row>
    <row r="7264" spans="1:12" x14ac:dyDescent="0.25">
      <c r="A7264" t="s">
        <v>490</v>
      </c>
      <c r="B7264" t="s">
        <v>491</v>
      </c>
      <c r="C7264" t="s">
        <v>492</v>
      </c>
      <c r="D7264" t="s">
        <v>116</v>
      </c>
      <c r="E7264" t="s">
        <v>122</v>
      </c>
      <c r="F7264">
        <v>3</v>
      </c>
      <c r="G7264" t="s">
        <v>499</v>
      </c>
      <c r="H7264" s="4">
        <v>79817473</v>
      </c>
      <c r="I7264" s="4">
        <v>81183923</v>
      </c>
      <c r="J7264" s="3">
        <v>0.017119685059435546</v>
      </c>
      <c r="K7264" s="3">
        <v>-0.016831534489901406</v>
      </c>
      <c r="L7264" t="s">
        <v>54</v>
      </c>
    </row>
    <row r="7265" spans="1:12" x14ac:dyDescent="0.25">
      <c r="A7265" t="s">
        <v>490</v>
      </c>
      <c r="B7265" t="s">
        <v>491</v>
      </c>
      <c r="C7265" t="s">
        <v>492</v>
      </c>
      <c r="D7265" t="s">
        <v>118</v>
      </c>
      <c r="E7265" t="s">
        <v>120</v>
      </c>
      <c r="F7265">
        <v>1</v>
      </c>
      <c r="G7265" t="s">
        <v>488</v>
      </c>
      <c r="H7265" s="4">
        <v>87117031</v>
      </c>
      <c r="I7265" s="4">
        <v>67579792.97934645</v>
      </c>
      <c r="J7265" s="3">
        <v>0.2242642775630582</v>
      </c>
      <c r="K7265" s="3">
        <v>0.2890988142953392</v>
      </c>
      <c r="L7265" t="s">
        <v>54</v>
      </c>
    </row>
    <row r="7266" spans="1:12" x14ac:dyDescent="0.25">
      <c r="A7266" t="s">
        <v>490</v>
      </c>
      <c r="B7266" t="s">
        <v>491</v>
      </c>
      <c r="C7266" t="s">
        <v>492</v>
      </c>
      <c r="D7266" t="s">
        <v>118</v>
      </c>
      <c r="E7266" t="s">
        <v>120</v>
      </c>
      <c r="F7266">
        <v>1</v>
      </c>
      <c r="G7266" t="s">
        <v>498</v>
      </c>
      <c r="H7266" s="4">
        <v>87117031</v>
      </c>
      <c r="I7266" s="4">
        <v>84427046</v>
      </c>
      <c r="J7266" s="3">
        <v>0.030877831454104537</v>
      </c>
      <c r="K7266" s="3">
        <v>0.031861650116243555</v>
      </c>
      <c r="L7266" t="s">
        <v>54</v>
      </c>
    </row>
    <row r="7267" spans="1:12" x14ac:dyDescent="0.25">
      <c r="A7267" t="s">
        <v>490</v>
      </c>
      <c r="B7267" t="s">
        <v>491</v>
      </c>
      <c r="C7267" t="s">
        <v>492</v>
      </c>
      <c r="D7267" t="s">
        <v>118</v>
      </c>
      <c r="E7267" t="s">
        <v>120</v>
      </c>
      <c r="F7267">
        <v>1</v>
      </c>
      <c r="G7267" t="s">
        <v>499</v>
      </c>
      <c r="H7267" s="4">
        <v>87117031</v>
      </c>
      <c r="I7267" s="4">
        <v>84016002</v>
      </c>
      <c r="J7267" s="3">
        <v>0.03559612815546939</v>
      </c>
      <c r="K7267" s="3">
        <v>0.03690998055346647</v>
      </c>
      <c r="L7267" t="s">
        <v>54</v>
      </c>
    </row>
    <row r="7268" spans="1:12" x14ac:dyDescent="0.25">
      <c r="A7268" t="s">
        <v>490</v>
      </c>
      <c r="B7268" t="s">
        <v>491</v>
      </c>
      <c r="C7268" t="s">
        <v>492</v>
      </c>
      <c r="D7268" t="s">
        <v>118</v>
      </c>
      <c r="E7268" t="s">
        <v>122</v>
      </c>
      <c r="F7268">
        <v>2</v>
      </c>
      <c r="G7268" t="s">
        <v>488</v>
      </c>
      <c r="H7268" s="4">
        <v>79817473</v>
      </c>
      <c r="I7268" s="4">
        <v>53713912.17414485</v>
      </c>
      <c r="J7268" s="3">
        <v>0.32704068225581573</v>
      </c>
      <c r="K7268" s="3">
        <v>0.4859739268520471</v>
      </c>
      <c r="L7268" t="s">
        <v>54</v>
      </c>
    </row>
    <row r="7269" spans="1:12" x14ac:dyDescent="0.25">
      <c r="A7269" t="s">
        <v>490</v>
      </c>
      <c r="B7269" t="s">
        <v>491</v>
      </c>
      <c r="C7269" t="s">
        <v>492</v>
      </c>
      <c r="D7269" t="s">
        <v>118</v>
      </c>
      <c r="E7269" t="s">
        <v>122</v>
      </c>
      <c r="F7269">
        <v>2</v>
      </c>
      <c r="G7269" t="s">
        <v>498</v>
      </c>
      <c r="H7269" s="4">
        <v>79817473</v>
      </c>
      <c r="I7269" s="4">
        <v>67104481</v>
      </c>
      <c r="J7269" s="3">
        <v>0.15927580167816138</v>
      </c>
      <c r="K7269" s="3">
        <v>0.1894507164134091</v>
      </c>
      <c r="L7269" t="s">
        <v>54</v>
      </c>
    </row>
    <row r="7270" spans="1:12" x14ac:dyDescent="0.25">
      <c r="A7270" t="s">
        <v>490</v>
      </c>
      <c r="B7270" t="s">
        <v>491</v>
      </c>
      <c r="C7270" t="s">
        <v>492</v>
      </c>
      <c r="D7270" t="s">
        <v>118</v>
      </c>
      <c r="E7270" t="s">
        <v>122</v>
      </c>
      <c r="F7270">
        <v>2</v>
      </c>
      <c r="G7270" t="s">
        <v>499</v>
      </c>
      <c r="H7270" s="4">
        <v>79817473</v>
      </c>
      <c r="I7270" s="4">
        <v>84016002</v>
      </c>
      <c r="J7270" s="3">
        <v>0.05260162771627711</v>
      </c>
      <c r="K7270" s="3">
        <v>-0.04997296824478746</v>
      </c>
      <c r="L7270" t="s">
        <v>54</v>
      </c>
    </row>
    <row r="7271" spans="1:12" x14ac:dyDescent="0.25">
      <c r="A7271" t="s">
        <v>490</v>
      </c>
      <c r="B7271" t="s">
        <v>491</v>
      </c>
      <c r="C7271" t="s">
        <v>492</v>
      </c>
      <c r="D7271" t="s">
        <v>118</v>
      </c>
      <c r="E7271" t="s">
        <v>124</v>
      </c>
      <c r="F7271">
        <v>3</v>
      </c>
      <c r="G7271" t="s">
        <v>488</v>
      </c>
      <c r="H7271" s="4">
        <v>61551044</v>
      </c>
      <c r="I7271" s="4">
        <v>44358710.940561235</v>
      </c>
      <c r="J7271" s="3">
        <v>0.2793183013993843</v>
      </c>
      <c r="K7271" s="3">
        <v>0.3875751277460644</v>
      </c>
      <c r="L7271" t="s">
        <v>54</v>
      </c>
    </row>
    <row r="7272" spans="1:12" x14ac:dyDescent="0.25">
      <c r="A7272" t="s">
        <v>490</v>
      </c>
      <c r="B7272" t="s">
        <v>491</v>
      </c>
      <c r="C7272" t="s">
        <v>492</v>
      </c>
      <c r="D7272" t="s">
        <v>118</v>
      </c>
      <c r="E7272" t="s">
        <v>124</v>
      </c>
      <c r="F7272">
        <v>3</v>
      </c>
      <c r="G7272" t="s">
        <v>498</v>
      </c>
      <c r="H7272" s="4">
        <v>61551044</v>
      </c>
      <c r="I7272" s="4">
        <v>55417082</v>
      </c>
      <c r="J7272" s="3">
        <v>0.09965650623245319</v>
      </c>
      <c r="K7272" s="3">
        <v>0.11068720651874092</v>
      </c>
      <c r="L7272" t="s">
        <v>54</v>
      </c>
    </row>
    <row r="7273" spans="1:12" x14ac:dyDescent="0.25">
      <c r="A7273" t="s">
        <v>490</v>
      </c>
      <c r="B7273" t="s">
        <v>491</v>
      </c>
      <c r="C7273" t="s">
        <v>492</v>
      </c>
      <c r="D7273" t="s">
        <v>118</v>
      </c>
      <c r="E7273" t="s">
        <v>124</v>
      </c>
      <c r="F7273">
        <v>3</v>
      </c>
      <c r="G7273" t="s">
        <v>499</v>
      </c>
      <c r="H7273" s="4">
        <v>61551044</v>
      </c>
      <c r="I7273" s="4">
        <v>84016002</v>
      </c>
      <c r="J7273" s="3">
        <v>0.3649809416717611</v>
      </c>
      <c r="K7273" s="3">
        <v>-0.26738903857862695</v>
      </c>
      <c r="L7273" t="s">
        <v>54</v>
      </c>
    </row>
    <row r="7274" spans="1:12" x14ac:dyDescent="0.25">
      <c r="A7274" t="s">
        <v>490</v>
      </c>
      <c r="B7274" t="s">
        <v>491</v>
      </c>
      <c r="C7274" t="s">
        <v>492</v>
      </c>
      <c r="D7274" t="s">
        <v>120</v>
      </c>
      <c r="E7274" t="s">
        <v>122</v>
      </c>
      <c r="F7274">
        <v>1</v>
      </c>
      <c r="G7274" t="s">
        <v>488</v>
      </c>
      <c r="H7274" s="4">
        <v>79817473</v>
      </c>
      <c r="I7274" s="4">
        <v>55444842.10687485</v>
      </c>
      <c r="J7274" s="3">
        <v>0.30535457935538934</v>
      </c>
      <c r="K7274" s="3">
        <v>0.43958337632461353</v>
      </c>
      <c r="L7274" t="s">
        <v>54</v>
      </c>
    </row>
    <row r="7275" spans="1:12" x14ac:dyDescent="0.25">
      <c r="A7275" t="s">
        <v>490</v>
      </c>
      <c r="B7275" t="s">
        <v>491</v>
      </c>
      <c r="C7275" t="s">
        <v>492</v>
      </c>
      <c r="D7275" t="s">
        <v>120</v>
      </c>
      <c r="E7275" t="s">
        <v>122</v>
      </c>
      <c r="F7275">
        <v>1</v>
      </c>
      <c r="G7275" t="s">
        <v>498</v>
      </c>
      <c r="H7275" s="4">
        <v>79817473</v>
      </c>
      <c r="I7275" s="4">
        <v>67104481</v>
      </c>
      <c r="J7275" s="3">
        <v>0.15927580167816138</v>
      </c>
      <c r="K7275" s="3">
        <v>0.1894507164134091</v>
      </c>
      <c r="L7275" t="s">
        <v>54</v>
      </c>
    </row>
    <row r="7276" spans="1:12" x14ac:dyDescent="0.25">
      <c r="A7276" t="s">
        <v>490</v>
      </c>
      <c r="B7276" t="s">
        <v>491</v>
      </c>
      <c r="C7276" t="s">
        <v>492</v>
      </c>
      <c r="D7276" t="s">
        <v>120</v>
      </c>
      <c r="E7276" t="s">
        <v>122</v>
      </c>
      <c r="F7276">
        <v>1</v>
      </c>
      <c r="G7276" t="s">
        <v>499</v>
      </c>
      <c r="H7276" s="4">
        <v>79817473</v>
      </c>
      <c r="I7276" s="4">
        <v>87117031</v>
      </c>
      <c r="J7276" s="3">
        <v>0.09145313332583205</v>
      </c>
      <c r="K7276" s="3">
        <v>-0.0837902522183062</v>
      </c>
      <c r="L7276" t="s">
        <v>54</v>
      </c>
    </row>
    <row r="7277" spans="1:12" x14ac:dyDescent="0.25">
      <c r="A7277" t="s">
        <v>490</v>
      </c>
      <c r="B7277" t="s">
        <v>491</v>
      </c>
      <c r="C7277" t="s">
        <v>492</v>
      </c>
      <c r="D7277" t="s">
        <v>120</v>
      </c>
      <c r="E7277" t="s">
        <v>124</v>
      </c>
      <c r="F7277">
        <v>2</v>
      </c>
      <c r="G7277" t="s">
        <v>488</v>
      </c>
      <c r="H7277" s="4">
        <v>61551044</v>
      </c>
      <c r="I7277" s="4">
        <v>45788169.66803955</v>
      </c>
      <c r="J7277" s="3">
        <v>0.2560943455639915</v>
      </c>
      <c r="K7277" s="3">
        <v>0.3442564847260763</v>
      </c>
      <c r="L7277" t="s">
        <v>54</v>
      </c>
    </row>
    <row r="7278" spans="1:12" x14ac:dyDescent="0.25">
      <c r="A7278" t="s">
        <v>490</v>
      </c>
      <c r="B7278" t="s">
        <v>491</v>
      </c>
      <c r="C7278" t="s">
        <v>492</v>
      </c>
      <c r="D7278" t="s">
        <v>120</v>
      </c>
      <c r="E7278" t="s">
        <v>124</v>
      </c>
      <c r="F7278">
        <v>2</v>
      </c>
      <c r="G7278" t="s">
        <v>498</v>
      </c>
      <c r="H7278" s="4">
        <v>61551044</v>
      </c>
      <c r="I7278" s="4">
        <v>55417082</v>
      </c>
      <c r="J7278" s="3">
        <v>0.09965650623245319</v>
      </c>
      <c r="K7278" s="3">
        <v>0.11068720651874092</v>
      </c>
      <c r="L7278" t="s">
        <v>54</v>
      </c>
    </row>
    <row r="7279" spans="1:12" x14ac:dyDescent="0.25">
      <c r="A7279" t="s">
        <v>490</v>
      </c>
      <c r="B7279" t="s">
        <v>491</v>
      </c>
      <c r="C7279" t="s">
        <v>492</v>
      </c>
      <c r="D7279" t="s">
        <v>120</v>
      </c>
      <c r="E7279" t="s">
        <v>124</v>
      </c>
      <c r="F7279">
        <v>2</v>
      </c>
      <c r="G7279" t="s">
        <v>499</v>
      </c>
      <c r="H7279" s="4">
        <v>61551044</v>
      </c>
      <c r="I7279" s="4">
        <v>87117031</v>
      </c>
      <c r="J7279" s="3">
        <v>0.41536236168471813</v>
      </c>
      <c r="K7279" s="3">
        <v>-0.2934671522494838</v>
      </c>
      <c r="L7279" t="s">
        <v>54</v>
      </c>
    </row>
    <row r="7280" spans="1:12" x14ac:dyDescent="0.25">
      <c r="A7280" t="s">
        <v>490</v>
      </c>
      <c r="B7280" t="s">
        <v>491</v>
      </c>
      <c r="C7280" t="s">
        <v>492</v>
      </c>
      <c r="D7280" t="s">
        <v>120</v>
      </c>
      <c r="E7280" t="s">
        <v>126</v>
      </c>
      <c r="F7280">
        <v>3</v>
      </c>
      <c r="G7280" t="s">
        <v>488</v>
      </c>
      <c r="H7280" s="4">
        <v>67350633</v>
      </c>
      <c r="I7280" s="4">
        <v>54844254.27214382</v>
      </c>
      <c r="J7280" s="3">
        <v>0.18569058924592707</v>
      </c>
      <c r="K7280" s="3">
        <v>0.2280344384992094</v>
      </c>
      <c r="L7280" t="s">
        <v>54</v>
      </c>
    </row>
    <row r="7281" spans="1:12" x14ac:dyDescent="0.25">
      <c r="A7281" t="s">
        <v>490</v>
      </c>
      <c r="B7281" t="s">
        <v>491</v>
      </c>
      <c r="C7281" t="s">
        <v>492</v>
      </c>
      <c r="D7281" t="s">
        <v>120</v>
      </c>
      <c r="E7281" t="s">
        <v>126</v>
      </c>
      <c r="F7281">
        <v>3</v>
      </c>
      <c r="G7281" t="s">
        <v>498</v>
      </c>
      <c r="H7281" s="4">
        <v>67350633</v>
      </c>
      <c r="I7281" s="4">
        <v>66377594</v>
      </c>
      <c r="J7281" s="3">
        <v>0.014447362358123642</v>
      </c>
      <c r="K7281" s="3">
        <v>0.014659148386728209</v>
      </c>
      <c r="L7281" t="s">
        <v>54</v>
      </c>
    </row>
    <row r="7282" spans="1:12" x14ac:dyDescent="0.25">
      <c r="A7282" t="s">
        <v>490</v>
      </c>
      <c r="B7282" t="s">
        <v>491</v>
      </c>
      <c r="C7282" t="s">
        <v>492</v>
      </c>
      <c r="D7282" t="s">
        <v>120</v>
      </c>
      <c r="E7282" t="s">
        <v>126</v>
      </c>
      <c r="F7282">
        <v>3</v>
      </c>
      <c r="G7282" t="s">
        <v>499</v>
      </c>
      <c r="H7282" s="4">
        <v>67350633</v>
      </c>
      <c r="I7282" s="4">
        <v>87117031</v>
      </c>
      <c r="J7282" s="3">
        <v>0.29348496249471034</v>
      </c>
      <c r="K7282" s="3">
        <v>-0.22689476182906188</v>
      </c>
      <c r="L7282" t="s">
        <v>54</v>
      </c>
    </row>
    <row r="7283" spans="1:12" x14ac:dyDescent="0.25">
      <c r="A7283" t="s">
        <v>490</v>
      </c>
      <c r="B7283" t="s">
        <v>491</v>
      </c>
      <c r="C7283" t="s">
        <v>492</v>
      </c>
      <c r="D7283" t="s">
        <v>122</v>
      </c>
      <c r="E7283" t="s">
        <v>124</v>
      </c>
      <c r="F7283">
        <v>1</v>
      </c>
      <c r="G7283" t="s">
        <v>488</v>
      </c>
      <c r="H7283" s="4">
        <v>61551044</v>
      </c>
      <c r="I7283" s="4">
        <v>47930892.429955475</v>
      </c>
      <c r="J7283" s="3">
        <v>0.22128221854440885</v>
      </c>
      <c r="K7283" s="3">
        <v>0.2841622778033715</v>
      </c>
      <c r="L7283" t="s">
        <v>54</v>
      </c>
    </row>
    <row r="7284" spans="1:12" x14ac:dyDescent="0.25">
      <c r="A7284" t="s">
        <v>490</v>
      </c>
      <c r="B7284" t="s">
        <v>491</v>
      </c>
      <c r="C7284" t="s">
        <v>492</v>
      </c>
      <c r="D7284" t="s">
        <v>122</v>
      </c>
      <c r="E7284" t="s">
        <v>124</v>
      </c>
      <c r="F7284">
        <v>1</v>
      </c>
      <c r="G7284" t="s">
        <v>498</v>
      </c>
      <c r="H7284" s="4">
        <v>61551044</v>
      </c>
      <c r="I7284" s="4">
        <v>55417082</v>
      </c>
      <c r="J7284" s="3">
        <v>0.09965650623245319</v>
      </c>
      <c r="K7284" s="3">
        <v>0.11068720651874092</v>
      </c>
      <c r="L7284" t="s">
        <v>54</v>
      </c>
    </row>
    <row r="7285" spans="1:12" x14ac:dyDescent="0.25">
      <c r="A7285" t="s">
        <v>490</v>
      </c>
      <c r="B7285" t="s">
        <v>491</v>
      </c>
      <c r="C7285" t="s">
        <v>492</v>
      </c>
      <c r="D7285" t="s">
        <v>122</v>
      </c>
      <c r="E7285" t="s">
        <v>124</v>
      </c>
      <c r="F7285">
        <v>1</v>
      </c>
      <c r="G7285" t="s">
        <v>499</v>
      </c>
      <c r="H7285" s="4">
        <v>61551044</v>
      </c>
      <c r="I7285" s="4">
        <v>79817473</v>
      </c>
      <c r="J7285" s="3">
        <v>0.29676879241885806</v>
      </c>
      <c r="K7285" s="3">
        <v>-0.22885250952507605</v>
      </c>
      <c r="L7285" t="s">
        <v>54</v>
      </c>
    </row>
    <row r="7286" spans="1:12" x14ac:dyDescent="0.25">
      <c r="A7286" t="s">
        <v>490</v>
      </c>
      <c r="B7286" t="s">
        <v>491</v>
      </c>
      <c r="C7286" t="s">
        <v>492</v>
      </c>
      <c r="D7286" t="s">
        <v>122</v>
      </c>
      <c r="E7286" t="s">
        <v>126</v>
      </c>
      <c r="F7286">
        <v>2</v>
      </c>
      <c r="G7286" t="s">
        <v>488</v>
      </c>
      <c r="H7286" s="4">
        <v>67350633</v>
      </c>
      <c r="I7286" s="4">
        <v>57410769.44060783</v>
      </c>
      <c r="J7286" s="3">
        <v>0.1475838179485584</v>
      </c>
      <c r="K7286" s="3">
        <v>0.17313587078248593</v>
      </c>
      <c r="L7286" t="s">
        <v>54</v>
      </c>
    </row>
    <row r="7287" spans="1:12" x14ac:dyDescent="0.25">
      <c r="A7287" t="s">
        <v>490</v>
      </c>
      <c r="B7287" t="s">
        <v>491</v>
      </c>
      <c r="C7287" t="s">
        <v>492</v>
      </c>
      <c r="D7287" t="s">
        <v>122</v>
      </c>
      <c r="E7287" t="s">
        <v>126</v>
      </c>
      <c r="F7287">
        <v>2</v>
      </c>
      <c r="G7287" t="s">
        <v>498</v>
      </c>
      <c r="H7287" s="4">
        <v>67350633</v>
      </c>
      <c r="I7287" s="4">
        <v>66377594</v>
      </c>
      <c r="J7287" s="3">
        <v>0.014447362358123642</v>
      </c>
      <c r="K7287" s="3">
        <v>0.014659148386728209</v>
      </c>
      <c r="L7287" t="s">
        <v>54</v>
      </c>
    </row>
    <row r="7288" spans="1:12" x14ac:dyDescent="0.25">
      <c r="A7288" t="s">
        <v>490</v>
      </c>
      <c r="B7288" t="s">
        <v>491</v>
      </c>
      <c r="C7288" t="s">
        <v>492</v>
      </c>
      <c r="D7288" t="s">
        <v>122</v>
      </c>
      <c r="E7288" t="s">
        <v>126</v>
      </c>
      <c r="F7288">
        <v>2</v>
      </c>
      <c r="G7288" t="s">
        <v>499</v>
      </c>
      <c r="H7288" s="4">
        <v>67350633</v>
      </c>
      <c r="I7288" s="4">
        <v>79817473</v>
      </c>
      <c r="J7288" s="3">
        <v>0.1851035312466922</v>
      </c>
      <c r="K7288" s="3">
        <v>-0.15619186540771593</v>
      </c>
      <c r="L7288" t="s">
        <v>54</v>
      </c>
    </row>
    <row r="7289" spans="1:12" x14ac:dyDescent="0.25">
      <c r="A7289" t="s">
        <v>490</v>
      </c>
      <c r="B7289" t="s">
        <v>491</v>
      </c>
      <c r="C7289" t="s">
        <v>492</v>
      </c>
      <c r="D7289" t="s">
        <v>122</v>
      </c>
      <c r="E7289" t="s">
        <v>128</v>
      </c>
      <c r="F7289">
        <v>3</v>
      </c>
      <c r="G7289" t="s">
        <v>488</v>
      </c>
      <c r="H7289" s="4">
        <v>83686877</v>
      </c>
      <c r="I7289" s="4">
        <v>66657649.57044424</v>
      </c>
      <c r="J7289" s="3">
        <v>0.20348742885405746</v>
      </c>
      <c r="K7289" s="3">
        <v>0.25547296580806017</v>
      </c>
      <c r="L7289" t="s">
        <v>54</v>
      </c>
    </row>
    <row r="7290" spans="1:12" x14ac:dyDescent="0.25">
      <c r="A7290" t="s">
        <v>490</v>
      </c>
      <c r="B7290" t="s">
        <v>491</v>
      </c>
      <c r="C7290" t="s">
        <v>492</v>
      </c>
      <c r="D7290" t="s">
        <v>122</v>
      </c>
      <c r="E7290" t="s">
        <v>128</v>
      </c>
      <c r="F7290">
        <v>3</v>
      </c>
      <c r="G7290" t="s">
        <v>498</v>
      </c>
      <c r="H7290" s="4">
        <v>83686877</v>
      </c>
      <c r="I7290" s="4">
        <v>77068718</v>
      </c>
      <c r="J7290" s="3">
        <v>0.07908239902416242</v>
      </c>
      <c r="K7290" s="3">
        <v>0.08587347982095667</v>
      </c>
      <c r="L7290" t="s">
        <v>54</v>
      </c>
    </row>
    <row r="7291" spans="1:12" x14ac:dyDescent="0.25">
      <c r="A7291" t="s">
        <v>490</v>
      </c>
      <c r="B7291" t="s">
        <v>491</v>
      </c>
      <c r="C7291" t="s">
        <v>492</v>
      </c>
      <c r="D7291" t="s">
        <v>122</v>
      </c>
      <c r="E7291" t="s">
        <v>128</v>
      </c>
      <c r="F7291">
        <v>3</v>
      </c>
      <c r="G7291" t="s">
        <v>499</v>
      </c>
      <c r="H7291" s="4">
        <v>83686877</v>
      </c>
      <c r="I7291" s="4">
        <v>79817473</v>
      </c>
      <c r="J7291" s="3">
        <v>0.046236687742571635</v>
      </c>
      <c r="K7291" s="3">
        <v>0.04847815715739334</v>
      </c>
      <c r="L7291" t="s">
        <v>54</v>
      </c>
    </row>
    <row r="7292" spans="1:12" x14ac:dyDescent="0.25">
      <c r="A7292" t="s">
        <v>490</v>
      </c>
      <c r="B7292" t="s">
        <v>491</v>
      </c>
      <c r="C7292" t="s">
        <v>492</v>
      </c>
      <c r="D7292" t="s">
        <v>124</v>
      </c>
      <c r="E7292" t="s">
        <v>126</v>
      </c>
      <c r="F7292">
        <v>1</v>
      </c>
      <c r="G7292" t="s">
        <v>488</v>
      </c>
      <c r="H7292" s="4">
        <v>67350633</v>
      </c>
      <c r="I7292" s="4">
        <v>60029898.8059078</v>
      </c>
      <c r="J7292" s="3">
        <v>0.10869584839822069</v>
      </c>
      <c r="K7292" s="3">
        <v>0.12195146651441188</v>
      </c>
      <c r="L7292" t="s">
        <v>54</v>
      </c>
    </row>
    <row r="7293" spans="1:12" x14ac:dyDescent="0.25">
      <c r="A7293" t="s">
        <v>490</v>
      </c>
      <c r="B7293" t="s">
        <v>491</v>
      </c>
      <c r="C7293" t="s">
        <v>492</v>
      </c>
      <c r="D7293" t="s">
        <v>124</v>
      </c>
      <c r="E7293" t="s">
        <v>126</v>
      </c>
      <c r="F7293">
        <v>1</v>
      </c>
      <c r="G7293" t="s">
        <v>498</v>
      </c>
      <c r="H7293" s="4">
        <v>67350633</v>
      </c>
      <c r="I7293" s="4">
        <v>66377594</v>
      </c>
      <c r="J7293" s="3">
        <v>0.014447362358123642</v>
      </c>
      <c r="K7293" s="3">
        <v>0.014659148386728209</v>
      </c>
      <c r="L7293" t="s">
        <v>54</v>
      </c>
    </row>
    <row r="7294" spans="1:12" x14ac:dyDescent="0.25">
      <c r="A7294" t="s">
        <v>490</v>
      </c>
      <c r="B7294" t="s">
        <v>491</v>
      </c>
      <c r="C7294" t="s">
        <v>492</v>
      </c>
      <c r="D7294" t="s">
        <v>124</v>
      </c>
      <c r="E7294" t="s">
        <v>126</v>
      </c>
      <c r="F7294">
        <v>1</v>
      </c>
      <c r="G7294" t="s">
        <v>499</v>
      </c>
      <c r="H7294" s="4">
        <v>67350633</v>
      </c>
      <c r="I7294" s="4">
        <v>61551044</v>
      </c>
      <c r="J7294" s="3">
        <v>0.08611038592614267</v>
      </c>
      <c r="K7294" s="3">
        <v>0.09422405572844549</v>
      </c>
      <c r="L7294" t="s">
        <v>54</v>
      </c>
    </row>
    <row r="7295" spans="1:12" x14ac:dyDescent="0.25">
      <c r="A7295" t="s">
        <v>490</v>
      </c>
      <c r="B7295" t="s">
        <v>491</v>
      </c>
      <c r="C7295" t="s">
        <v>492</v>
      </c>
      <c r="D7295" t="s">
        <v>124</v>
      </c>
      <c r="E7295" t="s">
        <v>128</v>
      </c>
      <c r="F7295">
        <v>2</v>
      </c>
      <c r="G7295" t="s">
        <v>488</v>
      </c>
      <c r="H7295" s="4">
        <v>83686877</v>
      </c>
      <c r="I7295" s="4">
        <v>69698629.67074469</v>
      </c>
      <c r="J7295" s="3">
        <v>0.16714983078237358</v>
      </c>
      <c r="K7295" s="3">
        <v>0.20069615995803058</v>
      </c>
      <c r="L7295" t="s">
        <v>54</v>
      </c>
    </row>
    <row r="7296" spans="1:12" x14ac:dyDescent="0.25">
      <c r="A7296" t="s">
        <v>490</v>
      </c>
      <c r="B7296" t="s">
        <v>491</v>
      </c>
      <c r="C7296" t="s">
        <v>492</v>
      </c>
      <c r="D7296" t="s">
        <v>124</v>
      </c>
      <c r="E7296" t="s">
        <v>128</v>
      </c>
      <c r="F7296">
        <v>2</v>
      </c>
      <c r="G7296" t="s">
        <v>498</v>
      </c>
      <c r="H7296" s="4">
        <v>83686877</v>
      </c>
      <c r="I7296" s="4">
        <v>77068718</v>
      </c>
      <c r="J7296" s="3">
        <v>0.07908239902416242</v>
      </c>
      <c r="K7296" s="3">
        <v>0.08587347982095667</v>
      </c>
      <c r="L7296" t="s">
        <v>54</v>
      </c>
    </row>
    <row r="7297" spans="1:12" x14ac:dyDescent="0.25">
      <c r="A7297" t="s">
        <v>490</v>
      </c>
      <c r="B7297" t="s">
        <v>491</v>
      </c>
      <c r="C7297" t="s">
        <v>492</v>
      </c>
      <c r="D7297" t="s">
        <v>124</v>
      </c>
      <c r="E7297" t="s">
        <v>128</v>
      </c>
      <c r="F7297">
        <v>2</v>
      </c>
      <c r="G7297" t="s">
        <v>499</v>
      </c>
      <c r="H7297" s="4">
        <v>83686877</v>
      </c>
      <c r="I7297" s="4">
        <v>61551044</v>
      </c>
      <c r="J7297" s="3">
        <v>0.2645078152456328</v>
      </c>
      <c r="K7297" s="3">
        <v>0.35963375373454265</v>
      </c>
      <c r="L7297" t="s">
        <v>54</v>
      </c>
    </row>
    <row r="7298" spans="1:12" x14ac:dyDescent="0.25">
      <c r="A7298" t="s">
        <v>490</v>
      </c>
      <c r="B7298" t="s">
        <v>491</v>
      </c>
      <c r="C7298" t="s">
        <v>492</v>
      </c>
      <c r="D7298" t="s">
        <v>124</v>
      </c>
      <c r="E7298" t="s">
        <v>130</v>
      </c>
      <c r="F7298">
        <v>3</v>
      </c>
      <c r="G7298" t="s">
        <v>488</v>
      </c>
      <c r="H7298" s="4">
        <v>68148052</v>
      </c>
      <c r="I7298" s="4">
        <v>61674086.714621134</v>
      </c>
      <c r="J7298" s="3">
        <v>0.09499853767469195</v>
      </c>
      <c r="K7298" s="3">
        <v>0.10497059024700688</v>
      </c>
      <c r="L7298" t="s">
        <v>54</v>
      </c>
    </row>
    <row r="7299" spans="1:12" x14ac:dyDescent="0.25">
      <c r="A7299" t="s">
        <v>490</v>
      </c>
      <c r="B7299" t="s">
        <v>491</v>
      </c>
      <c r="C7299" t="s">
        <v>492</v>
      </c>
      <c r="D7299" t="s">
        <v>124</v>
      </c>
      <c r="E7299" t="s">
        <v>130</v>
      </c>
      <c r="F7299">
        <v>3</v>
      </c>
      <c r="G7299" t="s">
        <v>498</v>
      </c>
      <c r="H7299" s="4">
        <v>68148052</v>
      </c>
      <c r="I7299" s="4">
        <v>68195642</v>
      </c>
      <c r="J7299" s="3">
        <v>0.000698332506995211</v>
      </c>
      <c r="K7299" s="3">
        <v>-0.0006978451790218501</v>
      </c>
      <c r="L7299" t="s">
        <v>54</v>
      </c>
    </row>
    <row r="7300" spans="1:12" x14ac:dyDescent="0.25">
      <c r="A7300" t="s">
        <v>490</v>
      </c>
      <c r="B7300" t="s">
        <v>491</v>
      </c>
      <c r="C7300" t="s">
        <v>492</v>
      </c>
      <c r="D7300" t="s">
        <v>124</v>
      </c>
      <c r="E7300" t="s">
        <v>130</v>
      </c>
      <c r="F7300">
        <v>3</v>
      </c>
      <c r="G7300" t="s">
        <v>499</v>
      </c>
      <c r="H7300" s="4">
        <v>68148052</v>
      </c>
      <c r="I7300" s="4">
        <v>61551044</v>
      </c>
      <c r="J7300" s="3">
        <v>0.09680405831703011</v>
      </c>
      <c r="K7300" s="3">
        <v>0.1071794655505762</v>
      </c>
      <c r="L7300" t="s">
        <v>54</v>
      </c>
    </row>
    <row r="7301" spans="1:12" x14ac:dyDescent="0.25">
      <c r="A7301" t="s">
        <v>490</v>
      </c>
      <c r="B7301" t="s">
        <v>491</v>
      </c>
      <c r="C7301" t="s">
        <v>492</v>
      </c>
      <c r="D7301" t="s">
        <v>126</v>
      </c>
      <c r="E7301" t="s">
        <v>128</v>
      </c>
      <c r="F7301">
        <v>1</v>
      </c>
      <c r="G7301" t="s">
        <v>488</v>
      </c>
      <c r="H7301" s="4">
        <v>83686877</v>
      </c>
      <c r="I7301" s="4">
        <v>71343025.15781447</v>
      </c>
      <c r="J7301" s="3">
        <v>0.14750044791593223</v>
      </c>
      <c r="K7301" s="3">
        <v>0.17302114418165318</v>
      </c>
      <c r="L7301" t="s">
        <v>54</v>
      </c>
    </row>
    <row r="7302" spans="1:12" x14ac:dyDescent="0.25">
      <c r="A7302" t="s">
        <v>490</v>
      </c>
      <c r="B7302" t="s">
        <v>491</v>
      </c>
      <c r="C7302" t="s">
        <v>492</v>
      </c>
      <c r="D7302" t="s">
        <v>126</v>
      </c>
      <c r="E7302" t="s">
        <v>128</v>
      </c>
      <c r="F7302">
        <v>1</v>
      </c>
      <c r="G7302" t="s">
        <v>498</v>
      </c>
      <c r="H7302" s="4">
        <v>83686877</v>
      </c>
      <c r="I7302" s="4">
        <v>77068718</v>
      </c>
      <c r="J7302" s="3">
        <v>0.07908239902416242</v>
      </c>
      <c r="K7302" s="3">
        <v>0.08587347982095667</v>
      </c>
      <c r="L7302" t="s">
        <v>54</v>
      </c>
    </row>
    <row r="7303" spans="1:12" x14ac:dyDescent="0.25">
      <c r="A7303" t="s">
        <v>490</v>
      </c>
      <c r="B7303" t="s">
        <v>491</v>
      </c>
      <c r="C7303" t="s">
        <v>492</v>
      </c>
      <c r="D7303" t="s">
        <v>126</v>
      </c>
      <c r="E7303" t="s">
        <v>128</v>
      </c>
      <c r="F7303">
        <v>1</v>
      </c>
      <c r="G7303" t="s">
        <v>499</v>
      </c>
      <c r="H7303" s="4">
        <v>83686877</v>
      </c>
      <c r="I7303" s="4">
        <v>67350633</v>
      </c>
      <c r="J7303" s="3">
        <v>0.19520675864150122</v>
      </c>
      <c r="K7303" s="3">
        <v>0.24255516648225117</v>
      </c>
      <c r="L7303" t="s">
        <v>54</v>
      </c>
    </row>
    <row r="7304" spans="1:12" x14ac:dyDescent="0.25">
      <c r="A7304" t="s">
        <v>490</v>
      </c>
      <c r="B7304" t="s">
        <v>491</v>
      </c>
      <c r="C7304" t="s">
        <v>492</v>
      </c>
      <c r="D7304" t="s">
        <v>126</v>
      </c>
      <c r="E7304" t="s">
        <v>130</v>
      </c>
      <c r="F7304">
        <v>2</v>
      </c>
      <c r="G7304" t="s">
        <v>488</v>
      </c>
      <c r="H7304" s="4">
        <v>68148052</v>
      </c>
      <c r="I7304" s="4">
        <v>63129159.652808934</v>
      </c>
      <c r="J7304" s="3">
        <v>0.07364689378342121</v>
      </c>
      <c r="K7304" s="3">
        <v>0.07950196667900283</v>
      </c>
      <c r="L7304" t="s">
        <v>54</v>
      </c>
    </row>
    <row r="7305" spans="1:12" x14ac:dyDescent="0.25">
      <c r="A7305" t="s">
        <v>490</v>
      </c>
      <c r="B7305" t="s">
        <v>491</v>
      </c>
      <c r="C7305" t="s">
        <v>492</v>
      </c>
      <c r="D7305" t="s">
        <v>126</v>
      </c>
      <c r="E7305" t="s">
        <v>130</v>
      </c>
      <c r="F7305">
        <v>2</v>
      </c>
      <c r="G7305" t="s">
        <v>498</v>
      </c>
      <c r="H7305" s="4">
        <v>68148052</v>
      </c>
      <c r="I7305" s="4">
        <v>68195642</v>
      </c>
      <c r="J7305" s="3">
        <v>0.000698332506995211</v>
      </c>
      <c r="K7305" s="3">
        <v>-0.0006978451790218501</v>
      </c>
      <c r="L7305" t="s">
        <v>54</v>
      </c>
    </row>
    <row r="7306" spans="1:12" x14ac:dyDescent="0.25">
      <c r="A7306" t="s">
        <v>490</v>
      </c>
      <c r="B7306" t="s">
        <v>491</v>
      </c>
      <c r="C7306" t="s">
        <v>492</v>
      </c>
      <c r="D7306" t="s">
        <v>126</v>
      </c>
      <c r="E7306" t="s">
        <v>130</v>
      </c>
      <c r="F7306">
        <v>2</v>
      </c>
      <c r="G7306" t="s">
        <v>499</v>
      </c>
      <c r="H7306" s="4">
        <v>68148052</v>
      </c>
      <c r="I7306" s="4">
        <v>67350633</v>
      </c>
      <c r="J7306" s="3">
        <v>0.011701273574188152</v>
      </c>
      <c r="K7306" s="3">
        <v>0.011839814482515703</v>
      </c>
      <c r="L7306" t="s">
        <v>54</v>
      </c>
    </row>
    <row r="7307" spans="1:12" x14ac:dyDescent="0.25">
      <c r="A7307" t="s">
        <v>490</v>
      </c>
      <c r="B7307" t="s">
        <v>491</v>
      </c>
      <c r="C7307" t="s">
        <v>492</v>
      </c>
      <c r="D7307" t="s">
        <v>126</v>
      </c>
      <c r="E7307" t="s">
        <v>132</v>
      </c>
      <c r="F7307">
        <v>3</v>
      </c>
      <c r="G7307" t="s">
        <v>488</v>
      </c>
      <c r="H7307" s="4">
        <v>53927275</v>
      </c>
      <c r="I7307" s="4">
        <v>42239385.56030633</v>
      </c>
      <c r="J7307" s="3">
        <v>0.21673428593774982</v>
      </c>
      <c r="K7307" s="3">
        <v>0.27670595309693946</v>
      </c>
      <c r="L7307" t="s">
        <v>54</v>
      </c>
    </row>
    <row r="7308" spans="1:12" x14ac:dyDescent="0.25">
      <c r="A7308" t="s">
        <v>490</v>
      </c>
      <c r="B7308" t="s">
        <v>491</v>
      </c>
      <c r="C7308" t="s">
        <v>492</v>
      </c>
      <c r="D7308" t="s">
        <v>126</v>
      </c>
      <c r="E7308" t="s">
        <v>132</v>
      </c>
      <c r="F7308">
        <v>3</v>
      </c>
      <c r="G7308" t="s">
        <v>498</v>
      </c>
      <c r="H7308" s="4">
        <v>53927275</v>
      </c>
      <c r="I7308" s="4">
        <v>45629342</v>
      </c>
      <c r="J7308" s="3">
        <v>0.15387265534926436</v>
      </c>
      <c r="K7308" s="3">
        <v>0.18185519747359058</v>
      </c>
      <c r="L7308" t="s">
        <v>54</v>
      </c>
    </row>
    <row r="7309" spans="1:12" x14ac:dyDescent="0.25">
      <c r="A7309" t="s">
        <v>490</v>
      </c>
      <c r="B7309" t="s">
        <v>491</v>
      </c>
      <c r="C7309" t="s">
        <v>492</v>
      </c>
      <c r="D7309" t="s">
        <v>126</v>
      </c>
      <c r="E7309" t="s">
        <v>132</v>
      </c>
      <c r="F7309">
        <v>3</v>
      </c>
      <c r="G7309" t="s">
        <v>499</v>
      </c>
      <c r="H7309" s="4">
        <v>53927275</v>
      </c>
      <c r="I7309" s="4">
        <v>67350633</v>
      </c>
      <c r="J7309" s="3">
        <v>0.24891593354197852</v>
      </c>
      <c r="K7309" s="3">
        <v>-0.19930559524214123</v>
      </c>
      <c r="L7309" t="s">
        <v>54</v>
      </c>
    </row>
    <row r="7310" spans="1:12" x14ac:dyDescent="0.25">
      <c r="A7310" t="s">
        <v>490</v>
      </c>
      <c r="B7310" t="s">
        <v>491</v>
      </c>
      <c r="C7310" t="s">
        <v>492</v>
      </c>
      <c r="D7310" t="s">
        <v>128</v>
      </c>
      <c r="E7310" t="s">
        <v>130</v>
      </c>
      <c r="F7310">
        <v>1</v>
      </c>
      <c r="G7310" t="s">
        <v>488</v>
      </c>
      <c r="H7310" s="4">
        <v>68148052</v>
      </c>
      <c r="I7310" s="4">
        <v>64415765.41000489</v>
      </c>
      <c r="J7310" s="3">
        <v>0.05476732614448185</v>
      </c>
      <c r="K7310" s="3">
        <v>0.05794057660014111</v>
      </c>
      <c r="L7310" t="s">
        <v>54</v>
      </c>
    </row>
    <row r="7311" spans="1:12" x14ac:dyDescent="0.25">
      <c r="A7311" t="s">
        <v>490</v>
      </c>
      <c r="B7311" t="s">
        <v>491</v>
      </c>
      <c r="C7311" t="s">
        <v>492</v>
      </c>
      <c r="D7311" t="s">
        <v>128</v>
      </c>
      <c r="E7311" t="s">
        <v>130</v>
      </c>
      <c r="F7311">
        <v>1</v>
      </c>
      <c r="G7311" t="s">
        <v>498</v>
      </c>
      <c r="H7311" s="4">
        <v>68148052</v>
      </c>
      <c r="I7311" s="4">
        <v>68195642</v>
      </c>
      <c r="J7311" s="3">
        <v>0.000698332506995211</v>
      </c>
      <c r="K7311" s="3">
        <v>-0.0006978451790218501</v>
      </c>
      <c r="L7311" t="s">
        <v>54</v>
      </c>
    </row>
    <row r="7312" spans="1:12" x14ac:dyDescent="0.25">
      <c r="A7312" t="s">
        <v>490</v>
      </c>
      <c r="B7312" t="s">
        <v>491</v>
      </c>
      <c r="C7312" t="s">
        <v>492</v>
      </c>
      <c r="D7312" t="s">
        <v>128</v>
      </c>
      <c r="E7312" t="s">
        <v>130</v>
      </c>
      <c r="F7312">
        <v>1</v>
      </c>
      <c r="G7312" t="s">
        <v>499</v>
      </c>
      <c r="H7312" s="4">
        <v>68148052</v>
      </c>
      <c r="I7312" s="4">
        <v>83686877</v>
      </c>
      <c r="J7312" s="3">
        <v>0.22801568854822146</v>
      </c>
      <c r="K7312" s="3">
        <v>-0.1856781559670341</v>
      </c>
      <c r="L7312" t="s">
        <v>54</v>
      </c>
    </row>
    <row r="7313" spans="1:12" x14ac:dyDescent="0.25">
      <c r="A7313" t="s">
        <v>490</v>
      </c>
      <c r="B7313" t="s">
        <v>491</v>
      </c>
      <c r="C7313" t="s">
        <v>492</v>
      </c>
      <c r="D7313" t="s">
        <v>128</v>
      </c>
      <c r="E7313" t="s">
        <v>132</v>
      </c>
      <c r="F7313">
        <v>2</v>
      </c>
      <c r="G7313" t="s">
        <v>488</v>
      </c>
      <c r="H7313" s="4">
        <v>53927275</v>
      </c>
      <c r="I7313" s="4">
        <v>43100246.64163853</v>
      </c>
      <c r="J7313" s="3">
        <v>0.20077091524393673</v>
      </c>
      <c r="K7313" s="3">
        <v>0.2512057169506225</v>
      </c>
      <c r="L7313" t="s">
        <v>54</v>
      </c>
    </row>
    <row r="7314" spans="1:12" x14ac:dyDescent="0.25">
      <c r="A7314" t="s">
        <v>490</v>
      </c>
      <c r="B7314" t="s">
        <v>491</v>
      </c>
      <c r="C7314" t="s">
        <v>492</v>
      </c>
      <c r="D7314" t="s">
        <v>128</v>
      </c>
      <c r="E7314" t="s">
        <v>132</v>
      </c>
      <c r="F7314">
        <v>2</v>
      </c>
      <c r="G7314" t="s">
        <v>498</v>
      </c>
      <c r="H7314" s="4">
        <v>53927275</v>
      </c>
      <c r="I7314" s="4">
        <v>45629342</v>
      </c>
      <c r="J7314" s="3">
        <v>0.15387265534926436</v>
      </c>
      <c r="K7314" s="3">
        <v>0.18185519747359058</v>
      </c>
      <c r="L7314" t="s">
        <v>54</v>
      </c>
    </row>
    <row r="7315" spans="1:12" x14ac:dyDescent="0.25">
      <c r="A7315" t="s">
        <v>490</v>
      </c>
      <c r="B7315" t="s">
        <v>491</v>
      </c>
      <c r="C7315" t="s">
        <v>492</v>
      </c>
      <c r="D7315" t="s">
        <v>128</v>
      </c>
      <c r="E7315" t="s">
        <v>132</v>
      </c>
      <c r="F7315">
        <v>2</v>
      </c>
      <c r="G7315" t="s">
        <v>499</v>
      </c>
      <c r="H7315" s="4">
        <v>53927275</v>
      </c>
      <c r="I7315" s="4">
        <v>83686877</v>
      </c>
      <c r="J7315" s="3">
        <v>0.5518469457245893</v>
      </c>
      <c r="K7315" s="3">
        <v>-0.35560655465730906</v>
      </c>
      <c r="L7315" t="s">
        <v>54</v>
      </c>
    </row>
    <row r="7316" spans="1:12" x14ac:dyDescent="0.25">
      <c r="A7316" t="s">
        <v>490</v>
      </c>
      <c r="B7316" t="s">
        <v>491</v>
      </c>
      <c r="C7316" t="s">
        <v>492</v>
      </c>
      <c r="D7316" t="s">
        <v>128</v>
      </c>
      <c r="E7316" t="s">
        <v>134</v>
      </c>
      <c r="F7316">
        <v>3</v>
      </c>
      <c r="G7316" t="s">
        <v>488</v>
      </c>
      <c r="H7316" s="4">
        <v>45680076</v>
      </c>
      <c r="I7316" s="4">
        <v>39686761.78555403</v>
      </c>
      <c r="J7316" s="3">
        <v>0.131201931766619</v>
      </c>
      <c r="K7316" s="3">
        <v>0.15101545061374938</v>
      </c>
      <c r="L7316" t="s">
        <v>54</v>
      </c>
    </row>
    <row r="7317" spans="1:12" x14ac:dyDescent="0.25">
      <c r="A7317" t="s">
        <v>490</v>
      </c>
      <c r="B7317" t="s">
        <v>491</v>
      </c>
      <c r="C7317" t="s">
        <v>492</v>
      </c>
      <c r="D7317" t="s">
        <v>128</v>
      </c>
      <c r="E7317" t="s">
        <v>134</v>
      </c>
      <c r="F7317">
        <v>3</v>
      </c>
      <c r="G7317" t="s">
        <v>498</v>
      </c>
      <c r="H7317" s="4">
        <v>45680076</v>
      </c>
      <c r="I7317" s="4">
        <v>42015556</v>
      </c>
      <c r="J7317" s="3">
        <v>0.08022140768767548</v>
      </c>
      <c r="K7317" s="3">
        <v>0.08721817224077673</v>
      </c>
      <c r="L7317" t="s">
        <v>54</v>
      </c>
    </row>
    <row r="7318" spans="1:12" x14ac:dyDescent="0.25">
      <c r="A7318" t="s">
        <v>490</v>
      </c>
      <c r="B7318" t="s">
        <v>491</v>
      </c>
      <c r="C7318" t="s">
        <v>492</v>
      </c>
      <c r="D7318" t="s">
        <v>128</v>
      </c>
      <c r="E7318" t="s">
        <v>134</v>
      </c>
      <c r="F7318">
        <v>3</v>
      </c>
      <c r="G7318" t="s">
        <v>499</v>
      </c>
      <c r="H7318" s="4">
        <v>45680076</v>
      </c>
      <c r="I7318" s="4">
        <v>83686877</v>
      </c>
      <c r="J7318" s="3">
        <v>0.8320214046929344</v>
      </c>
      <c r="K7318" s="3">
        <v>-0.45415484915275306</v>
      </c>
      <c r="L7318" t="s">
        <v>54</v>
      </c>
    </row>
    <row r="7319" spans="1:12" x14ac:dyDescent="0.25">
      <c r="A7319" t="s">
        <v>490</v>
      </c>
      <c r="B7319" t="s">
        <v>491</v>
      </c>
      <c r="C7319" t="s">
        <v>492</v>
      </c>
      <c r="D7319" t="s">
        <v>130</v>
      </c>
      <c r="E7319" t="s">
        <v>132</v>
      </c>
      <c r="F7319">
        <v>1</v>
      </c>
      <c r="G7319" t="s">
        <v>488</v>
      </c>
      <c r="H7319" s="4">
        <v>53927275</v>
      </c>
      <c r="I7319" s="4">
        <v>43728342.873959795</v>
      </c>
      <c r="J7319" s="3">
        <v>0.18912381769782</v>
      </c>
      <c r="K7319" s="3">
        <v>0.2332339040479319</v>
      </c>
      <c r="L7319" t="s">
        <v>54</v>
      </c>
    </row>
    <row r="7320" spans="1:12" x14ac:dyDescent="0.25">
      <c r="A7320" t="s">
        <v>490</v>
      </c>
      <c r="B7320" t="s">
        <v>491</v>
      </c>
      <c r="C7320" t="s">
        <v>492</v>
      </c>
      <c r="D7320" t="s">
        <v>130</v>
      </c>
      <c r="E7320" t="s">
        <v>132</v>
      </c>
      <c r="F7320">
        <v>1</v>
      </c>
      <c r="G7320" t="s">
        <v>498</v>
      </c>
      <c r="H7320" s="4">
        <v>53927275</v>
      </c>
      <c r="I7320" s="4">
        <v>45629342</v>
      </c>
      <c r="J7320" s="3">
        <v>0.15387265534926436</v>
      </c>
      <c r="K7320" s="3">
        <v>0.18185519747359058</v>
      </c>
      <c r="L7320" t="s">
        <v>54</v>
      </c>
    </row>
    <row r="7321" spans="1:12" x14ac:dyDescent="0.25">
      <c r="A7321" t="s">
        <v>490</v>
      </c>
      <c r="B7321" t="s">
        <v>491</v>
      </c>
      <c r="C7321" t="s">
        <v>492</v>
      </c>
      <c r="D7321" t="s">
        <v>130</v>
      </c>
      <c r="E7321" t="s">
        <v>132</v>
      </c>
      <c r="F7321">
        <v>1</v>
      </c>
      <c r="G7321" t="s">
        <v>499</v>
      </c>
      <c r="H7321" s="4">
        <v>53927275</v>
      </c>
      <c r="I7321" s="4">
        <v>68148052</v>
      </c>
      <c r="J7321" s="3">
        <v>0.26370286649937347</v>
      </c>
      <c r="K7321" s="3">
        <v>-0.20867473952153467</v>
      </c>
      <c r="L7321" t="s">
        <v>54</v>
      </c>
    </row>
    <row r="7322" spans="1:12" x14ac:dyDescent="0.25">
      <c r="A7322" t="s">
        <v>490</v>
      </c>
      <c r="B7322" t="s">
        <v>491</v>
      </c>
      <c r="C7322" t="s">
        <v>492</v>
      </c>
      <c r="D7322" t="s">
        <v>130</v>
      </c>
      <c r="E7322" t="s">
        <v>134</v>
      </c>
      <c r="F7322">
        <v>2</v>
      </c>
      <c r="G7322" t="s">
        <v>488</v>
      </c>
      <c r="H7322" s="4">
        <v>45680076</v>
      </c>
      <c r="I7322" s="4">
        <v>40265113.59309232</v>
      </c>
      <c r="J7322" s="3">
        <v>0.11854101133517549</v>
      </c>
      <c r="K7322" s="3">
        <v>0.13448273017753615</v>
      </c>
      <c r="L7322" t="s">
        <v>54</v>
      </c>
    </row>
    <row r="7323" spans="1:12" x14ac:dyDescent="0.25">
      <c r="A7323" t="s">
        <v>490</v>
      </c>
      <c r="B7323" t="s">
        <v>491</v>
      </c>
      <c r="C7323" t="s">
        <v>492</v>
      </c>
      <c r="D7323" t="s">
        <v>130</v>
      </c>
      <c r="E7323" t="s">
        <v>134</v>
      </c>
      <c r="F7323">
        <v>2</v>
      </c>
      <c r="G7323" t="s">
        <v>498</v>
      </c>
      <c r="H7323" s="4">
        <v>45680076</v>
      </c>
      <c r="I7323" s="4">
        <v>42015556</v>
      </c>
      <c r="J7323" s="3">
        <v>0.08022140768767548</v>
      </c>
      <c r="K7323" s="3">
        <v>0.08721817224077673</v>
      </c>
      <c r="L7323" t="s">
        <v>54</v>
      </c>
    </row>
    <row r="7324" spans="1:12" x14ac:dyDescent="0.25">
      <c r="A7324" t="s">
        <v>490</v>
      </c>
      <c r="B7324" t="s">
        <v>491</v>
      </c>
      <c r="C7324" t="s">
        <v>492</v>
      </c>
      <c r="D7324" t="s">
        <v>130</v>
      </c>
      <c r="E7324" t="s">
        <v>134</v>
      </c>
      <c r="F7324">
        <v>2</v>
      </c>
      <c r="G7324" t="s">
        <v>499</v>
      </c>
      <c r="H7324" s="4">
        <v>45680076</v>
      </c>
      <c r="I7324" s="4">
        <v>68148052</v>
      </c>
      <c r="J7324" s="3">
        <v>0.4918550485774148</v>
      </c>
      <c r="K7324" s="3">
        <v>-0.32969359124161024</v>
      </c>
      <c r="L7324" t="s">
        <v>54</v>
      </c>
    </row>
    <row r="7325" spans="1:12" x14ac:dyDescent="0.25">
      <c r="A7325" t="s">
        <v>490</v>
      </c>
      <c r="B7325" t="s">
        <v>491</v>
      </c>
      <c r="C7325" t="s">
        <v>492</v>
      </c>
      <c r="D7325" t="s">
        <v>130</v>
      </c>
      <c r="E7325" t="s">
        <v>136</v>
      </c>
      <c r="F7325">
        <v>3</v>
      </c>
      <c r="G7325" t="s">
        <v>488</v>
      </c>
      <c r="H7325" s="4">
        <v>49256364</v>
      </c>
      <c r="I7325" s="4">
        <v>43353794.58497126</v>
      </c>
      <c r="J7325" s="3">
        <v>0.11983364048204499</v>
      </c>
      <c r="K7325" s="3">
        <v>0.13614885320960785</v>
      </c>
      <c r="L7325" t="s">
        <v>54</v>
      </c>
    </row>
    <row r="7326" spans="1:12" x14ac:dyDescent="0.25">
      <c r="A7326" t="s">
        <v>490</v>
      </c>
      <c r="B7326" t="s">
        <v>491</v>
      </c>
      <c r="C7326" t="s">
        <v>492</v>
      </c>
      <c r="D7326" t="s">
        <v>130</v>
      </c>
      <c r="E7326" t="s">
        <v>136</v>
      </c>
      <c r="F7326">
        <v>3</v>
      </c>
      <c r="G7326" t="s">
        <v>498</v>
      </c>
      <c r="H7326" s="4">
        <v>49256364</v>
      </c>
      <c r="I7326" s="4">
        <v>45238511</v>
      </c>
      <c r="J7326" s="3">
        <v>0.08157023120910833</v>
      </c>
      <c r="K7326" s="3">
        <v>0.0888148816392299</v>
      </c>
      <c r="L7326" t="s">
        <v>54</v>
      </c>
    </row>
    <row r="7327" spans="1:12" x14ac:dyDescent="0.25">
      <c r="A7327" t="s">
        <v>490</v>
      </c>
      <c r="B7327" t="s">
        <v>491</v>
      </c>
      <c r="C7327" t="s">
        <v>492</v>
      </c>
      <c r="D7327" t="s">
        <v>130</v>
      </c>
      <c r="E7327" t="s">
        <v>136</v>
      </c>
      <c r="F7327">
        <v>3</v>
      </c>
      <c r="G7327" t="s">
        <v>499</v>
      </c>
      <c r="H7327" s="4">
        <v>49256364</v>
      </c>
      <c r="I7327" s="4">
        <v>68148052</v>
      </c>
      <c r="J7327" s="3">
        <v>0.3835380134839023</v>
      </c>
      <c r="K7327" s="3">
        <v>-0.2772153780712617</v>
      </c>
      <c r="L7327" t="s">
        <v>54</v>
      </c>
    </row>
    <row r="7328" spans="1:12" x14ac:dyDescent="0.25">
      <c r="A7328" t="s">
        <v>490</v>
      </c>
      <c r="B7328" t="s">
        <v>491</v>
      </c>
      <c r="C7328" t="s">
        <v>492</v>
      </c>
      <c r="D7328" t="s">
        <v>132</v>
      </c>
      <c r="E7328" t="s">
        <v>134</v>
      </c>
      <c r="F7328">
        <v>1</v>
      </c>
      <c r="G7328" t="s">
        <v>488</v>
      </c>
      <c r="H7328" s="4">
        <v>45680076</v>
      </c>
      <c r="I7328" s="4">
        <v>41828644.31135111</v>
      </c>
      <c r="J7328" s="3">
        <v>0.08431316289072914</v>
      </c>
      <c r="K7328" s="3">
        <v>0.09207641682051161</v>
      </c>
      <c r="L7328" t="s">
        <v>54</v>
      </c>
    </row>
    <row r="7329" spans="1:12" x14ac:dyDescent="0.25">
      <c r="A7329" t="s">
        <v>490</v>
      </c>
      <c r="B7329" t="s">
        <v>491</v>
      </c>
      <c r="C7329" t="s">
        <v>492</v>
      </c>
      <c r="D7329" t="s">
        <v>132</v>
      </c>
      <c r="E7329" t="s">
        <v>134</v>
      </c>
      <c r="F7329">
        <v>1</v>
      </c>
      <c r="G7329" t="s">
        <v>498</v>
      </c>
      <c r="H7329" s="4">
        <v>45680076</v>
      </c>
      <c r="I7329" s="4">
        <v>42015556</v>
      </c>
      <c r="J7329" s="3">
        <v>0.08022140768767548</v>
      </c>
      <c r="K7329" s="3">
        <v>0.08721817224077673</v>
      </c>
      <c r="L7329" t="s">
        <v>54</v>
      </c>
    </row>
    <row r="7330" spans="1:12" x14ac:dyDescent="0.25">
      <c r="A7330" t="s">
        <v>490</v>
      </c>
      <c r="B7330" t="s">
        <v>491</v>
      </c>
      <c r="C7330" t="s">
        <v>492</v>
      </c>
      <c r="D7330" t="s">
        <v>132</v>
      </c>
      <c r="E7330" t="s">
        <v>134</v>
      </c>
      <c r="F7330">
        <v>1</v>
      </c>
      <c r="G7330" t="s">
        <v>499</v>
      </c>
      <c r="H7330" s="4">
        <v>45680076</v>
      </c>
      <c r="I7330" s="4">
        <v>53927275</v>
      </c>
      <c r="J7330" s="3">
        <v>0.1805425849116363</v>
      </c>
      <c r="K7330" s="3">
        <v>-0.15293186981912213</v>
      </c>
      <c r="L7330" t="s">
        <v>54</v>
      </c>
    </row>
    <row r="7331" spans="1:12" x14ac:dyDescent="0.25">
      <c r="A7331" t="s">
        <v>490</v>
      </c>
      <c r="B7331" t="s">
        <v>491</v>
      </c>
      <c r="C7331" t="s">
        <v>492</v>
      </c>
      <c r="D7331" t="s">
        <v>132</v>
      </c>
      <c r="E7331" t="s">
        <v>136</v>
      </c>
      <c r="F7331">
        <v>2</v>
      </c>
      <c r="G7331" t="s">
        <v>488</v>
      </c>
      <c r="H7331" s="4">
        <v>49256364</v>
      </c>
      <c r="I7331" s="4">
        <v>45037261.5750734</v>
      </c>
      <c r="J7331" s="3">
        <v>0.08565598599455293</v>
      </c>
      <c r="K7331" s="3">
        <v>0.09368026112985813</v>
      </c>
      <c r="L7331" t="s">
        <v>54</v>
      </c>
    </row>
    <row r="7332" spans="1:12" x14ac:dyDescent="0.25">
      <c r="A7332" t="s">
        <v>490</v>
      </c>
      <c r="B7332" t="s">
        <v>491</v>
      </c>
      <c r="C7332" t="s">
        <v>492</v>
      </c>
      <c r="D7332" t="s">
        <v>132</v>
      </c>
      <c r="E7332" t="s">
        <v>136</v>
      </c>
      <c r="F7332">
        <v>2</v>
      </c>
      <c r="G7332" t="s">
        <v>498</v>
      </c>
      <c r="H7332" s="4">
        <v>49256364</v>
      </c>
      <c r="I7332" s="4">
        <v>45238511</v>
      </c>
      <c r="J7332" s="3">
        <v>0.08157023120910833</v>
      </c>
      <c r="K7332" s="3">
        <v>0.0888148816392299</v>
      </c>
      <c r="L7332" t="s">
        <v>54</v>
      </c>
    </row>
    <row r="7333" spans="1:12" x14ac:dyDescent="0.25">
      <c r="A7333" t="s">
        <v>490</v>
      </c>
      <c r="B7333" t="s">
        <v>491</v>
      </c>
      <c r="C7333" t="s">
        <v>492</v>
      </c>
      <c r="D7333" t="s">
        <v>132</v>
      </c>
      <c r="E7333" t="s">
        <v>136</v>
      </c>
      <c r="F7333">
        <v>2</v>
      </c>
      <c r="G7333" t="s">
        <v>499</v>
      </c>
      <c r="H7333" s="4">
        <v>49256364</v>
      </c>
      <c r="I7333" s="4">
        <v>53927275</v>
      </c>
      <c r="J7333" s="3">
        <v>0.09482857890200747</v>
      </c>
      <c r="K7333" s="3">
        <v>-0.08661500140698747</v>
      </c>
      <c r="L7333" t="s">
        <v>54</v>
      </c>
    </row>
    <row r="7334" spans="1:12" x14ac:dyDescent="0.25">
      <c r="A7334" t="s">
        <v>490</v>
      </c>
      <c r="B7334" t="s">
        <v>491</v>
      </c>
      <c r="C7334" t="s">
        <v>492</v>
      </c>
      <c r="D7334" t="s">
        <v>132</v>
      </c>
      <c r="E7334" t="s">
        <v>138</v>
      </c>
      <c r="F7334">
        <v>3</v>
      </c>
      <c r="G7334" t="s">
        <v>488</v>
      </c>
      <c r="H7334" s="4">
        <v>59244017</v>
      </c>
      <c r="I7334" s="4">
        <v>57409811.718940325</v>
      </c>
      <c r="J7334" s="3">
        <v>0.030960177481882685</v>
      </c>
      <c r="K7334" s="3">
        <v>0.03194933454997805</v>
      </c>
      <c r="L7334" t="s">
        <v>54</v>
      </c>
    </row>
    <row r="7335" spans="1:12" x14ac:dyDescent="0.25">
      <c r="A7335" t="s">
        <v>490</v>
      </c>
      <c r="B7335" t="s">
        <v>491</v>
      </c>
      <c r="C7335" t="s">
        <v>492</v>
      </c>
      <c r="D7335" t="s">
        <v>132</v>
      </c>
      <c r="E7335" t="s">
        <v>138</v>
      </c>
      <c r="F7335">
        <v>3</v>
      </c>
      <c r="G7335" t="s">
        <v>498</v>
      </c>
      <c r="H7335" s="4">
        <v>59244017</v>
      </c>
      <c r="I7335" s="4">
        <v>57666348</v>
      </c>
      <c r="J7335" s="3">
        <v>0.026630013964110504</v>
      </c>
      <c r="K7335" s="3">
        <v>0.027358573149109427</v>
      </c>
      <c r="L7335" t="s">
        <v>54</v>
      </c>
    </row>
    <row r="7336" spans="1:12" x14ac:dyDescent="0.25">
      <c r="A7336" t="s">
        <v>490</v>
      </c>
      <c r="B7336" t="s">
        <v>491</v>
      </c>
      <c r="C7336" t="s">
        <v>492</v>
      </c>
      <c r="D7336" t="s">
        <v>132</v>
      </c>
      <c r="E7336" t="s">
        <v>138</v>
      </c>
      <c r="F7336">
        <v>3</v>
      </c>
      <c r="G7336" t="s">
        <v>499</v>
      </c>
      <c r="H7336" s="4">
        <v>59244017</v>
      </c>
      <c r="I7336" s="4">
        <v>53927275</v>
      </c>
      <c r="J7336" s="3">
        <v>0.08974310435431818</v>
      </c>
      <c r="K7336" s="3">
        <v>0.09859096347812865</v>
      </c>
      <c r="L7336" t="s">
        <v>54</v>
      </c>
    </row>
    <row r="7337" spans="1:12" x14ac:dyDescent="0.25">
      <c r="A7337" t="s">
        <v>490</v>
      </c>
      <c r="B7337" t="s">
        <v>491</v>
      </c>
      <c r="C7337" t="s">
        <v>492</v>
      </c>
      <c r="D7337" t="s">
        <v>134</v>
      </c>
      <c r="E7337" t="s">
        <v>136</v>
      </c>
      <c r="F7337">
        <v>1</v>
      </c>
      <c r="G7337" t="s">
        <v>488</v>
      </c>
      <c r="H7337" s="4">
        <v>49256364</v>
      </c>
      <c r="I7337" s="4">
        <v>45729227.538993984</v>
      </c>
      <c r="J7337" s="3">
        <v>0.07160773095241085</v>
      </c>
      <c r="K7337" s="3">
        <v>0.07713089966364235</v>
      </c>
      <c r="L7337" t="s">
        <v>54</v>
      </c>
    </row>
    <row r="7338" spans="1:12" x14ac:dyDescent="0.25">
      <c r="A7338" t="s">
        <v>490</v>
      </c>
      <c r="B7338" t="s">
        <v>491</v>
      </c>
      <c r="C7338" t="s">
        <v>492</v>
      </c>
      <c r="D7338" t="s">
        <v>134</v>
      </c>
      <c r="E7338" t="s">
        <v>136</v>
      </c>
      <c r="F7338">
        <v>1</v>
      </c>
      <c r="G7338" t="s">
        <v>498</v>
      </c>
      <c r="H7338" s="4">
        <v>49256364</v>
      </c>
      <c r="I7338" s="4">
        <v>45238511</v>
      </c>
      <c r="J7338" s="3">
        <v>0.08157023120910833</v>
      </c>
      <c r="K7338" s="3">
        <v>0.0888148816392299</v>
      </c>
      <c r="L7338" t="s">
        <v>54</v>
      </c>
    </row>
    <row r="7339" spans="1:12" x14ac:dyDescent="0.25">
      <c r="A7339" t="s">
        <v>490</v>
      </c>
      <c r="B7339" t="s">
        <v>491</v>
      </c>
      <c r="C7339" t="s">
        <v>492</v>
      </c>
      <c r="D7339" t="s">
        <v>134</v>
      </c>
      <c r="E7339" t="s">
        <v>136</v>
      </c>
      <c r="F7339">
        <v>1</v>
      </c>
      <c r="G7339" t="s">
        <v>499</v>
      </c>
      <c r="H7339" s="4">
        <v>49256364</v>
      </c>
      <c r="I7339" s="4">
        <v>45680076</v>
      </c>
      <c r="J7339" s="3">
        <v>0.07260560280088883</v>
      </c>
      <c r="K7339" s="3">
        <v>0.07828988725850632</v>
      </c>
      <c r="L7339" t="s">
        <v>54</v>
      </c>
    </row>
    <row r="7340" spans="1:12" x14ac:dyDescent="0.25">
      <c r="A7340" t="s">
        <v>490</v>
      </c>
      <c r="B7340" t="s">
        <v>491</v>
      </c>
      <c r="C7340" t="s">
        <v>492</v>
      </c>
      <c r="D7340" t="s">
        <v>134</v>
      </c>
      <c r="E7340" t="s">
        <v>138</v>
      </c>
      <c r="F7340">
        <v>2</v>
      </c>
      <c r="G7340" t="s">
        <v>488</v>
      </c>
      <c r="H7340" s="4">
        <v>59244017</v>
      </c>
      <c r="I7340" s="4">
        <v>58291873.24566917</v>
      </c>
      <c r="J7340" s="3">
        <v>0.016071559670419188</v>
      </c>
      <c r="K7340" s="3">
        <v>0.016334073710722083</v>
      </c>
      <c r="L7340" t="s">
        <v>54</v>
      </c>
    </row>
    <row r="7341" spans="1:12" x14ac:dyDescent="0.25">
      <c r="A7341" t="s">
        <v>490</v>
      </c>
      <c r="B7341" t="s">
        <v>491</v>
      </c>
      <c r="C7341" t="s">
        <v>492</v>
      </c>
      <c r="D7341" t="s">
        <v>134</v>
      </c>
      <c r="E7341" t="s">
        <v>138</v>
      </c>
      <c r="F7341">
        <v>2</v>
      </c>
      <c r="G7341" t="s">
        <v>498</v>
      </c>
      <c r="H7341" s="4">
        <v>59244017</v>
      </c>
      <c r="I7341" s="4">
        <v>57666348</v>
      </c>
      <c r="J7341" s="3">
        <v>0.026630013964110504</v>
      </c>
      <c r="K7341" s="3">
        <v>0.027358573149109427</v>
      </c>
      <c r="L7341" t="s">
        <v>54</v>
      </c>
    </row>
    <row r="7342" spans="1:12" x14ac:dyDescent="0.25">
      <c r="A7342" t="s">
        <v>490</v>
      </c>
      <c r="B7342" t="s">
        <v>491</v>
      </c>
      <c r="C7342" t="s">
        <v>492</v>
      </c>
      <c r="D7342" t="s">
        <v>134</v>
      </c>
      <c r="E7342" t="s">
        <v>138</v>
      </c>
      <c r="F7342">
        <v>2</v>
      </c>
      <c r="G7342" t="s">
        <v>499</v>
      </c>
      <c r="H7342" s="4">
        <v>59244017</v>
      </c>
      <c r="I7342" s="4">
        <v>45680076</v>
      </c>
      <c r="J7342" s="3">
        <v>0.22895039342116183</v>
      </c>
      <c r="K7342" s="3">
        <v>0.296933415785035</v>
      </c>
      <c r="L7342" t="s">
        <v>54</v>
      </c>
    </row>
    <row r="7343" spans="1:12" x14ac:dyDescent="0.25">
      <c r="A7343" t="s">
        <v>490</v>
      </c>
      <c r="B7343" t="s">
        <v>491</v>
      </c>
      <c r="C7343" t="s">
        <v>492</v>
      </c>
      <c r="D7343" t="s">
        <v>134</v>
      </c>
      <c r="E7343" t="s">
        <v>140</v>
      </c>
      <c r="F7343">
        <v>3</v>
      </c>
      <c r="G7343" t="s">
        <v>488</v>
      </c>
      <c r="H7343" s="4">
        <v>92148217</v>
      </c>
      <c r="I7343" s="4">
        <v>82064550.8729314</v>
      </c>
      <c r="J7343" s="3">
        <v>0.10942877090143366</v>
      </c>
      <c r="K7343" s="3">
        <v>0.12287481037558011</v>
      </c>
      <c r="L7343" t="s">
        <v>54</v>
      </c>
    </row>
    <row r="7344" spans="1:12" x14ac:dyDescent="0.25">
      <c r="A7344" t="s">
        <v>490</v>
      </c>
      <c r="B7344" t="s">
        <v>491</v>
      </c>
      <c r="C7344" t="s">
        <v>492</v>
      </c>
      <c r="D7344" t="s">
        <v>134</v>
      </c>
      <c r="E7344" t="s">
        <v>140</v>
      </c>
      <c r="F7344">
        <v>3</v>
      </c>
      <c r="G7344" t="s">
        <v>498</v>
      </c>
      <c r="H7344" s="4">
        <v>92148217</v>
      </c>
      <c r="I7344" s="4">
        <v>81183923</v>
      </c>
      <c r="J7344" s="3">
        <v>0.11898541672271315</v>
      </c>
      <c r="K7344" s="3">
        <v>0.13505499112182592</v>
      </c>
      <c r="L7344" t="s">
        <v>54</v>
      </c>
    </row>
    <row r="7345" spans="1:12" x14ac:dyDescent="0.25">
      <c r="A7345" t="s">
        <v>490</v>
      </c>
      <c r="B7345" t="s">
        <v>491</v>
      </c>
      <c r="C7345" t="s">
        <v>492</v>
      </c>
      <c r="D7345" t="s">
        <v>134</v>
      </c>
      <c r="E7345" t="s">
        <v>140</v>
      </c>
      <c r="F7345">
        <v>3</v>
      </c>
      <c r="G7345" t="s">
        <v>499</v>
      </c>
      <c r="H7345" s="4">
        <v>92148217</v>
      </c>
      <c r="I7345" s="4">
        <v>45680076</v>
      </c>
      <c r="J7345" s="3">
        <v>0.5042760729705709</v>
      </c>
      <c r="K7345" s="3">
        <v>1.01725183206788</v>
      </c>
      <c r="L7345" t="s">
        <v>54</v>
      </c>
    </row>
    <row r="7346" spans="1:12" x14ac:dyDescent="0.25">
      <c r="A7346" t="s">
        <v>490</v>
      </c>
      <c r="B7346" t="s">
        <v>491</v>
      </c>
      <c r="C7346" t="s">
        <v>492</v>
      </c>
      <c r="D7346" t="s">
        <v>136</v>
      </c>
      <c r="E7346" t="s">
        <v>138</v>
      </c>
      <c r="F7346">
        <v>1</v>
      </c>
      <c r="G7346" t="s">
        <v>488</v>
      </c>
      <c r="H7346" s="4">
        <v>59244017</v>
      </c>
      <c r="I7346" s="4">
        <v>59131918.516865514</v>
      </c>
      <c r="J7346" s="3">
        <v>0.0018921485883458204</v>
      </c>
      <c r="K7346" s="3">
        <v>0.0018957356017886215</v>
      </c>
      <c r="L7346" t="s">
        <v>54</v>
      </c>
    </row>
    <row r="7347" spans="1:12" x14ac:dyDescent="0.25">
      <c r="A7347" t="s">
        <v>490</v>
      </c>
      <c r="B7347" t="s">
        <v>491</v>
      </c>
      <c r="C7347" t="s">
        <v>492</v>
      </c>
      <c r="D7347" t="s">
        <v>136</v>
      </c>
      <c r="E7347" t="s">
        <v>138</v>
      </c>
      <c r="F7347">
        <v>1</v>
      </c>
      <c r="G7347" t="s">
        <v>498</v>
      </c>
      <c r="H7347" s="4">
        <v>59244017</v>
      </c>
      <c r="I7347" s="4">
        <v>57666348</v>
      </c>
      <c r="J7347" s="3">
        <v>0.026630013964110504</v>
      </c>
      <c r="K7347" s="3">
        <v>0.027358573149109427</v>
      </c>
      <c r="L7347" t="s">
        <v>54</v>
      </c>
    </row>
    <row r="7348" spans="1:12" x14ac:dyDescent="0.25">
      <c r="A7348" t="s">
        <v>490</v>
      </c>
      <c r="B7348" t="s">
        <v>491</v>
      </c>
      <c r="C7348" t="s">
        <v>492</v>
      </c>
      <c r="D7348" t="s">
        <v>136</v>
      </c>
      <c r="E7348" t="s">
        <v>138</v>
      </c>
      <c r="F7348">
        <v>1</v>
      </c>
      <c r="G7348" t="s">
        <v>499</v>
      </c>
      <c r="H7348" s="4">
        <v>59244017</v>
      </c>
      <c r="I7348" s="4">
        <v>49256364</v>
      </c>
      <c r="J7348" s="3">
        <v>0.16858500665138895</v>
      </c>
      <c r="K7348" s="3">
        <v>0.20276878333934678</v>
      </c>
      <c r="L7348" t="s">
        <v>54</v>
      </c>
    </row>
    <row r="7349" spans="1:12" x14ac:dyDescent="0.25">
      <c r="A7349" t="s">
        <v>490</v>
      </c>
      <c r="B7349" t="s">
        <v>491</v>
      </c>
      <c r="C7349" t="s">
        <v>492</v>
      </c>
      <c r="D7349" t="s">
        <v>136</v>
      </c>
      <c r="E7349" t="s">
        <v>140</v>
      </c>
      <c r="F7349">
        <v>2</v>
      </c>
      <c r="G7349" t="s">
        <v>488</v>
      </c>
      <c r="H7349" s="4">
        <v>92148217</v>
      </c>
      <c r="I7349" s="4">
        <v>83247184.6442484</v>
      </c>
      <c r="J7349" s="3">
        <v>0.09659473232945574</v>
      </c>
      <c r="K7349" s="3">
        <v>0.10692292350533661</v>
      </c>
      <c r="L7349" t="s">
        <v>54</v>
      </c>
    </row>
    <row r="7350" spans="1:12" x14ac:dyDescent="0.25">
      <c r="A7350" t="s">
        <v>490</v>
      </c>
      <c r="B7350" t="s">
        <v>491</v>
      </c>
      <c r="C7350" t="s">
        <v>492</v>
      </c>
      <c r="D7350" t="s">
        <v>136</v>
      </c>
      <c r="E7350" t="s">
        <v>140</v>
      </c>
      <c r="F7350">
        <v>2</v>
      </c>
      <c r="G7350" t="s">
        <v>498</v>
      </c>
      <c r="H7350" s="4">
        <v>92148217</v>
      </c>
      <c r="I7350" s="4">
        <v>81183923</v>
      </c>
      <c r="J7350" s="3">
        <v>0.11898541672271315</v>
      </c>
      <c r="K7350" s="3">
        <v>0.13505499112182592</v>
      </c>
      <c r="L7350" t="s">
        <v>54</v>
      </c>
    </row>
    <row r="7351" spans="1:12" x14ac:dyDescent="0.25">
      <c r="A7351" t="s">
        <v>490</v>
      </c>
      <c r="B7351" t="s">
        <v>491</v>
      </c>
      <c r="C7351" t="s">
        <v>492</v>
      </c>
      <c r="D7351" t="s">
        <v>136</v>
      </c>
      <c r="E7351" t="s">
        <v>140</v>
      </c>
      <c r="F7351">
        <v>2</v>
      </c>
      <c r="G7351" t="s">
        <v>499</v>
      </c>
      <c r="H7351" s="4">
        <v>92148217</v>
      </c>
      <c r="I7351" s="4">
        <v>49256364</v>
      </c>
      <c r="J7351" s="3">
        <v>0.46546590261209286</v>
      </c>
      <c r="K7351" s="3">
        <v>0.8707880467993943</v>
      </c>
      <c r="L7351" t="s">
        <v>54</v>
      </c>
    </row>
    <row r="7352" spans="1:12" x14ac:dyDescent="0.25">
      <c r="A7352" t="s">
        <v>490</v>
      </c>
      <c r="B7352" t="s">
        <v>491</v>
      </c>
      <c r="C7352" t="s">
        <v>492</v>
      </c>
      <c r="D7352" t="s">
        <v>136</v>
      </c>
      <c r="E7352" t="s">
        <v>142</v>
      </c>
      <c r="F7352">
        <v>3</v>
      </c>
      <c r="G7352" t="s">
        <v>488</v>
      </c>
      <c r="H7352" s="4">
        <v>85602594</v>
      </c>
      <c r="I7352" s="4">
        <v>86151239.96367535</v>
      </c>
      <c r="J7352" s="3">
        <v>0.006409221240133797</v>
      </c>
      <c r="K7352" s="3">
        <v>-0.006368404725302619</v>
      </c>
      <c r="L7352" t="s">
        <v>54</v>
      </c>
    </row>
    <row r="7353" spans="1:12" x14ac:dyDescent="0.25">
      <c r="A7353" t="s">
        <v>490</v>
      </c>
      <c r="B7353" t="s">
        <v>491</v>
      </c>
      <c r="C7353" t="s">
        <v>492</v>
      </c>
      <c r="D7353" t="s">
        <v>136</v>
      </c>
      <c r="E7353" t="s">
        <v>142</v>
      </c>
      <c r="F7353">
        <v>3</v>
      </c>
      <c r="G7353" t="s">
        <v>498</v>
      </c>
      <c r="H7353" s="4">
        <v>85602594</v>
      </c>
      <c r="I7353" s="4">
        <v>84016002</v>
      </c>
      <c r="J7353" s="3">
        <v>0.01853439160967482</v>
      </c>
      <c r="K7353" s="3">
        <v>0.01888440252131969</v>
      </c>
      <c r="L7353" t="s">
        <v>54</v>
      </c>
    </row>
    <row r="7354" spans="1:12" x14ac:dyDescent="0.25">
      <c r="A7354" t="s">
        <v>490</v>
      </c>
      <c r="B7354" t="s">
        <v>491</v>
      </c>
      <c r="C7354" t="s">
        <v>492</v>
      </c>
      <c r="D7354" t="s">
        <v>136</v>
      </c>
      <c r="E7354" t="s">
        <v>142</v>
      </c>
      <c r="F7354">
        <v>3</v>
      </c>
      <c r="G7354" t="s">
        <v>499</v>
      </c>
      <c r="H7354" s="4">
        <v>85602594</v>
      </c>
      <c r="I7354" s="4">
        <v>49256364</v>
      </c>
      <c r="J7354" s="3">
        <v>0.42459262391043895</v>
      </c>
      <c r="K7354" s="3">
        <v>0.7378991677095776</v>
      </c>
      <c r="L7354" t="s">
        <v>54</v>
      </c>
    </row>
    <row r="7355" spans="1:12" x14ac:dyDescent="0.25">
      <c r="A7355" t="s">
        <v>490</v>
      </c>
      <c r="B7355" t="s">
        <v>491</v>
      </c>
      <c r="C7355" t="s">
        <v>492</v>
      </c>
      <c r="D7355" t="s">
        <v>138</v>
      </c>
      <c r="E7355" t="s">
        <v>140</v>
      </c>
      <c r="F7355">
        <v>1</v>
      </c>
      <c r="G7355" t="s">
        <v>488</v>
      </c>
      <c r="H7355" s="4">
        <v>92148217</v>
      </c>
      <c r="I7355" s="4">
        <v>84624271.87791897</v>
      </c>
      <c r="J7355" s="3">
        <v>0.08165046885368413</v>
      </c>
      <c r="K7355" s="3">
        <v>0.08891001310989419</v>
      </c>
      <c r="L7355" t="s">
        <v>54</v>
      </c>
    </row>
    <row r="7356" spans="1:12" x14ac:dyDescent="0.25">
      <c r="A7356" t="s">
        <v>490</v>
      </c>
      <c r="B7356" t="s">
        <v>491</v>
      </c>
      <c r="C7356" t="s">
        <v>492</v>
      </c>
      <c r="D7356" t="s">
        <v>138</v>
      </c>
      <c r="E7356" t="s">
        <v>140</v>
      </c>
      <c r="F7356">
        <v>1</v>
      </c>
      <c r="G7356" t="s">
        <v>498</v>
      </c>
      <c r="H7356" s="4">
        <v>92148217</v>
      </c>
      <c r="I7356" s="4">
        <v>81183923</v>
      </c>
      <c r="J7356" s="3">
        <v>0.11898541672271315</v>
      </c>
      <c r="K7356" s="3">
        <v>0.13505499112182592</v>
      </c>
      <c r="L7356" t="s">
        <v>54</v>
      </c>
    </row>
    <row r="7357" spans="1:12" x14ac:dyDescent="0.25">
      <c r="A7357" t="s">
        <v>490</v>
      </c>
      <c r="B7357" t="s">
        <v>491</v>
      </c>
      <c r="C7357" t="s">
        <v>492</v>
      </c>
      <c r="D7357" t="s">
        <v>138</v>
      </c>
      <c r="E7357" t="s">
        <v>140</v>
      </c>
      <c r="F7357">
        <v>1</v>
      </c>
      <c r="G7357" t="s">
        <v>499</v>
      </c>
      <c r="H7357" s="4">
        <v>92148217</v>
      </c>
      <c r="I7357" s="4">
        <v>59244017</v>
      </c>
      <c r="J7357" s="3">
        <v>0.35707907403135103</v>
      </c>
      <c r="K7357" s="3">
        <v>0.5554012314863794</v>
      </c>
      <c r="L7357" t="s">
        <v>54</v>
      </c>
    </row>
    <row r="7358" spans="1:12" x14ac:dyDescent="0.25">
      <c r="A7358" t="s">
        <v>490</v>
      </c>
      <c r="B7358" t="s">
        <v>491</v>
      </c>
      <c r="C7358" t="s">
        <v>492</v>
      </c>
      <c r="D7358" t="s">
        <v>138</v>
      </c>
      <c r="E7358" t="s">
        <v>142</v>
      </c>
      <c r="F7358">
        <v>2</v>
      </c>
      <c r="G7358" t="s">
        <v>488</v>
      </c>
      <c r="H7358" s="4">
        <v>85602594</v>
      </c>
      <c r="I7358" s="4">
        <v>87576366.50970642</v>
      </c>
      <c r="J7358" s="3">
        <v>0.023057391341510313</v>
      </c>
      <c r="K7358" s="3">
        <v>-0.022537730079126565</v>
      </c>
      <c r="L7358" t="s">
        <v>54</v>
      </c>
    </row>
    <row r="7359" spans="1:12" x14ac:dyDescent="0.25">
      <c r="A7359" t="s">
        <v>490</v>
      </c>
      <c r="B7359" t="s">
        <v>491</v>
      </c>
      <c r="C7359" t="s">
        <v>492</v>
      </c>
      <c r="D7359" t="s">
        <v>138</v>
      </c>
      <c r="E7359" t="s">
        <v>142</v>
      </c>
      <c r="F7359">
        <v>2</v>
      </c>
      <c r="G7359" t="s">
        <v>498</v>
      </c>
      <c r="H7359" s="4">
        <v>85602594</v>
      </c>
      <c r="I7359" s="4">
        <v>84016002</v>
      </c>
      <c r="J7359" s="3">
        <v>0.01853439160967482</v>
      </c>
      <c r="K7359" s="3">
        <v>0.01888440252131969</v>
      </c>
      <c r="L7359" t="s">
        <v>54</v>
      </c>
    </row>
    <row r="7360" spans="1:12" x14ac:dyDescent="0.25">
      <c r="A7360" t="s">
        <v>490</v>
      </c>
      <c r="B7360" t="s">
        <v>491</v>
      </c>
      <c r="C7360" t="s">
        <v>492</v>
      </c>
      <c r="D7360" t="s">
        <v>138</v>
      </c>
      <c r="E7360" t="s">
        <v>142</v>
      </c>
      <c r="F7360">
        <v>2</v>
      </c>
      <c r="G7360" t="s">
        <v>499</v>
      </c>
      <c r="H7360" s="4">
        <v>85602594</v>
      </c>
      <c r="I7360" s="4">
        <v>59244017</v>
      </c>
      <c r="J7360" s="3">
        <v>0.3079179703362728</v>
      </c>
      <c r="K7360" s="3">
        <v>0.44491542496181513</v>
      </c>
      <c r="L7360" t="s">
        <v>54</v>
      </c>
    </row>
    <row r="7361" spans="1:12" x14ac:dyDescent="0.25">
      <c r="A7361" t="s">
        <v>490</v>
      </c>
      <c r="B7361" t="s">
        <v>491</v>
      </c>
      <c r="C7361" t="s">
        <v>492</v>
      </c>
      <c r="D7361" t="s">
        <v>138</v>
      </c>
      <c r="E7361" t="s">
        <v>144</v>
      </c>
      <c r="F7361">
        <v>3</v>
      </c>
      <c r="G7361" t="s">
        <v>488</v>
      </c>
      <c r="H7361" s="4">
        <v>97208568</v>
      </c>
      <c r="I7361" s="4">
        <v>90808808.49452293</v>
      </c>
      <c r="J7361" s="3">
        <v>0.06583534391204149</v>
      </c>
      <c r="K7361" s="3">
        <v>0.07047509610109098</v>
      </c>
      <c r="L7361" t="s">
        <v>54</v>
      </c>
    </row>
    <row r="7362" spans="1:12" x14ac:dyDescent="0.25">
      <c r="A7362" t="s">
        <v>490</v>
      </c>
      <c r="B7362" t="s">
        <v>491</v>
      </c>
      <c r="C7362" t="s">
        <v>492</v>
      </c>
      <c r="D7362" t="s">
        <v>138</v>
      </c>
      <c r="E7362" t="s">
        <v>144</v>
      </c>
      <c r="F7362">
        <v>3</v>
      </c>
      <c r="G7362" t="s">
        <v>498</v>
      </c>
      <c r="H7362" s="4">
        <v>97208568</v>
      </c>
      <c r="I7362" s="4">
        <v>87117031</v>
      </c>
      <c r="J7362" s="3">
        <v>0.10381324617393808</v>
      </c>
      <c r="K7362" s="3">
        <v>0.1158388535991315</v>
      </c>
      <c r="L7362" t="s">
        <v>54</v>
      </c>
    </row>
    <row r="7363" spans="1:12" x14ac:dyDescent="0.25">
      <c r="A7363" t="s">
        <v>490</v>
      </c>
      <c r="B7363" t="s">
        <v>491</v>
      </c>
      <c r="C7363" t="s">
        <v>492</v>
      </c>
      <c r="D7363" t="s">
        <v>138</v>
      </c>
      <c r="E7363" t="s">
        <v>144</v>
      </c>
      <c r="F7363">
        <v>3</v>
      </c>
      <c r="G7363" t="s">
        <v>499</v>
      </c>
      <c r="H7363" s="4">
        <v>97208568</v>
      </c>
      <c r="I7363" s="4">
        <v>59244017</v>
      </c>
      <c r="J7363" s="3">
        <v>0.39054737438370657</v>
      </c>
      <c r="K7363" s="3">
        <v>0.640816624571558</v>
      </c>
      <c r="L7363" t="s">
        <v>54</v>
      </c>
    </row>
    <row r="7364" spans="1:12" x14ac:dyDescent="0.25">
      <c r="A7364" t="s">
        <v>490</v>
      </c>
      <c r="B7364" t="s">
        <v>491</v>
      </c>
      <c r="C7364" t="s">
        <v>492</v>
      </c>
      <c r="D7364" t="s">
        <v>140</v>
      </c>
      <c r="E7364" t="s">
        <v>142</v>
      </c>
      <c r="F7364">
        <v>1</v>
      </c>
      <c r="G7364" t="s">
        <v>488</v>
      </c>
      <c r="H7364" s="4">
        <v>85602594</v>
      </c>
      <c r="I7364" s="4">
        <v>89551766.26605588</v>
      </c>
      <c r="J7364" s="3">
        <v>0.04613379199765701</v>
      </c>
      <c r="K7364" s="3">
        <v>-0.04409932300299916</v>
      </c>
      <c r="L7364" t="s">
        <v>54</v>
      </c>
    </row>
    <row r="7365" spans="1:12" x14ac:dyDescent="0.25">
      <c r="A7365" t="s">
        <v>490</v>
      </c>
      <c r="B7365" t="s">
        <v>491</v>
      </c>
      <c r="C7365" t="s">
        <v>492</v>
      </c>
      <c r="D7365" t="s">
        <v>140</v>
      </c>
      <c r="E7365" t="s">
        <v>142</v>
      </c>
      <c r="F7365">
        <v>1</v>
      </c>
      <c r="G7365" t="s">
        <v>498</v>
      </c>
      <c r="H7365" s="4">
        <v>85602594</v>
      </c>
      <c r="I7365" s="4">
        <v>84016002</v>
      </c>
      <c r="J7365" s="3">
        <v>0.01853439160967482</v>
      </c>
      <c r="K7365" s="3">
        <v>0.01888440252131969</v>
      </c>
      <c r="L7365" t="s">
        <v>54</v>
      </c>
    </row>
    <row r="7366" spans="1:12" x14ac:dyDescent="0.25">
      <c r="A7366" t="s">
        <v>490</v>
      </c>
      <c r="B7366" t="s">
        <v>491</v>
      </c>
      <c r="C7366" t="s">
        <v>492</v>
      </c>
      <c r="D7366" t="s">
        <v>140</v>
      </c>
      <c r="E7366" t="s">
        <v>142</v>
      </c>
      <c r="F7366">
        <v>1</v>
      </c>
      <c r="G7366" t="s">
        <v>499</v>
      </c>
      <c r="H7366" s="4">
        <v>85602594</v>
      </c>
      <c r="I7366" s="4">
        <v>92148217</v>
      </c>
      <c r="J7366" s="3">
        <v>0.07646524122855436</v>
      </c>
      <c r="K7366" s="3">
        <v>-0.07103363703716589</v>
      </c>
      <c r="L7366" t="s">
        <v>54</v>
      </c>
    </row>
    <row r="7367" spans="1:12" x14ac:dyDescent="0.25">
      <c r="A7367" t="s">
        <v>490</v>
      </c>
      <c r="B7367" t="s">
        <v>491</v>
      </c>
      <c r="C7367" t="s">
        <v>492</v>
      </c>
      <c r="D7367" t="s">
        <v>140</v>
      </c>
      <c r="E7367" t="s">
        <v>144</v>
      </c>
      <c r="F7367">
        <v>2</v>
      </c>
      <c r="G7367" t="s">
        <v>488</v>
      </c>
      <c r="H7367" s="4">
        <v>97208568</v>
      </c>
      <c r="I7367" s="4">
        <v>92857120.21746458</v>
      </c>
      <c r="J7367" s="3">
        <v>0.04476403543497749</v>
      </c>
      <c r="K7367" s="3">
        <v>0.04686175677583632</v>
      </c>
      <c r="L7367" t="s">
        <v>54</v>
      </c>
    </row>
    <row r="7368" spans="1:12" x14ac:dyDescent="0.25">
      <c r="A7368" t="s">
        <v>490</v>
      </c>
      <c r="B7368" t="s">
        <v>491</v>
      </c>
      <c r="C7368" t="s">
        <v>492</v>
      </c>
      <c r="D7368" t="s">
        <v>140</v>
      </c>
      <c r="E7368" t="s">
        <v>144</v>
      </c>
      <c r="F7368">
        <v>2</v>
      </c>
      <c r="G7368" t="s">
        <v>498</v>
      </c>
      <c r="H7368" s="4">
        <v>97208568</v>
      </c>
      <c r="I7368" s="4">
        <v>87117031</v>
      </c>
      <c r="J7368" s="3">
        <v>0.10381324617393808</v>
      </c>
      <c r="K7368" s="3">
        <v>0.1158388535991315</v>
      </c>
      <c r="L7368" t="s">
        <v>54</v>
      </c>
    </row>
    <row r="7369" spans="1:12" x14ac:dyDescent="0.25">
      <c r="A7369" t="s">
        <v>490</v>
      </c>
      <c r="B7369" t="s">
        <v>491</v>
      </c>
      <c r="C7369" t="s">
        <v>492</v>
      </c>
      <c r="D7369" t="s">
        <v>140</v>
      </c>
      <c r="E7369" t="s">
        <v>144</v>
      </c>
      <c r="F7369">
        <v>2</v>
      </c>
      <c r="G7369" t="s">
        <v>499</v>
      </c>
      <c r="H7369" s="4">
        <v>97208568</v>
      </c>
      <c r="I7369" s="4">
        <v>92148217</v>
      </c>
      <c r="J7369" s="3">
        <v>0.05205663558380986</v>
      </c>
      <c r="K7369" s="3">
        <v>0.054915343614299124</v>
      </c>
      <c r="L7369" t="s">
        <v>54</v>
      </c>
    </row>
    <row r="7370" spans="1:12" x14ac:dyDescent="0.25">
      <c r="A7370" t="s">
        <v>490</v>
      </c>
      <c r="B7370" t="s">
        <v>491</v>
      </c>
      <c r="C7370" t="s">
        <v>492</v>
      </c>
      <c r="D7370" t="s">
        <v>140</v>
      </c>
      <c r="E7370" t="s">
        <v>146</v>
      </c>
      <c r="F7370">
        <v>3</v>
      </c>
      <c r="G7370" t="s">
        <v>488</v>
      </c>
      <c r="H7370" s="4">
        <v>87588419</v>
      </c>
      <c r="I7370" s="4">
        <v>85076598.69417764</v>
      </c>
      <c r="J7370" s="3">
        <v>0.028677539045685454</v>
      </c>
      <c r="K7370" s="3">
        <v>0.029524221047570607</v>
      </c>
      <c r="L7370" t="s">
        <v>54</v>
      </c>
    </row>
    <row r="7371" spans="1:12" x14ac:dyDescent="0.25">
      <c r="A7371" t="s">
        <v>490</v>
      </c>
      <c r="B7371" t="s">
        <v>491</v>
      </c>
      <c r="C7371" t="s">
        <v>492</v>
      </c>
      <c r="D7371" t="s">
        <v>140</v>
      </c>
      <c r="E7371" t="s">
        <v>146</v>
      </c>
      <c r="F7371">
        <v>3</v>
      </c>
      <c r="G7371" t="s">
        <v>498</v>
      </c>
      <c r="H7371" s="4">
        <v>87588419</v>
      </c>
      <c r="I7371" s="4">
        <v>79817473</v>
      </c>
      <c r="J7371" s="3">
        <v>0.08872115844447426</v>
      </c>
      <c r="K7371" s="3">
        <v>0.09735895798154372</v>
      </c>
      <c r="L7371" t="s">
        <v>54</v>
      </c>
    </row>
    <row r="7372" spans="1:12" x14ac:dyDescent="0.25">
      <c r="A7372" t="s">
        <v>490</v>
      </c>
      <c r="B7372" t="s">
        <v>491</v>
      </c>
      <c r="C7372" t="s">
        <v>492</v>
      </c>
      <c r="D7372" t="s">
        <v>140</v>
      </c>
      <c r="E7372" t="s">
        <v>146</v>
      </c>
      <c r="F7372">
        <v>3</v>
      </c>
      <c r="G7372" t="s">
        <v>499</v>
      </c>
      <c r="H7372" s="4">
        <v>87588419</v>
      </c>
      <c r="I7372" s="4">
        <v>92148217</v>
      </c>
      <c r="J7372" s="3">
        <v>0.05205937099972086</v>
      </c>
      <c r="K7372" s="3">
        <v>-0.04948330145118272</v>
      </c>
      <c r="L7372" t="s">
        <v>54</v>
      </c>
    </row>
    <row r="7373" spans="1:12" x14ac:dyDescent="0.25">
      <c r="A7373" t="s">
        <v>490</v>
      </c>
      <c r="B7373" t="s">
        <v>491</v>
      </c>
      <c r="C7373" t="s">
        <v>492</v>
      </c>
      <c r="D7373" t="s">
        <v>142</v>
      </c>
      <c r="E7373" t="s">
        <v>144</v>
      </c>
      <c r="F7373">
        <v>1</v>
      </c>
      <c r="G7373" t="s">
        <v>488</v>
      </c>
      <c r="H7373" s="4">
        <v>97208568</v>
      </c>
      <c r="I7373" s="4">
        <v>94166400.12218459</v>
      </c>
      <c r="J7373" s="3">
        <v>0.031295264814675705</v>
      </c>
      <c r="K7373" s="3">
        <v>0.03230629899696791</v>
      </c>
      <c r="L7373" t="s">
        <v>54</v>
      </c>
    </row>
    <row r="7374" spans="1:12" x14ac:dyDescent="0.25">
      <c r="A7374" t="s">
        <v>490</v>
      </c>
      <c r="B7374" t="s">
        <v>491</v>
      </c>
      <c r="C7374" t="s">
        <v>492</v>
      </c>
      <c r="D7374" t="s">
        <v>142</v>
      </c>
      <c r="E7374" t="s">
        <v>144</v>
      </c>
      <c r="F7374">
        <v>1</v>
      </c>
      <c r="G7374" t="s">
        <v>498</v>
      </c>
      <c r="H7374" s="4">
        <v>97208568</v>
      </c>
      <c r="I7374" s="4">
        <v>87117031</v>
      </c>
      <c r="J7374" s="3">
        <v>0.10381324617393808</v>
      </c>
      <c r="K7374" s="3">
        <v>0.1158388535991315</v>
      </c>
      <c r="L7374" t="s">
        <v>54</v>
      </c>
    </row>
    <row r="7375" spans="1:12" x14ac:dyDescent="0.25">
      <c r="A7375" t="s">
        <v>490</v>
      </c>
      <c r="B7375" t="s">
        <v>491</v>
      </c>
      <c r="C7375" t="s">
        <v>492</v>
      </c>
      <c r="D7375" t="s">
        <v>142</v>
      </c>
      <c r="E7375" t="s">
        <v>144</v>
      </c>
      <c r="F7375">
        <v>1</v>
      </c>
      <c r="G7375" t="s">
        <v>499</v>
      </c>
      <c r="H7375" s="4">
        <v>97208568</v>
      </c>
      <c r="I7375" s="4">
        <v>85602594</v>
      </c>
      <c r="J7375" s="3">
        <v>0.11939250046353939</v>
      </c>
      <c r="K7375" s="3">
        <v>0.13557969983946982</v>
      </c>
      <c r="L7375" t="s">
        <v>54</v>
      </c>
    </row>
    <row r="7376" spans="1:12" x14ac:dyDescent="0.25">
      <c r="A7376" t="s">
        <v>490</v>
      </c>
      <c r="B7376" t="s">
        <v>491</v>
      </c>
      <c r="C7376" t="s">
        <v>492</v>
      </c>
      <c r="D7376" t="s">
        <v>142</v>
      </c>
      <c r="E7376" t="s">
        <v>146</v>
      </c>
      <c r="F7376">
        <v>2</v>
      </c>
      <c r="G7376" t="s">
        <v>488</v>
      </c>
      <c r="H7376" s="4">
        <v>87588419</v>
      </c>
      <c r="I7376" s="4">
        <v>86276173.70545681</v>
      </c>
      <c r="J7376" s="3">
        <v>0.014981949777437949</v>
      </c>
      <c r="K7376" s="3">
        <v>0.015209822575386125</v>
      </c>
      <c r="L7376" t="s">
        <v>54</v>
      </c>
    </row>
    <row r="7377" spans="1:12" x14ac:dyDescent="0.25">
      <c r="A7377" t="s">
        <v>490</v>
      </c>
      <c r="B7377" t="s">
        <v>491</v>
      </c>
      <c r="C7377" t="s">
        <v>492</v>
      </c>
      <c r="D7377" t="s">
        <v>142</v>
      </c>
      <c r="E7377" t="s">
        <v>146</v>
      </c>
      <c r="F7377">
        <v>2</v>
      </c>
      <c r="G7377" t="s">
        <v>498</v>
      </c>
      <c r="H7377" s="4">
        <v>87588419</v>
      </c>
      <c r="I7377" s="4">
        <v>79817473</v>
      </c>
      <c r="J7377" s="3">
        <v>0.08872115844447426</v>
      </c>
      <c r="K7377" s="3">
        <v>0.09735895798154372</v>
      </c>
      <c r="L7377" t="s">
        <v>54</v>
      </c>
    </row>
    <row r="7378" spans="1:12" x14ac:dyDescent="0.25">
      <c r="A7378" t="s">
        <v>490</v>
      </c>
      <c r="B7378" t="s">
        <v>491</v>
      </c>
      <c r="C7378" t="s">
        <v>492</v>
      </c>
      <c r="D7378" t="s">
        <v>142</v>
      </c>
      <c r="E7378" t="s">
        <v>146</v>
      </c>
      <c r="F7378">
        <v>2</v>
      </c>
      <c r="G7378" t="s">
        <v>499</v>
      </c>
      <c r="H7378" s="4">
        <v>87588419</v>
      </c>
      <c r="I7378" s="4">
        <v>85602594</v>
      </c>
      <c r="J7378" s="3">
        <v>0.022672232501422362</v>
      </c>
      <c r="K7378" s="3">
        <v>0.02319818719512168</v>
      </c>
      <c r="L7378" t="s">
        <v>54</v>
      </c>
    </row>
    <row r="7379" spans="1:12" x14ac:dyDescent="0.25">
      <c r="A7379" t="s">
        <v>490</v>
      </c>
      <c r="B7379" t="s">
        <v>491</v>
      </c>
      <c r="C7379" t="s">
        <v>492</v>
      </c>
      <c r="D7379" t="s">
        <v>142</v>
      </c>
      <c r="E7379" t="s">
        <v>148</v>
      </c>
      <c r="F7379">
        <v>3</v>
      </c>
      <c r="G7379" t="s">
        <v>488</v>
      </c>
      <c r="H7379" s="4">
        <v>80959261</v>
      </c>
      <c r="I7379" s="4">
        <v>66531654.840741634</v>
      </c>
      <c r="J7379" s="3">
        <v>0.17820822449526022</v>
      </c>
      <c r="K7379" s="3">
        <v>0.21685325870510905</v>
      </c>
      <c r="L7379" t="s">
        <v>54</v>
      </c>
    </row>
    <row r="7380" spans="1:12" x14ac:dyDescent="0.25">
      <c r="A7380" t="s">
        <v>490</v>
      </c>
      <c r="B7380" t="s">
        <v>491</v>
      </c>
      <c r="C7380" t="s">
        <v>492</v>
      </c>
      <c r="D7380" t="s">
        <v>142</v>
      </c>
      <c r="E7380" t="s">
        <v>148</v>
      </c>
      <c r="F7380">
        <v>3</v>
      </c>
      <c r="G7380" t="s">
        <v>498</v>
      </c>
      <c r="H7380" s="4">
        <v>80959261</v>
      </c>
      <c r="I7380" s="4">
        <v>61551044</v>
      </c>
      <c r="J7380" s="3">
        <v>0.23972818872444995</v>
      </c>
      <c r="K7380" s="3">
        <v>0.3153190545395136</v>
      </c>
      <c r="L7380" t="s">
        <v>54</v>
      </c>
    </row>
    <row r="7381" spans="1:12" x14ac:dyDescent="0.25">
      <c r="A7381" t="s">
        <v>490</v>
      </c>
      <c r="B7381" t="s">
        <v>491</v>
      </c>
      <c r="C7381" t="s">
        <v>492</v>
      </c>
      <c r="D7381" t="s">
        <v>142</v>
      </c>
      <c r="E7381" t="s">
        <v>148</v>
      </c>
      <c r="F7381">
        <v>3</v>
      </c>
      <c r="G7381" t="s">
        <v>499</v>
      </c>
      <c r="H7381" s="4">
        <v>80959261</v>
      </c>
      <c r="I7381" s="4">
        <v>85602594</v>
      </c>
      <c r="J7381" s="3">
        <v>0.05735394496745715</v>
      </c>
      <c r="K7381" s="3">
        <v>-0.05424290062985708</v>
      </c>
      <c r="L7381" t="s">
        <v>54</v>
      </c>
    </row>
    <row r="7382" spans="1:12" x14ac:dyDescent="0.25">
      <c r="A7382" t="s">
        <v>490</v>
      </c>
      <c r="B7382" t="s">
        <v>491</v>
      </c>
      <c r="C7382" t="s">
        <v>492</v>
      </c>
      <c r="D7382" t="s">
        <v>144</v>
      </c>
      <c r="E7382" t="s">
        <v>146</v>
      </c>
      <c r="F7382">
        <v>1</v>
      </c>
      <c r="G7382" t="s">
        <v>488</v>
      </c>
      <c r="H7382" s="4">
        <v>87588419</v>
      </c>
      <c r="I7382" s="4">
        <v>86834744.38642438</v>
      </c>
      <c r="J7382" s="3">
        <v>0.008604729051858127</v>
      </c>
      <c r="K7382" s="3">
        <v>0.008679413049478049</v>
      </c>
      <c r="L7382" t="s">
        <v>54</v>
      </c>
    </row>
    <row r="7383" spans="1:12" x14ac:dyDescent="0.25">
      <c r="A7383" t="s">
        <v>490</v>
      </c>
      <c r="B7383" t="s">
        <v>491</v>
      </c>
      <c r="C7383" t="s">
        <v>492</v>
      </c>
      <c r="D7383" t="s">
        <v>144</v>
      </c>
      <c r="E7383" t="s">
        <v>146</v>
      </c>
      <c r="F7383">
        <v>1</v>
      </c>
      <c r="G7383" t="s">
        <v>498</v>
      </c>
      <c r="H7383" s="4">
        <v>87588419</v>
      </c>
      <c r="I7383" s="4">
        <v>79817473</v>
      </c>
      <c r="J7383" s="3">
        <v>0.08872115844447426</v>
      </c>
      <c r="K7383" s="3">
        <v>0.09735895798154372</v>
      </c>
      <c r="L7383" t="s">
        <v>54</v>
      </c>
    </row>
    <row r="7384" spans="1:12" x14ac:dyDescent="0.25">
      <c r="A7384" t="s">
        <v>490</v>
      </c>
      <c r="B7384" t="s">
        <v>491</v>
      </c>
      <c r="C7384" t="s">
        <v>492</v>
      </c>
      <c r="D7384" t="s">
        <v>144</v>
      </c>
      <c r="E7384" t="s">
        <v>146</v>
      </c>
      <c r="F7384">
        <v>1</v>
      </c>
      <c r="G7384" t="s">
        <v>499</v>
      </c>
      <c r="H7384" s="4">
        <v>87588419</v>
      </c>
      <c r="I7384" s="4">
        <v>97208568</v>
      </c>
      <c r="J7384" s="3">
        <v>0.10983357286081394</v>
      </c>
      <c r="K7384" s="3">
        <v>-0.09896400284386454</v>
      </c>
      <c r="L7384" t="s">
        <v>54</v>
      </c>
    </row>
    <row r="7385" spans="1:12" x14ac:dyDescent="0.25">
      <c r="A7385" t="s">
        <v>490</v>
      </c>
      <c r="B7385" t="s">
        <v>491</v>
      </c>
      <c r="C7385" t="s">
        <v>492</v>
      </c>
      <c r="D7385" t="s">
        <v>144</v>
      </c>
      <c r="E7385" t="s">
        <v>148</v>
      </c>
      <c r="F7385">
        <v>2</v>
      </c>
      <c r="G7385" t="s">
        <v>488</v>
      </c>
      <c r="H7385" s="4">
        <v>80959261</v>
      </c>
      <c r="I7385" s="4">
        <v>66962395.21962265</v>
      </c>
      <c r="J7385" s="3">
        <v>0.172887766112111</v>
      </c>
      <c r="K7385" s="3">
        <v>0.20902576340751491</v>
      </c>
      <c r="L7385" t="s">
        <v>54</v>
      </c>
    </row>
    <row r="7386" spans="1:12" x14ac:dyDescent="0.25">
      <c r="A7386" t="s">
        <v>490</v>
      </c>
      <c r="B7386" t="s">
        <v>491</v>
      </c>
      <c r="C7386" t="s">
        <v>492</v>
      </c>
      <c r="D7386" t="s">
        <v>144</v>
      </c>
      <c r="E7386" t="s">
        <v>148</v>
      </c>
      <c r="F7386">
        <v>2</v>
      </c>
      <c r="G7386" t="s">
        <v>498</v>
      </c>
      <c r="H7386" s="4">
        <v>80959261</v>
      </c>
      <c r="I7386" s="4">
        <v>61551044</v>
      </c>
      <c r="J7386" s="3">
        <v>0.23972818872444995</v>
      </c>
      <c r="K7386" s="3">
        <v>0.3153190545395136</v>
      </c>
      <c r="L7386" t="s">
        <v>54</v>
      </c>
    </row>
    <row r="7387" spans="1:12" x14ac:dyDescent="0.25">
      <c r="A7387" t="s">
        <v>490</v>
      </c>
      <c r="B7387" t="s">
        <v>491</v>
      </c>
      <c r="C7387" t="s">
        <v>492</v>
      </c>
      <c r="D7387" t="s">
        <v>144</v>
      </c>
      <c r="E7387" t="s">
        <v>148</v>
      </c>
      <c r="F7387">
        <v>2</v>
      </c>
      <c r="G7387" t="s">
        <v>499</v>
      </c>
      <c r="H7387" s="4">
        <v>80959261</v>
      </c>
      <c r="I7387" s="4">
        <v>97208568</v>
      </c>
      <c r="J7387" s="3">
        <v>0.20070967545022428</v>
      </c>
      <c r="K7387" s="3">
        <v>-0.16715920555480254</v>
      </c>
      <c r="L7387" t="s">
        <v>54</v>
      </c>
    </row>
    <row r="7388" spans="1:12" x14ac:dyDescent="0.25">
      <c r="A7388" t="s">
        <v>490</v>
      </c>
      <c r="B7388" t="s">
        <v>491</v>
      </c>
      <c r="C7388" t="s">
        <v>492</v>
      </c>
      <c r="D7388" t="s">
        <v>144</v>
      </c>
      <c r="E7388" t="s">
        <v>150</v>
      </c>
      <c r="F7388">
        <v>3</v>
      </c>
      <c r="G7388" t="s">
        <v>488</v>
      </c>
      <c r="H7388" s="4">
        <v>91821193</v>
      </c>
      <c r="I7388" s="4">
        <v>73271863.67850657</v>
      </c>
      <c r="J7388" s="3">
        <v>0.20201577343362803</v>
      </c>
      <c r="K7388" s="3">
        <v>0.2531576022534644</v>
      </c>
      <c r="L7388" t="s">
        <v>54</v>
      </c>
    </row>
    <row r="7389" spans="1:12" x14ac:dyDescent="0.25">
      <c r="A7389" t="s">
        <v>490</v>
      </c>
      <c r="B7389" t="s">
        <v>491</v>
      </c>
      <c r="C7389" t="s">
        <v>492</v>
      </c>
      <c r="D7389" t="s">
        <v>144</v>
      </c>
      <c r="E7389" t="s">
        <v>150</v>
      </c>
      <c r="F7389">
        <v>3</v>
      </c>
      <c r="G7389" t="s">
        <v>498</v>
      </c>
      <c r="H7389" s="4">
        <v>91821193</v>
      </c>
      <c r="I7389" s="4">
        <v>67350633</v>
      </c>
      <c r="J7389" s="3">
        <v>0.26650230954851567</v>
      </c>
      <c r="K7389" s="3">
        <v>0.36333080937784207</v>
      </c>
      <c r="L7389" t="s">
        <v>54</v>
      </c>
    </row>
    <row r="7390" spans="1:12" x14ac:dyDescent="0.25">
      <c r="A7390" t="s">
        <v>490</v>
      </c>
      <c r="B7390" t="s">
        <v>491</v>
      </c>
      <c r="C7390" t="s">
        <v>492</v>
      </c>
      <c r="D7390" t="s">
        <v>144</v>
      </c>
      <c r="E7390" t="s">
        <v>150</v>
      </c>
      <c r="F7390">
        <v>3</v>
      </c>
      <c r="G7390" t="s">
        <v>499</v>
      </c>
      <c r="H7390" s="4">
        <v>91821193</v>
      </c>
      <c r="I7390" s="4">
        <v>97208568</v>
      </c>
      <c r="J7390" s="3">
        <v>0.0586724570219862</v>
      </c>
      <c r="K7390" s="3">
        <v>-0.055420783484846727</v>
      </c>
      <c r="L7390" t="s">
        <v>54</v>
      </c>
    </row>
    <row r="7391" spans="1:12" x14ac:dyDescent="0.25">
      <c r="A7391" t="s">
        <v>490</v>
      </c>
      <c r="B7391" t="s">
        <v>491</v>
      </c>
      <c r="C7391" t="s">
        <v>492</v>
      </c>
      <c r="D7391" t="s">
        <v>146</v>
      </c>
      <c r="E7391" t="s">
        <v>148</v>
      </c>
      <c r="F7391">
        <v>1</v>
      </c>
      <c r="G7391" t="s">
        <v>488</v>
      </c>
      <c r="H7391" s="4">
        <v>80959261</v>
      </c>
      <c r="I7391" s="4">
        <v>66490033.23001622</v>
      </c>
      <c r="J7391" s="3">
        <v>0.1787223301109898</v>
      </c>
      <c r="K7391" s="3">
        <v>0.21761498779717567</v>
      </c>
      <c r="L7391" t="s">
        <v>54</v>
      </c>
    </row>
    <row r="7392" spans="1:12" x14ac:dyDescent="0.25">
      <c r="A7392" t="s">
        <v>490</v>
      </c>
      <c r="B7392" t="s">
        <v>491</v>
      </c>
      <c r="C7392" t="s">
        <v>492</v>
      </c>
      <c r="D7392" t="s">
        <v>146</v>
      </c>
      <c r="E7392" t="s">
        <v>148</v>
      </c>
      <c r="F7392">
        <v>1</v>
      </c>
      <c r="G7392" t="s">
        <v>498</v>
      </c>
      <c r="H7392" s="4">
        <v>80959261</v>
      </c>
      <c r="I7392" s="4">
        <v>61551044</v>
      </c>
      <c r="J7392" s="3">
        <v>0.23972818872444995</v>
      </c>
      <c r="K7392" s="3">
        <v>0.3153190545395136</v>
      </c>
      <c r="L7392" t="s">
        <v>54</v>
      </c>
    </row>
    <row r="7393" spans="1:12" x14ac:dyDescent="0.25">
      <c r="A7393" t="s">
        <v>490</v>
      </c>
      <c r="B7393" t="s">
        <v>491</v>
      </c>
      <c r="C7393" t="s">
        <v>492</v>
      </c>
      <c r="D7393" t="s">
        <v>146</v>
      </c>
      <c r="E7393" t="s">
        <v>148</v>
      </c>
      <c r="F7393">
        <v>1</v>
      </c>
      <c r="G7393" t="s">
        <v>499</v>
      </c>
      <c r="H7393" s="4">
        <v>80959261</v>
      </c>
      <c r="I7393" s="4">
        <v>87588419</v>
      </c>
      <c r="J7393" s="3">
        <v>0.08188263971431262</v>
      </c>
      <c r="K7393" s="3">
        <v>-0.07568532547664777</v>
      </c>
      <c r="L7393" t="s">
        <v>54</v>
      </c>
    </row>
    <row r="7394" spans="1:12" x14ac:dyDescent="0.25">
      <c r="A7394" t="s">
        <v>490</v>
      </c>
      <c r="B7394" t="s">
        <v>491</v>
      </c>
      <c r="C7394" t="s">
        <v>492</v>
      </c>
      <c r="D7394" t="s">
        <v>146</v>
      </c>
      <c r="E7394" t="s">
        <v>150</v>
      </c>
      <c r="F7394">
        <v>2</v>
      </c>
      <c r="G7394" t="s">
        <v>488</v>
      </c>
      <c r="H7394" s="4">
        <v>91821193</v>
      </c>
      <c r="I7394" s="4">
        <v>72754993.82646745</v>
      </c>
      <c r="J7394" s="3">
        <v>0.20764486444357727</v>
      </c>
      <c r="K7394" s="3">
        <v>0.26206035037276676</v>
      </c>
      <c r="L7394" t="s">
        <v>54</v>
      </c>
    </row>
    <row r="7395" spans="1:12" x14ac:dyDescent="0.25">
      <c r="A7395" t="s">
        <v>490</v>
      </c>
      <c r="B7395" t="s">
        <v>491</v>
      </c>
      <c r="C7395" t="s">
        <v>492</v>
      </c>
      <c r="D7395" t="s">
        <v>146</v>
      </c>
      <c r="E7395" t="s">
        <v>150</v>
      </c>
      <c r="F7395">
        <v>2</v>
      </c>
      <c r="G7395" t="s">
        <v>498</v>
      </c>
      <c r="H7395" s="4">
        <v>91821193</v>
      </c>
      <c r="I7395" s="4">
        <v>67350633</v>
      </c>
      <c r="J7395" s="3">
        <v>0.26650230954851567</v>
      </c>
      <c r="K7395" s="3">
        <v>0.36333080937784207</v>
      </c>
      <c r="L7395" t="s">
        <v>54</v>
      </c>
    </row>
    <row r="7396" spans="1:12" x14ac:dyDescent="0.25">
      <c r="A7396" t="s">
        <v>490</v>
      </c>
      <c r="B7396" t="s">
        <v>491</v>
      </c>
      <c r="C7396" t="s">
        <v>492</v>
      </c>
      <c r="D7396" t="s">
        <v>146</v>
      </c>
      <c r="E7396" t="s">
        <v>150</v>
      </c>
      <c r="F7396">
        <v>2</v>
      </c>
      <c r="G7396" t="s">
        <v>499</v>
      </c>
      <c r="H7396" s="4">
        <v>91821193</v>
      </c>
      <c r="I7396" s="4">
        <v>87588419</v>
      </c>
      <c r="J7396" s="3">
        <v>0.04609800702545871</v>
      </c>
      <c r="K7396" s="3">
        <v>0.048325726715080904</v>
      </c>
      <c r="L7396" t="s">
        <v>54</v>
      </c>
    </row>
    <row r="7397" spans="1:12" x14ac:dyDescent="0.25">
      <c r="A7397" t="s">
        <v>490</v>
      </c>
      <c r="B7397" t="s">
        <v>491</v>
      </c>
      <c r="C7397" t="s">
        <v>492</v>
      </c>
      <c r="D7397" t="s">
        <v>146</v>
      </c>
      <c r="E7397" t="s">
        <v>152</v>
      </c>
      <c r="F7397">
        <v>3</v>
      </c>
      <c r="G7397" t="s">
        <v>488</v>
      </c>
      <c r="H7397" s="4">
        <v>98543865</v>
      </c>
      <c r="I7397" s="4">
        <v>90402093.46646142</v>
      </c>
      <c r="J7397" s="3">
        <v>0.08262078551047881</v>
      </c>
      <c r="K7397" s="3">
        <v>0.09006175876401716</v>
      </c>
      <c r="L7397" t="s">
        <v>54</v>
      </c>
    </row>
    <row r="7398" spans="1:12" x14ac:dyDescent="0.25">
      <c r="A7398" t="s">
        <v>490</v>
      </c>
      <c r="B7398" t="s">
        <v>491</v>
      </c>
      <c r="C7398" t="s">
        <v>492</v>
      </c>
      <c r="D7398" t="s">
        <v>146</v>
      </c>
      <c r="E7398" t="s">
        <v>152</v>
      </c>
      <c r="F7398">
        <v>3</v>
      </c>
      <c r="G7398" t="s">
        <v>498</v>
      </c>
      <c r="H7398" s="4">
        <v>98543865</v>
      </c>
      <c r="I7398" s="4">
        <v>83686877</v>
      </c>
      <c r="J7398" s="3">
        <v>0.15076522521214283</v>
      </c>
      <c r="K7398" s="3">
        <v>0.17753067783853374</v>
      </c>
      <c r="L7398" t="s">
        <v>54</v>
      </c>
    </row>
    <row r="7399" spans="1:12" x14ac:dyDescent="0.25">
      <c r="A7399" t="s">
        <v>490</v>
      </c>
      <c r="B7399" t="s">
        <v>491</v>
      </c>
      <c r="C7399" t="s">
        <v>492</v>
      </c>
      <c r="D7399" t="s">
        <v>146</v>
      </c>
      <c r="E7399" t="s">
        <v>152</v>
      </c>
      <c r="F7399">
        <v>3</v>
      </c>
      <c r="G7399" t="s">
        <v>499</v>
      </c>
      <c r="H7399" s="4">
        <v>98543865</v>
      </c>
      <c r="I7399" s="4">
        <v>87588419</v>
      </c>
      <c r="J7399" s="3">
        <v>0.11117329323342452</v>
      </c>
      <c r="K7399" s="3">
        <v>0.12507870475433516</v>
      </c>
      <c r="L7399" t="s">
        <v>54</v>
      </c>
    </row>
    <row r="7400" spans="1:12" x14ac:dyDescent="0.25">
      <c r="A7400" t="s">
        <v>490</v>
      </c>
      <c r="B7400" t="s">
        <v>491</v>
      </c>
      <c r="C7400" t="s">
        <v>492</v>
      </c>
      <c r="D7400" t="s">
        <v>148</v>
      </c>
      <c r="E7400" t="s">
        <v>150</v>
      </c>
      <c r="F7400">
        <v>1</v>
      </c>
      <c r="G7400" t="s">
        <v>488</v>
      </c>
      <c r="H7400" s="4">
        <v>91821193</v>
      </c>
      <c r="I7400" s="4">
        <v>73903500.86781402</v>
      </c>
      <c r="J7400" s="3">
        <v>0.19513678211723934</v>
      </c>
      <c r="K7400" s="3">
        <v>0.24244713608674767</v>
      </c>
      <c r="L7400" t="s">
        <v>54</v>
      </c>
    </row>
    <row r="7401" spans="1:12" x14ac:dyDescent="0.25">
      <c r="A7401" t="s">
        <v>490</v>
      </c>
      <c r="B7401" t="s">
        <v>491</v>
      </c>
      <c r="C7401" t="s">
        <v>492</v>
      </c>
      <c r="D7401" t="s">
        <v>148</v>
      </c>
      <c r="E7401" t="s">
        <v>150</v>
      </c>
      <c r="F7401">
        <v>1</v>
      </c>
      <c r="G7401" t="s">
        <v>498</v>
      </c>
      <c r="H7401" s="4">
        <v>91821193</v>
      </c>
      <c r="I7401" s="4">
        <v>67350633</v>
      </c>
      <c r="J7401" s="3">
        <v>0.26650230954851567</v>
      </c>
      <c r="K7401" s="3">
        <v>0.36333080937784207</v>
      </c>
      <c r="L7401" t="s">
        <v>54</v>
      </c>
    </row>
    <row r="7402" spans="1:12" x14ac:dyDescent="0.25">
      <c r="A7402" t="s">
        <v>490</v>
      </c>
      <c r="B7402" t="s">
        <v>491</v>
      </c>
      <c r="C7402" t="s">
        <v>492</v>
      </c>
      <c r="D7402" t="s">
        <v>148</v>
      </c>
      <c r="E7402" t="s">
        <v>150</v>
      </c>
      <c r="F7402">
        <v>1</v>
      </c>
      <c r="G7402" t="s">
        <v>499</v>
      </c>
      <c r="H7402" s="4">
        <v>91821193</v>
      </c>
      <c r="I7402" s="4">
        <v>80959261</v>
      </c>
      <c r="J7402" s="3">
        <v>0.11829438983655985</v>
      </c>
      <c r="K7402" s="3">
        <v>0.13416540449893682</v>
      </c>
      <c r="L7402" t="s">
        <v>54</v>
      </c>
    </row>
    <row r="7403" spans="1:12" x14ac:dyDescent="0.25">
      <c r="A7403" t="s">
        <v>490</v>
      </c>
      <c r="B7403" t="s">
        <v>491</v>
      </c>
      <c r="C7403" t="s">
        <v>492</v>
      </c>
      <c r="D7403" t="s">
        <v>148</v>
      </c>
      <c r="E7403" t="s">
        <v>152</v>
      </c>
      <c r="F7403">
        <v>2</v>
      </c>
      <c r="G7403" t="s">
        <v>488</v>
      </c>
      <c r="H7403" s="4">
        <v>98543865</v>
      </c>
      <c r="I7403" s="4">
        <v>91829176.82442784</v>
      </c>
      <c r="J7403" s="3">
        <v>0.0681390787297835</v>
      </c>
      <c r="K7403" s="3">
        <v>0.07312151113376807</v>
      </c>
      <c r="L7403" t="s">
        <v>54</v>
      </c>
    </row>
    <row r="7404" spans="1:12" x14ac:dyDescent="0.25">
      <c r="A7404" t="s">
        <v>490</v>
      </c>
      <c r="B7404" t="s">
        <v>491</v>
      </c>
      <c r="C7404" t="s">
        <v>492</v>
      </c>
      <c r="D7404" t="s">
        <v>148</v>
      </c>
      <c r="E7404" t="s">
        <v>152</v>
      </c>
      <c r="F7404">
        <v>2</v>
      </c>
      <c r="G7404" t="s">
        <v>498</v>
      </c>
      <c r="H7404" s="4">
        <v>98543865</v>
      </c>
      <c r="I7404" s="4">
        <v>83686877</v>
      </c>
      <c r="J7404" s="3">
        <v>0.15076522521214283</v>
      </c>
      <c r="K7404" s="3">
        <v>0.17753067783853374</v>
      </c>
      <c r="L7404" t="s">
        <v>54</v>
      </c>
    </row>
    <row r="7405" spans="1:12" x14ac:dyDescent="0.25">
      <c r="A7405" t="s">
        <v>490</v>
      </c>
      <c r="B7405" t="s">
        <v>491</v>
      </c>
      <c r="C7405" t="s">
        <v>492</v>
      </c>
      <c r="D7405" t="s">
        <v>148</v>
      </c>
      <c r="E7405" t="s">
        <v>152</v>
      </c>
      <c r="F7405">
        <v>2</v>
      </c>
      <c r="G7405" t="s">
        <v>499</v>
      </c>
      <c r="H7405" s="4">
        <v>98543865</v>
      </c>
      <c r="I7405" s="4">
        <v>80959261</v>
      </c>
      <c r="J7405" s="3">
        <v>0.17844443182738975</v>
      </c>
      <c r="K7405" s="3">
        <v>0.21720311898597988</v>
      </c>
      <c r="L7405" t="s">
        <v>54</v>
      </c>
    </row>
    <row r="7406" spans="1:12" x14ac:dyDescent="0.25">
      <c r="A7406" t="s">
        <v>490</v>
      </c>
      <c r="B7406" t="s">
        <v>491</v>
      </c>
      <c r="C7406" t="s">
        <v>492</v>
      </c>
      <c r="D7406" t="s">
        <v>148</v>
      </c>
      <c r="E7406" t="s">
        <v>154</v>
      </c>
      <c r="F7406">
        <v>3</v>
      </c>
      <c r="G7406" t="s">
        <v>488</v>
      </c>
      <c r="H7406" s="4">
        <v>79349004</v>
      </c>
      <c r="I7406" s="4">
        <v>74778504.60769738</v>
      </c>
      <c r="J7406" s="3">
        <v>0.057599959191707274</v>
      </c>
      <c r="K7406" s="3">
        <v>0.061120497344529</v>
      </c>
      <c r="L7406" t="s">
        <v>54</v>
      </c>
    </row>
    <row r="7407" spans="1:12" x14ac:dyDescent="0.25">
      <c r="A7407" t="s">
        <v>490</v>
      </c>
      <c r="B7407" t="s">
        <v>491</v>
      </c>
      <c r="C7407" t="s">
        <v>492</v>
      </c>
      <c r="D7407" t="s">
        <v>148</v>
      </c>
      <c r="E7407" t="s">
        <v>154</v>
      </c>
      <c r="F7407">
        <v>3</v>
      </c>
      <c r="G7407" t="s">
        <v>498</v>
      </c>
      <c r="H7407" s="4">
        <v>79349004</v>
      </c>
      <c r="I7407" s="4">
        <v>68148052</v>
      </c>
      <c r="J7407" s="3">
        <v>0.14116058722047728</v>
      </c>
      <c r="K7407" s="3">
        <v>0.16436202754555626</v>
      </c>
      <c r="L7407" t="s">
        <v>54</v>
      </c>
    </row>
    <row r="7408" spans="1:12" x14ac:dyDescent="0.25">
      <c r="A7408" t="s">
        <v>490</v>
      </c>
      <c r="B7408" t="s">
        <v>491</v>
      </c>
      <c r="C7408" t="s">
        <v>492</v>
      </c>
      <c r="D7408" t="s">
        <v>148</v>
      </c>
      <c r="E7408" t="s">
        <v>154</v>
      </c>
      <c r="F7408">
        <v>3</v>
      </c>
      <c r="G7408" t="s">
        <v>499</v>
      </c>
      <c r="H7408" s="4">
        <v>79349004</v>
      </c>
      <c r="I7408" s="4">
        <v>80959261</v>
      </c>
      <c r="J7408" s="3">
        <v>0.020293348609643543</v>
      </c>
      <c r="K7408" s="3">
        <v>-0.019889719596131197</v>
      </c>
      <c r="L7408" t="s">
        <v>54</v>
      </c>
    </row>
    <row r="7409" spans="1:12" x14ac:dyDescent="0.25">
      <c r="A7409" t="s">
        <v>490</v>
      </c>
      <c r="B7409" t="s">
        <v>491</v>
      </c>
      <c r="C7409" t="s">
        <v>492</v>
      </c>
      <c r="D7409" t="s">
        <v>150</v>
      </c>
      <c r="E7409" t="s">
        <v>152</v>
      </c>
      <c r="F7409">
        <v>1</v>
      </c>
      <c r="G7409" t="s">
        <v>488</v>
      </c>
      <c r="H7409" s="4">
        <v>98543865</v>
      </c>
      <c r="I7409" s="4">
        <v>94260780.3583236</v>
      </c>
      <c r="J7409" s="3">
        <v>0.04346373710505871</v>
      </c>
      <c r="K7409" s="3">
        <v>0.045438671581061046</v>
      </c>
      <c r="L7409" t="s">
        <v>54</v>
      </c>
    </row>
    <row r="7410" spans="1:12" x14ac:dyDescent="0.25">
      <c r="A7410" t="s">
        <v>490</v>
      </c>
      <c r="B7410" t="s">
        <v>491</v>
      </c>
      <c r="C7410" t="s">
        <v>492</v>
      </c>
      <c r="D7410" t="s">
        <v>150</v>
      </c>
      <c r="E7410" t="s">
        <v>152</v>
      </c>
      <c r="F7410">
        <v>1</v>
      </c>
      <c r="G7410" t="s">
        <v>498</v>
      </c>
      <c r="H7410" s="4">
        <v>98543865</v>
      </c>
      <c r="I7410" s="4">
        <v>83686877</v>
      </c>
      <c r="J7410" s="3">
        <v>0.15076522521214283</v>
      </c>
      <c r="K7410" s="3">
        <v>0.17753067783853374</v>
      </c>
      <c r="L7410" t="s">
        <v>54</v>
      </c>
    </row>
    <row r="7411" spans="1:12" x14ac:dyDescent="0.25">
      <c r="A7411" t="s">
        <v>490</v>
      </c>
      <c r="B7411" t="s">
        <v>491</v>
      </c>
      <c r="C7411" t="s">
        <v>492</v>
      </c>
      <c r="D7411" t="s">
        <v>150</v>
      </c>
      <c r="E7411" t="s">
        <v>152</v>
      </c>
      <c r="F7411">
        <v>1</v>
      </c>
      <c r="G7411" t="s">
        <v>499</v>
      </c>
      <c r="H7411" s="4">
        <v>98543865</v>
      </c>
      <c r="I7411" s="4">
        <v>91821193</v>
      </c>
      <c r="J7411" s="3">
        <v>0.06822009670515765</v>
      </c>
      <c r="K7411" s="3">
        <v>0.07321481871837583</v>
      </c>
      <c r="L7411" t="s">
        <v>54</v>
      </c>
    </row>
    <row r="7412" spans="1:12" x14ac:dyDescent="0.25">
      <c r="A7412" t="s">
        <v>490</v>
      </c>
      <c r="B7412" t="s">
        <v>491</v>
      </c>
      <c r="C7412" t="s">
        <v>492</v>
      </c>
      <c r="D7412" t="s">
        <v>150</v>
      </c>
      <c r="E7412" t="s">
        <v>154</v>
      </c>
      <c r="F7412">
        <v>2</v>
      </c>
      <c r="G7412" t="s">
        <v>488</v>
      </c>
      <c r="H7412" s="4">
        <v>79349004</v>
      </c>
      <c r="I7412" s="4">
        <v>76758612.48137645</v>
      </c>
      <c r="J7412" s="3">
        <v>0.03264554547683479</v>
      </c>
      <c r="K7412" s="3">
        <v>0.03374724262052078</v>
      </c>
      <c r="L7412" t="s">
        <v>54</v>
      </c>
    </row>
    <row r="7413" spans="1:12" x14ac:dyDescent="0.25">
      <c r="A7413" t="s">
        <v>490</v>
      </c>
      <c r="B7413" t="s">
        <v>491</v>
      </c>
      <c r="C7413" t="s">
        <v>492</v>
      </c>
      <c r="D7413" t="s">
        <v>150</v>
      </c>
      <c r="E7413" t="s">
        <v>154</v>
      </c>
      <c r="F7413">
        <v>2</v>
      </c>
      <c r="G7413" t="s">
        <v>498</v>
      </c>
      <c r="H7413" s="4">
        <v>79349004</v>
      </c>
      <c r="I7413" s="4">
        <v>68148052</v>
      </c>
      <c r="J7413" s="3">
        <v>0.14116058722047728</v>
      </c>
      <c r="K7413" s="3">
        <v>0.16436202754555626</v>
      </c>
      <c r="L7413" t="s">
        <v>54</v>
      </c>
    </row>
    <row r="7414" spans="1:12" x14ac:dyDescent="0.25">
      <c r="A7414" t="s">
        <v>490</v>
      </c>
      <c r="B7414" t="s">
        <v>491</v>
      </c>
      <c r="C7414" t="s">
        <v>492</v>
      </c>
      <c r="D7414" t="s">
        <v>150</v>
      </c>
      <c r="E7414" t="s">
        <v>154</v>
      </c>
      <c r="F7414">
        <v>2</v>
      </c>
      <c r="G7414" t="s">
        <v>499</v>
      </c>
      <c r="H7414" s="4">
        <v>79349004</v>
      </c>
      <c r="I7414" s="4">
        <v>91821193</v>
      </c>
      <c r="J7414" s="3">
        <v>0.1571814184334311</v>
      </c>
      <c r="K7414" s="3">
        <v>-0.13583126718904642</v>
      </c>
      <c r="L7414" t="s">
        <v>54</v>
      </c>
    </row>
    <row r="7415" spans="1:12" x14ac:dyDescent="0.25">
      <c r="A7415" t="s">
        <v>490</v>
      </c>
      <c r="B7415" t="s">
        <v>491</v>
      </c>
      <c r="C7415" t="s">
        <v>492</v>
      </c>
      <c r="D7415" t="s">
        <v>150</v>
      </c>
      <c r="E7415" t="s">
        <v>156</v>
      </c>
      <c r="F7415">
        <v>3</v>
      </c>
      <c r="G7415" t="s">
        <v>488</v>
      </c>
      <c r="H7415" s="4">
        <v>69315740</v>
      </c>
      <c r="I7415" s="4">
        <v>60741029.0157908</v>
      </c>
      <c r="J7415" s="3">
        <v>0.12370510628912282</v>
      </c>
      <c r="K7415" s="3">
        <v>0.1411683523171799</v>
      </c>
      <c r="L7415" t="s">
        <v>54</v>
      </c>
    </row>
    <row r="7416" spans="1:12" x14ac:dyDescent="0.25">
      <c r="A7416" t="s">
        <v>490</v>
      </c>
      <c r="B7416" t="s">
        <v>491</v>
      </c>
      <c r="C7416" t="s">
        <v>492</v>
      </c>
      <c r="D7416" t="s">
        <v>150</v>
      </c>
      <c r="E7416" t="s">
        <v>156</v>
      </c>
      <c r="F7416">
        <v>3</v>
      </c>
      <c r="G7416" t="s">
        <v>498</v>
      </c>
      <c r="H7416" s="4">
        <v>69315740</v>
      </c>
      <c r="I7416" s="4">
        <v>53927275</v>
      </c>
      <c r="J7416" s="3">
        <v>0.22200534828020302</v>
      </c>
      <c r="K7416" s="3">
        <v>0.2853558797473078</v>
      </c>
      <c r="L7416" t="s">
        <v>54</v>
      </c>
    </row>
    <row r="7417" spans="1:12" x14ac:dyDescent="0.25">
      <c r="A7417" t="s">
        <v>490</v>
      </c>
      <c r="B7417" t="s">
        <v>491</v>
      </c>
      <c r="C7417" t="s">
        <v>492</v>
      </c>
      <c r="D7417" t="s">
        <v>150</v>
      </c>
      <c r="E7417" t="s">
        <v>156</v>
      </c>
      <c r="F7417">
        <v>3</v>
      </c>
      <c r="G7417" t="s">
        <v>499</v>
      </c>
      <c r="H7417" s="4">
        <v>69315740</v>
      </c>
      <c r="I7417" s="4">
        <v>91821193</v>
      </c>
      <c r="J7417" s="3">
        <v>0.32468026742555156</v>
      </c>
      <c r="K7417" s="3">
        <v>-0.24510085596470088</v>
      </c>
      <c r="L7417" t="s">
        <v>54</v>
      </c>
    </row>
    <row r="7418" spans="1:12" x14ac:dyDescent="0.25">
      <c r="A7418" t="s">
        <v>490</v>
      </c>
      <c r="B7418" t="s">
        <v>491</v>
      </c>
      <c r="C7418" t="s">
        <v>492</v>
      </c>
      <c r="D7418" t="s">
        <v>152</v>
      </c>
      <c r="E7418" t="s">
        <v>154</v>
      </c>
      <c r="F7418">
        <v>1</v>
      </c>
      <c r="G7418" t="s">
        <v>488</v>
      </c>
      <c r="H7418" s="4">
        <v>79349004</v>
      </c>
      <c r="I7418" s="4">
        <v>77279134.10609946</v>
      </c>
      <c r="J7418" s="3">
        <v>0.026085644299965547</v>
      </c>
      <c r="K7418" s="3">
        <v>0.026784330826724073</v>
      </c>
      <c r="L7418" t="s">
        <v>54</v>
      </c>
    </row>
    <row r="7419" spans="1:12" x14ac:dyDescent="0.25">
      <c r="A7419" t="s">
        <v>490</v>
      </c>
      <c r="B7419" t="s">
        <v>491</v>
      </c>
      <c r="C7419" t="s">
        <v>492</v>
      </c>
      <c r="D7419" t="s">
        <v>152</v>
      </c>
      <c r="E7419" t="s">
        <v>154</v>
      </c>
      <c r="F7419">
        <v>1</v>
      </c>
      <c r="G7419" t="s">
        <v>498</v>
      </c>
      <c r="H7419" s="4">
        <v>79349004</v>
      </c>
      <c r="I7419" s="4">
        <v>68148052</v>
      </c>
      <c r="J7419" s="3">
        <v>0.14116058722047728</v>
      </c>
      <c r="K7419" s="3">
        <v>0.16436202754555626</v>
      </c>
      <c r="L7419" t="s">
        <v>54</v>
      </c>
    </row>
    <row r="7420" spans="1:12" x14ac:dyDescent="0.25">
      <c r="A7420" t="s">
        <v>490</v>
      </c>
      <c r="B7420" t="s">
        <v>491</v>
      </c>
      <c r="C7420" t="s">
        <v>492</v>
      </c>
      <c r="D7420" t="s">
        <v>152</v>
      </c>
      <c r="E7420" t="s">
        <v>154</v>
      </c>
      <c r="F7420">
        <v>1</v>
      </c>
      <c r="G7420" t="s">
        <v>499</v>
      </c>
      <c r="H7420" s="4">
        <v>79349004</v>
      </c>
      <c r="I7420" s="4">
        <v>98543865</v>
      </c>
      <c r="J7420" s="3">
        <v>0.2419042462083078</v>
      </c>
      <c r="K7420" s="3">
        <v>-0.19478494171098323</v>
      </c>
      <c r="L7420" t="s">
        <v>54</v>
      </c>
    </row>
    <row r="7421" spans="1:12" x14ac:dyDescent="0.25">
      <c r="A7421" t="s">
        <v>490</v>
      </c>
      <c r="B7421" t="s">
        <v>491</v>
      </c>
      <c r="C7421" t="s">
        <v>492</v>
      </c>
      <c r="D7421" t="s">
        <v>152</v>
      </c>
      <c r="E7421" t="s">
        <v>156</v>
      </c>
      <c r="F7421">
        <v>2</v>
      </c>
      <c r="G7421" t="s">
        <v>488</v>
      </c>
      <c r="H7421" s="4">
        <v>69315740</v>
      </c>
      <c r="I7421" s="4">
        <v>61152930.92605941</v>
      </c>
      <c r="J7421" s="3">
        <v>0.11776270546834802</v>
      </c>
      <c r="K7421" s="3">
        <v>0.1334818944951358</v>
      </c>
      <c r="L7421" t="s">
        <v>54</v>
      </c>
    </row>
    <row r="7422" spans="1:12" x14ac:dyDescent="0.25">
      <c r="A7422" t="s">
        <v>490</v>
      </c>
      <c r="B7422" t="s">
        <v>491</v>
      </c>
      <c r="C7422" t="s">
        <v>492</v>
      </c>
      <c r="D7422" t="s">
        <v>152</v>
      </c>
      <c r="E7422" t="s">
        <v>156</v>
      </c>
      <c r="F7422">
        <v>2</v>
      </c>
      <c r="G7422" t="s">
        <v>498</v>
      </c>
      <c r="H7422" s="4">
        <v>69315740</v>
      </c>
      <c r="I7422" s="4">
        <v>53927275</v>
      </c>
      <c r="J7422" s="3">
        <v>0.22200534828020302</v>
      </c>
      <c r="K7422" s="3">
        <v>0.2853558797473078</v>
      </c>
      <c r="L7422" t="s">
        <v>54</v>
      </c>
    </row>
    <row r="7423" spans="1:12" x14ac:dyDescent="0.25">
      <c r="A7423" t="s">
        <v>490</v>
      </c>
      <c r="B7423" t="s">
        <v>491</v>
      </c>
      <c r="C7423" t="s">
        <v>492</v>
      </c>
      <c r="D7423" t="s">
        <v>152</v>
      </c>
      <c r="E7423" t="s">
        <v>156</v>
      </c>
      <c r="F7423">
        <v>2</v>
      </c>
      <c r="G7423" t="s">
        <v>499</v>
      </c>
      <c r="H7423" s="4">
        <v>69315740</v>
      </c>
      <c r="I7423" s="4">
        <v>98543865</v>
      </c>
      <c r="J7423" s="3">
        <v>0.42166649306492293</v>
      </c>
      <c r="K7423" s="3">
        <v>-0.2966001485734297</v>
      </c>
      <c r="L7423" t="s">
        <v>54</v>
      </c>
    </row>
    <row r="7424" spans="1:12" x14ac:dyDescent="0.25">
      <c r="A7424" t="s">
        <v>490</v>
      </c>
      <c r="B7424" t="s">
        <v>491</v>
      </c>
      <c r="C7424" t="s">
        <v>492</v>
      </c>
      <c r="D7424" t="s">
        <v>152</v>
      </c>
      <c r="E7424" t="s">
        <v>158</v>
      </c>
      <c r="F7424">
        <v>3</v>
      </c>
      <c r="G7424" t="s">
        <v>488</v>
      </c>
      <c r="H7424" s="4">
        <v>58724232</v>
      </c>
      <c r="I7424" s="4">
        <v>51800698.85461752</v>
      </c>
      <c r="J7424" s="3">
        <v>0.11789908372718232</v>
      </c>
      <c r="K7424" s="3">
        <v>0.13365713780838911</v>
      </c>
      <c r="L7424" t="s">
        <v>54</v>
      </c>
    </row>
    <row r="7425" spans="1:12" x14ac:dyDescent="0.25">
      <c r="A7425" t="s">
        <v>490</v>
      </c>
      <c r="B7425" t="s">
        <v>491</v>
      </c>
      <c r="C7425" t="s">
        <v>492</v>
      </c>
      <c r="D7425" t="s">
        <v>152</v>
      </c>
      <c r="E7425" t="s">
        <v>158</v>
      </c>
      <c r="F7425">
        <v>3</v>
      </c>
      <c r="G7425" t="s">
        <v>498</v>
      </c>
      <c r="H7425" s="4">
        <v>58724232</v>
      </c>
      <c r="I7425" s="4">
        <v>45680076</v>
      </c>
      <c r="J7425" s="3">
        <v>0.22212561247288853</v>
      </c>
      <c r="K7425" s="3">
        <v>0.28555460371826</v>
      </c>
      <c r="L7425" t="s">
        <v>54</v>
      </c>
    </row>
    <row r="7426" spans="1:12" x14ac:dyDescent="0.25">
      <c r="A7426" t="s">
        <v>490</v>
      </c>
      <c r="B7426" t="s">
        <v>491</v>
      </c>
      <c r="C7426" t="s">
        <v>492</v>
      </c>
      <c r="D7426" t="s">
        <v>152</v>
      </c>
      <c r="E7426" t="s">
        <v>158</v>
      </c>
      <c r="F7426">
        <v>3</v>
      </c>
      <c r="G7426" t="s">
        <v>499</v>
      </c>
      <c r="H7426" s="4">
        <v>58724232</v>
      </c>
      <c r="I7426" s="4">
        <v>98543865</v>
      </c>
      <c r="J7426" s="3">
        <v>0.6780783953036628</v>
      </c>
      <c r="K7426" s="3">
        <v>-0.4040802844499757</v>
      </c>
      <c r="L7426" t="s">
        <v>54</v>
      </c>
    </row>
    <row r="7427" spans="1:12" x14ac:dyDescent="0.25">
      <c r="A7427" t="s">
        <v>490</v>
      </c>
      <c r="B7427" t="s">
        <v>491</v>
      </c>
      <c r="C7427" t="s">
        <v>492</v>
      </c>
      <c r="D7427" t="s">
        <v>154</v>
      </c>
      <c r="E7427" t="s">
        <v>156</v>
      </c>
      <c r="F7427">
        <v>1</v>
      </c>
      <c r="G7427" t="s">
        <v>488</v>
      </c>
      <c r="H7427" s="4">
        <v>69315740</v>
      </c>
      <c r="I7427" s="4">
        <v>61894700.02171635</v>
      </c>
      <c r="J7427" s="3">
        <v>0.10706139728557541</v>
      </c>
      <c r="K7427" s="3">
        <v>0.11989782607686778</v>
      </c>
      <c r="L7427" t="s">
        <v>54</v>
      </c>
    </row>
    <row r="7428" spans="1:12" x14ac:dyDescent="0.25">
      <c r="A7428" t="s">
        <v>490</v>
      </c>
      <c r="B7428" t="s">
        <v>491</v>
      </c>
      <c r="C7428" t="s">
        <v>492</v>
      </c>
      <c r="D7428" t="s">
        <v>154</v>
      </c>
      <c r="E7428" t="s">
        <v>156</v>
      </c>
      <c r="F7428">
        <v>1</v>
      </c>
      <c r="G7428" t="s">
        <v>498</v>
      </c>
      <c r="H7428" s="4">
        <v>69315740</v>
      </c>
      <c r="I7428" s="4">
        <v>53927275</v>
      </c>
      <c r="J7428" s="3">
        <v>0.22200534828020302</v>
      </c>
      <c r="K7428" s="3">
        <v>0.2853558797473078</v>
      </c>
      <c r="L7428" t="s">
        <v>54</v>
      </c>
    </row>
    <row r="7429" spans="1:12" x14ac:dyDescent="0.25">
      <c r="A7429" t="s">
        <v>490</v>
      </c>
      <c r="B7429" t="s">
        <v>491</v>
      </c>
      <c r="C7429" t="s">
        <v>492</v>
      </c>
      <c r="D7429" t="s">
        <v>154</v>
      </c>
      <c r="E7429" t="s">
        <v>156</v>
      </c>
      <c r="F7429">
        <v>1</v>
      </c>
      <c r="G7429" t="s">
        <v>499</v>
      </c>
      <c r="H7429" s="4">
        <v>69315740</v>
      </c>
      <c r="I7429" s="4">
        <v>79349004</v>
      </c>
      <c r="J7429" s="3">
        <v>0.14474726808081398</v>
      </c>
      <c r="K7429" s="3">
        <v>-0.12644473773104953</v>
      </c>
      <c r="L7429" t="s">
        <v>54</v>
      </c>
    </row>
    <row r="7430" spans="1:12" x14ac:dyDescent="0.25">
      <c r="A7430" t="s">
        <v>490</v>
      </c>
      <c r="B7430" t="s">
        <v>491</v>
      </c>
      <c r="C7430" t="s">
        <v>492</v>
      </c>
      <c r="D7430" t="s">
        <v>154</v>
      </c>
      <c r="E7430" t="s">
        <v>158</v>
      </c>
      <c r="F7430">
        <v>2</v>
      </c>
      <c r="G7430" t="s">
        <v>488</v>
      </c>
      <c r="H7430" s="4">
        <v>58724232</v>
      </c>
      <c r="I7430" s="4">
        <v>52429027.81550161</v>
      </c>
      <c r="J7430" s="3">
        <v>0.10719942977710449</v>
      </c>
      <c r="K7430" s="3">
        <v>0.12007096920910479</v>
      </c>
      <c r="L7430" t="s">
        <v>54</v>
      </c>
    </row>
    <row r="7431" spans="1:12" x14ac:dyDescent="0.25">
      <c r="A7431" t="s">
        <v>490</v>
      </c>
      <c r="B7431" t="s">
        <v>491</v>
      </c>
      <c r="C7431" t="s">
        <v>492</v>
      </c>
      <c r="D7431" t="s">
        <v>154</v>
      </c>
      <c r="E7431" t="s">
        <v>158</v>
      </c>
      <c r="F7431">
        <v>2</v>
      </c>
      <c r="G7431" t="s">
        <v>498</v>
      </c>
      <c r="H7431" s="4">
        <v>58724232</v>
      </c>
      <c r="I7431" s="4">
        <v>45680076</v>
      </c>
      <c r="J7431" s="3">
        <v>0.22212561247288853</v>
      </c>
      <c r="K7431" s="3">
        <v>0.28555460371826</v>
      </c>
      <c r="L7431" t="s">
        <v>54</v>
      </c>
    </row>
    <row r="7432" spans="1:12" x14ac:dyDescent="0.25">
      <c r="A7432" t="s">
        <v>490</v>
      </c>
      <c r="B7432" t="s">
        <v>491</v>
      </c>
      <c r="C7432" t="s">
        <v>492</v>
      </c>
      <c r="D7432" t="s">
        <v>154</v>
      </c>
      <c r="E7432" t="s">
        <v>158</v>
      </c>
      <c r="F7432">
        <v>2</v>
      </c>
      <c r="G7432" t="s">
        <v>499</v>
      </c>
      <c r="H7432" s="4">
        <v>58724232</v>
      </c>
      <c r="I7432" s="4">
        <v>79349004</v>
      </c>
      <c r="J7432" s="3">
        <v>0.3512139928879785</v>
      </c>
      <c r="K7432" s="3">
        <v>-0.2599247748591778</v>
      </c>
      <c r="L7432" t="s">
        <v>54</v>
      </c>
    </row>
    <row r="7433" spans="1:12" x14ac:dyDescent="0.25">
      <c r="A7433" t="s">
        <v>490</v>
      </c>
      <c r="B7433" t="s">
        <v>491</v>
      </c>
      <c r="C7433" t="s">
        <v>492</v>
      </c>
      <c r="D7433" t="s">
        <v>154</v>
      </c>
      <c r="E7433" t="s">
        <v>160</v>
      </c>
      <c r="F7433">
        <v>3</v>
      </c>
      <c r="G7433" t="s">
        <v>488</v>
      </c>
      <c r="H7433" s="4">
        <v>59269755</v>
      </c>
      <c r="I7433" s="4">
        <v>56533690.49225032</v>
      </c>
      <c r="J7433" s="3">
        <v>0.0461629123951951</v>
      </c>
      <c r="K7433" s="3">
        <v>0.04839706171534544</v>
      </c>
      <c r="L7433" t="s">
        <v>54</v>
      </c>
    </row>
    <row r="7434" spans="1:12" x14ac:dyDescent="0.25">
      <c r="A7434" t="s">
        <v>490</v>
      </c>
      <c r="B7434" t="s">
        <v>491</v>
      </c>
      <c r="C7434" t="s">
        <v>492</v>
      </c>
      <c r="D7434" t="s">
        <v>154</v>
      </c>
      <c r="E7434" t="s">
        <v>160</v>
      </c>
      <c r="F7434">
        <v>3</v>
      </c>
      <c r="G7434" t="s">
        <v>498</v>
      </c>
      <c r="H7434" s="4">
        <v>59269755</v>
      </c>
      <c r="I7434" s="4">
        <v>49256364</v>
      </c>
      <c r="J7434" s="3">
        <v>0.1689460501397382</v>
      </c>
      <c r="K7434" s="3">
        <v>0.20329131480350437</v>
      </c>
      <c r="L7434" t="s">
        <v>54</v>
      </c>
    </row>
    <row r="7435" spans="1:12" x14ac:dyDescent="0.25">
      <c r="A7435" t="s">
        <v>490</v>
      </c>
      <c r="B7435" t="s">
        <v>491</v>
      </c>
      <c r="C7435" t="s">
        <v>492</v>
      </c>
      <c r="D7435" t="s">
        <v>154</v>
      </c>
      <c r="E7435" t="s">
        <v>160</v>
      </c>
      <c r="F7435">
        <v>3</v>
      </c>
      <c r="G7435" t="s">
        <v>499</v>
      </c>
      <c r="H7435" s="4">
        <v>59269755</v>
      </c>
      <c r="I7435" s="4">
        <v>79349004</v>
      </c>
      <c r="J7435" s="3">
        <v>0.3387773241175031</v>
      </c>
      <c r="K7435" s="3">
        <v>-0.2530497925342579</v>
      </c>
      <c r="L7435" t="s">
        <v>54</v>
      </c>
    </row>
    <row r="7436" spans="1:12" x14ac:dyDescent="0.25">
      <c r="A7436" t="s">
        <v>490</v>
      </c>
      <c r="B7436" t="s">
        <v>491</v>
      </c>
      <c r="C7436" t="s">
        <v>492</v>
      </c>
      <c r="D7436" t="s">
        <v>156</v>
      </c>
      <c r="E7436" t="s">
        <v>158</v>
      </c>
      <c r="F7436">
        <v>1</v>
      </c>
      <c r="G7436" t="s">
        <v>488</v>
      </c>
      <c r="H7436" s="4">
        <v>58724232</v>
      </c>
      <c r="I7436" s="4">
        <v>52823021.06819455</v>
      </c>
      <c r="J7436" s="3">
        <v>0.10049021895774553</v>
      </c>
      <c r="K7436" s="3">
        <v>0.11171664953026787</v>
      </c>
      <c r="L7436" t="s">
        <v>54</v>
      </c>
    </row>
    <row r="7437" spans="1:12" x14ac:dyDescent="0.25">
      <c r="A7437" t="s">
        <v>490</v>
      </c>
      <c r="B7437" t="s">
        <v>491</v>
      </c>
      <c r="C7437" t="s">
        <v>492</v>
      </c>
      <c r="D7437" t="s">
        <v>156</v>
      </c>
      <c r="E7437" t="s">
        <v>158</v>
      </c>
      <c r="F7437">
        <v>1</v>
      </c>
      <c r="G7437" t="s">
        <v>498</v>
      </c>
      <c r="H7437" s="4">
        <v>58724232</v>
      </c>
      <c r="I7437" s="4">
        <v>45680076</v>
      </c>
      <c r="J7437" s="3">
        <v>0.22212561247288853</v>
      </c>
      <c r="K7437" s="3">
        <v>0.28555460371826</v>
      </c>
      <c r="L7437" t="s">
        <v>54</v>
      </c>
    </row>
    <row r="7438" spans="1:12" x14ac:dyDescent="0.25">
      <c r="A7438" t="s">
        <v>490</v>
      </c>
      <c r="B7438" t="s">
        <v>491</v>
      </c>
      <c r="C7438" t="s">
        <v>492</v>
      </c>
      <c r="D7438" t="s">
        <v>156</v>
      </c>
      <c r="E7438" t="s">
        <v>158</v>
      </c>
      <c r="F7438">
        <v>1</v>
      </c>
      <c r="G7438" t="s">
        <v>499</v>
      </c>
      <c r="H7438" s="4">
        <v>58724232</v>
      </c>
      <c r="I7438" s="4">
        <v>69315740</v>
      </c>
      <c r="J7438" s="3">
        <v>0.18036009393873384</v>
      </c>
      <c r="K7438" s="3">
        <v>-0.15280090784575048</v>
      </c>
      <c r="L7438" t="s">
        <v>54</v>
      </c>
    </row>
    <row r="7439" spans="1:12" x14ac:dyDescent="0.25">
      <c r="A7439" t="s">
        <v>490</v>
      </c>
      <c r="B7439" t="s">
        <v>491</v>
      </c>
      <c r="C7439" t="s">
        <v>492</v>
      </c>
      <c r="D7439" t="s">
        <v>156</v>
      </c>
      <c r="E7439" t="s">
        <v>160</v>
      </c>
      <c r="F7439">
        <v>2</v>
      </c>
      <c r="G7439" t="s">
        <v>488</v>
      </c>
      <c r="H7439" s="4">
        <v>59269755</v>
      </c>
      <c r="I7439" s="4">
        <v>56958529.43227721</v>
      </c>
      <c r="J7439" s="3">
        <v>0.03899502482712793</v>
      </c>
      <c r="K7439" s="3">
        <v>0.040577339175703275</v>
      </c>
      <c r="L7439" t="s">
        <v>54</v>
      </c>
    </row>
    <row r="7440" spans="1:12" x14ac:dyDescent="0.25">
      <c r="A7440" t="s">
        <v>490</v>
      </c>
      <c r="B7440" t="s">
        <v>491</v>
      </c>
      <c r="C7440" t="s">
        <v>492</v>
      </c>
      <c r="D7440" t="s">
        <v>156</v>
      </c>
      <c r="E7440" t="s">
        <v>160</v>
      </c>
      <c r="F7440">
        <v>2</v>
      </c>
      <c r="G7440" t="s">
        <v>498</v>
      </c>
      <c r="H7440" s="4">
        <v>59269755</v>
      </c>
      <c r="I7440" s="4">
        <v>49256364</v>
      </c>
      <c r="J7440" s="3">
        <v>0.1689460501397382</v>
      </c>
      <c r="K7440" s="3">
        <v>0.20329131480350437</v>
      </c>
      <c r="L7440" t="s">
        <v>54</v>
      </c>
    </row>
    <row r="7441" spans="1:12" x14ac:dyDescent="0.25">
      <c r="A7441" t="s">
        <v>490</v>
      </c>
      <c r="B7441" t="s">
        <v>491</v>
      </c>
      <c r="C7441" t="s">
        <v>492</v>
      </c>
      <c r="D7441" t="s">
        <v>156</v>
      </c>
      <c r="E7441" t="s">
        <v>160</v>
      </c>
      <c r="F7441">
        <v>2</v>
      </c>
      <c r="G7441" t="s">
        <v>499</v>
      </c>
      <c r="H7441" s="4">
        <v>59269755</v>
      </c>
      <c r="I7441" s="4">
        <v>69315740</v>
      </c>
      <c r="J7441" s="3">
        <v>0.16949597648918913</v>
      </c>
      <c r="K7441" s="3">
        <v>-0.14493079061119452</v>
      </c>
      <c r="L7441" t="s">
        <v>54</v>
      </c>
    </row>
    <row r="7442" spans="1:12" x14ac:dyDescent="0.25">
      <c r="A7442" t="s">
        <v>490</v>
      </c>
      <c r="B7442" t="s">
        <v>491</v>
      </c>
      <c r="C7442" t="s">
        <v>492</v>
      </c>
      <c r="D7442" t="s">
        <v>156</v>
      </c>
      <c r="E7442" t="s">
        <v>162</v>
      </c>
      <c r="F7442">
        <v>3</v>
      </c>
      <c r="G7442" t="s">
        <v>488</v>
      </c>
      <c r="H7442" s="4">
        <v>77745502</v>
      </c>
      <c r="I7442" s="4">
        <v>68507941.14605843</v>
      </c>
      <c r="J7442" s="3">
        <v>0.1188179459429251</v>
      </c>
      <c r="K7442" s="3">
        <v>0.1348392711765657</v>
      </c>
      <c r="L7442" t="s">
        <v>54</v>
      </c>
    </row>
    <row r="7443" spans="1:12" x14ac:dyDescent="0.25">
      <c r="A7443" t="s">
        <v>490</v>
      </c>
      <c r="B7443" t="s">
        <v>491</v>
      </c>
      <c r="C7443" t="s">
        <v>492</v>
      </c>
      <c r="D7443" t="s">
        <v>156</v>
      </c>
      <c r="E7443" t="s">
        <v>162</v>
      </c>
      <c r="F7443">
        <v>3</v>
      </c>
      <c r="G7443" t="s">
        <v>498</v>
      </c>
      <c r="H7443" s="4">
        <v>77745502</v>
      </c>
      <c r="I7443" s="4">
        <v>59244017</v>
      </c>
      <c r="J7443" s="3">
        <v>0.23797498921545326</v>
      </c>
      <c r="K7443" s="3">
        <v>0.31229288520391857</v>
      </c>
      <c r="L7443" t="s">
        <v>54</v>
      </c>
    </row>
    <row r="7444" spans="1:12" x14ac:dyDescent="0.25">
      <c r="A7444" t="s">
        <v>490</v>
      </c>
      <c r="B7444" t="s">
        <v>491</v>
      </c>
      <c r="C7444" t="s">
        <v>492</v>
      </c>
      <c r="D7444" t="s">
        <v>156</v>
      </c>
      <c r="E7444" t="s">
        <v>162</v>
      </c>
      <c r="F7444">
        <v>3</v>
      </c>
      <c r="G7444" t="s">
        <v>499</v>
      </c>
      <c r="H7444" s="4">
        <v>77745502</v>
      </c>
      <c r="I7444" s="4">
        <v>69315740</v>
      </c>
      <c r="J7444" s="3">
        <v>0.10842764897189808</v>
      </c>
      <c r="K7444" s="3">
        <v>0.12161396531292892</v>
      </c>
      <c r="L7444" t="s">
        <v>54</v>
      </c>
    </row>
    <row r="7445" spans="1:12" x14ac:dyDescent="0.25">
      <c r="A7445" t="s">
        <v>490</v>
      </c>
      <c r="B7445" t="s">
        <v>491</v>
      </c>
      <c r="C7445" t="s">
        <v>492</v>
      </c>
      <c r="D7445" t="s">
        <v>158</v>
      </c>
      <c r="E7445" t="s">
        <v>160</v>
      </c>
      <c r="F7445">
        <v>1</v>
      </c>
      <c r="G7445" t="s">
        <v>488</v>
      </c>
      <c r="H7445" s="4">
        <v>59269755</v>
      </c>
      <c r="I7445" s="4">
        <v>57772640.38755353</v>
      </c>
      <c r="J7445" s="3">
        <v>0.025259335262082187</v>
      </c>
      <c r="K7445" s="3">
        <v>0.02591390323176243</v>
      </c>
      <c r="L7445" t="s">
        <v>54</v>
      </c>
    </row>
    <row r="7446" spans="1:12" x14ac:dyDescent="0.25">
      <c r="A7446" t="s">
        <v>490</v>
      </c>
      <c r="B7446" t="s">
        <v>491</v>
      </c>
      <c r="C7446" t="s">
        <v>492</v>
      </c>
      <c r="D7446" t="s">
        <v>158</v>
      </c>
      <c r="E7446" t="s">
        <v>160</v>
      </c>
      <c r="F7446">
        <v>1</v>
      </c>
      <c r="G7446" t="s">
        <v>498</v>
      </c>
      <c r="H7446" s="4">
        <v>59269755</v>
      </c>
      <c r="I7446" s="4">
        <v>49256364</v>
      </c>
      <c r="J7446" s="3">
        <v>0.1689460501397382</v>
      </c>
      <c r="K7446" s="3">
        <v>0.20329131480350437</v>
      </c>
      <c r="L7446" t="s">
        <v>54</v>
      </c>
    </row>
    <row r="7447" spans="1:12" x14ac:dyDescent="0.25">
      <c r="A7447" t="s">
        <v>490</v>
      </c>
      <c r="B7447" t="s">
        <v>491</v>
      </c>
      <c r="C7447" t="s">
        <v>492</v>
      </c>
      <c r="D7447" t="s">
        <v>158</v>
      </c>
      <c r="E7447" t="s">
        <v>160</v>
      </c>
      <c r="F7447">
        <v>1</v>
      </c>
      <c r="G7447" t="s">
        <v>499</v>
      </c>
      <c r="H7447" s="4">
        <v>59269755</v>
      </c>
      <c r="I7447" s="4">
        <v>58724232</v>
      </c>
      <c r="J7447" s="3">
        <v>0.009204070440311421</v>
      </c>
      <c r="K7447" s="3">
        <v>0.009289572318289321</v>
      </c>
      <c r="L7447" t="s">
        <v>54</v>
      </c>
    </row>
    <row r="7448" spans="1:12" x14ac:dyDescent="0.25">
      <c r="A7448" t="s">
        <v>490</v>
      </c>
      <c r="B7448" t="s">
        <v>491</v>
      </c>
      <c r="C7448" t="s">
        <v>492</v>
      </c>
      <c r="D7448" t="s">
        <v>158</v>
      </c>
      <c r="E7448" t="s">
        <v>162</v>
      </c>
      <c r="F7448">
        <v>2</v>
      </c>
      <c r="G7448" t="s">
        <v>488</v>
      </c>
      <c r="H7448" s="4">
        <v>77745502</v>
      </c>
      <c r="I7448" s="4">
        <v>69487128.38923937</v>
      </c>
      <c r="J7448" s="3">
        <v>0.10622316916495862</v>
      </c>
      <c r="K7448" s="3">
        <v>0.11884753050234702</v>
      </c>
      <c r="L7448" t="s">
        <v>54</v>
      </c>
    </row>
    <row r="7449" spans="1:12" x14ac:dyDescent="0.25">
      <c r="A7449" t="s">
        <v>490</v>
      </c>
      <c r="B7449" t="s">
        <v>491</v>
      </c>
      <c r="C7449" t="s">
        <v>492</v>
      </c>
      <c r="D7449" t="s">
        <v>158</v>
      </c>
      <c r="E7449" t="s">
        <v>162</v>
      </c>
      <c r="F7449">
        <v>2</v>
      </c>
      <c r="G7449" t="s">
        <v>498</v>
      </c>
      <c r="H7449" s="4">
        <v>77745502</v>
      </c>
      <c r="I7449" s="4">
        <v>59244017</v>
      </c>
      <c r="J7449" s="3">
        <v>0.23797498921545326</v>
      </c>
      <c r="K7449" s="3">
        <v>0.31229288520391857</v>
      </c>
      <c r="L7449" t="s">
        <v>54</v>
      </c>
    </row>
    <row r="7450" spans="1:12" x14ac:dyDescent="0.25">
      <c r="A7450" t="s">
        <v>490</v>
      </c>
      <c r="B7450" t="s">
        <v>491</v>
      </c>
      <c r="C7450" t="s">
        <v>492</v>
      </c>
      <c r="D7450" t="s">
        <v>158</v>
      </c>
      <c r="E7450" t="s">
        <v>162</v>
      </c>
      <c r="F7450">
        <v>2</v>
      </c>
      <c r="G7450" t="s">
        <v>499</v>
      </c>
      <c r="H7450" s="4">
        <v>77745502</v>
      </c>
      <c r="I7450" s="4">
        <v>58724232</v>
      </c>
      <c r="J7450" s="3">
        <v>0.24466071361916217</v>
      </c>
      <c r="K7450" s="3">
        <v>0.32390836545976454</v>
      </c>
      <c r="L7450" t="s">
        <v>54</v>
      </c>
    </row>
    <row r="7451" spans="1:12" x14ac:dyDescent="0.25">
      <c r="A7451" t="s">
        <v>490</v>
      </c>
      <c r="B7451" t="s">
        <v>491</v>
      </c>
      <c r="C7451" t="s">
        <v>492</v>
      </c>
      <c r="D7451" t="s">
        <v>158</v>
      </c>
      <c r="E7451" t="s">
        <v>164</v>
      </c>
      <c r="F7451">
        <v>3</v>
      </c>
      <c r="G7451" t="s">
        <v>488</v>
      </c>
      <c r="H7451" s="4">
        <v>102295197</v>
      </c>
      <c r="I7451" s="4">
        <v>108080365.06907508</v>
      </c>
      <c r="J7451" s="3">
        <v>0.0565536627205975</v>
      </c>
      <c r="K7451" s="3">
        <v>-0.05352654078636511</v>
      </c>
      <c r="L7451" t="s">
        <v>54</v>
      </c>
    </row>
    <row r="7452" spans="1:12" x14ac:dyDescent="0.25">
      <c r="A7452" t="s">
        <v>490</v>
      </c>
      <c r="B7452" t="s">
        <v>491</v>
      </c>
      <c r="C7452" t="s">
        <v>492</v>
      </c>
      <c r="D7452" t="s">
        <v>158</v>
      </c>
      <c r="E7452" t="s">
        <v>164</v>
      </c>
      <c r="F7452">
        <v>3</v>
      </c>
      <c r="G7452" t="s">
        <v>498</v>
      </c>
      <c r="H7452" s="4">
        <v>102295197</v>
      </c>
      <c r="I7452" s="4">
        <v>92148217</v>
      </c>
      <c r="J7452" s="3">
        <v>0.09919312242978524</v>
      </c>
      <c r="K7452" s="3">
        <v>0.11011585823738727</v>
      </c>
      <c r="L7452" t="s">
        <v>54</v>
      </c>
    </row>
    <row r="7453" spans="1:12" x14ac:dyDescent="0.25">
      <c r="A7453" t="s">
        <v>490</v>
      </c>
      <c r="B7453" t="s">
        <v>491</v>
      </c>
      <c r="C7453" t="s">
        <v>492</v>
      </c>
      <c r="D7453" t="s">
        <v>158</v>
      </c>
      <c r="E7453" t="s">
        <v>164</v>
      </c>
      <c r="F7453">
        <v>3</v>
      </c>
      <c r="G7453" t="s">
        <v>499</v>
      </c>
      <c r="H7453" s="4">
        <v>102295197</v>
      </c>
      <c r="I7453" s="4">
        <v>58724232</v>
      </c>
      <c r="J7453" s="3">
        <v>0.42593363401020673</v>
      </c>
      <c r="K7453" s="3">
        <v>0.7419588731275362</v>
      </c>
      <c r="L7453" t="s">
        <v>54</v>
      </c>
    </row>
    <row r="7454" spans="1:12" x14ac:dyDescent="0.25">
      <c r="A7454" t="s">
        <v>490</v>
      </c>
      <c r="B7454" t="s">
        <v>491</v>
      </c>
      <c r="C7454" t="s">
        <v>492</v>
      </c>
      <c r="D7454" t="s">
        <v>160</v>
      </c>
      <c r="E7454" t="s">
        <v>162</v>
      </c>
      <c r="F7454">
        <v>1</v>
      </c>
      <c r="G7454" t="s">
        <v>488</v>
      </c>
      <c r="H7454" s="4">
        <v>77745502</v>
      </c>
      <c r="I7454" s="4">
        <v>70052298.70194635</v>
      </c>
      <c r="J7454" s="3">
        <v>0.09895367706357665</v>
      </c>
      <c r="K7454" s="3">
        <v>0.10982085442743512</v>
      </c>
      <c r="L7454" t="s">
        <v>54</v>
      </c>
    </row>
    <row r="7455" spans="1:12" x14ac:dyDescent="0.25">
      <c r="A7455" t="s">
        <v>490</v>
      </c>
      <c r="B7455" t="s">
        <v>491</v>
      </c>
      <c r="C7455" t="s">
        <v>492</v>
      </c>
      <c r="D7455" t="s">
        <v>160</v>
      </c>
      <c r="E7455" t="s">
        <v>162</v>
      </c>
      <c r="F7455">
        <v>1</v>
      </c>
      <c r="G7455" t="s">
        <v>498</v>
      </c>
      <c r="H7455" s="4">
        <v>77745502</v>
      </c>
      <c r="I7455" s="4">
        <v>59244017</v>
      </c>
      <c r="J7455" s="3">
        <v>0.23797498921545326</v>
      </c>
      <c r="K7455" s="3">
        <v>0.31229288520391857</v>
      </c>
      <c r="L7455" t="s">
        <v>54</v>
      </c>
    </row>
    <row r="7456" spans="1:12" x14ac:dyDescent="0.25">
      <c r="A7456" t="s">
        <v>490</v>
      </c>
      <c r="B7456" t="s">
        <v>491</v>
      </c>
      <c r="C7456" t="s">
        <v>492</v>
      </c>
      <c r="D7456" t="s">
        <v>160</v>
      </c>
      <c r="E7456" t="s">
        <v>162</v>
      </c>
      <c r="F7456">
        <v>1</v>
      </c>
      <c r="G7456" t="s">
        <v>499</v>
      </c>
      <c r="H7456" s="4">
        <v>77745502</v>
      </c>
      <c r="I7456" s="4">
        <v>59269755</v>
      </c>
      <c r="J7456" s="3">
        <v>0.23764393469348233</v>
      </c>
      <c r="K7456" s="3">
        <v>0.31172301960755533</v>
      </c>
      <c r="L7456" t="s">
        <v>54</v>
      </c>
    </row>
    <row r="7457" spans="1:12" x14ac:dyDescent="0.25">
      <c r="A7457" t="s">
        <v>490</v>
      </c>
      <c r="B7457" t="s">
        <v>491</v>
      </c>
      <c r="C7457" t="s">
        <v>492</v>
      </c>
      <c r="D7457" t="s">
        <v>160</v>
      </c>
      <c r="E7457" t="s">
        <v>164</v>
      </c>
      <c r="F7457">
        <v>2</v>
      </c>
      <c r="G7457" t="s">
        <v>488</v>
      </c>
      <c r="H7457" s="4">
        <v>102295197</v>
      </c>
      <c r="I7457" s="4">
        <v>108959431.66945904</v>
      </c>
      <c r="J7457" s="3">
        <v>0.06514709258010466</v>
      </c>
      <c r="K7457" s="3">
        <v>-0.06116253147938369</v>
      </c>
      <c r="L7457" t="s">
        <v>54</v>
      </c>
    </row>
    <row r="7458" spans="1:12" x14ac:dyDescent="0.25">
      <c r="A7458" t="s">
        <v>490</v>
      </c>
      <c r="B7458" t="s">
        <v>491</v>
      </c>
      <c r="C7458" t="s">
        <v>492</v>
      </c>
      <c r="D7458" t="s">
        <v>160</v>
      </c>
      <c r="E7458" t="s">
        <v>164</v>
      </c>
      <c r="F7458">
        <v>2</v>
      </c>
      <c r="G7458" t="s">
        <v>498</v>
      </c>
      <c r="H7458" s="4">
        <v>102295197</v>
      </c>
      <c r="I7458" s="4">
        <v>92148217</v>
      </c>
      <c r="J7458" s="3">
        <v>0.09919312242978524</v>
      </c>
      <c r="K7458" s="3">
        <v>0.11011585823738727</v>
      </c>
      <c r="L7458" t="s">
        <v>54</v>
      </c>
    </row>
    <row r="7459" spans="1:12" x14ac:dyDescent="0.25">
      <c r="A7459" t="s">
        <v>490</v>
      </c>
      <c r="B7459" t="s">
        <v>491</v>
      </c>
      <c r="C7459" t="s">
        <v>492</v>
      </c>
      <c r="D7459" t="s">
        <v>160</v>
      </c>
      <c r="E7459" t="s">
        <v>164</v>
      </c>
      <c r="F7459">
        <v>2</v>
      </c>
      <c r="G7459" t="s">
        <v>499</v>
      </c>
      <c r="H7459" s="4">
        <v>102295197</v>
      </c>
      <c r="I7459" s="4">
        <v>59269755</v>
      </c>
      <c r="J7459" s="3">
        <v>0.420600802987847</v>
      </c>
      <c r="K7459" s="3">
        <v>0.7259257609551448</v>
      </c>
      <c r="L7459" t="s">
        <v>54</v>
      </c>
    </row>
    <row r="7460" spans="1:12" x14ac:dyDescent="0.25">
      <c r="A7460" t="s">
        <v>490</v>
      </c>
      <c r="B7460" t="s">
        <v>491</v>
      </c>
      <c r="C7460" t="s">
        <v>492</v>
      </c>
      <c r="D7460" t="s">
        <v>160</v>
      </c>
      <c r="E7460" t="s">
        <v>166</v>
      </c>
      <c r="F7460">
        <v>3</v>
      </c>
      <c r="G7460" t="s">
        <v>488</v>
      </c>
      <c r="H7460" s="4">
        <v>99925614</v>
      </c>
      <c r="I7460" s="4">
        <v>101219646.94847481</v>
      </c>
      <c r="J7460" s="3">
        <v>0.012949962443811549</v>
      </c>
      <c r="K7460" s="3">
        <v>-0.012784404880739491</v>
      </c>
      <c r="L7460" t="s">
        <v>54</v>
      </c>
    </row>
    <row r="7461" spans="1:12" x14ac:dyDescent="0.25">
      <c r="A7461" t="s">
        <v>490</v>
      </c>
      <c r="B7461" t="s">
        <v>491</v>
      </c>
      <c r="C7461" t="s">
        <v>492</v>
      </c>
      <c r="D7461" t="s">
        <v>160</v>
      </c>
      <c r="E7461" t="s">
        <v>166</v>
      </c>
      <c r="F7461">
        <v>3</v>
      </c>
      <c r="G7461" t="s">
        <v>498</v>
      </c>
      <c r="H7461" s="4">
        <v>99925614</v>
      </c>
      <c r="I7461" s="4">
        <v>85602594</v>
      </c>
      <c r="J7461" s="3">
        <v>0.14333682252880628</v>
      </c>
      <c r="K7461" s="3">
        <v>0.16731992958063865</v>
      </c>
      <c r="L7461" t="s">
        <v>54</v>
      </c>
    </row>
    <row r="7462" spans="1:12" x14ac:dyDescent="0.25">
      <c r="A7462" t="s">
        <v>490</v>
      </c>
      <c r="B7462" t="s">
        <v>491</v>
      </c>
      <c r="C7462" t="s">
        <v>492</v>
      </c>
      <c r="D7462" t="s">
        <v>160</v>
      </c>
      <c r="E7462" t="s">
        <v>166</v>
      </c>
      <c r="F7462">
        <v>3</v>
      </c>
      <c r="G7462" t="s">
        <v>499</v>
      </c>
      <c r="H7462" s="4">
        <v>99925614</v>
      </c>
      <c r="I7462" s="4">
        <v>59269755</v>
      </c>
      <c r="J7462" s="3">
        <v>0.40686123780035016</v>
      </c>
      <c r="K7462" s="3">
        <v>0.6859461288476728</v>
      </c>
      <c r="L7462" t="s">
        <v>54</v>
      </c>
    </row>
    <row r="7463" spans="1:12" x14ac:dyDescent="0.25">
      <c r="A7463" t="s">
        <v>490</v>
      </c>
      <c r="B7463" t="s">
        <v>491</v>
      </c>
      <c r="C7463" t="s">
        <v>492</v>
      </c>
      <c r="D7463" t="s">
        <v>162</v>
      </c>
      <c r="E7463" t="s">
        <v>164</v>
      </c>
      <c r="F7463">
        <v>1</v>
      </c>
      <c r="G7463" t="s">
        <v>488</v>
      </c>
      <c r="H7463" s="4">
        <v>102295197</v>
      </c>
      <c r="I7463" s="4">
        <v>111147447.40429007</v>
      </c>
      <c r="J7463" s="3">
        <v>0.0865363249096638</v>
      </c>
      <c r="K7463" s="3">
        <v>-0.07964420786102899</v>
      </c>
      <c r="L7463" t="s">
        <v>54</v>
      </c>
    </row>
    <row r="7464" spans="1:12" x14ac:dyDescent="0.25">
      <c r="A7464" t="s">
        <v>490</v>
      </c>
      <c r="B7464" t="s">
        <v>491</v>
      </c>
      <c r="C7464" t="s">
        <v>492</v>
      </c>
      <c r="D7464" t="s">
        <v>162</v>
      </c>
      <c r="E7464" t="s">
        <v>164</v>
      </c>
      <c r="F7464">
        <v>1</v>
      </c>
      <c r="G7464" t="s">
        <v>498</v>
      </c>
      <c r="H7464" s="4">
        <v>102295197</v>
      </c>
      <c r="I7464" s="4">
        <v>92148217</v>
      </c>
      <c r="J7464" s="3">
        <v>0.09919312242978524</v>
      </c>
      <c r="K7464" s="3">
        <v>0.11011585823738727</v>
      </c>
      <c r="L7464" t="s">
        <v>54</v>
      </c>
    </row>
    <row r="7465" spans="1:12" x14ac:dyDescent="0.25">
      <c r="A7465" t="s">
        <v>490</v>
      </c>
      <c r="B7465" t="s">
        <v>491</v>
      </c>
      <c r="C7465" t="s">
        <v>492</v>
      </c>
      <c r="D7465" t="s">
        <v>162</v>
      </c>
      <c r="E7465" t="s">
        <v>164</v>
      </c>
      <c r="F7465">
        <v>1</v>
      </c>
      <c r="G7465" t="s">
        <v>499</v>
      </c>
      <c r="H7465" s="4">
        <v>102295197</v>
      </c>
      <c r="I7465" s="4">
        <v>77745502</v>
      </c>
      <c r="J7465" s="3">
        <v>0.23998873573702587</v>
      </c>
      <c r="K7465" s="3">
        <v>0.3157699721329216</v>
      </c>
      <c r="L7465" t="s">
        <v>54</v>
      </c>
    </row>
    <row r="7466" spans="1:12" x14ac:dyDescent="0.25">
      <c r="A7466" t="s">
        <v>490</v>
      </c>
      <c r="B7466" t="s">
        <v>491</v>
      </c>
      <c r="C7466" t="s">
        <v>492</v>
      </c>
      <c r="D7466" t="s">
        <v>162</v>
      </c>
      <c r="E7466" t="s">
        <v>166</v>
      </c>
      <c r="F7466">
        <v>2</v>
      </c>
      <c r="G7466" t="s">
        <v>488</v>
      </c>
      <c r="H7466" s="4">
        <v>99925614</v>
      </c>
      <c r="I7466" s="4">
        <v>103252239.96776624</v>
      </c>
      <c r="J7466" s="3">
        <v>0.0332910235384317</v>
      </c>
      <c r="K7466" s="3">
        <v>-0.03221843873609678</v>
      </c>
      <c r="L7466" t="s">
        <v>54</v>
      </c>
    </row>
    <row r="7467" spans="1:12" x14ac:dyDescent="0.25">
      <c r="A7467" t="s">
        <v>490</v>
      </c>
      <c r="B7467" t="s">
        <v>491</v>
      </c>
      <c r="C7467" t="s">
        <v>492</v>
      </c>
      <c r="D7467" t="s">
        <v>162</v>
      </c>
      <c r="E7467" t="s">
        <v>166</v>
      </c>
      <c r="F7467">
        <v>2</v>
      </c>
      <c r="G7467" t="s">
        <v>498</v>
      </c>
      <c r="H7467" s="4">
        <v>99925614</v>
      </c>
      <c r="I7467" s="4">
        <v>85602594</v>
      </c>
      <c r="J7467" s="3">
        <v>0.14333682252880628</v>
      </c>
      <c r="K7467" s="3">
        <v>0.16731992958063865</v>
      </c>
      <c r="L7467" t="s">
        <v>54</v>
      </c>
    </row>
    <row r="7468" spans="1:12" x14ac:dyDescent="0.25">
      <c r="A7468" t="s">
        <v>490</v>
      </c>
      <c r="B7468" t="s">
        <v>491</v>
      </c>
      <c r="C7468" t="s">
        <v>492</v>
      </c>
      <c r="D7468" t="s">
        <v>162</v>
      </c>
      <c r="E7468" t="s">
        <v>166</v>
      </c>
      <c r="F7468">
        <v>2</v>
      </c>
      <c r="G7468" t="s">
        <v>499</v>
      </c>
      <c r="H7468" s="4">
        <v>99925614</v>
      </c>
      <c r="I7468" s="4">
        <v>77745502</v>
      </c>
      <c r="J7468" s="3">
        <v>0.22196623180118763</v>
      </c>
      <c r="K7468" s="3">
        <v>0.2852912571070671</v>
      </c>
      <c r="L7468" t="s">
        <v>54</v>
      </c>
    </row>
    <row r="7469" spans="1:12" x14ac:dyDescent="0.25">
      <c r="A7469" t="s">
        <v>490</v>
      </c>
      <c r="B7469" t="s">
        <v>491</v>
      </c>
      <c r="C7469" t="s">
        <v>492</v>
      </c>
      <c r="D7469" t="s">
        <v>162</v>
      </c>
      <c r="E7469" t="s">
        <v>168</v>
      </c>
      <c r="F7469">
        <v>3</v>
      </c>
      <c r="G7469" t="s">
        <v>488</v>
      </c>
      <c r="H7469" s="4">
        <v>113875027</v>
      </c>
      <c r="I7469" s="4">
        <v>117251147.6703489</v>
      </c>
      <c r="J7469" s="3">
        <v>0.0296475949055002</v>
      </c>
      <c r="K7469" s="3">
        <v>-0.028793924302053284</v>
      </c>
      <c r="L7469" t="s">
        <v>54</v>
      </c>
    </row>
    <row r="7470" spans="1:12" x14ac:dyDescent="0.25">
      <c r="A7470" t="s">
        <v>490</v>
      </c>
      <c r="B7470" t="s">
        <v>491</v>
      </c>
      <c r="C7470" t="s">
        <v>492</v>
      </c>
      <c r="D7470" t="s">
        <v>162</v>
      </c>
      <c r="E7470" t="s">
        <v>168</v>
      </c>
      <c r="F7470">
        <v>3</v>
      </c>
      <c r="G7470" t="s">
        <v>498</v>
      </c>
      <c r="H7470" s="4">
        <v>113875027</v>
      </c>
      <c r="I7470" s="4">
        <v>97208568</v>
      </c>
      <c r="J7470" s="3">
        <v>0.14635745377254664</v>
      </c>
      <c r="K7470" s="3">
        <v>0.17145051452666188</v>
      </c>
      <c r="L7470" t="s">
        <v>54</v>
      </c>
    </row>
    <row r="7471" spans="1:12" x14ac:dyDescent="0.25">
      <c r="A7471" t="s">
        <v>490</v>
      </c>
      <c r="B7471" t="s">
        <v>491</v>
      </c>
      <c r="C7471" t="s">
        <v>492</v>
      </c>
      <c r="D7471" t="s">
        <v>162</v>
      </c>
      <c r="E7471" t="s">
        <v>168</v>
      </c>
      <c r="F7471">
        <v>3</v>
      </c>
      <c r="G7471" t="s">
        <v>499</v>
      </c>
      <c r="H7471" s="4">
        <v>113875027</v>
      </c>
      <c r="I7471" s="4">
        <v>77745502</v>
      </c>
      <c r="J7471" s="3">
        <v>0.31727347032813435</v>
      </c>
      <c r="K7471" s="3">
        <v>0.46471530918920556</v>
      </c>
      <c r="L7471" t="s">
        <v>54</v>
      </c>
    </row>
    <row r="7472" spans="1:12" x14ac:dyDescent="0.25">
      <c r="A7472" t="s">
        <v>490</v>
      </c>
      <c r="B7472" t="s">
        <v>491</v>
      </c>
      <c r="C7472" t="s">
        <v>492</v>
      </c>
      <c r="D7472" t="s">
        <v>164</v>
      </c>
      <c r="E7472" t="s">
        <v>166</v>
      </c>
      <c r="F7472">
        <v>1</v>
      </c>
      <c r="G7472" t="s">
        <v>488</v>
      </c>
      <c r="H7472" s="4">
        <v>99925614</v>
      </c>
      <c r="I7472" s="4">
        <v>103074335.42884801</v>
      </c>
      <c r="J7472" s="3">
        <v>0.031510653803418345</v>
      </c>
      <c r="K7472" s="3">
        <v>-0.03054806432413594</v>
      </c>
      <c r="L7472" t="s">
        <v>54</v>
      </c>
    </row>
    <row r="7473" spans="1:12" x14ac:dyDescent="0.25">
      <c r="A7473" t="s">
        <v>490</v>
      </c>
      <c r="B7473" t="s">
        <v>491</v>
      </c>
      <c r="C7473" t="s">
        <v>492</v>
      </c>
      <c r="D7473" t="s">
        <v>164</v>
      </c>
      <c r="E7473" t="s">
        <v>166</v>
      </c>
      <c r="F7473">
        <v>1</v>
      </c>
      <c r="G7473" t="s">
        <v>498</v>
      </c>
      <c r="H7473" s="4">
        <v>99925614</v>
      </c>
      <c r="I7473" s="4">
        <v>85602594</v>
      </c>
      <c r="J7473" s="3">
        <v>0.14333682252880628</v>
      </c>
      <c r="K7473" s="3">
        <v>0.16731992958063865</v>
      </c>
      <c r="L7473" t="s">
        <v>54</v>
      </c>
    </row>
    <row r="7474" spans="1:12" x14ac:dyDescent="0.25">
      <c r="A7474" t="s">
        <v>490</v>
      </c>
      <c r="B7474" t="s">
        <v>491</v>
      </c>
      <c r="C7474" t="s">
        <v>492</v>
      </c>
      <c r="D7474" t="s">
        <v>164</v>
      </c>
      <c r="E7474" t="s">
        <v>166</v>
      </c>
      <c r="F7474">
        <v>1</v>
      </c>
      <c r="G7474" t="s">
        <v>499</v>
      </c>
      <c r="H7474" s="4">
        <v>99925614</v>
      </c>
      <c r="I7474" s="4">
        <v>102295197</v>
      </c>
      <c r="J7474" s="3">
        <v>0.023713469501423327</v>
      </c>
      <c r="K7474" s="3">
        <v>-0.023164166739910574</v>
      </c>
      <c r="L7474" t="s">
        <v>54</v>
      </c>
    </row>
    <row r="7475" spans="1:12" x14ac:dyDescent="0.25">
      <c r="A7475" t="s">
        <v>490</v>
      </c>
      <c r="B7475" t="s">
        <v>491</v>
      </c>
      <c r="C7475" t="s">
        <v>492</v>
      </c>
      <c r="D7475" t="s">
        <v>164</v>
      </c>
      <c r="E7475" t="s">
        <v>168</v>
      </c>
      <c r="F7475">
        <v>2</v>
      </c>
      <c r="G7475" t="s">
        <v>488</v>
      </c>
      <c r="H7475" s="4">
        <v>113875027</v>
      </c>
      <c r="I7475" s="4">
        <v>117049122.88744405</v>
      </c>
      <c r="J7475" s="3">
        <v>0.02787350283081864</v>
      </c>
      <c r="K7475" s="3">
        <v>-0.02711763923678694</v>
      </c>
      <c r="L7475" t="s">
        <v>54</v>
      </c>
    </row>
    <row r="7476" spans="1:12" x14ac:dyDescent="0.25">
      <c r="A7476" t="s">
        <v>490</v>
      </c>
      <c r="B7476" t="s">
        <v>491</v>
      </c>
      <c r="C7476" t="s">
        <v>492</v>
      </c>
      <c r="D7476" t="s">
        <v>164</v>
      </c>
      <c r="E7476" t="s">
        <v>168</v>
      </c>
      <c r="F7476">
        <v>2</v>
      </c>
      <c r="G7476" t="s">
        <v>498</v>
      </c>
      <c r="H7476" s="4">
        <v>113875027</v>
      </c>
      <c r="I7476" s="4">
        <v>97208568</v>
      </c>
      <c r="J7476" s="3">
        <v>0.14635745377254664</v>
      </c>
      <c r="K7476" s="3">
        <v>0.17145051452666188</v>
      </c>
      <c r="L7476" t="s">
        <v>54</v>
      </c>
    </row>
    <row r="7477" spans="1:12" x14ac:dyDescent="0.25">
      <c r="A7477" t="s">
        <v>490</v>
      </c>
      <c r="B7477" t="s">
        <v>491</v>
      </c>
      <c r="C7477" t="s">
        <v>492</v>
      </c>
      <c r="D7477" t="s">
        <v>164</v>
      </c>
      <c r="E7477" t="s">
        <v>168</v>
      </c>
      <c r="F7477">
        <v>2</v>
      </c>
      <c r="G7477" t="s">
        <v>499</v>
      </c>
      <c r="H7477" s="4">
        <v>113875027</v>
      </c>
      <c r="I7477" s="4">
        <v>102295197</v>
      </c>
      <c r="J7477" s="3">
        <v>0.1016889330792431</v>
      </c>
      <c r="K7477" s="3">
        <v>0.1132001339222212</v>
      </c>
      <c r="L7477" t="s">
        <v>54</v>
      </c>
    </row>
    <row r="7478" spans="1:12" x14ac:dyDescent="0.25">
      <c r="A7478" t="s">
        <v>490</v>
      </c>
      <c r="B7478" t="s">
        <v>491</v>
      </c>
      <c r="C7478" t="s">
        <v>492</v>
      </c>
      <c r="D7478" t="s">
        <v>164</v>
      </c>
      <c r="E7478" t="s">
        <v>170</v>
      </c>
      <c r="F7478">
        <v>3</v>
      </c>
      <c r="G7478" t="s">
        <v>488</v>
      </c>
      <c r="H7478" s="4">
        <v>98684813</v>
      </c>
      <c r="I7478" s="4">
        <v>105465473.15713918</v>
      </c>
      <c r="J7478" s="3">
        <v>0.068710270111564</v>
      </c>
      <c r="K7478" s="3">
        <v>-0.06429270124295824</v>
      </c>
      <c r="L7478" t="s">
        <v>54</v>
      </c>
    </row>
    <row r="7479" spans="1:12" x14ac:dyDescent="0.25">
      <c r="A7479" t="s">
        <v>490</v>
      </c>
      <c r="B7479" t="s">
        <v>491</v>
      </c>
      <c r="C7479" t="s">
        <v>492</v>
      </c>
      <c r="D7479" t="s">
        <v>164</v>
      </c>
      <c r="E7479" t="s">
        <v>170</v>
      </c>
      <c r="F7479">
        <v>3</v>
      </c>
      <c r="G7479" t="s">
        <v>498</v>
      </c>
      <c r="H7479" s="4">
        <v>98684813</v>
      </c>
      <c r="I7479" s="4">
        <v>87588419</v>
      </c>
      <c r="J7479" s="3">
        <v>0.1124427727293763</v>
      </c>
      <c r="K7479" s="3">
        <v>0.1266879129305896</v>
      </c>
      <c r="L7479" t="s">
        <v>54</v>
      </c>
    </row>
    <row r="7480" spans="1:12" x14ac:dyDescent="0.25">
      <c r="A7480" t="s">
        <v>490</v>
      </c>
      <c r="B7480" t="s">
        <v>491</v>
      </c>
      <c r="C7480" t="s">
        <v>492</v>
      </c>
      <c r="D7480" t="s">
        <v>164</v>
      </c>
      <c r="E7480" t="s">
        <v>170</v>
      </c>
      <c r="F7480">
        <v>3</v>
      </c>
      <c r="G7480" t="s">
        <v>499</v>
      </c>
      <c r="H7480" s="4">
        <v>98684813</v>
      </c>
      <c r="I7480" s="4">
        <v>102295197</v>
      </c>
      <c r="J7480" s="3">
        <v>0.03658500117946213</v>
      </c>
      <c r="K7480" s="3">
        <v>-0.035293778260185565</v>
      </c>
      <c r="L7480" t="s">
        <v>54</v>
      </c>
    </row>
    <row r="7481" spans="1:12" x14ac:dyDescent="0.25">
      <c r="A7481" t="s">
        <v>490</v>
      </c>
      <c r="B7481" t="s">
        <v>491</v>
      </c>
      <c r="C7481" t="s">
        <v>492</v>
      </c>
      <c r="D7481" t="s">
        <v>166</v>
      </c>
      <c r="E7481" t="s">
        <v>168</v>
      </c>
      <c r="F7481">
        <v>1</v>
      </c>
      <c r="G7481" t="s">
        <v>488</v>
      </c>
      <c r="H7481" s="4">
        <v>113875027</v>
      </c>
      <c r="I7481" s="4">
        <v>118251556.63959087</v>
      </c>
      <c r="J7481" s="3">
        <v>0.038432742936613085</v>
      </c>
      <c r="K7481" s="3">
        <v>-0.03701033427348222</v>
      </c>
      <c r="L7481" t="s">
        <v>54</v>
      </c>
    </row>
    <row r="7482" spans="1:12" x14ac:dyDescent="0.25">
      <c r="A7482" t="s">
        <v>490</v>
      </c>
      <c r="B7482" t="s">
        <v>491</v>
      </c>
      <c r="C7482" t="s">
        <v>492</v>
      </c>
      <c r="D7482" t="s">
        <v>166</v>
      </c>
      <c r="E7482" t="s">
        <v>168</v>
      </c>
      <c r="F7482">
        <v>1</v>
      </c>
      <c r="G7482" t="s">
        <v>498</v>
      </c>
      <c r="H7482" s="4">
        <v>113875027</v>
      </c>
      <c r="I7482" s="4">
        <v>97208568</v>
      </c>
      <c r="J7482" s="3">
        <v>0.14635745377254664</v>
      </c>
      <c r="K7482" s="3">
        <v>0.17145051452666188</v>
      </c>
      <c r="L7482" t="s">
        <v>54</v>
      </c>
    </row>
    <row r="7483" spans="1:12" x14ac:dyDescent="0.25">
      <c r="A7483" t="s">
        <v>490</v>
      </c>
      <c r="B7483" t="s">
        <v>491</v>
      </c>
      <c r="C7483" t="s">
        <v>492</v>
      </c>
      <c r="D7483" t="s">
        <v>166</v>
      </c>
      <c r="E7483" t="s">
        <v>168</v>
      </c>
      <c r="F7483">
        <v>1</v>
      </c>
      <c r="G7483" t="s">
        <v>499</v>
      </c>
      <c r="H7483" s="4">
        <v>113875027</v>
      </c>
      <c r="I7483" s="4">
        <v>99925614</v>
      </c>
      <c r="J7483" s="3">
        <v>0.12249756041770248</v>
      </c>
      <c r="K7483" s="3">
        <v>0.13959797134696617</v>
      </c>
      <c r="L7483" t="s">
        <v>54</v>
      </c>
    </row>
    <row r="7484" spans="1:12" x14ac:dyDescent="0.25">
      <c r="A7484" t="s">
        <v>490</v>
      </c>
      <c r="B7484" t="s">
        <v>491</v>
      </c>
      <c r="C7484" t="s">
        <v>492</v>
      </c>
      <c r="D7484" t="s">
        <v>166</v>
      </c>
      <c r="E7484" t="s">
        <v>170</v>
      </c>
      <c r="F7484">
        <v>2</v>
      </c>
      <c r="G7484" t="s">
        <v>488</v>
      </c>
      <c r="H7484" s="4">
        <v>98684813</v>
      </c>
      <c r="I7484" s="4">
        <v>106548909.25201899</v>
      </c>
      <c r="J7484" s="3">
        <v>0.07968902218033273</v>
      </c>
      <c r="K7484" s="3">
        <v>-0.07380738392561229</v>
      </c>
      <c r="L7484" t="s">
        <v>54</v>
      </c>
    </row>
    <row r="7485" spans="1:12" x14ac:dyDescent="0.25">
      <c r="A7485" t="s">
        <v>490</v>
      </c>
      <c r="B7485" t="s">
        <v>491</v>
      </c>
      <c r="C7485" t="s">
        <v>492</v>
      </c>
      <c r="D7485" t="s">
        <v>166</v>
      </c>
      <c r="E7485" t="s">
        <v>170</v>
      </c>
      <c r="F7485">
        <v>2</v>
      </c>
      <c r="G7485" t="s">
        <v>498</v>
      </c>
      <c r="H7485" s="4">
        <v>98684813</v>
      </c>
      <c r="I7485" s="4">
        <v>87588419</v>
      </c>
      <c r="J7485" s="3">
        <v>0.1124427727293763</v>
      </c>
      <c r="K7485" s="3">
        <v>0.1266879129305896</v>
      </c>
      <c r="L7485" t="s">
        <v>54</v>
      </c>
    </row>
    <row r="7486" spans="1:12" x14ac:dyDescent="0.25">
      <c r="A7486" t="s">
        <v>490</v>
      </c>
      <c r="B7486" t="s">
        <v>491</v>
      </c>
      <c r="C7486" t="s">
        <v>492</v>
      </c>
      <c r="D7486" t="s">
        <v>166</v>
      </c>
      <c r="E7486" t="s">
        <v>170</v>
      </c>
      <c r="F7486">
        <v>2</v>
      </c>
      <c r="G7486" t="s">
        <v>499</v>
      </c>
      <c r="H7486" s="4">
        <v>98684813</v>
      </c>
      <c r="I7486" s="4">
        <v>99925614</v>
      </c>
      <c r="J7486" s="3">
        <v>0.012573373372050672</v>
      </c>
      <c r="K7486" s="3">
        <v>-0.012417246693125147</v>
      </c>
      <c r="L7486" t="s">
        <v>54</v>
      </c>
    </row>
    <row r="7487" spans="1:12" x14ac:dyDescent="0.25">
      <c r="A7487" t="s">
        <v>490</v>
      </c>
      <c r="B7487" t="s">
        <v>491</v>
      </c>
      <c r="C7487" t="s">
        <v>492</v>
      </c>
      <c r="D7487" t="s">
        <v>166</v>
      </c>
      <c r="E7487" t="s">
        <v>172</v>
      </c>
      <c r="F7487">
        <v>3</v>
      </c>
      <c r="G7487" t="s">
        <v>488</v>
      </c>
      <c r="H7487" s="4">
        <v>70122234</v>
      </c>
      <c r="I7487" s="4">
        <v>98484720.37609813</v>
      </c>
      <c r="J7487" s="3">
        <v>0.4044720876419614</v>
      </c>
      <c r="K7487" s="3">
        <v>-0.28798869781816017</v>
      </c>
      <c r="L7487" t="s">
        <v>54</v>
      </c>
    </row>
    <row r="7488" spans="1:12" x14ac:dyDescent="0.25">
      <c r="A7488" t="s">
        <v>490</v>
      </c>
      <c r="B7488" t="s">
        <v>491</v>
      </c>
      <c r="C7488" t="s">
        <v>492</v>
      </c>
      <c r="D7488" t="s">
        <v>166</v>
      </c>
      <c r="E7488" t="s">
        <v>172</v>
      </c>
      <c r="F7488">
        <v>3</v>
      </c>
      <c r="G7488" t="s">
        <v>498</v>
      </c>
      <c r="H7488" s="4">
        <v>70122234</v>
      </c>
      <c r="I7488" s="4">
        <v>80959261</v>
      </c>
      <c r="J7488" s="3">
        <v>0.15454480528957476</v>
      </c>
      <c r="K7488" s="3">
        <v>-0.13385778064352638</v>
      </c>
      <c r="L7488" t="s">
        <v>54</v>
      </c>
    </row>
    <row r="7489" spans="1:12" x14ac:dyDescent="0.25">
      <c r="A7489" t="s">
        <v>490</v>
      </c>
      <c r="B7489" t="s">
        <v>491</v>
      </c>
      <c r="C7489" t="s">
        <v>492</v>
      </c>
      <c r="D7489" t="s">
        <v>166</v>
      </c>
      <c r="E7489" t="s">
        <v>172</v>
      </c>
      <c r="F7489">
        <v>3</v>
      </c>
      <c r="G7489" t="s">
        <v>499</v>
      </c>
      <c r="H7489" s="4">
        <v>70122234</v>
      </c>
      <c r="I7489" s="4">
        <v>99925614</v>
      </c>
      <c r="J7489" s="3">
        <v>0.4250204008046863</v>
      </c>
      <c r="K7489" s="3">
        <v>-0.2982556604555865</v>
      </c>
      <c r="L7489" t="s">
        <v>54</v>
      </c>
    </row>
    <row r="7490" spans="1:12" x14ac:dyDescent="0.25">
      <c r="A7490" t="s">
        <v>490</v>
      </c>
      <c r="B7490" t="s">
        <v>491</v>
      </c>
      <c r="C7490" t="s">
        <v>492</v>
      </c>
      <c r="D7490" t="s">
        <v>168</v>
      </c>
      <c r="E7490" t="s">
        <v>170</v>
      </c>
      <c r="F7490">
        <v>1</v>
      </c>
      <c r="G7490" t="s">
        <v>488</v>
      </c>
      <c r="H7490" s="4">
        <v>98684813</v>
      </c>
      <c r="I7490" s="4">
        <v>106954820.70690286</v>
      </c>
      <c r="J7490" s="3">
        <v>0.08380223314506216</v>
      </c>
      <c r="K7490" s="3">
        <v>-0.07732244000077236</v>
      </c>
      <c r="L7490" t="s">
        <v>54</v>
      </c>
    </row>
    <row r="7491" spans="1:12" x14ac:dyDescent="0.25">
      <c r="A7491" t="s">
        <v>490</v>
      </c>
      <c r="B7491" t="s">
        <v>491</v>
      </c>
      <c r="C7491" t="s">
        <v>492</v>
      </c>
      <c r="D7491" t="s">
        <v>168</v>
      </c>
      <c r="E7491" t="s">
        <v>170</v>
      </c>
      <c r="F7491">
        <v>1</v>
      </c>
      <c r="G7491" t="s">
        <v>498</v>
      </c>
      <c r="H7491" s="4">
        <v>98684813</v>
      </c>
      <c r="I7491" s="4">
        <v>87588419</v>
      </c>
      <c r="J7491" s="3">
        <v>0.1124427727293763</v>
      </c>
      <c r="K7491" s="3">
        <v>0.1266879129305896</v>
      </c>
      <c r="L7491" t="s">
        <v>54</v>
      </c>
    </row>
    <row r="7492" spans="1:12" x14ac:dyDescent="0.25">
      <c r="A7492" t="s">
        <v>490</v>
      </c>
      <c r="B7492" t="s">
        <v>491</v>
      </c>
      <c r="C7492" t="s">
        <v>492</v>
      </c>
      <c r="D7492" t="s">
        <v>168</v>
      </c>
      <c r="E7492" t="s">
        <v>170</v>
      </c>
      <c r="F7492">
        <v>1</v>
      </c>
      <c r="G7492" t="s">
        <v>499</v>
      </c>
      <c r="H7492" s="4">
        <v>98684813</v>
      </c>
      <c r="I7492" s="4">
        <v>113875027</v>
      </c>
      <c r="J7492" s="3">
        <v>0.15392656213474307</v>
      </c>
      <c r="K7492" s="3">
        <v>-0.133393724683815</v>
      </c>
      <c r="L7492" t="s">
        <v>54</v>
      </c>
    </row>
    <row r="7493" spans="1:12" x14ac:dyDescent="0.25">
      <c r="A7493" t="s">
        <v>490</v>
      </c>
      <c r="B7493" t="s">
        <v>491</v>
      </c>
      <c r="C7493" t="s">
        <v>492</v>
      </c>
      <c r="D7493" t="s">
        <v>168</v>
      </c>
      <c r="E7493" t="s">
        <v>172</v>
      </c>
      <c r="F7493">
        <v>2</v>
      </c>
      <c r="G7493" t="s">
        <v>488</v>
      </c>
      <c r="H7493" s="4">
        <v>70122234</v>
      </c>
      <c r="I7493" s="4">
        <v>98859910.29040441</v>
      </c>
      <c r="J7493" s="3">
        <v>0.40982260049507846</v>
      </c>
      <c r="K7493" s="3">
        <v>-0.2906908999410023</v>
      </c>
      <c r="L7493" t="s">
        <v>54</v>
      </c>
    </row>
    <row r="7494" spans="1:12" x14ac:dyDescent="0.25">
      <c r="A7494" t="s">
        <v>490</v>
      </c>
      <c r="B7494" t="s">
        <v>491</v>
      </c>
      <c r="C7494" t="s">
        <v>492</v>
      </c>
      <c r="D7494" t="s">
        <v>168</v>
      </c>
      <c r="E7494" t="s">
        <v>172</v>
      </c>
      <c r="F7494">
        <v>2</v>
      </c>
      <c r="G7494" t="s">
        <v>498</v>
      </c>
      <c r="H7494" s="4">
        <v>70122234</v>
      </c>
      <c r="I7494" s="4">
        <v>80959261</v>
      </c>
      <c r="J7494" s="3">
        <v>0.15454480528957476</v>
      </c>
      <c r="K7494" s="3">
        <v>-0.13385778064352638</v>
      </c>
      <c r="L7494" t="s">
        <v>54</v>
      </c>
    </row>
    <row r="7495" spans="1:12" x14ac:dyDescent="0.25">
      <c r="A7495" t="s">
        <v>490</v>
      </c>
      <c r="B7495" t="s">
        <v>491</v>
      </c>
      <c r="C7495" t="s">
        <v>492</v>
      </c>
      <c r="D7495" t="s">
        <v>168</v>
      </c>
      <c r="E7495" t="s">
        <v>172</v>
      </c>
      <c r="F7495">
        <v>2</v>
      </c>
      <c r="G7495" t="s">
        <v>499</v>
      </c>
      <c r="H7495" s="4">
        <v>70122234</v>
      </c>
      <c r="I7495" s="4">
        <v>113875027</v>
      </c>
      <c r="J7495" s="3">
        <v>0.6239503578850611</v>
      </c>
      <c r="K7495" s="3">
        <v>-0.384217630086709</v>
      </c>
      <c r="L7495" t="s">
        <v>54</v>
      </c>
    </row>
    <row r="7496" spans="1:12" x14ac:dyDescent="0.25">
      <c r="A7496" t="s">
        <v>490</v>
      </c>
      <c r="B7496" t="s">
        <v>491</v>
      </c>
      <c r="C7496" t="s">
        <v>492</v>
      </c>
      <c r="D7496" t="s">
        <v>168</v>
      </c>
      <c r="E7496" t="s">
        <v>174</v>
      </c>
      <c r="F7496">
        <v>3</v>
      </c>
      <c r="G7496" t="s">
        <v>488</v>
      </c>
      <c r="H7496" s="4">
        <v>83138959</v>
      </c>
      <c r="I7496" s="4">
        <v>112123490.14324512</v>
      </c>
      <c r="J7496" s="3">
        <v>0.3486275446778822</v>
      </c>
      <c r="K7496" s="3">
        <v>-0.2585054309869901</v>
      </c>
      <c r="L7496" t="s">
        <v>54</v>
      </c>
    </row>
    <row r="7497" spans="1:12" x14ac:dyDescent="0.25">
      <c r="A7497" t="s">
        <v>490</v>
      </c>
      <c r="B7497" t="s">
        <v>491</v>
      </c>
      <c r="C7497" t="s">
        <v>492</v>
      </c>
      <c r="D7497" t="s">
        <v>168</v>
      </c>
      <c r="E7497" t="s">
        <v>174</v>
      </c>
      <c r="F7497">
        <v>3</v>
      </c>
      <c r="G7497" t="s">
        <v>498</v>
      </c>
      <c r="H7497" s="4">
        <v>83138959</v>
      </c>
      <c r="I7497" s="4">
        <v>91821193</v>
      </c>
      <c r="J7497" s="3">
        <v>0.10443039105168493</v>
      </c>
      <c r="K7497" s="3">
        <v>-0.09455588319354552</v>
      </c>
      <c r="L7497" t="s">
        <v>54</v>
      </c>
    </row>
    <row r="7498" spans="1:12" x14ac:dyDescent="0.25">
      <c r="A7498" t="s">
        <v>490</v>
      </c>
      <c r="B7498" t="s">
        <v>491</v>
      </c>
      <c r="C7498" t="s">
        <v>492</v>
      </c>
      <c r="D7498" t="s">
        <v>168</v>
      </c>
      <c r="E7498" t="s">
        <v>174</v>
      </c>
      <c r="F7498">
        <v>3</v>
      </c>
      <c r="G7498" t="s">
        <v>499</v>
      </c>
      <c r="H7498" s="4">
        <v>83138959</v>
      </c>
      <c r="I7498" s="4">
        <v>113875027</v>
      </c>
      <c r="J7498" s="3">
        <v>0.3696951269259939</v>
      </c>
      <c r="K7498" s="3">
        <v>-0.2699105221726973</v>
      </c>
      <c r="L7498" t="s">
        <v>54</v>
      </c>
    </row>
    <row r="7499" spans="1:12" x14ac:dyDescent="0.25">
      <c r="A7499" t="s">
        <v>490</v>
      </c>
      <c r="B7499" t="s">
        <v>491</v>
      </c>
      <c r="C7499" t="s">
        <v>492</v>
      </c>
      <c r="D7499" t="s">
        <v>170</v>
      </c>
      <c r="E7499" t="s">
        <v>172</v>
      </c>
      <c r="F7499">
        <v>1</v>
      </c>
      <c r="G7499" t="s">
        <v>488</v>
      </c>
      <c r="H7499" s="4">
        <v>70122234</v>
      </c>
      <c r="I7499" s="4">
        <v>99057781.16695249</v>
      </c>
      <c r="J7499" s="3">
        <v>0.4126443998768278</v>
      </c>
      <c r="K7499" s="3">
        <v>-0.29210776605408084</v>
      </c>
      <c r="L7499" t="s">
        <v>54</v>
      </c>
    </row>
    <row r="7500" spans="1:12" x14ac:dyDescent="0.25">
      <c r="A7500" t="s">
        <v>490</v>
      </c>
      <c r="B7500" t="s">
        <v>491</v>
      </c>
      <c r="C7500" t="s">
        <v>492</v>
      </c>
      <c r="D7500" t="s">
        <v>170</v>
      </c>
      <c r="E7500" t="s">
        <v>172</v>
      </c>
      <c r="F7500">
        <v>1</v>
      </c>
      <c r="G7500" t="s">
        <v>498</v>
      </c>
      <c r="H7500" s="4">
        <v>70122234</v>
      </c>
      <c r="I7500" s="4">
        <v>80959261</v>
      </c>
      <c r="J7500" s="3">
        <v>0.15454480528957476</v>
      </c>
      <c r="K7500" s="3">
        <v>-0.13385778064352638</v>
      </c>
      <c r="L7500" t="s">
        <v>54</v>
      </c>
    </row>
    <row r="7501" spans="1:12" x14ac:dyDescent="0.25">
      <c r="A7501" t="s">
        <v>490</v>
      </c>
      <c r="B7501" t="s">
        <v>491</v>
      </c>
      <c r="C7501" t="s">
        <v>492</v>
      </c>
      <c r="D7501" t="s">
        <v>170</v>
      </c>
      <c r="E7501" t="s">
        <v>172</v>
      </c>
      <c r="F7501">
        <v>1</v>
      </c>
      <c r="G7501" t="s">
        <v>499</v>
      </c>
      <c r="H7501" s="4">
        <v>70122234</v>
      </c>
      <c r="I7501" s="4">
        <v>98684813</v>
      </c>
      <c r="J7501" s="3">
        <v>0.4073255709451584</v>
      </c>
      <c r="K7501" s="3">
        <v>-0.28943236686277146</v>
      </c>
      <c r="L7501" t="s">
        <v>54</v>
      </c>
    </row>
    <row r="7502" spans="1:12" x14ac:dyDescent="0.25">
      <c r="A7502" t="s">
        <v>490</v>
      </c>
      <c r="B7502" t="s">
        <v>491</v>
      </c>
      <c r="C7502" t="s">
        <v>492</v>
      </c>
      <c r="D7502" t="s">
        <v>170</v>
      </c>
      <c r="E7502" t="s">
        <v>174</v>
      </c>
      <c r="F7502">
        <v>2</v>
      </c>
      <c r="G7502" t="s">
        <v>488</v>
      </c>
      <c r="H7502" s="4">
        <v>83138959</v>
      </c>
      <c r="I7502" s="4">
        <v>112347908.44598384</v>
      </c>
      <c r="J7502" s="3">
        <v>0.3513268604431749</v>
      </c>
      <c r="K7502" s="3">
        <v>-0.25998658853562295</v>
      </c>
      <c r="L7502" t="s">
        <v>54</v>
      </c>
    </row>
    <row r="7503" spans="1:12" x14ac:dyDescent="0.25">
      <c r="A7503" t="s">
        <v>490</v>
      </c>
      <c r="B7503" t="s">
        <v>491</v>
      </c>
      <c r="C7503" t="s">
        <v>492</v>
      </c>
      <c r="D7503" t="s">
        <v>170</v>
      </c>
      <c r="E7503" t="s">
        <v>174</v>
      </c>
      <c r="F7503">
        <v>2</v>
      </c>
      <c r="G7503" t="s">
        <v>498</v>
      </c>
      <c r="H7503" s="4">
        <v>83138959</v>
      </c>
      <c r="I7503" s="4">
        <v>91821193</v>
      </c>
      <c r="J7503" s="3">
        <v>0.10443039105168493</v>
      </c>
      <c r="K7503" s="3">
        <v>-0.09455588319354552</v>
      </c>
      <c r="L7503" t="s">
        <v>54</v>
      </c>
    </row>
    <row r="7504" spans="1:12" x14ac:dyDescent="0.25">
      <c r="A7504" t="s">
        <v>490</v>
      </c>
      <c r="B7504" t="s">
        <v>491</v>
      </c>
      <c r="C7504" t="s">
        <v>492</v>
      </c>
      <c r="D7504" t="s">
        <v>170</v>
      </c>
      <c r="E7504" t="s">
        <v>174</v>
      </c>
      <c r="F7504">
        <v>2</v>
      </c>
      <c r="G7504" t="s">
        <v>499</v>
      </c>
      <c r="H7504" s="4">
        <v>83138959</v>
      </c>
      <c r="I7504" s="4">
        <v>98684813</v>
      </c>
      <c r="J7504" s="3">
        <v>0.1869863922640648</v>
      </c>
      <c r="K7504" s="3">
        <v>-0.15753035879999083</v>
      </c>
      <c r="L7504" t="s">
        <v>54</v>
      </c>
    </row>
    <row r="7505" spans="1:12" x14ac:dyDescent="0.25">
      <c r="A7505" t="s">
        <v>490</v>
      </c>
      <c r="B7505" t="s">
        <v>491</v>
      </c>
      <c r="C7505" t="s">
        <v>492</v>
      </c>
      <c r="D7505" t="s">
        <v>170</v>
      </c>
      <c r="E7505" t="s">
        <v>176</v>
      </c>
      <c r="F7505">
        <v>3</v>
      </c>
      <c r="G7505" t="s">
        <v>488</v>
      </c>
      <c r="H7505" s="4">
        <v>87737443</v>
      </c>
      <c r="I7505" s="4">
        <v>120573440.19624524</v>
      </c>
      <c r="J7505" s="3">
        <v>0.37425295373886425</v>
      </c>
      <c r="K7505" s="3">
        <v>-0.27233192602617456</v>
      </c>
      <c r="L7505" t="s">
        <v>54</v>
      </c>
    </row>
    <row r="7506" spans="1:12" x14ac:dyDescent="0.25">
      <c r="A7506" t="s">
        <v>490</v>
      </c>
      <c r="B7506" t="s">
        <v>491</v>
      </c>
      <c r="C7506" t="s">
        <v>492</v>
      </c>
      <c r="D7506" t="s">
        <v>170</v>
      </c>
      <c r="E7506" t="s">
        <v>176</v>
      </c>
      <c r="F7506">
        <v>3</v>
      </c>
      <c r="G7506" t="s">
        <v>498</v>
      </c>
      <c r="H7506" s="4">
        <v>87737443</v>
      </c>
      <c r="I7506" s="4">
        <v>98543865</v>
      </c>
      <c r="J7506" s="3">
        <v>0.12316773352968584</v>
      </c>
      <c r="K7506" s="3">
        <v>-0.10966103267818854</v>
      </c>
      <c r="L7506" t="s">
        <v>54</v>
      </c>
    </row>
    <row r="7507" spans="1:12" x14ac:dyDescent="0.25">
      <c r="A7507" t="s">
        <v>490</v>
      </c>
      <c r="B7507" t="s">
        <v>491</v>
      </c>
      <c r="C7507" t="s">
        <v>492</v>
      </c>
      <c r="D7507" t="s">
        <v>170</v>
      </c>
      <c r="E7507" t="s">
        <v>176</v>
      </c>
      <c r="F7507">
        <v>3</v>
      </c>
      <c r="G7507" t="s">
        <v>499</v>
      </c>
      <c r="H7507" s="4">
        <v>87737443</v>
      </c>
      <c r="I7507" s="4">
        <v>98684813</v>
      </c>
      <c r="J7507" s="3">
        <v>0.12477420843003141</v>
      </c>
      <c r="K7507" s="3">
        <v>-0.11093267208197476</v>
      </c>
      <c r="L7507" t="s">
        <v>54</v>
      </c>
    </row>
    <row r="7508" spans="1:12" x14ac:dyDescent="0.25">
      <c r="A7508" t="s">
        <v>490</v>
      </c>
      <c r="B7508" t="s">
        <v>491</v>
      </c>
      <c r="C7508" t="s">
        <v>492</v>
      </c>
      <c r="D7508" t="s">
        <v>172</v>
      </c>
      <c r="E7508" t="s">
        <v>174</v>
      </c>
      <c r="F7508">
        <v>1</v>
      </c>
      <c r="G7508" t="s">
        <v>488</v>
      </c>
      <c r="H7508" s="4">
        <v>83138959</v>
      </c>
      <c r="I7508" s="4">
        <v>108910912.37311125</v>
      </c>
      <c r="J7508" s="3">
        <v>0.3099864814654613</v>
      </c>
      <c r="K7508" s="3">
        <v>-0.23663334381793338</v>
      </c>
      <c r="L7508" t="s">
        <v>54</v>
      </c>
    </row>
    <row r="7509" spans="1:12" x14ac:dyDescent="0.25">
      <c r="A7509" t="s">
        <v>490</v>
      </c>
      <c r="B7509" t="s">
        <v>491</v>
      </c>
      <c r="C7509" t="s">
        <v>492</v>
      </c>
      <c r="D7509" t="s">
        <v>172</v>
      </c>
      <c r="E7509" t="s">
        <v>174</v>
      </c>
      <c r="F7509">
        <v>1</v>
      </c>
      <c r="G7509" t="s">
        <v>498</v>
      </c>
      <c r="H7509" s="4">
        <v>83138959</v>
      </c>
      <c r="I7509" s="4">
        <v>91821193</v>
      </c>
      <c r="J7509" s="3">
        <v>0.10443039105168493</v>
      </c>
      <c r="K7509" s="3">
        <v>-0.09455588319354552</v>
      </c>
      <c r="L7509" t="s">
        <v>54</v>
      </c>
    </row>
    <row r="7510" spans="1:12" x14ac:dyDescent="0.25">
      <c r="A7510" t="s">
        <v>490</v>
      </c>
      <c r="B7510" t="s">
        <v>491</v>
      </c>
      <c r="C7510" t="s">
        <v>492</v>
      </c>
      <c r="D7510" t="s">
        <v>172</v>
      </c>
      <c r="E7510" t="s">
        <v>174</v>
      </c>
      <c r="F7510">
        <v>1</v>
      </c>
      <c r="G7510" t="s">
        <v>499</v>
      </c>
      <c r="H7510" s="4">
        <v>83138959</v>
      </c>
      <c r="I7510" s="4">
        <v>70122234</v>
      </c>
      <c r="J7510" s="3">
        <v>0.1565658886828256</v>
      </c>
      <c r="K7510" s="3">
        <v>0.18562906880576566</v>
      </c>
      <c r="L7510" t="s">
        <v>54</v>
      </c>
    </row>
    <row r="7511" spans="1:12" x14ac:dyDescent="0.25">
      <c r="A7511" t="s">
        <v>490</v>
      </c>
      <c r="B7511" t="s">
        <v>491</v>
      </c>
      <c r="C7511" t="s">
        <v>492</v>
      </c>
      <c r="D7511" t="s">
        <v>172</v>
      </c>
      <c r="E7511" t="s">
        <v>176</v>
      </c>
      <c r="F7511">
        <v>2</v>
      </c>
      <c r="G7511" t="s">
        <v>488</v>
      </c>
      <c r="H7511" s="4">
        <v>87737443</v>
      </c>
      <c r="I7511" s="4">
        <v>116884805.0789615</v>
      </c>
      <c r="J7511" s="3">
        <v>0.3322112097449832</v>
      </c>
      <c r="K7511" s="3">
        <v>-0.24936827382542165</v>
      </c>
      <c r="L7511" t="s">
        <v>54</v>
      </c>
    </row>
    <row r="7512" spans="1:12" x14ac:dyDescent="0.25">
      <c r="A7512" t="s">
        <v>490</v>
      </c>
      <c r="B7512" t="s">
        <v>491</v>
      </c>
      <c r="C7512" t="s">
        <v>492</v>
      </c>
      <c r="D7512" t="s">
        <v>172</v>
      </c>
      <c r="E7512" t="s">
        <v>176</v>
      </c>
      <c r="F7512">
        <v>2</v>
      </c>
      <c r="G7512" t="s">
        <v>498</v>
      </c>
      <c r="H7512" s="4">
        <v>87737443</v>
      </c>
      <c r="I7512" s="4">
        <v>98543865</v>
      </c>
      <c r="J7512" s="3">
        <v>0.12316773352968584</v>
      </c>
      <c r="K7512" s="3">
        <v>-0.10966103267818854</v>
      </c>
      <c r="L7512" t="s">
        <v>54</v>
      </c>
    </row>
    <row r="7513" spans="1:12" x14ac:dyDescent="0.25">
      <c r="A7513" t="s">
        <v>490</v>
      </c>
      <c r="B7513" t="s">
        <v>491</v>
      </c>
      <c r="C7513" t="s">
        <v>492</v>
      </c>
      <c r="D7513" t="s">
        <v>172</v>
      </c>
      <c r="E7513" t="s">
        <v>176</v>
      </c>
      <c r="F7513">
        <v>2</v>
      </c>
      <c r="G7513" t="s">
        <v>499</v>
      </c>
      <c r="H7513" s="4">
        <v>87737443</v>
      </c>
      <c r="I7513" s="4">
        <v>70122234</v>
      </c>
      <c r="J7513" s="3">
        <v>0.20077185290207283</v>
      </c>
      <c r="K7513" s="3">
        <v>0.25120718487092125</v>
      </c>
      <c r="L7513" t="s">
        <v>54</v>
      </c>
    </row>
    <row r="7514" spans="1:12" x14ac:dyDescent="0.25">
      <c r="A7514" t="s">
        <v>490</v>
      </c>
      <c r="B7514" t="s">
        <v>491</v>
      </c>
      <c r="C7514" t="s">
        <v>492</v>
      </c>
      <c r="D7514" t="s">
        <v>172</v>
      </c>
      <c r="E7514" t="s">
        <v>178</v>
      </c>
      <c r="F7514">
        <v>3</v>
      </c>
      <c r="G7514" t="s">
        <v>488</v>
      </c>
      <c r="H7514" s="4">
        <v>74293029</v>
      </c>
      <c r="I7514" s="4">
        <v>94117405.13475636</v>
      </c>
      <c r="J7514" s="3">
        <v>0.26684032676546754</v>
      </c>
      <c r="K7514" s="3">
        <v>-0.2106345378559047</v>
      </c>
      <c r="L7514" t="s">
        <v>54</v>
      </c>
    </row>
    <row r="7515" spans="1:12" x14ac:dyDescent="0.25">
      <c r="A7515" t="s">
        <v>490</v>
      </c>
      <c r="B7515" t="s">
        <v>491</v>
      </c>
      <c r="C7515" t="s">
        <v>492</v>
      </c>
      <c r="D7515" t="s">
        <v>172</v>
      </c>
      <c r="E7515" t="s">
        <v>178</v>
      </c>
      <c r="F7515">
        <v>3</v>
      </c>
      <c r="G7515" t="s">
        <v>498</v>
      </c>
      <c r="H7515" s="4">
        <v>74293029</v>
      </c>
      <c r="I7515" s="4">
        <v>79349004</v>
      </c>
      <c r="J7515" s="3">
        <v>0.06805450077960881</v>
      </c>
      <c r="K7515" s="3">
        <v>-0.06371819109411883</v>
      </c>
      <c r="L7515" t="s">
        <v>54</v>
      </c>
    </row>
    <row r="7516" spans="1:12" x14ac:dyDescent="0.25">
      <c r="A7516" t="s">
        <v>490</v>
      </c>
      <c r="B7516" t="s">
        <v>491</v>
      </c>
      <c r="C7516" t="s">
        <v>492</v>
      </c>
      <c r="D7516" t="s">
        <v>172</v>
      </c>
      <c r="E7516" t="s">
        <v>178</v>
      </c>
      <c r="F7516">
        <v>3</v>
      </c>
      <c r="G7516" t="s">
        <v>499</v>
      </c>
      <c r="H7516" s="4">
        <v>74293029</v>
      </c>
      <c r="I7516" s="4">
        <v>70122234</v>
      </c>
      <c r="J7516" s="3">
        <v>0.05613978937377826</v>
      </c>
      <c r="K7516" s="3">
        <v>0.0594789236178642</v>
      </c>
      <c r="L7516" t="s">
        <v>54</v>
      </c>
    </row>
    <row r="7517" spans="1:12" x14ac:dyDescent="0.25">
      <c r="A7517" t="s">
        <v>490</v>
      </c>
      <c r="B7517" t="s">
        <v>491</v>
      </c>
      <c r="C7517" t="s">
        <v>492</v>
      </c>
      <c r="D7517" t="s">
        <v>174</v>
      </c>
      <c r="E7517" t="s">
        <v>176</v>
      </c>
      <c r="F7517">
        <v>1</v>
      </c>
      <c r="G7517" t="s">
        <v>488</v>
      </c>
      <c r="H7517" s="4">
        <v>87737443</v>
      </c>
      <c r="I7517" s="4">
        <v>113124644.71079056</v>
      </c>
      <c r="J7517" s="3">
        <v>0.289354246519249</v>
      </c>
      <c r="K7517" s="3">
        <v>-0.22441795751663443</v>
      </c>
      <c r="L7517" t="s">
        <v>54</v>
      </c>
    </row>
    <row r="7518" spans="1:12" x14ac:dyDescent="0.25">
      <c r="A7518" t="s">
        <v>490</v>
      </c>
      <c r="B7518" t="s">
        <v>491</v>
      </c>
      <c r="C7518" t="s">
        <v>492</v>
      </c>
      <c r="D7518" t="s">
        <v>174</v>
      </c>
      <c r="E7518" t="s">
        <v>176</v>
      </c>
      <c r="F7518">
        <v>1</v>
      </c>
      <c r="G7518" t="s">
        <v>498</v>
      </c>
      <c r="H7518" s="4">
        <v>87737443</v>
      </c>
      <c r="I7518" s="4">
        <v>98543865</v>
      </c>
      <c r="J7518" s="3">
        <v>0.12316773352968584</v>
      </c>
      <c r="K7518" s="3">
        <v>-0.10966103267818854</v>
      </c>
      <c r="L7518" t="s">
        <v>54</v>
      </c>
    </row>
    <row r="7519" spans="1:12" x14ac:dyDescent="0.25">
      <c r="A7519" t="s">
        <v>490</v>
      </c>
      <c r="B7519" t="s">
        <v>491</v>
      </c>
      <c r="C7519" t="s">
        <v>492</v>
      </c>
      <c r="D7519" t="s">
        <v>174</v>
      </c>
      <c r="E7519" t="s">
        <v>176</v>
      </c>
      <c r="F7519">
        <v>1</v>
      </c>
      <c r="G7519" t="s">
        <v>499</v>
      </c>
      <c r="H7519" s="4">
        <v>87737443</v>
      </c>
      <c r="I7519" s="4">
        <v>83138959</v>
      </c>
      <c r="J7519" s="3">
        <v>0.052411876192927115</v>
      </c>
      <c r="K7519" s="3">
        <v>0.05531082004526903</v>
      </c>
      <c r="L7519" t="s">
        <v>54</v>
      </c>
    </row>
    <row r="7520" spans="1:12" x14ac:dyDescent="0.25">
      <c r="A7520" t="s">
        <v>490</v>
      </c>
      <c r="B7520" t="s">
        <v>491</v>
      </c>
      <c r="C7520" t="s">
        <v>492</v>
      </c>
      <c r="D7520" t="s">
        <v>174</v>
      </c>
      <c r="E7520" t="s">
        <v>178</v>
      </c>
      <c r="F7520">
        <v>2</v>
      </c>
      <c r="G7520" t="s">
        <v>488</v>
      </c>
      <c r="H7520" s="4">
        <v>74293029</v>
      </c>
      <c r="I7520" s="4">
        <v>91089667.38472354</v>
      </c>
      <c r="J7520" s="3">
        <v>0.22608633152813765</v>
      </c>
      <c r="K7520" s="3">
        <v>-0.18439674736961958</v>
      </c>
      <c r="L7520" t="s">
        <v>54</v>
      </c>
    </row>
    <row r="7521" spans="1:12" x14ac:dyDescent="0.25">
      <c r="A7521" t="s">
        <v>490</v>
      </c>
      <c r="B7521" t="s">
        <v>491</v>
      </c>
      <c r="C7521" t="s">
        <v>492</v>
      </c>
      <c r="D7521" t="s">
        <v>174</v>
      </c>
      <c r="E7521" t="s">
        <v>178</v>
      </c>
      <c r="F7521">
        <v>2</v>
      </c>
      <c r="G7521" t="s">
        <v>498</v>
      </c>
      <c r="H7521" s="4">
        <v>74293029</v>
      </c>
      <c r="I7521" s="4">
        <v>79349004</v>
      </c>
      <c r="J7521" s="3">
        <v>0.06805450077960881</v>
      </c>
      <c r="K7521" s="3">
        <v>-0.06371819109411883</v>
      </c>
      <c r="L7521" t="s">
        <v>54</v>
      </c>
    </row>
    <row r="7522" spans="1:12" x14ac:dyDescent="0.25">
      <c r="A7522" t="s">
        <v>490</v>
      </c>
      <c r="B7522" t="s">
        <v>491</v>
      </c>
      <c r="C7522" t="s">
        <v>492</v>
      </c>
      <c r="D7522" t="s">
        <v>174</v>
      </c>
      <c r="E7522" t="s">
        <v>178</v>
      </c>
      <c r="F7522">
        <v>2</v>
      </c>
      <c r="G7522" t="s">
        <v>499</v>
      </c>
      <c r="H7522" s="4">
        <v>74293029</v>
      </c>
      <c r="I7522" s="4">
        <v>83138959</v>
      </c>
      <c r="J7522" s="3">
        <v>0.11906810260758112</v>
      </c>
      <c r="K7522" s="3">
        <v>-0.10639933559909019</v>
      </c>
      <c r="L7522" t="s">
        <v>54</v>
      </c>
    </row>
    <row r="7523" spans="1:12" x14ac:dyDescent="0.25">
      <c r="A7523" t="s">
        <v>490</v>
      </c>
      <c r="B7523" t="s">
        <v>491</v>
      </c>
      <c r="C7523" t="s">
        <v>492</v>
      </c>
      <c r="D7523" t="s">
        <v>174</v>
      </c>
      <c r="E7523" t="s">
        <v>180</v>
      </c>
      <c r="F7523">
        <v>3</v>
      </c>
      <c r="G7523" t="s">
        <v>488</v>
      </c>
      <c r="H7523" s="4">
        <v>56724142</v>
      </c>
      <c r="I7523" s="4">
        <v>79571858.28225364</v>
      </c>
      <c r="J7523" s="3">
        <v>0.4027864587577832</v>
      </c>
      <c r="K7523" s="3">
        <v>-0.28713312439190836</v>
      </c>
      <c r="L7523" t="s">
        <v>54</v>
      </c>
    </row>
    <row r="7524" spans="1:12" x14ac:dyDescent="0.25">
      <c r="A7524" t="s">
        <v>490</v>
      </c>
      <c r="B7524" t="s">
        <v>491</v>
      </c>
      <c r="C7524" t="s">
        <v>492</v>
      </c>
      <c r="D7524" t="s">
        <v>174</v>
      </c>
      <c r="E7524" t="s">
        <v>180</v>
      </c>
      <c r="F7524">
        <v>3</v>
      </c>
      <c r="G7524" t="s">
        <v>498</v>
      </c>
      <c r="H7524" s="4">
        <v>56724142</v>
      </c>
      <c r="I7524" s="4">
        <v>69315740</v>
      </c>
      <c r="J7524" s="3">
        <v>0.22197952328657522</v>
      </c>
      <c r="K7524" s="3">
        <v>-0.18165568166768473</v>
      </c>
      <c r="L7524" t="s">
        <v>54</v>
      </c>
    </row>
    <row r="7525" spans="1:12" x14ac:dyDescent="0.25">
      <c r="A7525" t="s">
        <v>490</v>
      </c>
      <c r="B7525" t="s">
        <v>491</v>
      </c>
      <c r="C7525" t="s">
        <v>492</v>
      </c>
      <c r="D7525" t="s">
        <v>174</v>
      </c>
      <c r="E7525" t="s">
        <v>180</v>
      </c>
      <c r="F7525">
        <v>3</v>
      </c>
      <c r="G7525" t="s">
        <v>499</v>
      </c>
      <c r="H7525" s="4">
        <v>56724142</v>
      </c>
      <c r="I7525" s="4">
        <v>83138959</v>
      </c>
      <c r="J7525" s="3">
        <v>0.46567151249286415</v>
      </c>
      <c r="K7525" s="3">
        <v>-0.3177188807475927</v>
      </c>
      <c r="L7525" t="s">
        <v>54</v>
      </c>
    </row>
    <row r="7526" spans="1:12" x14ac:dyDescent="0.25">
      <c r="A7526" t="s">
        <v>490</v>
      </c>
      <c r="B7526" t="s">
        <v>491</v>
      </c>
      <c r="C7526" t="s">
        <v>492</v>
      </c>
      <c r="D7526" t="s">
        <v>176</v>
      </c>
      <c r="E7526" t="s">
        <v>178</v>
      </c>
      <c r="F7526">
        <v>1</v>
      </c>
      <c r="G7526" t="s">
        <v>488</v>
      </c>
      <c r="H7526" s="4">
        <v>74293029</v>
      </c>
      <c r="I7526" s="4">
        <v>89190636.03584369</v>
      </c>
      <c r="J7526" s="3">
        <v>0.20052496494447258</v>
      </c>
      <c r="K7526" s="3">
        <v>-0.16703106624171485</v>
      </c>
      <c r="L7526" t="s">
        <v>54</v>
      </c>
    </row>
    <row r="7527" spans="1:12" x14ac:dyDescent="0.25">
      <c r="A7527" t="s">
        <v>490</v>
      </c>
      <c r="B7527" t="s">
        <v>491</v>
      </c>
      <c r="C7527" t="s">
        <v>492</v>
      </c>
      <c r="D7527" t="s">
        <v>176</v>
      </c>
      <c r="E7527" t="s">
        <v>178</v>
      </c>
      <c r="F7527">
        <v>1</v>
      </c>
      <c r="G7527" t="s">
        <v>498</v>
      </c>
      <c r="H7527" s="4">
        <v>74293029</v>
      </c>
      <c r="I7527" s="4">
        <v>79349004</v>
      </c>
      <c r="J7527" s="3">
        <v>0.06805450077960881</v>
      </c>
      <c r="K7527" s="3">
        <v>-0.06371819109411883</v>
      </c>
      <c r="L7527" t="s">
        <v>54</v>
      </c>
    </row>
    <row r="7528" spans="1:12" x14ac:dyDescent="0.25">
      <c r="A7528" t="s">
        <v>490</v>
      </c>
      <c r="B7528" t="s">
        <v>491</v>
      </c>
      <c r="C7528" t="s">
        <v>492</v>
      </c>
      <c r="D7528" t="s">
        <v>176</v>
      </c>
      <c r="E7528" t="s">
        <v>178</v>
      </c>
      <c r="F7528">
        <v>1</v>
      </c>
      <c r="G7528" t="s">
        <v>499</v>
      </c>
      <c r="H7528" s="4">
        <v>74293029</v>
      </c>
      <c r="I7528" s="4">
        <v>87737443</v>
      </c>
      <c r="J7528" s="3">
        <v>0.1809646770493097</v>
      </c>
      <c r="K7528" s="3">
        <v>-0.15323462298758808</v>
      </c>
      <c r="L7528" t="s">
        <v>54</v>
      </c>
    </row>
    <row r="7529" spans="1:12" x14ac:dyDescent="0.25">
      <c r="A7529" t="s">
        <v>490</v>
      </c>
      <c r="B7529" t="s">
        <v>491</v>
      </c>
      <c r="C7529" t="s">
        <v>492</v>
      </c>
      <c r="D7529" t="s">
        <v>176</v>
      </c>
      <c r="E7529" t="s">
        <v>180</v>
      </c>
      <c r="F7529">
        <v>2</v>
      </c>
      <c r="G7529" t="s">
        <v>488</v>
      </c>
      <c r="H7529" s="4">
        <v>56724142</v>
      </c>
      <c r="I7529" s="4">
        <v>77912949.45422594</v>
      </c>
      <c r="J7529" s="3">
        <v>0.37354125963202656</v>
      </c>
      <c r="K7529" s="3">
        <v>-0.27195488814955493</v>
      </c>
      <c r="L7529" t="s">
        <v>54</v>
      </c>
    </row>
    <row r="7530" spans="1:12" x14ac:dyDescent="0.25">
      <c r="A7530" t="s">
        <v>490</v>
      </c>
      <c r="B7530" t="s">
        <v>491</v>
      </c>
      <c r="C7530" t="s">
        <v>492</v>
      </c>
      <c r="D7530" t="s">
        <v>176</v>
      </c>
      <c r="E7530" t="s">
        <v>180</v>
      </c>
      <c r="F7530">
        <v>2</v>
      </c>
      <c r="G7530" t="s">
        <v>498</v>
      </c>
      <c r="H7530" s="4">
        <v>56724142</v>
      </c>
      <c r="I7530" s="4">
        <v>69315740</v>
      </c>
      <c r="J7530" s="3">
        <v>0.22197952328657522</v>
      </c>
      <c r="K7530" s="3">
        <v>-0.18165568166768473</v>
      </c>
      <c r="L7530" t="s">
        <v>54</v>
      </c>
    </row>
    <row r="7531" spans="1:12" x14ac:dyDescent="0.25">
      <c r="A7531" t="s">
        <v>490</v>
      </c>
      <c r="B7531" t="s">
        <v>491</v>
      </c>
      <c r="C7531" t="s">
        <v>492</v>
      </c>
      <c r="D7531" t="s">
        <v>176</v>
      </c>
      <c r="E7531" t="s">
        <v>180</v>
      </c>
      <c r="F7531">
        <v>2</v>
      </c>
      <c r="G7531" t="s">
        <v>499</v>
      </c>
      <c r="H7531" s="4">
        <v>56724142</v>
      </c>
      <c r="I7531" s="4">
        <v>87737443</v>
      </c>
      <c r="J7531" s="3">
        <v>0.5467390057658342</v>
      </c>
      <c r="K7531" s="3">
        <v>-0.35347851429862165</v>
      </c>
      <c r="L7531" t="s">
        <v>54</v>
      </c>
    </row>
    <row r="7532" spans="1:12" x14ac:dyDescent="0.25">
      <c r="A7532" t="s">
        <v>490</v>
      </c>
      <c r="B7532" t="s">
        <v>491</v>
      </c>
      <c r="C7532" t="s">
        <v>492</v>
      </c>
      <c r="D7532" t="s">
        <v>176</v>
      </c>
      <c r="E7532" t="s">
        <v>182</v>
      </c>
      <c r="F7532">
        <v>3</v>
      </c>
      <c r="G7532" t="s">
        <v>488</v>
      </c>
      <c r="H7532" s="4">
        <v>56274887</v>
      </c>
      <c r="I7532" s="4">
        <v>66007780.04468015</v>
      </c>
      <c r="J7532" s="3">
        <v>0.17295268926404328</v>
      </c>
      <c r="K7532" s="3">
        <v>-0.1474506950255262</v>
      </c>
      <c r="L7532" t="s">
        <v>54</v>
      </c>
    </row>
    <row r="7533" spans="1:12" x14ac:dyDescent="0.25">
      <c r="A7533" t="s">
        <v>490</v>
      </c>
      <c r="B7533" t="s">
        <v>491</v>
      </c>
      <c r="C7533" t="s">
        <v>492</v>
      </c>
      <c r="D7533" t="s">
        <v>176</v>
      </c>
      <c r="E7533" t="s">
        <v>182</v>
      </c>
      <c r="F7533">
        <v>3</v>
      </c>
      <c r="G7533" t="s">
        <v>498</v>
      </c>
      <c r="H7533" s="4">
        <v>56274887</v>
      </c>
      <c r="I7533" s="4">
        <v>58724232</v>
      </c>
      <c r="J7533" s="3">
        <v>0.04352465425652476</v>
      </c>
      <c r="K7533" s="3">
        <v>-0.041709272587847554</v>
      </c>
      <c r="L7533" t="s">
        <v>54</v>
      </c>
    </row>
    <row r="7534" spans="1:12" x14ac:dyDescent="0.25">
      <c r="A7534" t="s">
        <v>490</v>
      </c>
      <c r="B7534" t="s">
        <v>491</v>
      </c>
      <c r="C7534" t="s">
        <v>492</v>
      </c>
      <c r="D7534" t="s">
        <v>176</v>
      </c>
      <c r="E7534" t="s">
        <v>182</v>
      </c>
      <c r="F7534">
        <v>3</v>
      </c>
      <c r="G7534" t="s">
        <v>499</v>
      </c>
      <c r="H7534" s="4">
        <v>56274887</v>
      </c>
      <c r="I7534" s="4">
        <v>87737443</v>
      </c>
      <c r="J7534" s="3">
        <v>0.5590869689351842</v>
      </c>
      <c r="K7534" s="3">
        <v>-0.358598962132963</v>
      </c>
      <c r="L7534" t="s">
        <v>54</v>
      </c>
    </row>
    <row r="7535" spans="1:12" x14ac:dyDescent="0.25">
      <c r="A7535" t="s">
        <v>490</v>
      </c>
      <c r="B7535" t="s">
        <v>491</v>
      </c>
      <c r="C7535" t="s">
        <v>492</v>
      </c>
      <c r="D7535" t="s">
        <v>178</v>
      </c>
      <c r="E7535" t="s">
        <v>180</v>
      </c>
      <c r="F7535">
        <v>1</v>
      </c>
      <c r="G7535" t="s">
        <v>488</v>
      </c>
      <c r="H7535" s="4">
        <v>56724142</v>
      </c>
      <c r="I7535" s="4">
        <v>76595487.02636169</v>
      </c>
      <c r="J7535" s="3">
        <v>0.3503154798949923</v>
      </c>
      <c r="K7535" s="3">
        <v>-0.2594323216395584</v>
      </c>
      <c r="L7535" t="s">
        <v>54</v>
      </c>
    </row>
    <row r="7536" spans="1:12" x14ac:dyDescent="0.25">
      <c r="A7536" t="s">
        <v>490</v>
      </c>
      <c r="B7536" t="s">
        <v>491</v>
      </c>
      <c r="C7536" t="s">
        <v>492</v>
      </c>
      <c r="D7536" t="s">
        <v>178</v>
      </c>
      <c r="E7536" t="s">
        <v>180</v>
      </c>
      <c r="F7536">
        <v>1</v>
      </c>
      <c r="G7536" t="s">
        <v>498</v>
      </c>
      <c r="H7536" s="4">
        <v>56724142</v>
      </c>
      <c r="I7536" s="4">
        <v>69315740</v>
      </c>
      <c r="J7536" s="3">
        <v>0.22197952328657522</v>
      </c>
      <c r="K7536" s="3">
        <v>-0.18165568166768473</v>
      </c>
      <c r="L7536" t="s">
        <v>54</v>
      </c>
    </row>
    <row r="7537" spans="1:12" x14ac:dyDescent="0.25">
      <c r="A7537" t="s">
        <v>490</v>
      </c>
      <c r="B7537" t="s">
        <v>491</v>
      </c>
      <c r="C7537" t="s">
        <v>492</v>
      </c>
      <c r="D7537" t="s">
        <v>178</v>
      </c>
      <c r="E7537" t="s">
        <v>180</v>
      </c>
      <c r="F7537">
        <v>1</v>
      </c>
      <c r="G7537" t="s">
        <v>499</v>
      </c>
      <c r="H7537" s="4">
        <v>56724142</v>
      </c>
      <c r="I7537" s="4">
        <v>74293029</v>
      </c>
      <c r="J7537" s="3">
        <v>0.30972503735710977</v>
      </c>
      <c r="K7537" s="3">
        <v>-0.2364809624332318</v>
      </c>
      <c r="L7537" t="s">
        <v>54</v>
      </c>
    </row>
    <row r="7538" spans="1:12" x14ac:dyDescent="0.25">
      <c r="A7538" t="s">
        <v>490</v>
      </c>
      <c r="B7538" t="s">
        <v>491</v>
      </c>
      <c r="C7538" t="s">
        <v>492</v>
      </c>
      <c r="D7538" t="s">
        <v>178</v>
      </c>
      <c r="E7538" t="s">
        <v>182</v>
      </c>
      <c r="F7538">
        <v>2</v>
      </c>
      <c r="G7538" t="s">
        <v>488</v>
      </c>
      <c r="H7538" s="4">
        <v>56274887</v>
      </c>
      <c r="I7538" s="4">
        <v>64891627.071846224</v>
      </c>
      <c r="J7538" s="3">
        <v>0.15311874498914985</v>
      </c>
      <c r="K7538" s="3">
        <v>-0.13278662380134199</v>
      </c>
      <c r="L7538" t="s">
        <v>54</v>
      </c>
    </row>
    <row r="7539" spans="1:12" x14ac:dyDescent="0.25">
      <c r="A7539" t="s">
        <v>490</v>
      </c>
      <c r="B7539" t="s">
        <v>491</v>
      </c>
      <c r="C7539" t="s">
        <v>492</v>
      </c>
      <c r="D7539" t="s">
        <v>178</v>
      </c>
      <c r="E7539" t="s">
        <v>182</v>
      </c>
      <c r="F7539">
        <v>2</v>
      </c>
      <c r="G7539" t="s">
        <v>498</v>
      </c>
      <c r="H7539" s="4">
        <v>56274887</v>
      </c>
      <c r="I7539" s="4">
        <v>58724232</v>
      </c>
      <c r="J7539" s="3">
        <v>0.04352465425652476</v>
      </c>
      <c r="K7539" s="3">
        <v>-0.041709272587847554</v>
      </c>
      <c r="L7539" t="s">
        <v>54</v>
      </c>
    </row>
    <row r="7540" spans="1:12" x14ac:dyDescent="0.25">
      <c r="A7540" t="s">
        <v>490</v>
      </c>
      <c r="B7540" t="s">
        <v>491</v>
      </c>
      <c r="C7540" t="s">
        <v>492</v>
      </c>
      <c r="D7540" t="s">
        <v>178</v>
      </c>
      <c r="E7540" t="s">
        <v>182</v>
      </c>
      <c r="F7540">
        <v>2</v>
      </c>
      <c r="G7540" t="s">
        <v>499</v>
      </c>
      <c r="H7540" s="4">
        <v>56274887</v>
      </c>
      <c r="I7540" s="4">
        <v>74293029</v>
      </c>
      <c r="J7540" s="3">
        <v>0.3201808650455398</v>
      </c>
      <c r="K7540" s="3">
        <v>-0.2425280304562626</v>
      </c>
      <c r="L7540" t="s">
        <v>54</v>
      </c>
    </row>
    <row r="7541" spans="1:12" x14ac:dyDescent="0.25">
      <c r="A7541" t="s">
        <v>490</v>
      </c>
      <c r="B7541" t="s">
        <v>491</v>
      </c>
      <c r="C7541" t="s">
        <v>492</v>
      </c>
      <c r="D7541" t="s">
        <v>178</v>
      </c>
      <c r="E7541" t="s">
        <v>184</v>
      </c>
      <c r="F7541">
        <v>3</v>
      </c>
      <c r="G7541" t="s">
        <v>488</v>
      </c>
      <c r="H7541" s="4">
        <v>56008101</v>
      </c>
      <c r="I7541" s="4">
        <v>65494442.5343816</v>
      </c>
      <c r="J7541" s="3">
        <v>0.1693744541415821</v>
      </c>
      <c r="K7541" s="3">
        <v>-0.14484193112112834</v>
      </c>
      <c r="L7541" t="s">
        <v>54</v>
      </c>
    </row>
    <row r="7542" spans="1:12" x14ac:dyDescent="0.25">
      <c r="A7542" t="s">
        <v>490</v>
      </c>
      <c r="B7542" t="s">
        <v>491</v>
      </c>
      <c r="C7542" t="s">
        <v>492</v>
      </c>
      <c r="D7542" t="s">
        <v>178</v>
      </c>
      <c r="E7542" t="s">
        <v>184</v>
      </c>
      <c r="F7542">
        <v>3</v>
      </c>
      <c r="G7542" t="s">
        <v>498</v>
      </c>
      <c r="H7542" s="4">
        <v>56008101</v>
      </c>
      <c r="I7542" s="4">
        <v>59269755</v>
      </c>
      <c r="J7542" s="3">
        <v>0.058235397054436824</v>
      </c>
      <c r="K7542" s="3">
        <v>-0.055030664459470094</v>
      </c>
      <c r="L7542" t="s">
        <v>54</v>
      </c>
    </row>
    <row r="7543" spans="1:12" x14ac:dyDescent="0.25">
      <c r="A7543" t="s">
        <v>490</v>
      </c>
      <c r="B7543" t="s">
        <v>491</v>
      </c>
      <c r="C7543" t="s">
        <v>492</v>
      </c>
      <c r="D7543" t="s">
        <v>178</v>
      </c>
      <c r="E7543" t="s">
        <v>184</v>
      </c>
      <c r="F7543">
        <v>3</v>
      </c>
      <c r="G7543" t="s">
        <v>499</v>
      </c>
      <c r="H7543" s="4">
        <v>56008101</v>
      </c>
      <c r="I7543" s="4">
        <v>74293029</v>
      </c>
      <c r="J7543" s="3">
        <v>0.32646934414005574</v>
      </c>
      <c r="K7543" s="3">
        <v>-0.24611902686051473</v>
      </c>
      <c r="L7543" t="s">
        <v>54</v>
      </c>
    </row>
    <row r="7544" spans="1:12" x14ac:dyDescent="0.25">
      <c r="A7544" t="s">
        <v>490</v>
      </c>
      <c r="B7544" t="s">
        <v>491</v>
      </c>
      <c r="C7544" t="s">
        <v>492</v>
      </c>
      <c r="D7544" t="s">
        <v>180</v>
      </c>
      <c r="E7544" t="s">
        <v>182</v>
      </c>
      <c r="F7544">
        <v>1</v>
      </c>
      <c r="G7544" t="s">
        <v>488</v>
      </c>
      <c r="H7544" s="4">
        <v>56274887</v>
      </c>
      <c r="I7544" s="4">
        <v>62606219.13191154</v>
      </c>
      <c r="J7544" s="3">
        <v>0.11250723847586826</v>
      </c>
      <c r="K7544" s="3">
        <v>-0.10112944400254227</v>
      </c>
      <c r="L7544" t="s">
        <v>54</v>
      </c>
    </row>
    <row r="7545" spans="1:12" x14ac:dyDescent="0.25">
      <c r="A7545" t="s">
        <v>490</v>
      </c>
      <c r="B7545" t="s">
        <v>491</v>
      </c>
      <c r="C7545" t="s">
        <v>492</v>
      </c>
      <c r="D7545" t="s">
        <v>180</v>
      </c>
      <c r="E7545" t="s">
        <v>182</v>
      </c>
      <c r="F7545">
        <v>1</v>
      </c>
      <c r="G7545" t="s">
        <v>498</v>
      </c>
      <c r="H7545" s="4">
        <v>56274887</v>
      </c>
      <c r="I7545" s="4">
        <v>58724232</v>
      </c>
      <c r="J7545" s="3">
        <v>0.04352465425652476</v>
      </c>
      <c r="K7545" s="3">
        <v>-0.041709272587847554</v>
      </c>
      <c r="L7545" t="s">
        <v>54</v>
      </c>
    </row>
    <row r="7546" spans="1:12" x14ac:dyDescent="0.25">
      <c r="A7546" t="s">
        <v>490</v>
      </c>
      <c r="B7546" t="s">
        <v>491</v>
      </c>
      <c r="C7546" t="s">
        <v>492</v>
      </c>
      <c r="D7546" t="s">
        <v>180</v>
      </c>
      <c r="E7546" t="s">
        <v>182</v>
      </c>
      <c r="F7546">
        <v>1</v>
      </c>
      <c r="G7546" t="s">
        <v>499</v>
      </c>
      <c r="H7546" s="4">
        <v>56274887</v>
      </c>
      <c r="I7546" s="4">
        <v>56724142</v>
      </c>
      <c r="J7546" s="3">
        <v>0.007983223493634025</v>
      </c>
      <c r="K7546" s="3">
        <v>-0.007919996392365</v>
      </c>
      <c r="L7546" t="s">
        <v>54</v>
      </c>
    </row>
    <row r="7547" spans="1:12" x14ac:dyDescent="0.25">
      <c r="A7547" t="s">
        <v>490</v>
      </c>
      <c r="B7547" t="s">
        <v>491</v>
      </c>
      <c r="C7547" t="s">
        <v>492</v>
      </c>
      <c r="D7547" t="s">
        <v>180</v>
      </c>
      <c r="E7547" t="s">
        <v>184</v>
      </c>
      <c r="F7547">
        <v>2</v>
      </c>
      <c r="G7547" t="s">
        <v>488</v>
      </c>
      <c r="H7547" s="4">
        <v>56008101</v>
      </c>
      <c r="I7547" s="4">
        <v>63187804.1321121</v>
      </c>
      <c r="J7547" s="3">
        <v>0.12819044038133162</v>
      </c>
      <c r="K7547" s="3">
        <v>-0.113624824136963</v>
      </c>
      <c r="L7547" t="s">
        <v>54</v>
      </c>
    </row>
    <row r="7548" spans="1:12" x14ac:dyDescent="0.25">
      <c r="A7548" t="s">
        <v>490</v>
      </c>
      <c r="B7548" t="s">
        <v>491</v>
      </c>
      <c r="C7548" t="s">
        <v>492</v>
      </c>
      <c r="D7548" t="s">
        <v>180</v>
      </c>
      <c r="E7548" t="s">
        <v>184</v>
      </c>
      <c r="F7548">
        <v>2</v>
      </c>
      <c r="G7548" t="s">
        <v>498</v>
      </c>
      <c r="H7548" s="4">
        <v>56008101</v>
      </c>
      <c r="I7548" s="4">
        <v>59269755</v>
      </c>
      <c r="J7548" s="3">
        <v>0.058235397054436824</v>
      </c>
      <c r="K7548" s="3">
        <v>-0.055030664459470094</v>
      </c>
      <c r="L7548" t="s">
        <v>54</v>
      </c>
    </row>
    <row r="7549" spans="1:12" x14ac:dyDescent="0.25">
      <c r="A7549" t="s">
        <v>490</v>
      </c>
      <c r="B7549" t="s">
        <v>491</v>
      </c>
      <c r="C7549" t="s">
        <v>492</v>
      </c>
      <c r="D7549" t="s">
        <v>180</v>
      </c>
      <c r="E7549" t="s">
        <v>184</v>
      </c>
      <c r="F7549">
        <v>2</v>
      </c>
      <c r="G7549" t="s">
        <v>499</v>
      </c>
      <c r="H7549" s="4">
        <v>56008101</v>
      </c>
      <c r="I7549" s="4">
        <v>56724142</v>
      </c>
      <c r="J7549" s="3">
        <v>0.012784596999637606</v>
      </c>
      <c r="K7549" s="3">
        <v>-0.012623214292073382</v>
      </c>
      <c r="L7549" t="s">
        <v>54</v>
      </c>
    </row>
    <row r="7550" spans="1:12" x14ac:dyDescent="0.25">
      <c r="A7550" t="s">
        <v>490</v>
      </c>
      <c r="B7550" t="s">
        <v>491</v>
      </c>
      <c r="C7550" t="s">
        <v>492</v>
      </c>
      <c r="D7550" t="s">
        <v>180</v>
      </c>
      <c r="E7550" t="s">
        <v>186</v>
      </c>
      <c r="F7550">
        <v>3</v>
      </c>
      <c r="G7550" t="s">
        <v>488</v>
      </c>
      <c r="H7550" s="4">
        <v>72623845</v>
      </c>
      <c r="I7550" s="4">
        <v>82884897.23854485</v>
      </c>
      <c r="J7550" s="3">
        <v>0.14129040177568197</v>
      </c>
      <c r="K7550" s="3">
        <v>-0.12379881715981719</v>
      </c>
      <c r="L7550" t="s">
        <v>54</v>
      </c>
    </row>
    <row r="7551" spans="1:12" x14ac:dyDescent="0.25">
      <c r="A7551" t="s">
        <v>490</v>
      </c>
      <c r="B7551" t="s">
        <v>491</v>
      </c>
      <c r="C7551" t="s">
        <v>492</v>
      </c>
      <c r="D7551" t="s">
        <v>180</v>
      </c>
      <c r="E7551" t="s">
        <v>186</v>
      </c>
      <c r="F7551">
        <v>3</v>
      </c>
      <c r="G7551" t="s">
        <v>498</v>
      </c>
      <c r="H7551" s="4">
        <v>72623845</v>
      </c>
      <c r="I7551" s="4">
        <v>77745502</v>
      </c>
      <c r="J7551" s="3">
        <v>0.07052307682139386</v>
      </c>
      <c r="K7551" s="3">
        <v>-0.06587721306372168</v>
      </c>
      <c r="L7551" t="s">
        <v>54</v>
      </c>
    </row>
    <row r="7552" spans="1:12" x14ac:dyDescent="0.25">
      <c r="A7552" t="s">
        <v>490</v>
      </c>
      <c r="B7552" t="s">
        <v>491</v>
      </c>
      <c r="C7552" t="s">
        <v>492</v>
      </c>
      <c r="D7552" t="s">
        <v>180</v>
      </c>
      <c r="E7552" t="s">
        <v>186</v>
      </c>
      <c r="F7552">
        <v>3</v>
      </c>
      <c r="G7552" t="s">
        <v>499</v>
      </c>
      <c r="H7552" s="4">
        <v>72623845</v>
      </c>
      <c r="I7552" s="4">
        <v>56724142</v>
      </c>
      <c r="J7552" s="3">
        <v>0.21893226666806198</v>
      </c>
      <c r="K7552" s="3">
        <v>0.2802986953949872</v>
      </c>
      <c r="L7552" t="s">
        <v>54</v>
      </c>
    </row>
    <row r="7553" spans="1:12" x14ac:dyDescent="0.25">
      <c r="A7553" t="s">
        <v>490</v>
      </c>
      <c r="B7553" t="s">
        <v>491</v>
      </c>
      <c r="C7553" t="s">
        <v>492</v>
      </c>
      <c r="D7553" t="s">
        <v>182</v>
      </c>
      <c r="E7553" t="s">
        <v>184</v>
      </c>
      <c r="F7553">
        <v>1</v>
      </c>
      <c r="G7553" t="s">
        <v>488</v>
      </c>
      <c r="H7553" s="4">
        <v>56008101</v>
      </c>
      <c r="I7553" s="4">
        <v>61571399.984694324</v>
      </c>
      <c r="J7553" s="3">
        <v>0.09933025554096762</v>
      </c>
      <c r="K7553" s="3">
        <v>-0.09035524587839927</v>
      </c>
      <c r="L7553" t="s">
        <v>54</v>
      </c>
    </row>
    <row r="7554" spans="1:12" x14ac:dyDescent="0.25">
      <c r="A7554" t="s">
        <v>490</v>
      </c>
      <c r="B7554" t="s">
        <v>491</v>
      </c>
      <c r="C7554" t="s">
        <v>492</v>
      </c>
      <c r="D7554" t="s">
        <v>182</v>
      </c>
      <c r="E7554" t="s">
        <v>184</v>
      </c>
      <c r="F7554">
        <v>1</v>
      </c>
      <c r="G7554" t="s">
        <v>498</v>
      </c>
      <c r="H7554" s="4">
        <v>56008101</v>
      </c>
      <c r="I7554" s="4">
        <v>59269755</v>
      </c>
      <c r="J7554" s="3">
        <v>0.058235397054436824</v>
      </c>
      <c r="K7554" s="3">
        <v>-0.055030664459470094</v>
      </c>
      <c r="L7554" t="s">
        <v>54</v>
      </c>
    </row>
    <row r="7555" spans="1:12" x14ac:dyDescent="0.25">
      <c r="A7555" t="s">
        <v>490</v>
      </c>
      <c r="B7555" t="s">
        <v>491</v>
      </c>
      <c r="C7555" t="s">
        <v>492</v>
      </c>
      <c r="D7555" t="s">
        <v>182</v>
      </c>
      <c r="E7555" t="s">
        <v>184</v>
      </c>
      <c r="F7555">
        <v>1</v>
      </c>
      <c r="G7555" t="s">
        <v>499</v>
      </c>
      <c r="H7555" s="4">
        <v>56008101</v>
      </c>
      <c r="I7555" s="4">
        <v>56274887</v>
      </c>
      <c r="J7555" s="3">
        <v>0.0047633466451576355</v>
      </c>
      <c r="K7555" s="3">
        <v>-0.0047407647393410135</v>
      </c>
      <c r="L7555" t="s">
        <v>54</v>
      </c>
    </row>
    <row r="7556" spans="1:12" x14ac:dyDescent="0.25">
      <c r="A7556" t="s">
        <v>490</v>
      </c>
      <c r="B7556" t="s">
        <v>491</v>
      </c>
      <c r="C7556" t="s">
        <v>492</v>
      </c>
      <c r="D7556" t="s">
        <v>182</v>
      </c>
      <c r="E7556" t="s">
        <v>186</v>
      </c>
      <c r="F7556">
        <v>2</v>
      </c>
      <c r="G7556" t="s">
        <v>488</v>
      </c>
      <c r="H7556" s="4">
        <v>72623845</v>
      </c>
      <c r="I7556" s="4">
        <v>80764622.70938782</v>
      </c>
      <c r="J7556" s="3">
        <v>0.11209510745937266</v>
      </c>
      <c r="K7556" s="3">
        <v>-0.10079633181325523</v>
      </c>
      <c r="L7556" t="s">
        <v>54</v>
      </c>
    </row>
    <row r="7557" spans="1:12" x14ac:dyDescent="0.25">
      <c r="A7557" t="s">
        <v>490</v>
      </c>
      <c r="B7557" t="s">
        <v>491</v>
      </c>
      <c r="C7557" t="s">
        <v>492</v>
      </c>
      <c r="D7557" t="s">
        <v>182</v>
      </c>
      <c r="E7557" t="s">
        <v>186</v>
      </c>
      <c r="F7557">
        <v>2</v>
      </c>
      <c r="G7557" t="s">
        <v>498</v>
      </c>
      <c r="H7557" s="4">
        <v>72623845</v>
      </c>
      <c r="I7557" s="4">
        <v>77745502</v>
      </c>
      <c r="J7557" s="3">
        <v>0.07052307682139386</v>
      </c>
      <c r="K7557" s="3">
        <v>-0.06587721306372168</v>
      </c>
      <c r="L7557" t="s">
        <v>54</v>
      </c>
    </row>
    <row r="7558" spans="1:12" x14ac:dyDescent="0.25">
      <c r="A7558" t="s">
        <v>490</v>
      </c>
      <c r="B7558" t="s">
        <v>491</v>
      </c>
      <c r="C7558" t="s">
        <v>492</v>
      </c>
      <c r="D7558" t="s">
        <v>182</v>
      </c>
      <c r="E7558" t="s">
        <v>186</v>
      </c>
      <c r="F7558">
        <v>2</v>
      </c>
      <c r="G7558" t="s">
        <v>499</v>
      </c>
      <c r="H7558" s="4">
        <v>72623845</v>
      </c>
      <c r="I7558" s="4">
        <v>56274887</v>
      </c>
      <c r="J7558" s="3">
        <v>0.22511832029824363</v>
      </c>
      <c r="K7558" s="3">
        <v>0.29051960601893345</v>
      </c>
      <c r="L7558" t="s">
        <v>54</v>
      </c>
    </row>
    <row r="7559" spans="1:12" x14ac:dyDescent="0.25">
      <c r="A7559" t="s">
        <v>490</v>
      </c>
      <c r="B7559" t="s">
        <v>491</v>
      </c>
      <c r="C7559" t="s">
        <v>492</v>
      </c>
      <c r="D7559" t="s">
        <v>182</v>
      </c>
      <c r="E7559" t="s">
        <v>188</v>
      </c>
      <c r="F7559">
        <v>3</v>
      </c>
      <c r="G7559" t="s">
        <v>488</v>
      </c>
      <c r="H7559" s="4">
        <v>82153790</v>
      </c>
      <c r="I7559" s="4">
        <v>106267665.37165715</v>
      </c>
      <c r="J7559" s="3">
        <v>0.29352115552620456</v>
      </c>
      <c r="K7559" s="3">
        <v>-0.2269163934986437</v>
      </c>
      <c r="L7559" t="s">
        <v>54</v>
      </c>
    </row>
    <row r="7560" spans="1:12" x14ac:dyDescent="0.25">
      <c r="A7560" t="s">
        <v>490</v>
      </c>
      <c r="B7560" t="s">
        <v>491</v>
      </c>
      <c r="C7560" t="s">
        <v>492</v>
      </c>
      <c r="D7560" t="s">
        <v>182</v>
      </c>
      <c r="E7560" t="s">
        <v>188</v>
      </c>
      <c r="F7560">
        <v>3</v>
      </c>
      <c r="G7560" t="s">
        <v>498</v>
      </c>
      <c r="H7560" s="4">
        <v>82153790</v>
      </c>
      <c r="I7560" s="4">
        <v>102295197</v>
      </c>
      <c r="J7560" s="3">
        <v>0.24516710671534447</v>
      </c>
      <c r="K7560" s="3">
        <v>-0.1968949431711833</v>
      </c>
      <c r="L7560" t="s">
        <v>54</v>
      </c>
    </row>
    <row r="7561" spans="1:12" x14ac:dyDescent="0.25">
      <c r="A7561" t="s">
        <v>490</v>
      </c>
      <c r="B7561" t="s">
        <v>491</v>
      </c>
      <c r="C7561" t="s">
        <v>492</v>
      </c>
      <c r="D7561" t="s">
        <v>182</v>
      </c>
      <c r="E7561" t="s">
        <v>188</v>
      </c>
      <c r="F7561">
        <v>3</v>
      </c>
      <c r="G7561" t="s">
        <v>499</v>
      </c>
      <c r="H7561" s="4">
        <v>82153790</v>
      </c>
      <c r="I7561" s="4">
        <v>56274887</v>
      </c>
      <c r="J7561" s="3">
        <v>0.31500558890831454</v>
      </c>
      <c r="K7561" s="3">
        <v>0.4598659256303793</v>
      </c>
      <c r="L7561" t="s">
        <v>54</v>
      </c>
    </row>
    <row r="7562" spans="1:12" x14ac:dyDescent="0.25">
      <c r="A7562" t="s">
        <v>490</v>
      </c>
      <c r="B7562" t="s">
        <v>491</v>
      </c>
      <c r="C7562" t="s">
        <v>492</v>
      </c>
      <c r="D7562" t="s">
        <v>184</v>
      </c>
      <c r="E7562" t="s">
        <v>186</v>
      </c>
      <c r="F7562">
        <v>1</v>
      </c>
      <c r="G7562" t="s">
        <v>488</v>
      </c>
      <c r="H7562" s="4">
        <v>72623845</v>
      </c>
      <c r="I7562" s="4">
        <v>79091008.37976836</v>
      </c>
      <c r="J7562" s="3">
        <v>0.0890501374551066</v>
      </c>
      <c r="K7562" s="3">
        <v>-0.08176862973746925</v>
      </c>
      <c r="L7562" t="s">
        <v>54</v>
      </c>
    </row>
    <row r="7563" spans="1:12" x14ac:dyDescent="0.25">
      <c r="A7563" t="s">
        <v>490</v>
      </c>
      <c r="B7563" t="s">
        <v>491</v>
      </c>
      <c r="C7563" t="s">
        <v>492</v>
      </c>
      <c r="D7563" t="s">
        <v>184</v>
      </c>
      <c r="E7563" t="s">
        <v>186</v>
      </c>
      <c r="F7563">
        <v>1</v>
      </c>
      <c r="G7563" t="s">
        <v>498</v>
      </c>
      <c r="H7563" s="4">
        <v>72623845</v>
      </c>
      <c r="I7563" s="4">
        <v>77745502</v>
      </c>
      <c r="J7563" s="3">
        <v>0.07052307682139386</v>
      </c>
      <c r="K7563" s="3">
        <v>-0.06587721306372168</v>
      </c>
      <c r="L7563" t="s">
        <v>54</v>
      </c>
    </row>
    <row r="7564" spans="1:12" x14ac:dyDescent="0.25">
      <c r="A7564" t="s">
        <v>490</v>
      </c>
      <c r="B7564" t="s">
        <v>491</v>
      </c>
      <c r="C7564" t="s">
        <v>492</v>
      </c>
      <c r="D7564" t="s">
        <v>184</v>
      </c>
      <c r="E7564" t="s">
        <v>186</v>
      </c>
      <c r="F7564">
        <v>1</v>
      </c>
      <c r="G7564" t="s">
        <v>499</v>
      </c>
      <c r="H7564" s="4">
        <v>72623845</v>
      </c>
      <c r="I7564" s="4">
        <v>56008101</v>
      </c>
      <c r="J7564" s="3">
        <v>0.22879185204253508</v>
      </c>
      <c r="K7564" s="3">
        <v>0.2966667982547739</v>
      </c>
      <c r="L7564" t="s">
        <v>54</v>
      </c>
    </row>
    <row r="7565" spans="1:12" x14ac:dyDescent="0.25">
      <c r="A7565" t="s">
        <v>490</v>
      </c>
      <c r="B7565" t="s">
        <v>491</v>
      </c>
      <c r="C7565" t="s">
        <v>492</v>
      </c>
      <c r="D7565" t="s">
        <v>184</v>
      </c>
      <c r="E7565" t="s">
        <v>188</v>
      </c>
      <c r="F7565">
        <v>2</v>
      </c>
      <c r="G7565" t="s">
        <v>488</v>
      </c>
      <c r="H7565" s="4">
        <v>82153790</v>
      </c>
      <c r="I7565" s="4">
        <v>104065573.89181249</v>
      </c>
      <c r="J7565" s="3">
        <v>0.2667166528995496</v>
      </c>
      <c r="K7565" s="3">
        <v>-0.21055746941435385</v>
      </c>
      <c r="L7565" t="s">
        <v>54</v>
      </c>
    </row>
    <row r="7566" spans="1:12" x14ac:dyDescent="0.25">
      <c r="A7566" t="s">
        <v>490</v>
      </c>
      <c r="B7566" t="s">
        <v>491</v>
      </c>
      <c r="C7566" t="s">
        <v>492</v>
      </c>
      <c r="D7566" t="s">
        <v>184</v>
      </c>
      <c r="E7566" t="s">
        <v>188</v>
      </c>
      <c r="F7566">
        <v>2</v>
      </c>
      <c r="G7566" t="s">
        <v>498</v>
      </c>
      <c r="H7566" s="4">
        <v>82153790</v>
      </c>
      <c r="I7566" s="4">
        <v>102295197</v>
      </c>
      <c r="J7566" s="3">
        <v>0.24516710671534447</v>
      </c>
      <c r="K7566" s="3">
        <v>-0.1968949431711833</v>
      </c>
      <c r="L7566" t="s">
        <v>54</v>
      </c>
    </row>
    <row r="7567" spans="1:12" x14ac:dyDescent="0.25">
      <c r="A7567" t="s">
        <v>490</v>
      </c>
      <c r="B7567" t="s">
        <v>491</v>
      </c>
      <c r="C7567" t="s">
        <v>492</v>
      </c>
      <c r="D7567" t="s">
        <v>184</v>
      </c>
      <c r="E7567" t="s">
        <v>188</v>
      </c>
      <c r="F7567">
        <v>2</v>
      </c>
      <c r="G7567" t="s">
        <v>499</v>
      </c>
      <c r="H7567" s="4">
        <v>82153790</v>
      </c>
      <c r="I7567" s="4">
        <v>56008101</v>
      </c>
      <c r="J7567" s="3">
        <v>0.3182529862590636</v>
      </c>
      <c r="K7567" s="3">
        <v>0.46681977308961076</v>
      </c>
      <c r="L7567" t="s">
        <v>54</v>
      </c>
    </row>
    <row r="7568" spans="1:12" x14ac:dyDescent="0.25">
      <c r="A7568" t="s">
        <v>490</v>
      </c>
      <c r="B7568" t="s">
        <v>491</v>
      </c>
      <c r="C7568" t="s">
        <v>492</v>
      </c>
      <c r="D7568" t="s">
        <v>184</v>
      </c>
      <c r="E7568" t="s">
        <v>190</v>
      </c>
      <c r="F7568">
        <v>3</v>
      </c>
      <c r="G7568" t="s">
        <v>488</v>
      </c>
      <c r="H7568" s="4">
        <v>100084929</v>
      </c>
      <c r="I7568" s="4">
        <v>101654981.58629805</v>
      </c>
      <c r="J7568" s="3">
        <v>0.015687202878447846</v>
      </c>
      <c r="K7568" s="3">
        <v>-0.015444915357789746</v>
      </c>
      <c r="L7568" t="s">
        <v>54</v>
      </c>
    </row>
    <row r="7569" spans="1:12" x14ac:dyDescent="0.25">
      <c r="A7569" t="s">
        <v>490</v>
      </c>
      <c r="B7569" t="s">
        <v>491</v>
      </c>
      <c r="C7569" t="s">
        <v>492</v>
      </c>
      <c r="D7569" t="s">
        <v>184</v>
      </c>
      <c r="E7569" t="s">
        <v>190</v>
      </c>
      <c r="F7569">
        <v>3</v>
      </c>
      <c r="G7569" t="s">
        <v>498</v>
      </c>
      <c r="H7569" s="4">
        <v>100084929</v>
      </c>
      <c r="I7569" s="4">
        <v>99925614</v>
      </c>
      <c r="J7569" s="3">
        <v>0.0015917981017901307</v>
      </c>
      <c r="K7569" s="3">
        <v>0.0015943359627492507</v>
      </c>
      <c r="L7569" t="s">
        <v>54</v>
      </c>
    </row>
    <row r="7570" spans="1:12" x14ac:dyDescent="0.25">
      <c r="A7570" t="s">
        <v>490</v>
      </c>
      <c r="B7570" t="s">
        <v>491</v>
      </c>
      <c r="C7570" t="s">
        <v>492</v>
      </c>
      <c r="D7570" t="s">
        <v>184</v>
      </c>
      <c r="E7570" t="s">
        <v>190</v>
      </c>
      <c r="F7570">
        <v>3</v>
      </c>
      <c r="G7570" t="s">
        <v>499</v>
      </c>
      <c r="H7570" s="4">
        <v>100084929</v>
      </c>
      <c r="I7570" s="4">
        <v>56008101</v>
      </c>
      <c r="J7570" s="3">
        <v>0.44039425756099604</v>
      </c>
      <c r="K7570" s="3">
        <v>0.7869723703005035</v>
      </c>
      <c r="L7570" t="s">
        <v>54</v>
      </c>
    </row>
    <row r="7571" spans="1:12" x14ac:dyDescent="0.25">
      <c r="A7571" t="s">
        <v>490</v>
      </c>
      <c r="B7571" t="s">
        <v>491</v>
      </c>
      <c r="C7571" t="s">
        <v>492</v>
      </c>
      <c r="D7571" t="s">
        <v>186</v>
      </c>
      <c r="E7571" t="s">
        <v>188</v>
      </c>
      <c r="F7571">
        <v>1</v>
      </c>
      <c r="G7571" t="s">
        <v>488</v>
      </c>
      <c r="H7571" s="4">
        <v>82153790</v>
      </c>
      <c r="I7571" s="4">
        <v>100841825.16666268</v>
      </c>
      <c r="J7571" s="3">
        <v>0.2274762389740349</v>
      </c>
      <c r="K7571" s="3">
        <v>-0.18532027891975084</v>
      </c>
      <c r="L7571" t="s">
        <v>54</v>
      </c>
    </row>
    <row r="7572" spans="1:12" x14ac:dyDescent="0.25">
      <c r="A7572" t="s">
        <v>490</v>
      </c>
      <c r="B7572" t="s">
        <v>491</v>
      </c>
      <c r="C7572" t="s">
        <v>492</v>
      </c>
      <c r="D7572" t="s">
        <v>186</v>
      </c>
      <c r="E7572" t="s">
        <v>188</v>
      </c>
      <c r="F7572">
        <v>1</v>
      </c>
      <c r="G7572" t="s">
        <v>498</v>
      </c>
      <c r="H7572" s="4">
        <v>82153790</v>
      </c>
      <c r="I7572" s="4">
        <v>102295197</v>
      </c>
      <c r="J7572" s="3">
        <v>0.24516710671534447</v>
      </c>
      <c r="K7572" s="3">
        <v>-0.1968949431711833</v>
      </c>
      <c r="L7572" t="s">
        <v>54</v>
      </c>
    </row>
    <row r="7573" spans="1:12" x14ac:dyDescent="0.25">
      <c r="A7573" t="s">
        <v>490</v>
      </c>
      <c r="B7573" t="s">
        <v>491</v>
      </c>
      <c r="C7573" t="s">
        <v>492</v>
      </c>
      <c r="D7573" t="s">
        <v>186</v>
      </c>
      <c r="E7573" t="s">
        <v>188</v>
      </c>
      <c r="F7573">
        <v>1</v>
      </c>
      <c r="G7573" t="s">
        <v>499</v>
      </c>
      <c r="H7573" s="4">
        <v>82153790</v>
      </c>
      <c r="I7573" s="4">
        <v>72623845</v>
      </c>
      <c r="J7573" s="3">
        <v>0.11600128247278671</v>
      </c>
      <c r="K7573" s="3">
        <v>0.13122336059182765</v>
      </c>
      <c r="L7573" t="s">
        <v>54</v>
      </c>
    </row>
    <row r="7574" spans="1:12" x14ac:dyDescent="0.25">
      <c r="A7574" t="s">
        <v>490</v>
      </c>
      <c r="B7574" t="s">
        <v>491</v>
      </c>
      <c r="C7574" t="s">
        <v>492</v>
      </c>
      <c r="D7574" t="s">
        <v>186</v>
      </c>
      <c r="E7574" t="s">
        <v>190</v>
      </c>
      <c r="F7574">
        <v>2</v>
      </c>
      <c r="G7574" t="s">
        <v>488</v>
      </c>
      <c r="H7574" s="4">
        <v>100084929</v>
      </c>
      <c r="I7574" s="4">
        <v>98505908.31414519</v>
      </c>
      <c r="J7574" s="3">
        <v>0.015776807773474143</v>
      </c>
      <c r="K7574" s="3">
        <v>0.016029705353501768</v>
      </c>
      <c r="L7574" t="s">
        <v>54</v>
      </c>
    </row>
    <row r="7575" spans="1:12" x14ac:dyDescent="0.25">
      <c r="A7575" t="s">
        <v>490</v>
      </c>
      <c r="B7575" t="s">
        <v>491</v>
      </c>
      <c r="C7575" t="s">
        <v>492</v>
      </c>
      <c r="D7575" t="s">
        <v>186</v>
      </c>
      <c r="E7575" t="s">
        <v>190</v>
      </c>
      <c r="F7575">
        <v>2</v>
      </c>
      <c r="G7575" t="s">
        <v>498</v>
      </c>
      <c r="H7575" s="4">
        <v>100084929</v>
      </c>
      <c r="I7575" s="4">
        <v>99925614</v>
      </c>
      <c r="J7575" s="3">
        <v>0.0015917981017901307</v>
      </c>
      <c r="K7575" s="3">
        <v>0.0015943359627492507</v>
      </c>
      <c r="L7575" t="s">
        <v>54</v>
      </c>
    </row>
    <row r="7576" spans="1:12" x14ac:dyDescent="0.25">
      <c r="A7576" t="s">
        <v>490</v>
      </c>
      <c r="B7576" t="s">
        <v>491</v>
      </c>
      <c r="C7576" t="s">
        <v>492</v>
      </c>
      <c r="D7576" t="s">
        <v>186</v>
      </c>
      <c r="E7576" t="s">
        <v>190</v>
      </c>
      <c r="F7576">
        <v>2</v>
      </c>
      <c r="G7576" t="s">
        <v>499</v>
      </c>
      <c r="H7576" s="4">
        <v>100084929</v>
      </c>
      <c r="I7576" s="4">
        <v>72623845</v>
      </c>
      <c r="J7576" s="3">
        <v>0.27437781366663105</v>
      </c>
      <c r="K7576" s="3">
        <v>0.3781276521506125</v>
      </c>
      <c r="L7576" t="s">
        <v>54</v>
      </c>
    </row>
    <row r="7577" spans="1:12" x14ac:dyDescent="0.25">
      <c r="A7577" t="s">
        <v>490</v>
      </c>
      <c r="B7577" t="s">
        <v>491</v>
      </c>
      <c r="C7577" t="s">
        <v>492</v>
      </c>
      <c r="D7577" t="s">
        <v>186</v>
      </c>
      <c r="E7577" t="s">
        <v>192</v>
      </c>
      <c r="F7577">
        <v>3</v>
      </c>
      <c r="G7577" t="s">
        <v>488</v>
      </c>
      <c r="H7577" s="4">
        <v>102518284</v>
      </c>
      <c r="I7577" s="4">
        <v>112257133.28049012</v>
      </c>
      <c r="J7577" s="3">
        <v>0.09499621824034936</v>
      </c>
      <c r="K7577" s="3">
        <v>-0.0867548368276628</v>
      </c>
      <c r="L7577" t="s">
        <v>54</v>
      </c>
    </row>
    <row r="7578" spans="1:12" x14ac:dyDescent="0.25">
      <c r="A7578" t="s">
        <v>490</v>
      </c>
      <c r="B7578" t="s">
        <v>491</v>
      </c>
      <c r="C7578" t="s">
        <v>492</v>
      </c>
      <c r="D7578" t="s">
        <v>186</v>
      </c>
      <c r="E7578" t="s">
        <v>192</v>
      </c>
      <c r="F7578">
        <v>3</v>
      </c>
      <c r="G7578" t="s">
        <v>498</v>
      </c>
      <c r="H7578" s="4">
        <v>102518284</v>
      </c>
      <c r="I7578" s="4">
        <v>113875027</v>
      </c>
      <c r="J7578" s="3">
        <v>0.11077773209703744</v>
      </c>
      <c r="K7578" s="3">
        <v>-0.09972988195208068</v>
      </c>
      <c r="L7578" t="s">
        <v>54</v>
      </c>
    </row>
    <row r="7579" spans="1:12" x14ac:dyDescent="0.25">
      <c r="A7579" t="s">
        <v>490</v>
      </c>
      <c r="B7579" t="s">
        <v>491</v>
      </c>
      <c r="C7579" t="s">
        <v>492</v>
      </c>
      <c r="D7579" t="s">
        <v>186</v>
      </c>
      <c r="E7579" t="s">
        <v>192</v>
      </c>
      <c r="F7579">
        <v>3</v>
      </c>
      <c r="G7579" t="s">
        <v>499</v>
      </c>
      <c r="H7579" s="4">
        <v>102518284</v>
      </c>
      <c r="I7579" s="4">
        <v>72623845</v>
      </c>
      <c r="J7579" s="3">
        <v>0.2916010474775407</v>
      </c>
      <c r="K7579" s="3">
        <v>0.4116339337307189</v>
      </c>
      <c r="L7579" t="s">
        <v>54</v>
      </c>
    </row>
    <row r="7580" spans="1:12" x14ac:dyDescent="0.25">
      <c r="A7580" t="s">
        <v>490</v>
      </c>
      <c r="B7580" t="s">
        <v>491</v>
      </c>
      <c r="C7580" t="s">
        <v>492</v>
      </c>
      <c r="D7580" t="s">
        <v>188</v>
      </c>
      <c r="E7580" t="s">
        <v>190</v>
      </c>
      <c r="F7580">
        <v>1</v>
      </c>
      <c r="G7580" t="s">
        <v>488</v>
      </c>
      <c r="H7580" s="4">
        <v>100084929</v>
      </c>
      <c r="I7580" s="4">
        <v>95949388.07786323</v>
      </c>
      <c r="J7580" s="3">
        <v>0.0413203162899458</v>
      </c>
      <c r="K7580" s="3">
        <v>0.04310127458843994</v>
      </c>
      <c r="L7580" t="s">
        <v>54</v>
      </c>
    </row>
    <row r="7581" spans="1:12" x14ac:dyDescent="0.25">
      <c r="A7581" t="s">
        <v>490</v>
      </c>
      <c r="B7581" t="s">
        <v>491</v>
      </c>
      <c r="C7581" t="s">
        <v>492</v>
      </c>
      <c r="D7581" t="s">
        <v>188</v>
      </c>
      <c r="E7581" t="s">
        <v>190</v>
      </c>
      <c r="F7581">
        <v>1</v>
      </c>
      <c r="G7581" t="s">
        <v>498</v>
      </c>
      <c r="H7581" s="4">
        <v>100084929</v>
      </c>
      <c r="I7581" s="4">
        <v>99925614</v>
      </c>
      <c r="J7581" s="3">
        <v>0.0015917981017901307</v>
      </c>
      <c r="K7581" s="3">
        <v>0.0015943359627492507</v>
      </c>
      <c r="L7581" t="s">
        <v>54</v>
      </c>
    </row>
    <row r="7582" spans="1:12" x14ac:dyDescent="0.25">
      <c r="A7582" t="s">
        <v>490</v>
      </c>
      <c r="B7582" t="s">
        <v>491</v>
      </c>
      <c r="C7582" t="s">
        <v>492</v>
      </c>
      <c r="D7582" t="s">
        <v>188</v>
      </c>
      <c r="E7582" t="s">
        <v>190</v>
      </c>
      <c r="F7582">
        <v>1</v>
      </c>
      <c r="G7582" t="s">
        <v>499</v>
      </c>
      <c r="H7582" s="4">
        <v>100084929</v>
      </c>
      <c r="I7582" s="4">
        <v>82153790</v>
      </c>
      <c r="J7582" s="3">
        <v>0.17915923185597704</v>
      </c>
      <c r="K7582" s="3">
        <v>0.21826307708993098</v>
      </c>
      <c r="L7582" t="s">
        <v>54</v>
      </c>
    </row>
    <row r="7583" spans="1:12" x14ac:dyDescent="0.25">
      <c r="A7583" t="s">
        <v>490</v>
      </c>
      <c r="B7583" t="s">
        <v>491</v>
      </c>
      <c r="C7583" t="s">
        <v>492</v>
      </c>
      <c r="D7583" t="s">
        <v>188</v>
      </c>
      <c r="E7583" t="s">
        <v>192</v>
      </c>
      <c r="F7583">
        <v>2</v>
      </c>
      <c r="G7583" t="s">
        <v>488</v>
      </c>
      <c r="H7583" s="4">
        <v>102518284</v>
      </c>
      <c r="I7583" s="4">
        <v>109343728.00551572</v>
      </c>
      <c r="J7583" s="3">
        <v>0.06657782143052379</v>
      </c>
      <c r="K7583" s="3">
        <v>-0.062421906862105726</v>
      </c>
      <c r="L7583" t="s">
        <v>54</v>
      </c>
    </row>
    <row r="7584" spans="1:12" x14ac:dyDescent="0.25">
      <c r="A7584" t="s">
        <v>490</v>
      </c>
      <c r="B7584" t="s">
        <v>491</v>
      </c>
      <c r="C7584" t="s">
        <v>492</v>
      </c>
      <c r="D7584" t="s">
        <v>188</v>
      </c>
      <c r="E7584" t="s">
        <v>192</v>
      </c>
      <c r="F7584">
        <v>2</v>
      </c>
      <c r="G7584" t="s">
        <v>498</v>
      </c>
      <c r="H7584" s="4">
        <v>102518284</v>
      </c>
      <c r="I7584" s="4">
        <v>113875027</v>
      </c>
      <c r="J7584" s="3">
        <v>0.11077773209703744</v>
      </c>
      <c r="K7584" s="3">
        <v>-0.09972988195208068</v>
      </c>
      <c r="L7584" t="s">
        <v>54</v>
      </c>
    </row>
    <row r="7585" spans="1:12" x14ac:dyDescent="0.25">
      <c r="A7585" t="s">
        <v>490</v>
      </c>
      <c r="B7585" t="s">
        <v>491</v>
      </c>
      <c r="C7585" t="s">
        <v>492</v>
      </c>
      <c r="D7585" t="s">
        <v>188</v>
      </c>
      <c r="E7585" t="s">
        <v>192</v>
      </c>
      <c r="F7585">
        <v>2</v>
      </c>
      <c r="G7585" t="s">
        <v>499</v>
      </c>
      <c r="H7585" s="4">
        <v>102518284</v>
      </c>
      <c r="I7585" s="4">
        <v>82153790</v>
      </c>
      <c r="J7585" s="3">
        <v>0.19864255628781302</v>
      </c>
      <c r="K7585" s="3">
        <v>0.2478825870358507</v>
      </c>
      <c r="L7585" t="s">
        <v>54</v>
      </c>
    </row>
    <row r="7586" spans="1:12" x14ac:dyDescent="0.25">
      <c r="A7586" t="s">
        <v>490</v>
      </c>
      <c r="B7586" t="s">
        <v>491</v>
      </c>
      <c r="C7586" t="s">
        <v>492</v>
      </c>
      <c r="D7586" t="s">
        <v>188</v>
      </c>
      <c r="E7586" t="s">
        <v>194</v>
      </c>
      <c r="F7586">
        <v>3</v>
      </c>
      <c r="G7586" t="s">
        <v>488</v>
      </c>
      <c r="H7586" s="4">
        <v>81526048</v>
      </c>
      <c r="I7586" s="4">
        <v>94757960.856046</v>
      </c>
      <c r="J7586" s="3">
        <v>0.1623028857727288</v>
      </c>
      <c r="K7586" s="3">
        <v>-0.139639062897814</v>
      </c>
      <c r="L7586" t="s">
        <v>54</v>
      </c>
    </row>
    <row r="7587" spans="1:12" x14ac:dyDescent="0.25">
      <c r="A7587" t="s">
        <v>490</v>
      </c>
      <c r="B7587" t="s">
        <v>491</v>
      </c>
      <c r="C7587" t="s">
        <v>492</v>
      </c>
      <c r="D7587" t="s">
        <v>188</v>
      </c>
      <c r="E7587" t="s">
        <v>194</v>
      </c>
      <c r="F7587">
        <v>3</v>
      </c>
      <c r="G7587" t="s">
        <v>498</v>
      </c>
      <c r="H7587" s="4">
        <v>81526048</v>
      </c>
      <c r="I7587" s="4">
        <v>98684813</v>
      </c>
      <c r="J7587" s="3">
        <v>0.21046972619106963</v>
      </c>
      <c r="K7587" s="3">
        <v>-0.1738744238183843</v>
      </c>
      <c r="L7587" t="s">
        <v>54</v>
      </c>
    </row>
    <row r="7588" spans="1:12" x14ac:dyDescent="0.25">
      <c r="A7588" t="s">
        <v>490</v>
      </c>
      <c r="B7588" t="s">
        <v>491</v>
      </c>
      <c r="C7588" t="s">
        <v>492</v>
      </c>
      <c r="D7588" t="s">
        <v>188</v>
      </c>
      <c r="E7588" t="s">
        <v>194</v>
      </c>
      <c r="F7588">
        <v>3</v>
      </c>
      <c r="G7588" t="s">
        <v>499</v>
      </c>
      <c r="H7588" s="4">
        <v>81526048</v>
      </c>
      <c r="I7588" s="4">
        <v>82153790</v>
      </c>
      <c r="J7588" s="3">
        <v>0.007699894885129229</v>
      </c>
      <c r="K7588" s="3">
        <v>-0.007641059529937694</v>
      </c>
      <c r="L7588" t="s">
        <v>54</v>
      </c>
    </row>
    <row r="7589" spans="1:12" x14ac:dyDescent="0.25">
      <c r="A7589" t="s">
        <v>490</v>
      </c>
      <c r="B7589" t="s">
        <v>491</v>
      </c>
      <c r="C7589" t="s">
        <v>492</v>
      </c>
      <c r="D7589" t="s">
        <v>190</v>
      </c>
      <c r="E7589" t="s">
        <v>192</v>
      </c>
      <c r="F7589">
        <v>1</v>
      </c>
      <c r="G7589" t="s">
        <v>488</v>
      </c>
      <c r="H7589" s="4">
        <v>102518284</v>
      </c>
      <c r="I7589" s="4">
        <v>107771060.80153005</v>
      </c>
      <c r="J7589" s="3">
        <v>0.05123746317808098</v>
      </c>
      <c r="K7589" s="3">
        <v>-0.04874014194964177</v>
      </c>
      <c r="L7589" t="s">
        <v>54</v>
      </c>
    </row>
    <row r="7590" spans="1:12" x14ac:dyDescent="0.25">
      <c r="A7590" t="s">
        <v>490</v>
      </c>
      <c r="B7590" t="s">
        <v>491</v>
      </c>
      <c r="C7590" t="s">
        <v>492</v>
      </c>
      <c r="D7590" t="s">
        <v>190</v>
      </c>
      <c r="E7590" t="s">
        <v>192</v>
      </c>
      <c r="F7590">
        <v>1</v>
      </c>
      <c r="G7590" t="s">
        <v>498</v>
      </c>
      <c r="H7590" s="4">
        <v>102518284</v>
      </c>
      <c r="I7590" s="4">
        <v>113875027</v>
      </c>
      <c r="J7590" s="3">
        <v>0.11077773209703744</v>
      </c>
      <c r="K7590" s="3">
        <v>-0.09972988195208068</v>
      </c>
      <c r="L7590" t="s">
        <v>54</v>
      </c>
    </row>
    <row r="7591" spans="1:12" x14ac:dyDescent="0.25">
      <c r="A7591" t="s">
        <v>490</v>
      </c>
      <c r="B7591" t="s">
        <v>491</v>
      </c>
      <c r="C7591" t="s">
        <v>492</v>
      </c>
      <c r="D7591" t="s">
        <v>190</v>
      </c>
      <c r="E7591" t="s">
        <v>192</v>
      </c>
      <c r="F7591">
        <v>1</v>
      </c>
      <c r="G7591" t="s">
        <v>499</v>
      </c>
      <c r="H7591" s="4">
        <v>102518284</v>
      </c>
      <c r="I7591" s="4">
        <v>100084929</v>
      </c>
      <c r="J7591" s="3">
        <v>0.023735814774269923</v>
      </c>
      <c r="K7591" s="3">
        <v>0.02431290129605827</v>
      </c>
      <c r="L7591" t="s">
        <v>54</v>
      </c>
    </row>
    <row r="7592" spans="1:12" x14ac:dyDescent="0.25">
      <c r="A7592" t="s">
        <v>490</v>
      </c>
      <c r="B7592" t="s">
        <v>491</v>
      </c>
      <c r="C7592" t="s">
        <v>492</v>
      </c>
      <c r="D7592" t="s">
        <v>190</v>
      </c>
      <c r="E7592" t="s">
        <v>194</v>
      </c>
      <c r="F7592">
        <v>2</v>
      </c>
      <c r="G7592" t="s">
        <v>488</v>
      </c>
      <c r="H7592" s="4">
        <v>81526048</v>
      </c>
      <c r="I7592" s="4">
        <v>93395077.58808807</v>
      </c>
      <c r="J7592" s="3">
        <v>0.14558573461193736</v>
      </c>
      <c r="K7592" s="3">
        <v>-0.12708410223112104</v>
      </c>
      <c r="L7592" t="s">
        <v>54</v>
      </c>
    </row>
    <row r="7593" spans="1:12" x14ac:dyDescent="0.25">
      <c r="A7593" t="s">
        <v>490</v>
      </c>
      <c r="B7593" t="s">
        <v>491</v>
      </c>
      <c r="C7593" t="s">
        <v>492</v>
      </c>
      <c r="D7593" t="s">
        <v>190</v>
      </c>
      <c r="E7593" t="s">
        <v>194</v>
      </c>
      <c r="F7593">
        <v>2</v>
      </c>
      <c r="G7593" t="s">
        <v>498</v>
      </c>
      <c r="H7593" s="4">
        <v>81526048</v>
      </c>
      <c r="I7593" s="4">
        <v>98684813</v>
      </c>
      <c r="J7593" s="3">
        <v>0.21046972619106963</v>
      </c>
      <c r="K7593" s="3">
        <v>-0.1738744238183843</v>
      </c>
      <c r="L7593" t="s">
        <v>54</v>
      </c>
    </row>
    <row r="7594" spans="1:12" x14ac:dyDescent="0.25">
      <c r="A7594" t="s">
        <v>490</v>
      </c>
      <c r="B7594" t="s">
        <v>491</v>
      </c>
      <c r="C7594" t="s">
        <v>492</v>
      </c>
      <c r="D7594" t="s">
        <v>190</v>
      </c>
      <c r="E7594" t="s">
        <v>194</v>
      </c>
      <c r="F7594">
        <v>2</v>
      </c>
      <c r="G7594" t="s">
        <v>499</v>
      </c>
      <c r="H7594" s="4">
        <v>81526048</v>
      </c>
      <c r="I7594" s="4">
        <v>100084929</v>
      </c>
      <c r="J7594" s="3">
        <v>0.22764357472595753</v>
      </c>
      <c r="K7594" s="3">
        <v>-0.1854313250299653</v>
      </c>
      <c r="L7594" t="s">
        <v>54</v>
      </c>
    </row>
    <row r="7595" spans="1:12" x14ac:dyDescent="0.25">
      <c r="A7595" t="s">
        <v>490</v>
      </c>
      <c r="B7595" t="s">
        <v>491</v>
      </c>
      <c r="C7595" t="s">
        <v>492</v>
      </c>
      <c r="D7595" t="s">
        <v>190</v>
      </c>
      <c r="E7595" t="s">
        <v>196</v>
      </c>
      <c r="F7595">
        <v>3</v>
      </c>
      <c r="G7595" t="s">
        <v>488</v>
      </c>
      <c r="H7595" s="4">
        <v>72386607</v>
      </c>
      <c r="I7595" s="4">
        <v>66363519.22843555</v>
      </c>
      <c r="J7595" s="3">
        <v>0.08320721223422513</v>
      </c>
      <c r="K7595" s="3">
        <v>0.09075901702608416</v>
      </c>
      <c r="L7595" t="s">
        <v>54</v>
      </c>
    </row>
    <row r="7596" spans="1:12" x14ac:dyDescent="0.25">
      <c r="A7596" t="s">
        <v>490</v>
      </c>
      <c r="B7596" t="s">
        <v>491</v>
      </c>
      <c r="C7596" t="s">
        <v>492</v>
      </c>
      <c r="D7596" t="s">
        <v>190</v>
      </c>
      <c r="E7596" t="s">
        <v>196</v>
      </c>
      <c r="F7596">
        <v>3</v>
      </c>
      <c r="G7596" t="s">
        <v>498</v>
      </c>
      <c r="H7596" s="4">
        <v>72386607</v>
      </c>
      <c r="I7596" s="4">
        <v>70122234</v>
      </c>
      <c r="J7596" s="3">
        <v>0.03128165684019421</v>
      </c>
      <c r="K7596" s="3">
        <v>0.032291797777007504</v>
      </c>
      <c r="L7596" t="s">
        <v>54</v>
      </c>
    </row>
    <row r="7597" spans="1:12" x14ac:dyDescent="0.25">
      <c r="A7597" t="s">
        <v>490</v>
      </c>
      <c r="B7597" t="s">
        <v>491</v>
      </c>
      <c r="C7597" t="s">
        <v>492</v>
      </c>
      <c r="D7597" t="s">
        <v>190</v>
      </c>
      <c r="E7597" t="s">
        <v>196</v>
      </c>
      <c r="F7597">
        <v>3</v>
      </c>
      <c r="G7597" t="s">
        <v>499</v>
      </c>
      <c r="H7597" s="4">
        <v>72386607</v>
      </c>
      <c r="I7597" s="4">
        <v>100084929</v>
      </c>
      <c r="J7597" s="3">
        <v>0.38264429219620694</v>
      </c>
      <c r="K7597" s="3">
        <v>-0.2767481805377511</v>
      </c>
      <c r="L7597" t="s">
        <v>54</v>
      </c>
    </row>
    <row r="7598" spans="1:12" x14ac:dyDescent="0.25">
      <c r="A7598" t="s">
        <v>490</v>
      </c>
      <c r="B7598" t="s">
        <v>491</v>
      </c>
      <c r="C7598" t="s">
        <v>492</v>
      </c>
      <c r="D7598" t="s">
        <v>192</v>
      </c>
      <c r="E7598" t="s">
        <v>194</v>
      </c>
      <c r="F7598">
        <v>1</v>
      </c>
      <c r="G7598" t="s">
        <v>488</v>
      </c>
      <c r="H7598" s="4">
        <v>81526048</v>
      </c>
      <c r="I7598" s="4">
        <v>91164962.02844052</v>
      </c>
      <c r="J7598" s="3">
        <v>0.11823109625576994</v>
      </c>
      <c r="K7598" s="3">
        <v>-0.1057304672099078</v>
      </c>
      <c r="L7598" t="s">
        <v>54</v>
      </c>
    </row>
    <row r="7599" spans="1:12" x14ac:dyDescent="0.25">
      <c r="A7599" t="s">
        <v>490</v>
      </c>
      <c r="B7599" t="s">
        <v>491</v>
      </c>
      <c r="C7599" t="s">
        <v>492</v>
      </c>
      <c r="D7599" t="s">
        <v>192</v>
      </c>
      <c r="E7599" t="s">
        <v>194</v>
      </c>
      <c r="F7599">
        <v>1</v>
      </c>
      <c r="G7599" t="s">
        <v>498</v>
      </c>
      <c r="H7599" s="4">
        <v>81526048</v>
      </c>
      <c r="I7599" s="4">
        <v>98684813</v>
      </c>
      <c r="J7599" s="3">
        <v>0.21046972619106963</v>
      </c>
      <c r="K7599" s="3">
        <v>-0.1738744238183843</v>
      </c>
      <c r="L7599" t="s">
        <v>54</v>
      </c>
    </row>
    <row r="7600" spans="1:12" x14ac:dyDescent="0.25">
      <c r="A7600" t="s">
        <v>490</v>
      </c>
      <c r="B7600" t="s">
        <v>491</v>
      </c>
      <c r="C7600" t="s">
        <v>492</v>
      </c>
      <c r="D7600" t="s">
        <v>192</v>
      </c>
      <c r="E7600" t="s">
        <v>194</v>
      </c>
      <c r="F7600">
        <v>1</v>
      </c>
      <c r="G7600" t="s">
        <v>499</v>
      </c>
      <c r="H7600" s="4">
        <v>81526048</v>
      </c>
      <c r="I7600" s="4">
        <v>102518284</v>
      </c>
      <c r="J7600" s="3">
        <v>0.25749115178500986</v>
      </c>
      <c r="K7600" s="3">
        <v>-0.20476577621997652</v>
      </c>
      <c r="L7600" t="s">
        <v>54</v>
      </c>
    </row>
    <row r="7601" spans="1:12" x14ac:dyDescent="0.25">
      <c r="A7601" t="s">
        <v>490</v>
      </c>
      <c r="B7601" t="s">
        <v>491</v>
      </c>
      <c r="C7601" t="s">
        <v>492</v>
      </c>
      <c r="D7601" t="s">
        <v>192</v>
      </c>
      <c r="E7601" t="s">
        <v>196</v>
      </c>
      <c r="F7601">
        <v>2</v>
      </c>
      <c r="G7601" t="s">
        <v>488</v>
      </c>
      <c r="H7601" s="4">
        <v>72386607</v>
      </c>
      <c r="I7601" s="4">
        <v>64778871.29359429</v>
      </c>
      <c r="J7601" s="3">
        <v>0.10509866426541731</v>
      </c>
      <c r="K7601" s="3">
        <v>0.11744162185113595</v>
      </c>
      <c r="L7601" t="s">
        <v>54</v>
      </c>
    </row>
    <row r="7602" spans="1:12" x14ac:dyDescent="0.25">
      <c r="A7602" t="s">
        <v>490</v>
      </c>
      <c r="B7602" t="s">
        <v>491</v>
      </c>
      <c r="C7602" t="s">
        <v>492</v>
      </c>
      <c r="D7602" t="s">
        <v>192</v>
      </c>
      <c r="E7602" t="s">
        <v>196</v>
      </c>
      <c r="F7602">
        <v>2</v>
      </c>
      <c r="G7602" t="s">
        <v>498</v>
      </c>
      <c r="H7602" s="4">
        <v>72386607</v>
      </c>
      <c r="I7602" s="4">
        <v>70122234</v>
      </c>
      <c r="J7602" s="3">
        <v>0.03128165684019421</v>
      </c>
      <c r="K7602" s="3">
        <v>0.032291797777007504</v>
      </c>
      <c r="L7602" t="s">
        <v>54</v>
      </c>
    </row>
    <row r="7603" spans="1:12" x14ac:dyDescent="0.25">
      <c r="A7603" t="s">
        <v>490</v>
      </c>
      <c r="B7603" t="s">
        <v>491</v>
      </c>
      <c r="C7603" t="s">
        <v>492</v>
      </c>
      <c r="D7603" t="s">
        <v>192</v>
      </c>
      <c r="E7603" t="s">
        <v>196</v>
      </c>
      <c r="F7603">
        <v>2</v>
      </c>
      <c r="G7603" t="s">
        <v>499</v>
      </c>
      <c r="H7603" s="4">
        <v>72386607</v>
      </c>
      <c r="I7603" s="4">
        <v>102518284</v>
      </c>
      <c r="J7603" s="3">
        <v>0.4162603863999317</v>
      </c>
      <c r="K7603" s="3">
        <v>-0.29391515175966076</v>
      </c>
      <c r="L7603" t="s">
        <v>54</v>
      </c>
    </row>
    <row r="7604" spans="1:12" x14ac:dyDescent="0.25">
      <c r="A7604" t="s">
        <v>490</v>
      </c>
      <c r="B7604" t="s">
        <v>491</v>
      </c>
      <c r="C7604" t="s">
        <v>492</v>
      </c>
      <c r="D7604" t="s">
        <v>192</v>
      </c>
      <c r="E7604" t="s">
        <v>198</v>
      </c>
      <c r="F7604">
        <v>3</v>
      </c>
      <c r="G7604" t="s">
        <v>488</v>
      </c>
      <c r="H7604" s="4">
        <v>100400589</v>
      </c>
      <c r="I7604" s="4">
        <v>76803712.85011274</v>
      </c>
      <c r="J7604" s="3">
        <v>0.23502726811580024</v>
      </c>
      <c r="K7604" s="3">
        <v>0.30723613838745073</v>
      </c>
      <c r="L7604" t="s">
        <v>54</v>
      </c>
    </row>
    <row r="7605" spans="1:12" x14ac:dyDescent="0.25">
      <c r="A7605" t="s">
        <v>490</v>
      </c>
      <c r="B7605" t="s">
        <v>491</v>
      </c>
      <c r="C7605" t="s">
        <v>492</v>
      </c>
      <c r="D7605" t="s">
        <v>192</v>
      </c>
      <c r="E7605" t="s">
        <v>198</v>
      </c>
      <c r="F7605">
        <v>3</v>
      </c>
      <c r="G7605" t="s">
        <v>498</v>
      </c>
      <c r="H7605" s="4">
        <v>100400589</v>
      </c>
      <c r="I7605" s="4">
        <v>83138959</v>
      </c>
      <c r="J7605" s="3">
        <v>0.17192757703841757</v>
      </c>
      <c r="K7605" s="3">
        <v>0.20762384094802053</v>
      </c>
      <c r="L7605" t="s">
        <v>54</v>
      </c>
    </row>
    <row r="7606" spans="1:12" x14ac:dyDescent="0.25">
      <c r="A7606" t="s">
        <v>490</v>
      </c>
      <c r="B7606" t="s">
        <v>491</v>
      </c>
      <c r="C7606" t="s">
        <v>492</v>
      </c>
      <c r="D7606" t="s">
        <v>192</v>
      </c>
      <c r="E7606" t="s">
        <v>198</v>
      </c>
      <c r="F7606">
        <v>3</v>
      </c>
      <c r="G7606" t="s">
        <v>499</v>
      </c>
      <c r="H7606" s="4">
        <v>100400589</v>
      </c>
      <c r="I7606" s="4">
        <v>102518284</v>
      </c>
      <c r="J7606" s="3">
        <v>0.021092455941667834</v>
      </c>
      <c r="K7606" s="3">
        <v>-0.020656754262488437</v>
      </c>
      <c r="L7606" t="s">
        <v>54</v>
      </c>
    </row>
    <row r="7607" spans="1:12" x14ac:dyDescent="0.25">
      <c r="A7607" t="s">
        <v>490</v>
      </c>
      <c r="B7607" t="s">
        <v>491</v>
      </c>
      <c r="C7607" t="s">
        <v>492</v>
      </c>
      <c r="D7607" t="s">
        <v>194</v>
      </c>
      <c r="E7607" t="s">
        <v>196</v>
      </c>
      <c r="F7607">
        <v>1</v>
      </c>
      <c r="G7607" t="s">
        <v>488</v>
      </c>
      <c r="H7607" s="4">
        <v>72386607</v>
      </c>
      <c r="I7607" s="4">
        <v>63022529.41783609</v>
      </c>
      <c r="J7607" s="3">
        <v>0.12936201833805952</v>
      </c>
      <c r="K7607" s="3">
        <v>0.14858301735369206</v>
      </c>
      <c r="L7607" t="s">
        <v>54</v>
      </c>
    </row>
    <row r="7608" spans="1:12" x14ac:dyDescent="0.25">
      <c r="A7608" t="s">
        <v>490</v>
      </c>
      <c r="B7608" t="s">
        <v>491</v>
      </c>
      <c r="C7608" t="s">
        <v>492</v>
      </c>
      <c r="D7608" t="s">
        <v>194</v>
      </c>
      <c r="E7608" t="s">
        <v>196</v>
      </c>
      <c r="F7608">
        <v>1</v>
      </c>
      <c r="G7608" t="s">
        <v>498</v>
      </c>
      <c r="H7608" s="4">
        <v>72386607</v>
      </c>
      <c r="I7608" s="4">
        <v>70122234</v>
      </c>
      <c r="J7608" s="3">
        <v>0.03128165684019421</v>
      </c>
      <c r="K7608" s="3">
        <v>0.032291797777007504</v>
      </c>
      <c r="L7608" t="s">
        <v>54</v>
      </c>
    </row>
    <row r="7609" spans="1:12" x14ac:dyDescent="0.25">
      <c r="A7609" t="s">
        <v>490</v>
      </c>
      <c r="B7609" t="s">
        <v>491</v>
      </c>
      <c r="C7609" t="s">
        <v>492</v>
      </c>
      <c r="D7609" t="s">
        <v>194</v>
      </c>
      <c r="E7609" t="s">
        <v>196</v>
      </c>
      <c r="F7609">
        <v>1</v>
      </c>
      <c r="G7609" t="s">
        <v>499</v>
      </c>
      <c r="H7609" s="4">
        <v>72386607</v>
      </c>
      <c r="I7609" s="4">
        <v>81526048</v>
      </c>
      <c r="J7609" s="3">
        <v>0.12625872904914578</v>
      </c>
      <c r="K7609" s="3">
        <v>-0.1121045509283119</v>
      </c>
      <c r="L7609" t="s">
        <v>54</v>
      </c>
    </row>
    <row r="7610" spans="1:12" x14ac:dyDescent="0.25">
      <c r="A7610" t="s">
        <v>490</v>
      </c>
      <c r="B7610" t="s">
        <v>491</v>
      </c>
      <c r="C7610" t="s">
        <v>492</v>
      </c>
      <c r="D7610" t="s">
        <v>194</v>
      </c>
      <c r="E7610" t="s">
        <v>198</v>
      </c>
      <c r="F7610">
        <v>2</v>
      </c>
      <c r="G7610" t="s">
        <v>488</v>
      </c>
      <c r="H7610" s="4">
        <v>100400589</v>
      </c>
      <c r="I7610" s="4">
        <v>74721342.86745298</v>
      </c>
      <c r="J7610" s="3">
        <v>0.25576788331936</v>
      </c>
      <c r="K7610" s="3">
        <v>0.3436668179009983</v>
      </c>
      <c r="L7610" t="s">
        <v>54</v>
      </c>
    </row>
    <row r="7611" spans="1:12" x14ac:dyDescent="0.25">
      <c r="A7611" t="s">
        <v>490</v>
      </c>
      <c r="B7611" t="s">
        <v>491</v>
      </c>
      <c r="C7611" t="s">
        <v>492</v>
      </c>
      <c r="D7611" t="s">
        <v>194</v>
      </c>
      <c r="E7611" t="s">
        <v>198</v>
      </c>
      <c r="F7611">
        <v>2</v>
      </c>
      <c r="G7611" t="s">
        <v>498</v>
      </c>
      <c r="H7611" s="4">
        <v>100400589</v>
      </c>
      <c r="I7611" s="4">
        <v>83138959</v>
      </c>
      <c r="J7611" s="3">
        <v>0.17192757703841757</v>
      </c>
      <c r="K7611" s="3">
        <v>0.20762384094802053</v>
      </c>
      <c r="L7611" t="s">
        <v>54</v>
      </c>
    </row>
    <row r="7612" spans="1:12" x14ac:dyDescent="0.25">
      <c r="A7612" t="s">
        <v>490</v>
      </c>
      <c r="B7612" t="s">
        <v>491</v>
      </c>
      <c r="C7612" t="s">
        <v>492</v>
      </c>
      <c r="D7612" t="s">
        <v>194</v>
      </c>
      <c r="E7612" t="s">
        <v>198</v>
      </c>
      <c r="F7612">
        <v>2</v>
      </c>
      <c r="G7612" t="s">
        <v>499</v>
      </c>
      <c r="H7612" s="4">
        <v>100400589</v>
      </c>
      <c r="I7612" s="4">
        <v>81526048</v>
      </c>
      <c r="J7612" s="3">
        <v>0.18799233339158997</v>
      </c>
      <c r="K7612" s="3">
        <v>0.23151546607533338</v>
      </c>
      <c r="L7612" t="s">
        <v>54</v>
      </c>
    </row>
    <row r="7613" spans="1:12" x14ac:dyDescent="0.25">
      <c r="A7613" t="s">
        <v>490</v>
      </c>
      <c r="B7613" t="s">
        <v>491</v>
      </c>
      <c r="C7613" t="s">
        <v>492</v>
      </c>
      <c r="D7613" t="s">
        <v>194</v>
      </c>
      <c r="E7613" t="s">
        <v>200</v>
      </c>
      <c r="F7613">
        <v>3</v>
      </c>
      <c r="G7613" t="s">
        <v>488</v>
      </c>
      <c r="H7613" s="4">
        <v>83490533</v>
      </c>
      <c r="I7613" s="4">
        <v>78854241.61633551</v>
      </c>
      <c r="J7613" s="3">
        <v>0.05553074363131073</v>
      </c>
      <c r="K7613" s="3">
        <v>0.05879571331396878</v>
      </c>
      <c r="L7613" t="s">
        <v>54</v>
      </c>
    </row>
    <row r="7614" spans="1:12" x14ac:dyDescent="0.25">
      <c r="A7614" t="s">
        <v>490</v>
      </c>
      <c r="B7614" t="s">
        <v>491</v>
      </c>
      <c r="C7614" t="s">
        <v>492</v>
      </c>
      <c r="D7614" t="s">
        <v>194</v>
      </c>
      <c r="E7614" t="s">
        <v>200</v>
      </c>
      <c r="F7614">
        <v>3</v>
      </c>
      <c r="G7614" t="s">
        <v>498</v>
      </c>
      <c r="H7614" s="4">
        <v>83490533</v>
      </c>
      <c r="I7614" s="4">
        <v>87737443</v>
      </c>
      <c r="J7614" s="3">
        <v>0.05086696476114244</v>
      </c>
      <c r="K7614" s="3">
        <v>-0.04840476146540993</v>
      </c>
      <c r="L7614" t="s">
        <v>54</v>
      </c>
    </row>
    <row r="7615" spans="1:12" x14ac:dyDescent="0.25">
      <c r="A7615" t="s">
        <v>490</v>
      </c>
      <c r="B7615" t="s">
        <v>491</v>
      </c>
      <c r="C7615" t="s">
        <v>492</v>
      </c>
      <c r="D7615" t="s">
        <v>194</v>
      </c>
      <c r="E7615" t="s">
        <v>200</v>
      </c>
      <c r="F7615">
        <v>3</v>
      </c>
      <c r="G7615" t="s">
        <v>499</v>
      </c>
      <c r="H7615" s="4">
        <v>83490533</v>
      </c>
      <c r="I7615" s="4">
        <v>81526048</v>
      </c>
      <c r="J7615" s="3">
        <v>0.02352943416950039</v>
      </c>
      <c r="K7615" s="3">
        <v>0.02409640903972188</v>
      </c>
      <c r="L7615" t="s">
        <v>54</v>
      </c>
    </row>
    <row r="7616" spans="1:12" x14ac:dyDescent="0.25">
      <c r="A7616" t="s">
        <v>490</v>
      </c>
      <c r="B7616" t="s">
        <v>491</v>
      </c>
      <c r="C7616" t="s">
        <v>492</v>
      </c>
      <c r="D7616" t="s">
        <v>196</v>
      </c>
      <c r="E7616" t="s">
        <v>198</v>
      </c>
      <c r="F7616">
        <v>1</v>
      </c>
      <c r="G7616" t="s">
        <v>488</v>
      </c>
      <c r="H7616" s="4">
        <v>100400589</v>
      </c>
      <c r="I7616" s="4">
        <v>75872468.11646731</v>
      </c>
      <c r="J7616" s="3">
        <v>0.244302559654632</v>
      </c>
      <c r="K7616" s="3">
        <v>0.323280914572082</v>
      </c>
      <c r="L7616" t="s">
        <v>54</v>
      </c>
    </row>
    <row r="7617" spans="1:12" x14ac:dyDescent="0.25">
      <c r="A7617" t="s">
        <v>490</v>
      </c>
      <c r="B7617" t="s">
        <v>491</v>
      </c>
      <c r="C7617" t="s">
        <v>492</v>
      </c>
      <c r="D7617" t="s">
        <v>196</v>
      </c>
      <c r="E7617" t="s">
        <v>198</v>
      </c>
      <c r="F7617">
        <v>1</v>
      </c>
      <c r="G7617" t="s">
        <v>498</v>
      </c>
      <c r="H7617" s="4">
        <v>100400589</v>
      </c>
      <c r="I7617" s="4">
        <v>83138959</v>
      </c>
      <c r="J7617" s="3">
        <v>0.17192757703841757</v>
      </c>
      <c r="K7617" s="3">
        <v>0.20762384094802053</v>
      </c>
      <c r="L7617" t="s">
        <v>54</v>
      </c>
    </row>
    <row r="7618" spans="1:12" x14ac:dyDescent="0.25">
      <c r="A7618" t="s">
        <v>490</v>
      </c>
      <c r="B7618" t="s">
        <v>491</v>
      </c>
      <c r="C7618" t="s">
        <v>492</v>
      </c>
      <c r="D7618" t="s">
        <v>196</v>
      </c>
      <c r="E7618" t="s">
        <v>198</v>
      </c>
      <c r="F7618">
        <v>1</v>
      </c>
      <c r="G7618" t="s">
        <v>499</v>
      </c>
      <c r="H7618" s="4">
        <v>100400589</v>
      </c>
      <c r="I7618" s="4">
        <v>72386607</v>
      </c>
      <c r="J7618" s="3">
        <v>0.2790220882070722</v>
      </c>
      <c r="K7618" s="3">
        <v>0.3870050436263714</v>
      </c>
      <c r="L7618" t="s">
        <v>54</v>
      </c>
    </row>
    <row r="7619" spans="1:12" x14ac:dyDescent="0.25">
      <c r="A7619" t="s">
        <v>490</v>
      </c>
      <c r="B7619" t="s">
        <v>491</v>
      </c>
      <c r="C7619" t="s">
        <v>492</v>
      </c>
      <c r="D7619" t="s">
        <v>196</v>
      </c>
      <c r="E7619" t="s">
        <v>200</v>
      </c>
      <c r="F7619">
        <v>2</v>
      </c>
      <c r="G7619" t="s">
        <v>488</v>
      </c>
      <c r="H7619" s="4">
        <v>83490533</v>
      </c>
      <c r="I7619" s="4">
        <v>80069036.54684766</v>
      </c>
      <c r="J7619" s="3">
        <v>0.040980651700383126</v>
      </c>
      <c r="K7619" s="3">
        <v>0.042731829939660355</v>
      </c>
      <c r="L7619" t="s">
        <v>54</v>
      </c>
    </row>
    <row r="7620" spans="1:12" x14ac:dyDescent="0.25">
      <c r="A7620" t="s">
        <v>490</v>
      </c>
      <c r="B7620" t="s">
        <v>491</v>
      </c>
      <c r="C7620" t="s">
        <v>492</v>
      </c>
      <c r="D7620" t="s">
        <v>196</v>
      </c>
      <c r="E7620" t="s">
        <v>200</v>
      </c>
      <c r="F7620">
        <v>2</v>
      </c>
      <c r="G7620" t="s">
        <v>498</v>
      </c>
      <c r="H7620" s="4">
        <v>83490533</v>
      </c>
      <c r="I7620" s="4">
        <v>87737443</v>
      </c>
      <c r="J7620" s="3">
        <v>0.05086696476114244</v>
      </c>
      <c r="K7620" s="3">
        <v>-0.04840476146540993</v>
      </c>
      <c r="L7620" t="s">
        <v>54</v>
      </c>
    </row>
    <row r="7621" spans="1:12" x14ac:dyDescent="0.25">
      <c r="A7621" t="s">
        <v>490</v>
      </c>
      <c r="B7621" t="s">
        <v>491</v>
      </c>
      <c r="C7621" t="s">
        <v>492</v>
      </c>
      <c r="D7621" t="s">
        <v>196</v>
      </c>
      <c r="E7621" t="s">
        <v>200</v>
      </c>
      <c r="F7621">
        <v>2</v>
      </c>
      <c r="G7621" t="s">
        <v>499</v>
      </c>
      <c r="H7621" s="4">
        <v>83490533</v>
      </c>
      <c r="I7621" s="4">
        <v>72386607</v>
      </c>
      <c r="J7621" s="3">
        <v>0.13299622844664316</v>
      </c>
      <c r="K7621" s="3">
        <v>0.1533975200688713</v>
      </c>
      <c r="L7621" t="s">
        <v>54</v>
      </c>
    </row>
    <row r="7622" spans="1:12" x14ac:dyDescent="0.25">
      <c r="A7622" t="s">
        <v>490</v>
      </c>
      <c r="B7622" t="s">
        <v>491</v>
      </c>
      <c r="C7622" t="s">
        <v>492</v>
      </c>
      <c r="D7622" t="s">
        <v>196</v>
      </c>
      <c r="E7622" t="s">
        <v>202</v>
      </c>
      <c r="F7622">
        <v>3</v>
      </c>
      <c r="G7622" t="s">
        <v>488</v>
      </c>
      <c r="H7622" s="4">
        <v>81357143</v>
      </c>
      <c r="I7622" s="4">
        <v>67799687.91861205</v>
      </c>
      <c r="J7622" s="3">
        <v>0.16664123863577598</v>
      </c>
      <c r="K7622" s="3">
        <v>0.19996338475278178</v>
      </c>
      <c r="L7622" t="s">
        <v>54</v>
      </c>
    </row>
    <row r="7623" spans="1:12" x14ac:dyDescent="0.25">
      <c r="A7623" t="s">
        <v>490</v>
      </c>
      <c r="B7623" t="s">
        <v>491</v>
      </c>
      <c r="C7623" t="s">
        <v>492</v>
      </c>
      <c r="D7623" t="s">
        <v>196</v>
      </c>
      <c r="E7623" t="s">
        <v>202</v>
      </c>
      <c r="F7623">
        <v>3</v>
      </c>
      <c r="G7623" t="s">
        <v>498</v>
      </c>
      <c r="H7623" s="4">
        <v>81357143</v>
      </c>
      <c r="I7623" s="4">
        <v>74293029</v>
      </c>
      <c r="J7623" s="3">
        <v>0.08682844234095094</v>
      </c>
      <c r="K7623" s="3">
        <v>0.09508447959498327</v>
      </c>
      <c r="L7623" t="s">
        <v>54</v>
      </c>
    </row>
    <row r="7624" spans="1:12" x14ac:dyDescent="0.25">
      <c r="A7624" t="s">
        <v>490</v>
      </c>
      <c r="B7624" t="s">
        <v>491</v>
      </c>
      <c r="C7624" t="s">
        <v>492</v>
      </c>
      <c r="D7624" t="s">
        <v>196</v>
      </c>
      <c r="E7624" t="s">
        <v>202</v>
      </c>
      <c r="F7624">
        <v>3</v>
      </c>
      <c r="G7624" t="s">
        <v>499</v>
      </c>
      <c r="H7624" s="4">
        <v>81357143</v>
      </c>
      <c r="I7624" s="4">
        <v>72386607</v>
      </c>
      <c r="J7624" s="3">
        <v>0.11026119734809271</v>
      </c>
      <c r="K7624" s="3">
        <v>0.12392535541830273</v>
      </c>
      <c r="L7624" t="s">
        <v>54</v>
      </c>
    </row>
    <row r="7625" spans="1:12" x14ac:dyDescent="0.25">
      <c r="A7625" t="s">
        <v>490</v>
      </c>
      <c r="B7625" t="s">
        <v>491</v>
      </c>
      <c r="C7625" t="s">
        <v>492</v>
      </c>
      <c r="D7625" t="s">
        <v>198</v>
      </c>
      <c r="E7625" t="s">
        <v>200</v>
      </c>
      <c r="F7625">
        <v>1</v>
      </c>
      <c r="G7625" t="s">
        <v>488</v>
      </c>
      <c r="H7625" s="4">
        <v>83490533</v>
      </c>
      <c r="I7625" s="4">
        <v>82278409.57373318</v>
      </c>
      <c r="J7625" s="3">
        <v>0.014518094240299307</v>
      </c>
      <c r="K7625" s="3">
        <v>0.014731974433470105</v>
      </c>
      <c r="L7625" t="s">
        <v>54</v>
      </c>
    </row>
    <row r="7626" spans="1:12" x14ac:dyDescent="0.25">
      <c r="A7626" t="s">
        <v>490</v>
      </c>
      <c r="B7626" t="s">
        <v>491</v>
      </c>
      <c r="C7626" t="s">
        <v>492</v>
      </c>
      <c r="D7626" t="s">
        <v>198</v>
      </c>
      <c r="E7626" t="s">
        <v>200</v>
      </c>
      <c r="F7626">
        <v>1</v>
      </c>
      <c r="G7626" t="s">
        <v>498</v>
      </c>
      <c r="H7626" s="4">
        <v>83490533</v>
      </c>
      <c r="I7626" s="4">
        <v>87737443</v>
      </c>
      <c r="J7626" s="3">
        <v>0.05086696476114244</v>
      </c>
      <c r="K7626" s="3">
        <v>-0.04840476146540993</v>
      </c>
      <c r="L7626" t="s">
        <v>54</v>
      </c>
    </row>
    <row r="7627" spans="1:12" x14ac:dyDescent="0.25">
      <c r="A7627" t="s">
        <v>490</v>
      </c>
      <c r="B7627" t="s">
        <v>491</v>
      </c>
      <c r="C7627" t="s">
        <v>492</v>
      </c>
      <c r="D7627" t="s">
        <v>198</v>
      </c>
      <c r="E7627" t="s">
        <v>200</v>
      </c>
      <c r="F7627">
        <v>1</v>
      </c>
      <c r="G7627" t="s">
        <v>499</v>
      </c>
      <c r="H7627" s="4">
        <v>83490533</v>
      </c>
      <c r="I7627" s="4">
        <v>100400589</v>
      </c>
      <c r="J7627" s="3">
        <v>0.20253860398759221</v>
      </c>
      <c r="K7627" s="3">
        <v>-0.1684258645136036</v>
      </c>
      <c r="L7627" t="s">
        <v>54</v>
      </c>
    </row>
    <row r="7628" spans="1:12" x14ac:dyDescent="0.25">
      <c r="A7628" t="s">
        <v>490</v>
      </c>
      <c r="B7628" t="s">
        <v>491</v>
      </c>
      <c r="C7628" t="s">
        <v>492</v>
      </c>
      <c r="D7628" t="s">
        <v>198</v>
      </c>
      <c r="E7628" t="s">
        <v>202</v>
      </c>
      <c r="F7628">
        <v>2</v>
      </c>
      <c r="G7628" t="s">
        <v>488</v>
      </c>
      <c r="H7628" s="4">
        <v>81357143</v>
      </c>
      <c r="I7628" s="4">
        <v>69670508.50268382</v>
      </c>
      <c r="J7628" s="3">
        <v>0.14364607785349814</v>
      </c>
      <c r="K7628" s="3">
        <v>0.1677414841441267</v>
      </c>
      <c r="L7628" t="s">
        <v>54</v>
      </c>
    </row>
    <row r="7629" spans="1:12" x14ac:dyDescent="0.25">
      <c r="A7629" t="s">
        <v>490</v>
      </c>
      <c r="B7629" t="s">
        <v>491</v>
      </c>
      <c r="C7629" t="s">
        <v>492</v>
      </c>
      <c r="D7629" t="s">
        <v>198</v>
      </c>
      <c r="E7629" t="s">
        <v>202</v>
      </c>
      <c r="F7629">
        <v>2</v>
      </c>
      <c r="G7629" t="s">
        <v>498</v>
      </c>
      <c r="H7629" s="4">
        <v>81357143</v>
      </c>
      <c r="I7629" s="4">
        <v>74293029</v>
      </c>
      <c r="J7629" s="3">
        <v>0.08682844234095094</v>
      </c>
      <c r="K7629" s="3">
        <v>0.09508447959498327</v>
      </c>
      <c r="L7629" t="s">
        <v>54</v>
      </c>
    </row>
    <row r="7630" spans="1:12" x14ac:dyDescent="0.25">
      <c r="A7630" t="s">
        <v>490</v>
      </c>
      <c r="B7630" t="s">
        <v>491</v>
      </c>
      <c r="C7630" t="s">
        <v>492</v>
      </c>
      <c r="D7630" t="s">
        <v>198</v>
      </c>
      <c r="E7630" t="s">
        <v>202</v>
      </c>
      <c r="F7630">
        <v>2</v>
      </c>
      <c r="G7630" t="s">
        <v>499</v>
      </c>
      <c r="H7630" s="4">
        <v>81357143</v>
      </c>
      <c r="I7630" s="4">
        <v>100400589</v>
      </c>
      <c r="J7630" s="3">
        <v>0.2340722067882841</v>
      </c>
      <c r="K7630" s="3">
        <v>-0.18967464423938787</v>
      </c>
      <c r="L7630" t="s">
        <v>54</v>
      </c>
    </row>
    <row r="7631" spans="1:12" x14ac:dyDescent="0.25">
      <c r="A7631" t="s">
        <v>490</v>
      </c>
      <c r="B7631" t="s">
        <v>491</v>
      </c>
      <c r="C7631" t="s">
        <v>492</v>
      </c>
      <c r="D7631" t="s">
        <v>198</v>
      </c>
      <c r="E7631" t="s">
        <v>204</v>
      </c>
      <c r="F7631">
        <v>3</v>
      </c>
      <c r="G7631" t="s">
        <v>488</v>
      </c>
      <c r="H7631" s="4">
        <v>63179191</v>
      </c>
      <c r="I7631" s="4">
        <v>53194759.598756485</v>
      </c>
      <c r="J7631" s="3">
        <v>0.15803354305761078</v>
      </c>
      <c r="K7631" s="3">
        <v>0.1876957707216881</v>
      </c>
      <c r="L7631" t="s">
        <v>54</v>
      </c>
    </row>
    <row r="7632" spans="1:12" x14ac:dyDescent="0.25">
      <c r="A7632" t="s">
        <v>490</v>
      </c>
      <c r="B7632" t="s">
        <v>491</v>
      </c>
      <c r="C7632" t="s">
        <v>492</v>
      </c>
      <c r="D7632" t="s">
        <v>198</v>
      </c>
      <c r="E7632" t="s">
        <v>204</v>
      </c>
      <c r="F7632">
        <v>3</v>
      </c>
      <c r="G7632" t="s">
        <v>498</v>
      </c>
      <c r="H7632" s="4">
        <v>63179191</v>
      </c>
      <c r="I7632" s="4">
        <v>56724142</v>
      </c>
      <c r="J7632" s="3">
        <v>0.10217049154681325</v>
      </c>
      <c r="K7632" s="3">
        <v>0.11379720825041302</v>
      </c>
      <c r="L7632" t="s">
        <v>54</v>
      </c>
    </row>
    <row r="7633" spans="1:12" x14ac:dyDescent="0.25">
      <c r="A7633" t="s">
        <v>490</v>
      </c>
      <c r="B7633" t="s">
        <v>491</v>
      </c>
      <c r="C7633" t="s">
        <v>492</v>
      </c>
      <c r="D7633" t="s">
        <v>198</v>
      </c>
      <c r="E7633" t="s">
        <v>204</v>
      </c>
      <c r="F7633">
        <v>3</v>
      </c>
      <c r="G7633" t="s">
        <v>499</v>
      </c>
      <c r="H7633" s="4">
        <v>63179191</v>
      </c>
      <c r="I7633" s="4">
        <v>100400589</v>
      </c>
      <c r="J7633" s="3">
        <v>0.5891401490088722</v>
      </c>
      <c r="K7633" s="3">
        <v>-0.37072888088335815</v>
      </c>
      <c r="L7633" t="s">
        <v>54</v>
      </c>
    </row>
    <row r="7634" spans="1:12" x14ac:dyDescent="0.25">
      <c r="A7634" t="s">
        <v>490</v>
      </c>
      <c r="B7634" t="s">
        <v>491</v>
      </c>
      <c r="C7634" t="s">
        <v>492</v>
      </c>
      <c r="D7634" t="s">
        <v>200</v>
      </c>
      <c r="E7634" t="s">
        <v>202</v>
      </c>
      <c r="F7634">
        <v>1</v>
      </c>
      <c r="G7634" t="s">
        <v>488</v>
      </c>
      <c r="H7634" s="4">
        <v>81357143</v>
      </c>
      <c r="I7634" s="4">
        <v>70049751.33048739</v>
      </c>
      <c r="J7634" s="3">
        <v>0.1389846208035183</v>
      </c>
      <c r="K7634" s="3">
        <v>0.16141944053684823</v>
      </c>
      <c r="L7634" t="s">
        <v>54</v>
      </c>
    </row>
    <row r="7635" spans="1:12" x14ac:dyDescent="0.25">
      <c r="A7635" t="s">
        <v>490</v>
      </c>
      <c r="B7635" t="s">
        <v>491</v>
      </c>
      <c r="C7635" t="s">
        <v>492</v>
      </c>
      <c r="D7635" t="s">
        <v>200</v>
      </c>
      <c r="E7635" t="s">
        <v>202</v>
      </c>
      <c r="F7635">
        <v>1</v>
      </c>
      <c r="G7635" t="s">
        <v>498</v>
      </c>
      <c r="H7635" s="4">
        <v>81357143</v>
      </c>
      <c r="I7635" s="4">
        <v>74293029</v>
      </c>
      <c r="J7635" s="3">
        <v>0.08682844234095094</v>
      </c>
      <c r="K7635" s="3">
        <v>0.09508447959498327</v>
      </c>
      <c r="L7635" t="s">
        <v>54</v>
      </c>
    </row>
    <row r="7636" spans="1:12" x14ac:dyDescent="0.25">
      <c r="A7636" t="s">
        <v>490</v>
      </c>
      <c r="B7636" t="s">
        <v>491</v>
      </c>
      <c r="C7636" t="s">
        <v>492</v>
      </c>
      <c r="D7636" t="s">
        <v>200</v>
      </c>
      <c r="E7636" t="s">
        <v>202</v>
      </c>
      <c r="F7636">
        <v>1</v>
      </c>
      <c r="G7636" t="s">
        <v>499</v>
      </c>
      <c r="H7636" s="4">
        <v>81357143</v>
      </c>
      <c r="I7636" s="4">
        <v>83490533</v>
      </c>
      <c r="J7636" s="3">
        <v>0.026222528487756754</v>
      </c>
      <c r="K7636" s="3">
        <v>-0.02555247790788448</v>
      </c>
      <c r="L7636" t="s">
        <v>54</v>
      </c>
    </row>
    <row r="7637" spans="1:12" x14ac:dyDescent="0.25">
      <c r="A7637" t="s">
        <v>490</v>
      </c>
      <c r="B7637" t="s">
        <v>491</v>
      </c>
      <c r="C7637" t="s">
        <v>492</v>
      </c>
      <c r="D7637" t="s">
        <v>200</v>
      </c>
      <c r="E7637" t="s">
        <v>204</v>
      </c>
      <c r="F7637">
        <v>2</v>
      </c>
      <c r="G7637" t="s">
        <v>488</v>
      </c>
      <c r="H7637" s="4">
        <v>63179191</v>
      </c>
      <c r="I7637" s="4">
        <v>53484318.71764517</v>
      </c>
      <c r="J7637" s="3">
        <v>0.15345040240155705</v>
      </c>
      <c r="K7637" s="3">
        <v>0.18126569646583846</v>
      </c>
      <c r="L7637" t="s">
        <v>54</v>
      </c>
    </row>
    <row r="7638" spans="1:12" x14ac:dyDescent="0.25">
      <c r="A7638" t="s">
        <v>490</v>
      </c>
      <c r="B7638" t="s">
        <v>491</v>
      </c>
      <c r="C7638" t="s">
        <v>492</v>
      </c>
      <c r="D7638" t="s">
        <v>200</v>
      </c>
      <c r="E7638" t="s">
        <v>204</v>
      </c>
      <c r="F7638">
        <v>2</v>
      </c>
      <c r="G7638" t="s">
        <v>498</v>
      </c>
      <c r="H7638" s="4">
        <v>63179191</v>
      </c>
      <c r="I7638" s="4">
        <v>56724142</v>
      </c>
      <c r="J7638" s="3">
        <v>0.10217049154681325</v>
      </c>
      <c r="K7638" s="3">
        <v>0.11379720825041302</v>
      </c>
      <c r="L7638" t="s">
        <v>54</v>
      </c>
    </row>
    <row r="7639" spans="1:12" x14ac:dyDescent="0.25">
      <c r="A7639" t="s">
        <v>490</v>
      </c>
      <c r="B7639" t="s">
        <v>491</v>
      </c>
      <c r="C7639" t="s">
        <v>492</v>
      </c>
      <c r="D7639" t="s">
        <v>200</v>
      </c>
      <c r="E7639" t="s">
        <v>204</v>
      </c>
      <c r="F7639">
        <v>2</v>
      </c>
      <c r="G7639" t="s">
        <v>499</v>
      </c>
      <c r="H7639" s="4">
        <v>63179191</v>
      </c>
      <c r="I7639" s="4">
        <v>83490533</v>
      </c>
      <c r="J7639" s="3">
        <v>0.3214878455787761</v>
      </c>
      <c r="K7639" s="3">
        <v>-0.24327718688776367</v>
      </c>
      <c r="L7639" t="s">
        <v>54</v>
      </c>
    </row>
    <row r="7640" spans="1:12" x14ac:dyDescent="0.25">
      <c r="A7640" t="s">
        <v>490</v>
      </c>
      <c r="B7640" t="s">
        <v>491</v>
      </c>
      <c r="C7640" t="s">
        <v>492</v>
      </c>
      <c r="D7640" t="s">
        <v>200</v>
      </c>
      <c r="E7640" t="s">
        <v>206</v>
      </c>
      <c r="F7640">
        <v>3</v>
      </c>
      <c r="G7640" t="s">
        <v>488</v>
      </c>
      <c r="H7640" s="4">
        <v>48307384</v>
      </c>
      <c r="I7640" s="4">
        <v>53060723.10635332</v>
      </c>
      <c r="J7640" s="3">
        <v>0.09839777509693591</v>
      </c>
      <c r="K7640" s="3">
        <v>-0.08958300656449536</v>
      </c>
      <c r="L7640" t="s">
        <v>54</v>
      </c>
    </row>
    <row r="7641" spans="1:12" x14ac:dyDescent="0.25">
      <c r="A7641" t="s">
        <v>490</v>
      </c>
      <c r="B7641" t="s">
        <v>491</v>
      </c>
      <c r="C7641" t="s">
        <v>492</v>
      </c>
      <c r="D7641" t="s">
        <v>200</v>
      </c>
      <c r="E7641" t="s">
        <v>206</v>
      </c>
      <c r="F7641">
        <v>3</v>
      </c>
      <c r="G7641" t="s">
        <v>498</v>
      </c>
      <c r="H7641" s="4">
        <v>48307384</v>
      </c>
      <c r="I7641" s="4">
        <v>56274887</v>
      </c>
      <c r="J7641" s="3">
        <v>0.16493343957520035</v>
      </c>
      <c r="K7641" s="3">
        <v>-0.14158185693025024</v>
      </c>
      <c r="L7641" t="s">
        <v>54</v>
      </c>
    </row>
    <row r="7642" spans="1:12" x14ac:dyDescent="0.25">
      <c r="A7642" t="s">
        <v>490</v>
      </c>
      <c r="B7642" t="s">
        <v>491</v>
      </c>
      <c r="C7642" t="s">
        <v>492</v>
      </c>
      <c r="D7642" t="s">
        <v>200</v>
      </c>
      <c r="E7642" t="s">
        <v>206</v>
      </c>
      <c r="F7642">
        <v>3</v>
      </c>
      <c r="G7642" t="s">
        <v>499</v>
      </c>
      <c r="H7642" s="4">
        <v>48307384</v>
      </c>
      <c r="I7642" s="4">
        <v>83490533</v>
      </c>
      <c r="J7642" s="3">
        <v>0.7283182421966795</v>
      </c>
      <c r="K7642" s="3">
        <v>-0.4214028553392994</v>
      </c>
      <c r="L7642" t="s">
        <v>54</v>
      </c>
    </row>
    <row r="7643" spans="1:12" x14ac:dyDescent="0.25">
      <c r="A7643" t="s">
        <v>490</v>
      </c>
      <c r="B7643" t="s">
        <v>491</v>
      </c>
      <c r="C7643" t="s">
        <v>492</v>
      </c>
      <c r="D7643" t="s">
        <v>202</v>
      </c>
      <c r="E7643" t="s">
        <v>204</v>
      </c>
      <c r="F7643">
        <v>1</v>
      </c>
      <c r="G7643" t="s">
        <v>488</v>
      </c>
      <c r="H7643" s="4">
        <v>63179191</v>
      </c>
      <c r="I7643" s="4">
        <v>54234980.82115749</v>
      </c>
      <c r="J7643" s="3">
        <v>0.14156892542106952</v>
      </c>
      <c r="K7643" s="3">
        <v>0.16491589087744823</v>
      </c>
      <c r="L7643" t="s">
        <v>54</v>
      </c>
    </row>
    <row r="7644" spans="1:12" x14ac:dyDescent="0.25">
      <c r="A7644" t="s">
        <v>490</v>
      </c>
      <c r="B7644" t="s">
        <v>491</v>
      </c>
      <c r="C7644" t="s">
        <v>492</v>
      </c>
      <c r="D7644" t="s">
        <v>202</v>
      </c>
      <c r="E7644" t="s">
        <v>204</v>
      </c>
      <c r="F7644">
        <v>1</v>
      </c>
      <c r="G7644" t="s">
        <v>498</v>
      </c>
      <c r="H7644" s="4">
        <v>63179191</v>
      </c>
      <c r="I7644" s="4">
        <v>56724142</v>
      </c>
      <c r="J7644" s="3">
        <v>0.10217049154681325</v>
      </c>
      <c r="K7644" s="3">
        <v>0.11379720825041302</v>
      </c>
      <c r="L7644" t="s">
        <v>54</v>
      </c>
    </row>
    <row r="7645" spans="1:12" x14ac:dyDescent="0.25">
      <c r="A7645" t="s">
        <v>490</v>
      </c>
      <c r="B7645" t="s">
        <v>491</v>
      </c>
      <c r="C7645" t="s">
        <v>492</v>
      </c>
      <c r="D7645" t="s">
        <v>202</v>
      </c>
      <c r="E7645" t="s">
        <v>204</v>
      </c>
      <c r="F7645">
        <v>1</v>
      </c>
      <c r="G7645" t="s">
        <v>499</v>
      </c>
      <c r="H7645" s="4">
        <v>63179191</v>
      </c>
      <c r="I7645" s="4">
        <v>81357143</v>
      </c>
      <c r="J7645" s="3">
        <v>0.2877205565990866</v>
      </c>
      <c r="K7645" s="3">
        <v>-0.22343400136359262</v>
      </c>
      <c r="L7645" t="s">
        <v>54</v>
      </c>
    </row>
    <row r="7646" spans="1:12" x14ac:dyDescent="0.25">
      <c r="A7646" t="s">
        <v>490</v>
      </c>
      <c r="B7646" t="s">
        <v>491</v>
      </c>
      <c r="C7646" t="s">
        <v>492</v>
      </c>
      <c r="D7646" t="s">
        <v>202</v>
      </c>
      <c r="E7646" t="s">
        <v>206</v>
      </c>
      <c r="F7646">
        <v>2</v>
      </c>
      <c r="G7646" t="s">
        <v>488</v>
      </c>
      <c r="H7646" s="4">
        <v>48307384</v>
      </c>
      <c r="I7646" s="4">
        <v>53805439.96871395</v>
      </c>
      <c r="J7646" s="3">
        <v>0.11381398687856802</v>
      </c>
      <c r="K7646" s="3">
        <v>-0.10218401655875096</v>
      </c>
      <c r="L7646" t="s">
        <v>54</v>
      </c>
    </row>
    <row r="7647" spans="1:12" x14ac:dyDescent="0.25">
      <c r="A7647" t="s">
        <v>490</v>
      </c>
      <c r="B7647" t="s">
        <v>491</v>
      </c>
      <c r="C7647" t="s">
        <v>492</v>
      </c>
      <c r="D7647" t="s">
        <v>202</v>
      </c>
      <c r="E7647" t="s">
        <v>206</v>
      </c>
      <c r="F7647">
        <v>2</v>
      </c>
      <c r="G7647" t="s">
        <v>498</v>
      </c>
      <c r="H7647" s="4">
        <v>48307384</v>
      </c>
      <c r="I7647" s="4">
        <v>56274887</v>
      </c>
      <c r="J7647" s="3">
        <v>0.16493343957520035</v>
      </c>
      <c r="K7647" s="3">
        <v>-0.14158185693025024</v>
      </c>
      <c r="L7647" t="s">
        <v>54</v>
      </c>
    </row>
    <row r="7648" spans="1:12" x14ac:dyDescent="0.25">
      <c r="A7648" t="s">
        <v>490</v>
      </c>
      <c r="B7648" t="s">
        <v>491</v>
      </c>
      <c r="C7648" t="s">
        <v>492</v>
      </c>
      <c r="D7648" t="s">
        <v>202</v>
      </c>
      <c r="E7648" t="s">
        <v>206</v>
      </c>
      <c r="F7648">
        <v>2</v>
      </c>
      <c r="G7648" t="s">
        <v>499</v>
      </c>
      <c r="H7648" s="4">
        <v>48307384</v>
      </c>
      <c r="I7648" s="4">
        <v>81357143</v>
      </c>
      <c r="J7648" s="3">
        <v>0.6841554284951551</v>
      </c>
      <c r="K7648" s="3">
        <v>-0.40623057523049944</v>
      </c>
      <c r="L7648" t="s">
        <v>54</v>
      </c>
    </row>
    <row r="7649" spans="1:12" x14ac:dyDescent="0.25">
      <c r="A7649" t="s">
        <v>490</v>
      </c>
      <c r="B7649" t="s">
        <v>491</v>
      </c>
      <c r="C7649" t="s">
        <v>492</v>
      </c>
      <c r="D7649" t="s">
        <v>202</v>
      </c>
      <c r="E7649" t="s">
        <v>208</v>
      </c>
      <c r="F7649">
        <v>3</v>
      </c>
      <c r="G7649" t="s">
        <v>488</v>
      </c>
      <c r="H7649" s="4">
        <v>54218214</v>
      </c>
      <c r="I7649" s="4">
        <v>53550361.03612553</v>
      </c>
      <c r="J7649" s="3">
        <v>0.012317870962596936</v>
      </c>
      <c r="K7649" s="3">
        <v>0.012471493206627073</v>
      </c>
      <c r="L7649" t="s">
        <v>54</v>
      </c>
    </row>
    <row r="7650" spans="1:12" x14ac:dyDescent="0.25">
      <c r="A7650" t="s">
        <v>490</v>
      </c>
      <c r="B7650" t="s">
        <v>491</v>
      </c>
      <c r="C7650" t="s">
        <v>492</v>
      </c>
      <c r="D7650" t="s">
        <v>202</v>
      </c>
      <c r="E7650" t="s">
        <v>208</v>
      </c>
      <c r="F7650">
        <v>3</v>
      </c>
      <c r="G7650" t="s">
        <v>498</v>
      </c>
      <c r="H7650" s="4">
        <v>54218214</v>
      </c>
      <c r="I7650" s="4">
        <v>56008101</v>
      </c>
      <c r="J7650" s="3">
        <v>0.03301265143112239</v>
      </c>
      <c r="K7650" s="3">
        <v>-0.03195764484141321</v>
      </c>
      <c r="L7650" t="s">
        <v>54</v>
      </c>
    </row>
    <row r="7651" spans="1:12" x14ac:dyDescent="0.25">
      <c r="A7651" t="s">
        <v>490</v>
      </c>
      <c r="B7651" t="s">
        <v>491</v>
      </c>
      <c r="C7651" t="s">
        <v>492</v>
      </c>
      <c r="D7651" t="s">
        <v>202</v>
      </c>
      <c r="E7651" t="s">
        <v>208</v>
      </c>
      <c r="F7651">
        <v>3</v>
      </c>
      <c r="G7651" t="s">
        <v>499</v>
      </c>
      <c r="H7651" s="4">
        <v>54218214</v>
      </c>
      <c r="I7651" s="4">
        <v>81357143</v>
      </c>
      <c r="J7651" s="3">
        <v>0.5005500365615142</v>
      </c>
      <c r="K7651" s="3">
        <v>-0.333577704418652</v>
      </c>
      <c r="L7651" t="s">
        <v>54</v>
      </c>
    </row>
    <row r="7652" spans="1:12" x14ac:dyDescent="0.25">
      <c r="A7652" t="s">
        <v>490</v>
      </c>
      <c r="B7652" t="s">
        <v>491</v>
      </c>
      <c r="C7652" t="s">
        <v>492</v>
      </c>
      <c r="D7652" t="s">
        <v>204</v>
      </c>
      <c r="E7652" t="s">
        <v>206</v>
      </c>
      <c r="F7652">
        <v>1</v>
      </c>
      <c r="G7652" t="s">
        <v>488</v>
      </c>
      <c r="H7652" s="4">
        <v>48307384</v>
      </c>
      <c r="I7652" s="4">
        <v>55190988.13487764</v>
      </c>
      <c r="J7652" s="3">
        <v>0.14249589948562805</v>
      </c>
      <c r="K7652" s="3">
        <v>-0.12472333559339883</v>
      </c>
      <c r="L7652" t="s">
        <v>54</v>
      </c>
    </row>
    <row r="7653" spans="1:12" x14ac:dyDescent="0.25">
      <c r="A7653" t="s">
        <v>490</v>
      </c>
      <c r="B7653" t="s">
        <v>491</v>
      </c>
      <c r="C7653" t="s">
        <v>492</v>
      </c>
      <c r="D7653" t="s">
        <v>204</v>
      </c>
      <c r="E7653" t="s">
        <v>206</v>
      </c>
      <c r="F7653">
        <v>1</v>
      </c>
      <c r="G7653" t="s">
        <v>498</v>
      </c>
      <c r="H7653" s="4">
        <v>48307384</v>
      </c>
      <c r="I7653" s="4">
        <v>56274887</v>
      </c>
      <c r="J7653" s="3">
        <v>0.16493343957520035</v>
      </c>
      <c r="K7653" s="3">
        <v>-0.14158185693025024</v>
      </c>
      <c r="L7653" t="s">
        <v>54</v>
      </c>
    </row>
    <row r="7654" spans="1:12" x14ac:dyDescent="0.25">
      <c r="A7654" t="s">
        <v>490</v>
      </c>
      <c r="B7654" t="s">
        <v>491</v>
      </c>
      <c r="C7654" t="s">
        <v>492</v>
      </c>
      <c r="D7654" t="s">
        <v>204</v>
      </c>
      <c r="E7654" t="s">
        <v>206</v>
      </c>
      <c r="F7654">
        <v>1</v>
      </c>
      <c r="G7654" t="s">
        <v>499</v>
      </c>
      <c r="H7654" s="4">
        <v>48307384</v>
      </c>
      <c r="I7654" s="4">
        <v>63179191</v>
      </c>
      <c r="J7654" s="3">
        <v>0.30785784218826673</v>
      </c>
      <c r="K7654" s="3">
        <v>-0.23539090584429928</v>
      </c>
      <c r="L7654" t="s">
        <v>54</v>
      </c>
    </row>
    <row r="7655" spans="1:12" x14ac:dyDescent="0.25">
      <c r="A7655" t="s">
        <v>490</v>
      </c>
      <c r="B7655" t="s">
        <v>491</v>
      </c>
      <c r="C7655" t="s">
        <v>492</v>
      </c>
      <c r="D7655" t="s">
        <v>204</v>
      </c>
      <c r="E7655" t="s">
        <v>208</v>
      </c>
      <c r="F7655">
        <v>2</v>
      </c>
      <c r="G7655" t="s">
        <v>488</v>
      </c>
      <c r="H7655" s="4">
        <v>54218214</v>
      </c>
      <c r="I7655" s="4">
        <v>54929340.64439842</v>
      </c>
      <c r="J7655" s="3">
        <v>0.01311601013634313</v>
      </c>
      <c r="K7655" s="3">
        <v>-0.01294620754693039</v>
      </c>
      <c r="L7655" t="s">
        <v>54</v>
      </c>
    </row>
    <row r="7656" spans="1:12" x14ac:dyDescent="0.25">
      <c r="A7656" t="s">
        <v>490</v>
      </c>
      <c r="B7656" t="s">
        <v>491</v>
      </c>
      <c r="C7656" t="s">
        <v>492</v>
      </c>
      <c r="D7656" t="s">
        <v>204</v>
      </c>
      <c r="E7656" t="s">
        <v>208</v>
      </c>
      <c r="F7656">
        <v>2</v>
      </c>
      <c r="G7656" t="s">
        <v>498</v>
      </c>
      <c r="H7656" s="4">
        <v>54218214</v>
      </c>
      <c r="I7656" s="4">
        <v>56008101</v>
      </c>
      <c r="J7656" s="3">
        <v>0.03301265143112239</v>
      </c>
      <c r="K7656" s="3">
        <v>-0.03195764484141321</v>
      </c>
      <c r="L7656" t="s">
        <v>54</v>
      </c>
    </row>
    <row r="7657" spans="1:12" x14ac:dyDescent="0.25">
      <c r="A7657" t="s">
        <v>490</v>
      </c>
      <c r="B7657" t="s">
        <v>491</v>
      </c>
      <c r="C7657" t="s">
        <v>492</v>
      </c>
      <c r="D7657" t="s">
        <v>204</v>
      </c>
      <c r="E7657" t="s">
        <v>208</v>
      </c>
      <c r="F7657">
        <v>2</v>
      </c>
      <c r="G7657" t="s">
        <v>499</v>
      </c>
      <c r="H7657" s="4">
        <v>54218214</v>
      </c>
      <c r="I7657" s="4">
        <v>63179191</v>
      </c>
      <c r="J7657" s="3">
        <v>0.16527613764628987</v>
      </c>
      <c r="K7657" s="3">
        <v>-0.14183431060394552</v>
      </c>
      <c r="L7657" t="s">
        <v>54</v>
      </c>
    </row>
    <row r="7658" spans="1:12" x14ac:dyDescent="0.25">
      <c r="A7658" t="s">
        <v>490</v>
      </c>
      <c r="B7658" t="s">
        <v>491</v>
      </c>
      <c r="C7658" t="s">
        <v>492</v>
      </c>
      <c r="D7658" t="s">
        <v>204</v>
      </c>
      <c r="E7658" t="s">
        <v>210</v>
      </c>
      <c r="F7658">
        <v>3</v>
      </c>
      <c r="G7658" t="s">
        <v>488</v>
      </c>
      <c r="H7658" s="4">
        <v>68582123</v>
      </c>
      <c r="I7658" s="4">
        <v>71225052.26361792</v>
      </c>
      <c r="J7658" s="3">
        <v>0.03853670822668931</v>
      </c>
      <c r="K7658" s="3">
        <v>-0.03710673673970666</v>
      </c>
      <c r="L7658" t="s">
        <v>54</v>
      </c>
    </row>
    <row r="7659" spans="1:12" x14ac:dyDescent="0.25">
      <c r="A7659" t="s">
        <v>490</v>
      </c>
      <c r="B7659" t="s">
        <v>491</v>
      </c>
      <c r="C7659" t="s">
        <v>492</v>
      </c>
      <c r="D7659" t="s">
        <v>204</v>
      </c>
      <c r="E7659" t="s">
        <v>210</v>
      </c>
      <c r="F7659">
        <v>3</v>
      </c>
      <c r="G7659" t="s">
        <v>498</v>
      </c>
      <c r="H7659" s="4">
        <v>68582123</v>
      </c>
      <c r="I7659" s="4">
        <v>72623845</v>
      </c>
      <c r="J7659" s="3">
        <v>0.058932588015684496</v>
      </c>
      <c r="K7659" s="3">
        <v>-0.055652823118908124</v>
      </c>
      <c r="L7659" t="s">
        <v>54</v>
      </c>
    </row>
    <row r="7660" spans="1:12" x14ac:dyDescent="0.25">
      <c r="A7660" t="s">
        <v>490</v>
      </c>
      <c r="B7660" t="s">
        <v>491</v>
      </c>
      <c r="C7660" t="s">
        <v>492</v>
      </c>
      <c r="D7660" t="s">
        <v>204</v>
      </c>
      <c r="E7660" t="s">
        <v>210</v>
      </c>
      <c r="F7660">
        <v>3</v>
      </c>
      <c r="G7660" t="s">
        <v>499</v>
      </c>
      <c r="H7660" s="4">
        <v>68582123</v>
      </c>
      <c r="I7660" s="4">
        <v>63179191</v>
      </c>
      <c r="J7660" s="3">
        <v>0.07878047169814209</v>
      </c>
      <c r="K7660" s="3">
        <v>0.08551758758671031</v>
      </c>
      <c r="L7660" t="s">
        <v>54</v>
      </c>
    </row>
    <row r="7661" spans="1:12" x14ac:dyDescent="0.25">
      <c r="A7661" t="s">
        <v>490</v>
      </c>
      <c r="B7661" t="s">
        <v>491</v>
      </c>
      <c r="C7661" t="s">
        <v>492</v>
      </c>
      <c r="D7661" t="s">
        <v>206</v>
      </c>
      <c r="E7661" t="s">
        <v>208</v>
      </c>
      <c r="F7661">
        <v>1</v>
      </c>
      <c r="G7661" t="s">
        <v>488</v>
      </c>
      <c r="H7661" s="4">
        <v>54218214</v>
      </c>
      <c r="I7661" s="4">
        <v>54463201.16181673</v>
      </c>
      <c r="J7661" s="3">
        <v>0.004518539873274525</v>
      </c>
      <c r="K7661" s="3">
        <v>-0.004498214511645115</v>
      </c>
      <c r="L7661" t="s">
        <v>54</v>
      </c>
    </row>
    <row r="7662" spans="1:12" x14ac:dyDescent="0.25">
      <c r="A7662" t="s">
        <v>490</v>
      </c>
      <c r="B7662" t="s">
        <v>491</v>
      </c>
      <c r="C7662" t="s">
        <v>492</v>
      </c>
      <c r="D7662" t="s">
        <v>206</v>
      </c>
      <c r="E7662" t="s">
        <v>208</v>
      </c>
      <c r="F7662">
        <v>1</v>
      </c>
      <c r="G7662" t="s">
        <v>498</v>
      </c>
      <c r="H7662" s="4">
        <v>54218214</v>
      </c>
      <c r="I7662" s="4">
        <v>56008101</v>
      </c>
      <c r="J7662" s="3">
        <v>0.03301265143112239</v>
      </c>
      <c r="K7662" s="3">
        <v>-0.03195764484141321</v>
      </c>
      <c r="L7662" t="s">
        <v>54</v>
      </c>
    </row>
    <row r="7663" spans="1:12" x14ac:dyDescent="0.25">
      <c r="A7663" t="s">
        <v>490</v>
      </c>
      <c r="B7663" t="s">
        <v>491</v>
      </c>
      <c r="C7663" t="s">
        <v>492</v>
      </c>
      <c r="D7663" t="s">
        <v>206</v>
      </c>
      <c r="E7663" t="s">
        <v>208</v>
      </c>
      <c r="F7663">
        <v>1</v>
      </c>
      <c r="G7663" t="s">
        <v>499</v>
      </c>
      <c r="H7663" s="4">
        <v>54218214</v>
      </c>
      <c r="I7663" s="4">
        <v>48307384</v>
      </c>
      <c r="J7663" s="3">
        <v>0.10901926795301667</v>
      </c>
      <c r="K7663" s="3">
        <v>0.1223587267735301</v>
      </c>
      <c r="L7663" t="s">
        <v>54</v>
      </c>
    </row>
    <row r="7664" spans="1:12" x14ac:dyDescent="0.25">
      <c r="A7664" t="s">
        <v>490</v>
      </c>
      <c r="B7664" t="s">
        <v>491</v>
      </c>
      <c r="C7664" t="s">
        <v>492</v>
      </c>
      <c r="D7664" t="s">
        <v>206</v>
      </c>
      <c r="E7664" t="s">
        <v>210</v>
      </c>
      <c r="F7664">
        <v>2</v>
      </c>
      <c r="G7664" t="s">
        <v>488</v>
      </c>
      <c r="H7664" s="4">
        <v>68582123</v>
      </c>
      <c r="I7664" s="4">
        <v>70620624.67319858</v>
      </c>
      <c r="J7664" s="3">
        <v>0.029723513709229748</v>
      </c>
      <c r="K7664" s="3">
        <v>-0.028865528769136162</v>
      </c>
      <c r="L7664" t="s">
        <v>54</v>
      </c>
    </row>
    <row r="7665" spans="1:12" x14ac:dyDescent="0.25">
      <c r="A7665" t="s">
        <v>490</v>
      </c>
      <c r="B7665" t="s">
        <v>491</v>
      </c>
      <c r="C7665" t="s">
        <v>492</v>
      </c>
      <c r="D7665" t="s">
        <v>206</v>
      </c>
      <c r="E7665" t="s">
        <v>210</v>
      </c>
      <c r="F7665">
        <v>2</v>
      </c>
      <c r="G7665" t="s">
        <v>498</v>
      </c>
      <c r="H7665" s="4">
        <v>68582123</v>
      </c>
      <c r="I7665" s="4">
        <v>72623845</v>
      </c>
      <c r="J7665" s="3">
        <v>0.058932588015684496</v>
      </c>
      <c r="K7665" s="3">
        <v>-0.055652823118908124</v>
      </c>
      <c r="L7665" t="s">
        <v>54</v>
      </c>
    </row>
    <row r="7666" spans="1:12" x14ac:dyDescent="0.25">
      <c r="A7666" t="s">
        <v>490</v>
      </c>
      <c r="B7666" t="s">
        <v>491</v>
      </c>
      <c r="C7666" t="s">
        <v>492</v>
      </c>
      <c r="D7666" t="s">
        <v>206</v>
      </c>
      <c r="E7666" t="s">
        <v>210</v>
      </c>
      <c r="F7666">
        <v>2</v>
      </c>
      <c r="G7666" t="s">
        <v>499</v>
      </c>
      <c r="H7666" s="4">
        <v>68582123</v>
      </c>
      <c r="I7666" s="4">
        <v>48307384</v>
      </c>
      <c r="J7666" s="3">
        <v>0.29562717094657454</v>
      </c>
      <c r="K7666" s="3">
        <v>0.4197026897585678</v>
      </c>
      <c r="L7666" t="s">
        <v>54</v>
      </c>
    </row>
    <row r="7667" spans="1:12" x14ac:dyDescent="0.25">
      <c r="A7667" t="s">
        <v>490</v>
      </c>
      <c r="B7667" t="s">
        <v>491</v>
      </c>
      <c r="C7667" t="s">
        <v>492</v>
      </c>
      <c r="D7667" t="s">
        <v>206</v>
      </c>
      <c r="E7667" t="s">
        <v>212</v>
      </c>
      <c r="F7667">
        <v>3</v>
      </c>
      <c r="G7667" t="s">
        <v>488</v>
      </c>
      <c r="H7667" s="4">
        <v>81397645</v>
      </c>
      <c r="I7667" s="4">
        <v>79887700.36990984</v>
      </c>
      <c r="J7667" s="3">
        <v>0.018550225010688728</v>
      </c>
      <c r="K7667" s="3">
        <v>0.01890083984266108</v>
      </c>
      <c r="L7667" t="s">
        <v>54</v>
      </c>
    </row>
    <row r="7668" spans="1:12" x14ac:dyDescent="0.25">
      <c r="A7668" t="s">
        <v>490</v>
      </c>
      <c r="B7668" t="s">
        <v>491</v>
      </c>
      <c r="C7668" t="s">
        <v>492</v>
      </c>
      <c r="D7668" t="s">
        <v>206</v>
      </c>
      <c r="E7668" t="s">
        <v>212</v>
      </c>
      <c r="F7668">
        <v>3</v>
      </c>
      <c r="G7668" t="s">
        <v>498</v>
      </c>
      <c r="H7668" s="4">
        <v>81397645</v>
      </c>
      <c r="I7668" s="4">
        <v>82153790</v>
      </c>
      <c r="J7668" s="3">
        <v>0.009289519371229966</v>
      </c>
      <c r="K7668" s="3">
        <v>-0.00920401846342086</v>
      </c>
      <c r="L7668" t="s">
        <v>54</v>
      </c>
    </row>
    <row r="7669" spans="1:12" x14ac:dyDescent="0.25">
      <c r="A7669" t="s">
        <v>490</v>
      </c>
      <c r="B7669" t="s">
        <v>491</v>
      </c>
      <c r="C7669" t="s">
        <v>492</v>
      </c>
      <c r="D7669" t="s">
        <v>206</v>
      </c>
      <c r="E7669" t="s">
        <v>212</v>
      </c>
      <c r="F7669">
        <v>3</v>
      </c>
      <c r="G7669" t="s">
        <v>499</v>
      </c>
      <c r="H7669" s="4">
        <v>81397645</v>
      </c>
      <c r="I7669" s="4">
        <v>48307384</v>
      </c>
      <c r="J7669" s="3">
        <v>0.40652602418657197</v>
      </c>
      <c r="K7669" s="3">
        <v>0.6849938510435589</v>
      </c>
      <c r="L7669" t="s">
        <v>54</v>
      </c>
    </row>
    <row r="7670" spans="1:12" x14ac:dyDescent="0.25">
      <c r="A7670" t="s">
        <v>490</v>
      </c>
      <c r="B7670" t="s">
        <v>491</v>
      </c>
      <c r="C7670" t="s">
        <v>492</v>
      </c>
      <c r="D7670" t="s">
        <v>208</v>
      </c>
      <c r="E7670" t="s">
        <v>210</v>
      </c>
      <c r="F7670">
        <v>1</v>
      </c>
      <c r="G7670" t="s">
        <v>488</v>
      </c>
      <c r="H7670" s="4">
        <v>68582123</v>
      </c>
      <c r="I7670" s="4">
        <v>70760262.28990056</v>
      </c>
      <c r="J7670" s="3">
        <v>0.031759578074020196</v>
      </c>
      <c r="K7670" s="3">
        <v>-0.030781956134883305</v>
      </c>
      <c r="L7670" t="s">
        <v>54</v>
      </c>
    </row>
    <row r="7671" spans="1:12" x14ac:dyDescent="0.25">
      <c r="A7671" t="s">
        <v>490</v>
      </c>
      <c r="B7671" t="s">
        <v>491</v>
      </c>
      <c r="C7671" t="s">
        <v>492</v>
      </c>
      <c r="D7671" t="s">
        <v>208</v>
      </c>
      <c r="E7671" t="s">
        <v>210</v>
      </c>
      <c r="F7671">
        <v>1</v>
      </c>
      <c r="G7671" t="s">
        <v>498</v>
      </c>
      <c r="H7671" s="4">
        <v>68582123</v>
      </c>
      <c r="I7671" s="4">
        <v>72623845</v>
      </c>
      <c r="J7671" s="3">
        <v>0.058932588015684496</v>
      </c>
      <c r="K7671" s="3">
        <v>-0.055652823118908124</v>
      </c>
      <c r="L7671" t="s">
        <v>54</v>
      </c>
    </row>
    <row r="7672" spans="1:12" x14ac:dyDescent="0.25">
      <c r="A7672" t="s">
        <v>490</v>
      </c>
      <c r="B7672" t="s">
        <v>491</v>
      </c>
      <c r="C7672" t="s">
        <v>492</v>
      </c>
      <c r="D7672" t="s">
        <v>208</v>
      </c>
      <c r="E7672" t="s">
        <v>210</v>
      </c>
      <c r="F7672">
        <v>1</v>
      </c>
      <c r="G7672" t="s">
        <v>499</v>
      </c>
      <c r="H7672" s="4">
        <v>68582123</v>
      </c>
      <c r="I7672" s="4">
        <v>54218214</v>
      </c>
      <c r="J7672" s="3">
        <v>0.20944100840972799</v>
      </c>
      <c r="K7672" s="3">
        <v>0.26492774181015993</v>
      </c>
      <c r="L7672" t="s">
        <v>54</v>
      </c>
    </row>
    <row r="7673" spans="1:12" x14ac:dyDescent="0.25">
      <c r="A7673" t="s">
        <v>490</v>
      </c>
      <c r="B7673" t="s">
        <v>491</v>
      </c>
      <c r="C7673" t="s">
        <v>492</v>
      </c>
      <c r="D7673" t="s">
        <v>208</v>
      </c>
      <c r="E7673" t="s">
        <v>212</v>
      </c>
      <c r="F7673">
        <v>2</v>
      </c>
      <c r="G7673" t="s">
        <v>488</v>
      </c>
      <c r="H7673" s="4">
        <v>81397645</v>
      </c>
      <c r="I7673" s="4">
        <v>80045661.70394048</v>
      </c>
      <c r="J7673" s="3">
        <v>0.016609611937292768</v>
      </c>
      <c r="K7673" s="3">
        <v>0.016890150787434416</v>
      </c>
      <c r="L7673" t="s">
        <v>54</v>
      </c>
    </row>
    <row r="7674" spans="1:12" x14ac:dyDescent="0.25">
      <c r="A7674" t="s">
        <v>490</v>
      </c>
      <c r="B7674" t="s">
        <v>491</v>
      </c>
      <c r="C7674" t="s">
        <v>492</v>
      </c>
      <c r="D7674" t="s">
        <v>208</v>
      </c>
      <c r="E7674" t="s">
        <v>212</v>
      </c>
      <c r="F7674">
        <v>2</v>
      </c>
      <c r="G7674" t="s">
        <v>498</v>
      </c>
      <c r="H7674" s="4">
        <v>81397645</v>
      </c>
      <c r="I7674" s="4">
        <v>82153790</v>
      </c>
      <c r="J7674" s="3">
        <v>0.009289519371229966</v>
      </c>
      <c r="K7674" s="3">
        <v>-0.00920401846342086</v>
      </c>
      <c r="L7674" t="s">
        <v>54</v>
      </c>
    </row>
    <row r="7675" spans="1:12" x14ac:dyDescent="0.25">
      <c r="A7675" t="s">
        <v>490</v>
      </c>
      <c r="B7675" t="s">
        <v>491</v>
      </c>
      <c r="C7675" t="s">
        <v>492</v>
      </c>
      <c r="D7675" t="s">
        <v>208</v>
      </c>
      <c r="E7675" t="s">
        <v>212</v>
      </c>
      <c r="F7675">
        <v>2</v>
      </c>
      <c r="G7675" t="s">
        <v>499</v>
      </c>
      <c r="H7675" s="4">
        <v>81397645</v>
      </c>
      <c r="I7675" s="4">
        <v>54218214</v>
      </c>
      <c r="J7675" s="3">
        <v>0.3339093041328161</v>
      </c>
      <c r="K7675" s="3">
        <v>0.5012970548974557</v>
      </c>
      <c r="L7675" t="s">
        <v>54</v>
      </c>
    </row>
    <row r="7676" spans="1:12" x14ac:dyDescent="0.25">
      <c r="A7676" t="s">
        <v>490</v>
      </c>
      <c r="B7676" t="s">
        <v>491</v>
      </c>
      <c r="C7676" t="s">
        <v>492</v>
      </c>
      <c r="D7676" t="s">
        <v>208</v>
      </c>
      <c r="E7676" t="s">
        <v>214</v>
      </c>
      <c r="F7676">
        <v>3</v>
      </c>
      <c r="G7676" t="s">
        <v>488</v>
      </c>
      <c r="H7676" s="4">
        <v>91332829</v>
      </c>
      <c r="I7676" s="4">
        <v>97516674.13514218</v>
      </c>
      <c r="J7676" s="3">
        <v>0.0677067074659669</v>
      </c>
      <c r="K7676" s="3">
        <v>-0.06341320794608293</v>
      </c>
      <c r="L7676" t="s">
        <v>54</v>
      </c>
    </row>
    <row r="7677" spans="1:12" x14ac:dyDescent="0.25">
      <c r="A7677" t="s">
        <v>490</v>
      </c>
      <c r="B7677" t="s">
        <v>491</v>
      </c>
      <c r="C7677" t="s">
        <v>492</v>
      </c>
      <c r="D7677" t="s">
        <v>208</v>
      </c>
      <c r="E7677" t="s">
        <v>214</v>
      </c>
      <c r="F7677">
        <v>3</v>
      </c>
      <c r="G7677" t="s">
        <v>498</v>
      </c>
      <c r="H7677" s="4">
        <v>91332829</v>
      </c>
      <c r="I7677" s="4">
        <v>100084929</v>
      </c>
      <c r="J7677" s="3">
        <v>0.0958264415525769</v>
      </c>
      <c r="K7677" s="3">
        <v>-0.08744673236467002</v>
      </c>
      <c r="L7677" t="s">
        <v>54</v>
      </c>
    </row>
    <row r="7678" spans="1:12" x14ac:dyDescent="0.25">
      <c r="A7678" t="s">
        <v>490</v>
      </c>
      <c r="B7678" t="s">
        <v>491</v>
      </c>
      <c r="C7678" t="s">
        <v>492</v>
      </c>
      <c r="D7678" t="s">
        <v>208</v>
      </c>
      <c r="E7678" t="s">
        <v>214</v>
      </c>
      <c r="F7678">
        <v>3</v>
      </c>
      <c r="G7678" t="s">
        <v>499</v>
      </c>
      <c r="H7678" s="4">
        <v>91332829</v>
      </c>
      <c r="I7678" s="4">
        <v>54218214</v>
      </c>
      <c r="J7678" s="3">
        <v>0.4063666417252881</v>
      </c>
      <c r="K7678" s="3">
        <v>0.6845414531729135</v>
      </c>
      <c r="L7678" t="s">
        <v>54</v>
      </c>
    </row>
    <row r="7679" spans="1:12" x14ac:dyDescent="0.25">
      <c r="A7679" t="s">
        <v>490</v>
      </c>
      <c r="B7679" t="s">
        <v>491</v>
      </c>
      <c r="C7679" t="s">
        <v>492</v>
      </c>
      <c r="D7679" t="s">
        <v>210</v>
      </c>
      <c r="E7679" t="s">
        <v>212</v>
      </c>
      <c r="F7679">
        <v>1</v>
      </c>
      <c r="G7679" t="s">
        <v>488</v>
      </c>
      <c r="H7679" s="4">
        <v>81397645</v>
      </c>
      <c r="I7679" s="4">
        <v>80115659.40264085</v>
      </c>
      <c r="J7679" s="3">
        <v>0.015749664469520593</v>
      </c>
      <c r="K7679" s="3">
        <v>0.016001685649446113</v>
      </c>
      <c r="L7679" t="s">
        <v>54</v>
      </c>
    </row>
    <row r="7680" spans="1:12" x14ac:dyDescent="0.25">
      <c r="A7680" t="s">
        <v>490</v>
      </c>
      <c r="B7680" t="s">
        <v>491</v>
      </c>
      <c r="C7680" t="s">
        <v>492</v>
      </c>
      <c r="D7680" t="s">
        <v>210</v>
      </c>
      <c r="E7680" t="s">
        <v>212</v>
      </c>
      <c r="F7680">
        <v>1</v>
      </c>
      <c r="G7680" t="s">
        <v>498</v>
      </c>
      <c r="H7680" s="4">
        <v>81397645</v>
      </c>
      <c r="I7680" s="4">
        <v>82153790</v>
      </c>
      <c r="J7680" s="3">
        <v>0.009289519371229966</v>
      </c>
      <c r="K7680" s="3">
        <v>-0.00920401846342086</v>
      </c>
      <c r="L7680" t="s">
        <v>54</v>
      </c>
    </row>
    <row r="7681" spans="1:12" x14ac:dyDescent="0.25">
      <c r="A7681" t="s">
        <v>490</v>
      </c>
      <c r="B7681" t="s">
        <v>491</v>
      </c>
      <c r="C7681" t="s">
        <v>492</v>
      </c>
      <c r="D7681" t="s">
        <v>210</v>
      </c>
      <c r="E7681" t="s">
        <v>212</v>
      </c>
      <c r="F7681">
        <v>1</v>
      </c>
      <c r="G7681" t="s">
        <v>499</v>
      </c>
      <c r="H7681" s="4">
        <v>81397645</v>
      </c>
      <c r="I7681" s="4">
        <v>68582123</v>
      </c>
      <c r="J7681" s="3">
        <v>0.15744340023596506</v>
      </c>
      <c r="K7681" s="3">
        <v>0.18686388579717778</v>
      </c>
      <c r="L7681" t="s">
        <v>54</v>
      </c>
    </row>
    <row r="7682" spans="1:12" x14ac:dyDescent="0.25">
      <c r="A7682" t="s">
        <v>490</v>
      </c>
      <c r="B7682" t="s">
        <v>491</v>
      </c>
      <c r="C7682" t="s">
        <v>492</v>
      </c>
      <c r="D7682" t="s">
        <v>210</v>
      </c>
      <c r="E7682" t="s">
        <v>214</v>
      </c>
      <c r="F7682">
        <v>2</v>
      </c>
      <c r="G7682" t="s">
        <v>488</v>
      </c>
      <c r="H7682" s="4">
        <v>91332829</v>
      </c>
      <c r="I7682" s="4">
        <v>97601949.74695009</v>
      </c>
      <c r="J7682" s="3">
        <v>0.06864038720348944</v>
      </c>
      <c r="K7682" s="3">
        <v>-0.06423151139094935</v>
      </c>
      <c r="L7682" t="s">
        <v>54</v>
      </c>
    </row>
    <row r="7683" spans="1:12" x14ac:dyDescent="0.25">
      <c r="A7683" t="s">
        <v>490</v>
      </c>
      <c r="B7683" t="s">
        <v>491</v>
      </c>
      <c r="C7683" t="s">
        <v>492</v>
      </c>
      <c r="D7683" t="s">
        <v>210</v>
      </c>
      <c r="E7683" t="s">
        <v>214</v>
      </c>
      <c r="F7683">
        <v>2</v>
      </c>
      <c r="G7683" t="s">
        <v>498</v>
      </c>
      <c r="H7683" s="4">
        <v>91332829</v>
      </c>
      <c r="I7683" s="4">
        <v>100084929</v>
      </c>
      <c r="J7683" s="3">
        <v>0.0958264415525769</v>
      </c>
      <c r="K7683" s="3">
        <v>-0.08744673236467002</v>
      </c>
      <c r="L7683" t="s">
        <v>54</v>
      </c>
    </row>
    <row r="7684" spans="1:12" x14ac:dyDescent="0.25">
      <c r="A7684" t="s">
        <v>490</v>
      </c>
      <c r="B7684" t="s">
        <v>491</v>
      </c>
      <c r="C7684" t="s">
        <v>492</v>
      </c>
      <c r="D7684" t="s">
        <v>210</v>
      </c>
      <c r="E7684" t="s">
        <v>214</v>
      </c>
      <c r="F7684">
        <v>2</v>
      </c>
      <c r="G7684" t="s">
        <v>499</v>
      </c>
      <c r="H7684" s="4">
        <v>91332829</v>
      </c>
      <c r="I7684" s="4">
        <v>68582123</v>
      </c>
      <c r="J7684" s="3">
        <v>0.249096696654387</v>
      </c>
      <c r="K7684" s="3">
        <v>0.33172939251238986</v>
      </c>
      <c r="L7684" t="s">
        <v>54</v>
      </c>
    </row>
    <row r="7685" spans="1:12" x14ac:dyDescent="0.25">
      <c r="A7685" t="s">
        <v>490</v>
      </c>
      <c r="B7685" t="s">
        <v>491</v>
      </c>
      <c r="C7685" t="s">
        <v>492</v>
      </c>
      <c r="D7685" t="s">
        <v>210</v>
      </c>
      <c r="E7685" t="s">
        <v>216</v>
      </c>
      <c r="F7685">
        <v>3</v>
      </c>
      <c r="G7685" t="s">
        <v>488</v>
      </c>
      <c r="H7685" s="4">
        <v>108124492</v>
      </c>
      <c r="I7685" s="4">
        <v>99974936.31745054</v>
      </c>
      <c r="J7685" s="3">
        <v>0.07537196736655616</v>
      </c>
      <c r="K7685" s="3">
        <v>0.0815159877338873</v>
      </c>
      <c r="L7685" t="s">
        <v>54</v>
      </c>
    </row>
    <row r="7686" spans="1:12" x14ac:dyDescent="0.25">
      <c r="A7686" t="s">
        <v>490</v>
      </c>
      <c r="B7686" t="s">
        <v>491</v>
      </c>
      <c r="C7686" t="s">
        <v>492</v>
      </c>
      <c r="D7686" t="s">
        <v>210</v>
      </c>
      <c r="E7686" t="s">
        <v>216</v>
      </c>
      <c r="F7686">
        <v>3</v>
      </c>
      <c r="G7686" t="s">
        <v>498</v>
      </c>
      <c r="H7686" s="4">
        <v>108124492</v>
      </c>
      <c r="I7686" s="4">
        <v>102518284</v>
      </c>
      <c r="J7686" s="3">
        <v>0.05184956614640095</v>
      </c>
      <c r="K7686" s="3">
        <v>0.054684957465733625</v>
      </c>
      <c r="L7686" t="s">
        <v>54</v>
      </c>
    </row>
    <row r="7687" spans="1:12" x14ac:dyDescent="0.25">
      <c r="A7687" t="s">
        <v>490</v>
      </c>
      <c r="B7687" t="s">
        <v>491</v>
      </c>
      <c r="C7687" t="s">
        <v>492</v>
      </c>
      <c r="D7687" t="s">
        <v>210</v>
      </c>
      <c r="E7687" t="s">
        <v>216</v>
      </c>
      <c r="F7687">
        <v>3</v>
      </c>
      <c r="G7687" t="s">
        <v>499</v>
      </c>
      <c r="H7687" s="4">
        <v>108124492</v>
      </c>
      <c r="I7687" s="4">
        <v>68582123</v>
      </c>
      <c r="J7687" s="3">
        <v>0.3657114893080839</v>
      </c>
      <c r="K7687" s="3">
        <v>0.5765696258775774</v>
      </c>
      <c r="L7687" t="s">
        <v>54</v>
      </c>
    </row>
    <row r="7688" spans="1:12" x14ac:dyDescent="0.25">
      <c r="A7688" t="s">
        <v>490</v>
      </c>
      <c r="B7688" t="s">
        <v>491</v>
      </c>
      <c r="C7688" t="s">
        <v>492</v>
      </c>
      <c r="D7688" t="s">
        <v>212</v>
      </c>
      <c r="E7688" t="s">
        <v>214</v>
      </c>
      <c r="F7688">
        <v>1</v>
      </c>
      <c r="G7688" t="s">
        <v>488</v>
      </c>
      <c r="H7688" s="4">
        <v>91332829</v>
      </c>
      <c r="I7688" s="4">
        <v>99167369.15306015</v>
      </c>
      <c r="J7688" s="3">
        <v>0.08578011038134112</v>
      </c>
      <c r="K7688" s="3">
        <v>-0.07900320659881488</v>
      </c>
      <c r="L7688" t="s">
        <v>54</v>
      </c>
    </row>
    <row r="7689" spans="1:12" x14ac:dyDescent="0.25">
      <c r="A7689" t="s">
        <v>490</v>
      </c>
      <c r="B7689" t="s">
        <v>491</v>
      </c>
      <c r="C7689" t="s">
        <v>492</v>
      </c>
      <c r="D7689" t="s">
        <v>212</v>
      </c>
      <c r="E7689" t="s">
        <v>214</v>
      </c>
      <c r="F7689">
        <v>1</v>
      </c>
      <c r="G7689" t="s">
        <v>498</v>
      </c>
      <c r="H7689" s="4">
        <v>91332829</v>
      </c>
      <c r="I7689" s="4">
        <v>100084929</v>
      </c>
      <c r="J7689" s="3">
        <v>0.0958264415525769</v>
      </c>
      <c r="K7689" s="3">
        <v>-0.08744673236467002</v>
      </c>
      <c r="L7689" t="s">
        <v>54</v>
      </c>
    </row>
    <row r="7690" spans="1:12" x14ac:dyDescent="0.25">
      <c r="A7690" t="s">
        <v>490</v>
      </c>
      <c r="B7690" t="s">
        <v>491</v>
      </c>
      <c r="C7690" t="s">
        <v>492</v>
      </c>
      <c r="D7690" t="s">
        <v>212</v>
      </c>
      <c r="E7690" t="s">
        <v>214</v>
      </c>
      <c r="F7690">
        <v>1</v>
      </c>
      <c r="G7690" t="s">
        <v>499</v>
      </c>
      <c r="H7690" s="4">
        <v>91332829</v>
      </c>
      <c r="I7690" s="4">
        <v>81397645</v>
      </c>
      <c r="J7690" s="3">
        <v>0.10877998753328882</v>
      </c>
      <c r="K7690" s="3">
        <v>0.12205738876106305</v>
      </c>
      <c r="L7690" t="s">
        <v>54</v>
      </c>
    </row>
    <row r="7691" spans="1:12" x14ac:dyDescent="0.25">
      <c r="A7691" t="s">
        <v>490</v>
      </c>
      <c r="B7691" t="s">
        <v>491</v>
      </c>
      <c r="C7691" t="s">
        <v>492</v>
      </c>
      <c r="D7691" t="s">
        <v>212</v>
      </c>
      <c r="E7691" t="s">
        <v>216</v>
      </c>
      <c r="F7691">
        <v>2</v>
      </c>
      <c r="G7691" t="s">
        <v>488</v>
      </c>
      <c r="H7691" s="4">
        <v>108124492</v>
      </c>
      <c r="I7691" s="4">
        <v>101578415.61106828</v>
      </c>
      <c r="J7691" s="3">
        <v>0.0605420313922189</v>
      </c>
      <c r="K7691" s="3">
        <v>0.06444357641879228</v>
      </c>
      <c r="L7691" t="s">
        <v>54</v>
      </c>
    </row>
    <row r="7692" spans="1:12" x14ac:dyDescent="0.25">
      <c r="A7692" t="s">
        <v>490</v>
      </c>
      <c r="B7692" t="s">
        <v>491</v>
      </c>
      <c r="C7692" t="s">
        <v>492</v>
      </c>
      <c r="D7692" t="s">
        <v>212</v>
      </c>
      <c r="E7692" t="s">
        <v>216</v>
      </c>
      <c r="F7692">
        <v>2</v>
      </c>
      <c r="G7692" t="s">
        <v>498</v>
      </c>
      <c r="H7692" s="4">
        <v>108124492</v>
      </c>
      <c r="I7692" s="4">
        <v>102518284</v>
      </c>
      <c r="J7692" s="3">
        <v>0.05184956614640095</v>
      </c>
      <c r="K7692" s="3">
        <v>0.054684957465733625</v>
      </c>
      <c r="L7692" t="s">
        <v>54</v>
      </c>
    </row>
    <row r="7693" spans="1:12" x14ac:dyDescent="0.25">
      <c r="A7693" t="s">
        <v>490</v>
      </c>
      <c r="B7693" t="s">
        <v>491</v>
      </c>
      <c r="C7693" t="s">
        <v>492</v>
      </c>
      <c r="D7693" t="s">
        <v>212</v>
      </c>
      <c r="E7693" t="s">
        <v>216</v>
      </c>
      <c r="F7693">
        <v>2</v>
      </c>
      <c r="G7693" t="s">
        <v>499</v>
      </c>
      <c r="H7693" s="4">
        <v>108124492</v>
      </c>
      <c r="I7693" s="4">
        <v>81397645</v>
      </c>
      <c r="J7693" s="3">
        <v>0.24718587348368767</v>
      </c>
      <c r="K7693" s="3">
        <v>0.32834914327066833</v>
      </c>
      <c r="L7693" t="s">
        <v>54</v>
      </c>
    </row>
    <row r="7694" spans="1:12" x14ac:dyDescent="0.25">
      <c r="A7694" t="s">
        <v>490</v>
      </c>
      <c r="B7694" t="s">
        <v>491</v>
      </c>
      <c r="C7694" t="s">
        <v>492</v>
      </c>
      <c r="D7694" t="s">
        <v>212</v>
      </c>
      <c r="E7694" t="s">
        <v>218</v>
      </c>
      <c r="F7694">
        <v>3</v>
      </c>
      <c r="G7694" t="s">
        <v>488</v>
      </c>
      <c r="H7694" s="4">
        <v>84717926</v>
      </c>
      <c r="I7694" s="4">
        <v>80778632.49127251</v>
      </c>
      <c r="J7694" s="3">
        <v>0.046498937057636316</v>
      </c>
      <c r="K7694" s="3">
        <v>0.04876652881135491</v>
      </c>
      <c r="L7694" t="s">
        <v>54</v>
      </c>
    </row>
    <row r="7695" spans="1:12" x14ac:dyDescent="0.25">
      <c r="A7695" t="s">
        <v>490</v>
      </c>
      <c r="B7695" t="s">
        <v>491</v>
      </c>
      <c r="C7695" t="s">
        <v>492</v>
      </c>
      <c r="D7695" t="s">
        <v>212</v>
      </c>
      <c r="E7695" t="s">
        <v>218</v>
      </c>
      <c r="F7695">
        <v>3</v>
      </c>
      <c r="G7695" t="s">
        <v>498</v>
      </c>
      <c r="H7695" s="4">
        <v>84717926</v>
      </c>
      <c r="I7695" s="4">
        <v>81526048</v>
      </c>
      <c r="J7695" s="3">
        <v>0.03767653613238832</v>
      </c>
      <c r="K7695" s="3">
        <v>0.039151634088776144</v>
      </c>
      <c r="L7695" t="s">
        <v>54</v>
      </c>
    </row>
    <row r="7696" spans="1:12" x14ac:dyDescent="0.25">
      <c r="A7696" t="s">
        <v>490</v>
      </c>
      <c r="B7696" t="s">
        <v>491</v>
      </c>
      <c r="C7696" t="s">
        <v>492</v>
      </c>
      <c r="D7696" t="s">
        <v>212</v>
      </c>
      <c r="E7696" t="s">
        <v>218</v>
      </c>
      <c r="F7696">
        <v>3</v>
      </c>
      <c r="G7696" t="s">
        <v>499</v>
      </c>
      <c r="H7696" s="4">
        <v>84717926</v>
      </c>
      <c r="I7696" s="4">
        <v>81397645</v>
      </c>
      <c r="J7696" s="3">
        <v>0.039192189383861924</v>
      </c>
      <c r="K7696" s="3">
        <v>0.04079087300375828</v>
      </c>
      <c r="L7696" t="s">
        <v>54</v>
      </c>
    </row>
    <row r="7697" spans="1:12" x14ac:dyDescent="0.25">
      <c r="A7697" t="s">
        <v>490</v>
      </c>
      <c r="B7697" t="s">
        <v>491</v>
      </c>
      <c r="C7697" t="s">
        <v>492</v>
      </c>
      <c r="D7697" t="s">
        <v>214</v>
      </c>
      <c r="E7697" t="s">
        <v>216</v>
      </c>
      <c r="F7697">
        <v>1</v>
      </c>
      <c r="G7697" t="s">
        <v>488</v>
      </c>
      <c r="H7697" s="4">
        <v>108124492</v>
      </c>
      <c r="I7697" s="4">
        <v>100817720.8168638</v>
      </c>
      <c r="J7697" s="3">
        <v>0.06757739202267138</v>
      </c>
      <c r="K7697" s="3">
        <v>0.07247506811237087</v>
      </c>
      <c r="L7697" t="s">
        <v>54</v>
      </c>
    </row>
    <row r="7698" spans="1:12" x14ac:dyDescent="0.25">
      <c r="A7698" t="s">
        <v>490</v>
      </c>
      <c r="B7698" t="s">
        <v>491</v>
      </c>
      <c r="C7698" t="s">
        <v>492</v>
      </c>
      <c r="D7698" t="s">
        <v>214</v>
      </c>
      <c r="E7698" t="s">
        <v>216</v>
      </c>
      <c r="F7698">
        <v>1</v>
      </c>
      <c r="G7698" t="s">
        <v>498</v>
      </c>
      <c r="H7698" s="4">
        <v>108124492</v>
      </c>
      <c r="I7698" s="4">
        <v>102518284</v>
      </c>
      <c r="J7698" s="3">
        <v>0.05184956614640095</v>
      </c>
      <c r="K7698" s="3">
        <v>0.054684957465733625</v>
      </c>
      <c r="L7698" t="s">
        <v>54</v>
      </c>
    </row>
    <row r="7699" spans="1:12" x14ac:dyDescent="0.25">
      <c r="A7699" t="s">
        <v>490</v>
      </c>
      <c r="B7699" t="s">
        <v>491</v>
      </c>
      <c r="C7699" t="s">
        <v>492</v>
      </c>
      <c r="D7699" t="s">
        <v>214</v>
      </c>
      <c r="E7699" t="s">
        <v>216</v>
      </c>
      <c r="F7699">
        <v>1</v>
      </c>
      <c r="G7699" t="s">
        <v>499</v>
      </c>
      <c r="H7699" s="4">
        <v>108124492</v>
      </c>
      <c r="I7699" s="4">
        <v>91332829</v>
      </c>
      <c r="J7699" s="3">
        <v>0.15529934697866604</v>
      </c>
      <c r="K7699" s="3">
        <v>0.18385134002583015</v>
      </c>
      <c r="L7699" t="s">
        <v>54</v>
      </c>
    </row>
    <row r="7700" spans="1:12" x14ac:dyDescent="0.25">
      <c r="A7700" t="s">
        <v>490</v>
      </c>
      <c r="B7700" t="s">
        <v>491</v>
      </c>
      <c r="C7700" t="s">
        <v>492</v>
      </c>
      <c r="D7700" t="s">
        <v>214</v>
      </c>
      <c r="E7700" t="s">
        <v>218</v>
      </c>
      <c r="F7700">
        <v>2</v>
      </c>
      <c r="G7700" t="s">
        <v>488</v>
      </c>
      <c r="H7700" s="4">
        <v>84717926</v>
      </c>
      <c r="I7700" s="4">
        <v>80173701.9570698</v>
      </c>
      <c r="J7700" s="3">
        <v>0.05363946283257927</v>
      </c>
      <c r="K7700" s="3">
        <v>0.056679733279167685</v>
      </c>
      <c r="L7700" t="s">
        <v>54</v>
      </c>
    </row>
    <row r="7701" spans="1:12" x14ac:dyDescent="0.25">
      <c r="A7701" t="s">
        <v>490</v>
      </c>
      <c r="B7701" t="s">
        <v>491</v>
      </c>
      <c r="C7701" t="s">
        <v>492</v>
      </c>
      <c r="D7701" t="s">
        <v>214</v>
      </c>
      <c r="E7701" t="s">
        <v>218</v>
      </c>
      <c r="F7701">
        <v>2</v>
      </c>
      <c r="G7701" t="s">
        <v>498</v>
      </c>
      <c r="H7701" s="4">
        <v>84717926</v>
      </c>
      <c r="I7701" s="4">
        <v>81526048</v>
      </c>
      <c r="J7701" s="3">
        <v>0.03767653613238832</v>
      </c>
      <c r="K7701" s="3">
        <v>0.039151634088776144</v>
      </c>
      <c r="L7701" t="s">
        <v>54</v>
      </c>
    </row>
    <row r="7702" spans="1:12" x14ac:dyDescent="0.25">
      <c r="A7702" t="s">
        <v>490</v>
      </c>
      <c r="B7702" t="s">
        <v>491</v>
      </c>
      <c r="C7702" t="s">
        <v>492</v>
      </c>
      <c r="D7702" t="s">
        <v>214</v>
      </c>
      <c r="E7702" t="s">
        <v>218</v>
      </c>
      <c r="F7702">
        <v>2</v>
      </c>
      <c r="G7702" t="s">
        <v>499</v>
      </c>
      <c r="H7702" s="4">
        <v>84717926</v>
      </c>
      <c r="I7702" s="4">
        <v>91332829</v>
      </c>
      <c r="J7702" s="3">
        <v>0.07808150308117788</v>
      </c>
      <c r="K7702" s="3">
        <v>-0.07242634518635134</v>
      </c>
      <c r="L7702" t="s">
        <v>54</v>
      </c>
    </row>
    <row r="7703" spans="1:12" x14ac:dyDescent="0.25">
      <c r="A7703" t="s">
        <v>490</v>
      </c>
      <c r="B7703" t="s">
        <v>491</v>
      </c>
      <c r="C7703" t="s">
        <v>492</v>
      </c>
      <c r="D7703" t="s">
        <v>214</v>
      </c>
      <c r="E7703" t="s">
        <v>220</v>
      </c>
      <c r="F7703">
        <v>3</v>
      </c>
      <c r="G7703" t="s">
        <v>488</v>
      </c>
      <c r="H7703" s="4">
        <v>81680358</v>
      </c>
      <c r="I7703" s="4">
        <v>71185865.10291217</v>
      </c>
      <c r="J7703" s="3">
        <v>0.12848245470579142</v>
      </c>
      <c r="K7703" s="3">
        <v>0.14742383030558273</v>
      </c>
      <c r="L7703" t="s">
        <v>54</v>
      </c>
    </row>
    <row r="7704" spans="1:12" x14ac:dyDescent="0.25">
      <c r="A7704" t="s">
        <v>490</v>
      </c>
      <c r="B7704" t="s">
        <v>491</v>
      </c>
      <c r="C7704" t="s">
        <v>492</v>
      </c>
      <c r="D7704" t="s">
        <v>214</v>
      </c>
      <c r="E7704" t="s">
        <v>220</v>
      </c>
      <c r="F7704">
        <v>3</v>
      </c>
      <c r="G7704" t="s">
        <v>498</v>
      </c>
      <c r="H7704" s="4">
        <v>81680358</v>
      </c>
      <c r="I7704" s="4">
        <v>72386607</v>
      </c>
      <c r="J7704" s="3">
        <v>0.11378195722403665</v>
      </c>
      <c r="K7704" s="3">
        <v>0.12839047698422998</v>
      </c>
      <c r="L7704" t="s">
        <v>54</v>
      </c>
    </row>
    <row r="7705" spans="1:12" x14ac:dyDescent="0.25">
      <c r="A7705" t="s">
        <v>490</v>
      </c>
      <c r="B7705" t="s">
        <v>491</v>
      </c>
      <c r="C7705" t="s">
        <v>492</v>
      </c>
      <c r="D7705" t="s">
        <v>214</v>
      </c>
      <c r="E7705" t="s">
        <v>220</v>
      </c>
      <c r="F7705">
        <v>3</v>
      </c>
      <c r="G7705" t="s">
        <v>499</v>
      </c>
      <c r="H7705" s="4">
        <v>81680358</v>
      </c>
      <c r="I7705" s="4">
        <v>91332829</v>
      </c>
      <c r="J7705" s="3">
        <v>0.11817371074695829</v>
      </c>
      <c r="K7705" s="3">
        <v>-0.10568457263050507</v>
      </c>
      <c r="L7705" t="s">
        <v>54</v>
      </c>
    </row>
    <row r="7706" spans="1:12" x14ac:dyDescent="0.25">
      <c r="A7706" t="s">
        <v>490</v>
      </c>
      <c r="B7706" t="s">
        <v>491</v>
      </c>
      <c r="C7706" t="s">
        <v>492</v>
      </c>
      <c r="D7706" t="s">
        <v>216</v>
      </c>
      <c r="E7706" t="s">
        <v>218</v>
      </c>
      <c r="F7706">
        <v>1</v>
      </c>
      <c r="G7706" t="s">
        <v>488</v>
      </c>
      <c r="H7706" s="4">
        <v>84717926</v>
      </c>
      <c r="I7706" s="4">
        <v>81222771.25792722</v>
      </c>
      <c r="J7706" s="3">
        <v>0.041256377570819854</v>
      </c>
      <c r="K7706" s="3">
        <v>0.043031710048081546</v>
      </c>
      <c r="L7706" t="s">
        <v>54</v>
      </c>
    </row>
    <row r="7707" spans="1:12" x14ac:dyDescent="0.25">
      <c r="A7707" t="s">
        <v>490</v>
      </c>
      <c r="B7707" t="s">
        <v>491</v>
      </c>
      <c r="C7707" t="s">
        <v>492</v>
      </c>
      <c r="D7707" t="s">
        <v>216</v>
      </c>
      <c r="E7707" t="s">
        <v>218</v>
      </c>
      <c r="F7707">
        <v>1</v>
      </c>
      <c r="G7707" t="s">
        <v>498</v>
      </c>
      <c r="H7707" s="4">
        <v>84717926</v>
      </c>
      <c r="I7707" s="4">
        <v>81526048</v>
      </c>
      <c r="J7707" s="3">
        <v>0.03767653613238832</v>
      </c>
      <c r="K7707" s="3">
        <v>0.039151634088776144</v>
      </c>
      <c r="L7707" t="s">
        <v>54</v>
      </c>
    </row>
    <row r="7708" spans="1:12" x14ac:dyDescent="0.25">
      <c r="A7708" t="s">
        <v>490</v>
      </c>
      <c r="B7708" t="s">
        <v>491</v>
      </c>
      <c r="C7708" t="s">
        <v>492</v>
      </c>
      <c r="D7708" t="s">
        <v>216</v>
      </c>
      <c r="E7708" t="s">
        <v>218</v>
      </c>
      <c r="F7708">
        <v>1</v>
      </c>
      <c r="G7708" t="s">
        <v>499</v>
      </c>
      <c r="H7708" s="4">
        <v>84717926</v>
      </c>
      <c r="I7708" s="4">
        <v>108124492</v>
      </c>
      <c r="J7708" s="3">
        <v>0.2762882320797136</v>
      </c>
      <c r="K7708" s="3">
        <v>-0.21647792805352556</v>
      </c>
      <c r="L7708" t="s">
        <v>54</v>
      </c>
    </row>
    <row r="7709" spans="1:12" x14ac:dyDescent="0.25">
      <c r="A7709" t="s">
        <v>490</v>
      </c>
      <c r="B7709" t="s">
        <v>491</v>
      </c>
      <c r="C7709" t="s">
        <v>492</v>
      </c>
      <c r="D7709" t="s">
        <v>216</v>
      </c>
      <c r="E7709" t="s">
        <v>220</v>
      </c>
      <c r="F7709">
        <v>2</v>
      </c>
      <c r="G7709" t="s">
        <v>488</v>
      </c>
      <c r="H7709" s="4">
        <v>81680358</v>
      </c>
      <c r="I7709" s="4">
        <v>72117328.96090429</v>
      </c>
      <c r="J7709" s="3">
        <v>0.11707868664208983</v>
      </c>
      <c r="K7709" s="3">
        <v>0.13260376080040281</v>
      </c>
      <c r="L7709" t="s">
        <v>54</v>
      </c>
    </row>
    <row r="7710" spans="1:12" x14ac:dyDescent="0.25">
      <c r="A7710" t="s">
        <v>490</v>
      </c>
      <c r="B7710" t="s">
        <v>491</v>
      </c>
      <c r="C7710" t="s">
        <v>492</v>
      </c>
      <c r="D7710" t="s">
        <v>216</v>
      </c>
      <c r="E7710" t="s">
        <v>220</v>
      </c>
      <c r="F7710">
        <v>2</v>
      </c>
      <c r="G7710" t="s">
        <v>498</v>
      </c>
      <c r="H7710" s="4">
        <v>81680358</v>
      </c>
      <c r="I7710" s="4">
        <v>72386607</v>
      </c>
      <c r="J7710" s="3">
        <v>0.11378195722403665</v>
      </c>
      <c r="K7710" s="3">
        <v>0.12839047698422998</v>
      </c>
      <c r="L7710" t="s">
        <v>54</v>
      </c>
    </row>
    <row r="7711" spans="1:12" x14ac:dyDescent="0.25">
      <c r="A7711" t="s">
        <v>490</v>
      </c>
      <c r="B7711" t="s">
        <v>491</v>
      </c>
      <c r="C7711" t="s">
        <v>492</v>
      </c>
      <c r="D7711" t="s">
        <v>216</v>
      </c>
      <c r="E7711" t="s">
        <v>220</v>
      </c>
      <c r="F7711">
        <v>2</v>
      </c>
      <c r="G7711" t="s">
        <v>499</v>
      </c>
      <c r="H7711" s="4">
        <v>81680358</v>
      </c>
      <c r="I7711" s="4">
        <v>108124492</v>
      </c>
      <c r="J7711" s="3">
        <v>0.32375144584944154</v>
      </c>
      <c r="K7711" s="3">
        <v>-0.24457117449393426</v>
      </c>
      <c r="L7711" t="s">
        <v>54</v>
      </c>
    </row>
    <row r="7712" spans="1:12" x14ac:dyDescent="0.25">
      <c r="A7712" t="s">
        <v>490</v>
      </c>
      <c r="B7712" t="s">
        <v>491</v>
      </c>
      <c r="C7712" t="s">
        <v>492</v>
      </c>
      <c r="D7712" t="s">
        <v>216</v>
      </c>
      <c r="E7712" t="s">
        <v>222</v>
      </c>
      <c r="F7712">
        <v>3</v>
      </c>
      <c r="G7712" t="s">
        <v>488</v>
      </c>
      <c r="H7712" s="4">
        <v>94593720</v>
      </c>
      <c r="I7712" s="4">
        <v>100027099.00163643</v>
      </c>
      <c r="J7712" s="3">
        <v>0.057439109082890814</v>
      </c>
      <c r="K7712" s="3">
        <v>-0.054319070090671544</v>
      </c>
      <c r="L7712" t="s">
        <v>54</v>
      </c>
    </row>
    <row r="7713" spans="1:12" x14ac:dyDescent="0.25">
      <c r="A7713" t="s">
        <v>490</v>
      </c>
      <c r="B7713" t="s">
        <v>491</v>
      </c>
      <c r="C7713" t="s">
        <v>492</v>
      </c>
      <c r="D7713" t="s">
        <v>216</v>
      </c>
      <c r="E7713" t="s">
        <v>222</v>
      </c>
      <c r="F7713">
        <v>3</v>
      </c>
      <c r="G7713" t="s">
        <v>498</v>
      </c>
      <c r="H7713" s="4">
        <v>94593720</v>
      </c>
      <c r="I7713" s="4">
        <v>100400589</v>
      </c>
      <c r="J7713" s="3">
        <v>0.061387468428136666</v>
      </c>
      <c r="K7713" s="3">
        <v>-0.05783700133472325</v>
      </c>
      <c r="L7713" t="s">
        <v>54</v>
      </c>
    </row>
    <row r="7714" spans="1:12" x14ac:dyDescent="0.25">
      <c r="A7714" t="s">
        <v>490</v>
      </c>
      <c r="B7714" t="s">
        <v>491</v>
      </c>
      <c r="C7714" t="s">
        <v>492</v>
      </c>
      <c r="D7714" t="s">
        <v>216</v>
      </c>
      <c r="E7714" t="s">
        <v>222</v>
      </c>
      <c r="F7714">
        <v>3</v>
      </c>
      <c r="G7714" t="s">
        <v>499</v>
      </c>
      <c r="H7714" s="4">
        <v>94593720</v>
      </c>
      <c r="I7714" s="4">
        <v>108124492</v>
      </c>
      <c r="J7714" s="3">
        <v>0.14304091222969137</v>
      </c>
      <c r="K7714" s="3">
        <v>-0.125140675805441</v>
      </c>
      <c r="L7714" t="s">
        <v>54</v>
      </c>
    </row>
    <row r="7715" spans="1:12" x14ac:dyDescent="0.25">
      <c r="A7715" t="s">
        <v>490</v>
      </c>
      <c r="B7715" t="s">
        <v>491</v>
      </c>
      <c r="C7715" t="s">
        <v>492</v>
      </c>
      <c r="D7715" t="s">
        <v>218</v>
      </c>
      <c r="E7715" t="s">
        <v>220</v>
      </c>
      <c r="F7715">
        <v>1</v>
      </c>
      <c r="G7715" t="s">
        <v>488</v>
      </c>
      <c r="H7715" s="4">
        <v>81680358</v>
      </c>
      <c r="I7715" s="4">
        <v>73402348.42211135</v>
      </c>
      <c r="J7715" s="3">
        <v>0.10134639196719306</v>
      </c>
      <c r="K7715" s="3">
        <v>0.11277581379664724</v>
      </c>
      <c r="L7715" t="s">
        <v>54</v>
      </c>
    </row>
    <row r="7716" spans="1:12" x14ac:dyDescent="0.25">
      <c r="A7716" t="s">
        <v>490</v>
      </c>
      <c r="B7716" t="s">
        <v>491</v>
      </c>
      <c r="C7716" t="s">
        <v>492</v>
      </c>
      <c r="D7716" t="s">
        <v>218</v>
      </c>
      <c r="E7716" t="s">
        <v>220</v>
      </c>
      <c r="F7716">
        <v>1</v>
      </c>
      <c r="G7716" t="s">
        <v>498</v>
      </c>
      <c r="H7716" s="4">
        <v>81680358</v>
      </c>
      <c r="I7716" s="4">
        <v>72386607</v>
      </c>
      <c r="J7716" s="3">
        <v>0.11378195722403665</v>
      </c>
      <c r="K7716" s="3">
        <v>0.12839047698422998</v>
      </c>
      <c r="L7716" t="s">
        <v>54</v>
      </c>
    </row>
    <row r="7717" spans="1:12" x14ac:dyDescent="0.25">
      <c r="A7717" t="s">
        <v>490</v>
      </c>
      <c r="B7717" t="s">
        <v>491</v>
      </c>
      <c r="C7717" t="s">
        <v>492</v>
      </c>
      <c r="D7717" t="s">
        <v>218</v>
      </c>
      <c r="E7717" t="s">
        <v>220</v>
      </c>
      <c r="F7717">
        <v>1</v>
      </c>
      <c r="G7717" t="s">
        <v>499</v>
      </c>
      <c r="H7717" s="4">
        <v>81680358</v>
      </c>
      <c r="I7717" s="4">
        <v>84717926</v>
      </c>
      <c r="J7717" s="3">
        <v>0.03718847559409571</v>
      </c>
      <c r="K7717" s="3">
        <v>-0.03585507983280894</v>
      </c>
      <c r="L7717" t="s">
        <v>54</v>
      </c>
    </row>
    <row r="7718" spans="1:12" x14ac:dyDescent="0.25">
      <c r="A7718" t="s">
        <v>490</v>
      </c>
      <c r="B7718" t="s">
        <v>491</v>
      </c>
      <c r="C7718" t="s">
        <v>492</v>
      </c>
      <c r="D7718" t="s">
        <v>218</v>
      </c>
      <c r="E7718" t="s">
        <v>222</v>
      </c>
      <c r="F7718">
        <v>2</v>
      </c>
      <c r="G7718" t="s">
        <v>488</v>
      </c>
      <c r="H7718" s="4">
        <v>94593720</v>
      </c>
      <c r="I7718" s="4">
        <v>101809427.47548866</v>
      </c>
      <c r="J7718" s="3">
        <v>0.07628104144216617</v>
      </c>
      <c r="K7718" s="3">
        <v>-0.07087464937592243</v>
      </c>
      <c r="L7718" t="s">
        <v>54</v>
      </c>
    </row>
    <row r="7719" spans="1:12" x14ac:dyDescent="0.25">
      <c r="A7719" t="s">
        <v>490</v>
      </c>
      <c r="B7719" t="s">
        <v>491</v>
      </c>
      <c r="C7719" t="s">
        <v>492</v>
      </c>
      <c r="D7719" t="s">
        <v>218</v>
      </c>
      <c r="E7719" t="s">
        <v>222</v>
      </c>
      <c r="F7719">
        <v>2</v>
      </c>
      <c r="G7719" t="s">
        <v>498</v>
      </c>
      <c r="H7719" s="4">
        <v>94593720</v>
      </c>
      <c r="I7719" s="4">
        <v>100400589</v>
      </c>
      <c r="J7719" s="3">
        <v>0.061387468428136666</v>
      </c>
      <c r="K7719" s="3">
        <v>-0.05783700133472325</v>
      </c>
      <c r="L7719" t="s">
        <v>54</v>
      </c>
    </row>
    <row r="7720" spans="1:12" x14ac:dyDescent="0.25">
      <c r="A7720" t="s">
        <v>490</v>
      </c>
      <c r="B7720" t="s">
        <v>491</v>
      </c>
      <c r="C7720" t="s">
        <v>492</v>
      </c>
      <c r="D7720" t="s">
        <v>218</v>
      </c>
      <c r="E7720" t="s">
        <v>222</v>
      </c>
      <c r="F7720">
        <v>2</v>
      </c>
      <c r="G7720" t="s">
        <v>499</v>
      </c>
      <c r="H7720" s="4">
        <v>94593720</v>
      </c>
      <c r="I7720" s="4">
        <v>84717926</v>
      </c>
      <c r="J7720" s="3">
        <v>0.10440221613020399</v>
      </c>
      <c r="K7720" s="3">
        <v>0.11657266019472667</v>
      </c>
      <c r="L7720" t="s">
        <v>54</v>
      </c>
    </row>
    <row r="7721" spans="1:12" x14ac:dyDescent="0.25">
      <c r="A7721" t="s">
        <v>490</v>
      </c>
      <c r="B7721" t="s">
        <v>491</v>
      </c>
      <c r="C7721" t="s">
        <v>492</v>
      </c>
      <c r="D7721" t="s">
        <v>218</v>
      </c>
      <c r="E7721" t="s">
        <v>224</v>
      </c>
      <c r="F7721">
        <v>3</v>
      </c>
      <c r="G7721" t="s">
        <v>488</v>
      </c>
      <c r="H7721" s="4">
        <v>85688600</v>
      </c>
      <c r="I7721" s="4">
        <v>84662086.63729446</v>
      </c>
      <c r="J7721" s="3">
        <v>0.01197957911210527</v>
      </c>
      <c r="K7721" s="3">
        <v>0.01212482946591296</v>
      </c>
      <c r="L7721" t="s">
        <v>54</v>
      </c>
    </row>
    <row r="7722" spans="1:12" x14ac:dyDescent="0.25">
      <c r="A7722" t="s">
        <v>490</v>
      </c>
      <c r="B7722" t="s">
        <v>491</v>
      </c>
      <c r="C7722" t="s">
        <v>492</v>
      </c>
      <c r="D7722" t="s">
        <v>218</v>
      </c>
      <c r="E7722" t="s">
        <v>224</v>
      </c>
      <c r="F7722">
        <v>3</v>
      </c>
      <c r="G7722" t="s">
        <v>498</v>
      </c>
      <c r="H7722" s="4">
        <v>85688600</v>
      </c>
      <c r="I7722" s="4">
        <v>83490533</v>
      </c>
      <c r="J7722" s="3">
        <v>0.025651801989996337</v>
      </c>
      <c r="K7722" s="3">
        <v>0.026327140587304673</v>
      </c>
      <c r="L7722" t="s">
        <v>54</v>
      </c>
    </row>
    <row r="7723" spans="1:12" x14ac:dyDescent="0.25">
      <c r="A7723" t="s">
        <v>490</v>
      </c>
      <c r="B7723" t="s">
        <v>491</v>
      </c>
      <c r="C7723" t="s">
        <v>492</v>
      </c>
      <c r="D7723" t="s">
        <v>218</v>
      </c>
      <c r="E7723" t="s">
        <v>224</v>
      </c>
      <c r="F7723">
        <v>3</v>
      </c>
      <c r="G7723" t="s">
        <v>499</v>
      </c>
      <c r="H7723" s="4">
        <v>85688600</v>
      </c>
      <c r="I7723" s="4">
        <v>84717926</v>
      </c>
      <c r="J7723" s="3">
        <v>0.011327924601405555</v>
      </c>
      <c r="K7723" s="3">
        <v>0.011457716752886515</v>
      </c>
      <c r="L7723" t="s">
        <v>54</v>
      </c>
    </row>
    <row r="7724" spans="1:12" x14ac:dyDescent="0.25">
      <c r="A7724" t="s">
        <v>490</v>
      </c>
      <c r="B7724" t="s">
        <v>491</v>
      </c>
      <c r="C7724" t="s">
        <v>492</v>
      </c>
      <c r="D7724" t="s">
        <v>220</v>
      </c>
      <c r="E7724" t="s">
        <v>222</v>
      </c>
      <c r="F7724">
        <v>1</v>
      </c>
      <c r="G7724" t="s">
        <v>488</v>
      </c>
      <c r="H7724" s="4">
        <v>94593720</v>
      </c>
      <c r="I7724" s="4">
        <v>102613457.80836596</v>
      </c>
      <c r="J7724" s="3">
        <v>0.08478086926241991</v>
      </c>
      <c r="K7724" s="3">
        <v>-0.07815483445985304</v>
      </c>
      <c r="L7724" t="s">
        <v>54</v>
      </c>
    </row>
    <row r="7725" spans="1:12" x14ac:dyDescent="0.25">
      <c r="A7725" t="s">
        <v>490</v>
      </c>
      <c r="B7725" t="s">
        <v>491</v>
      </c>
      <c r="C7725" t="s">
        <v>492</v>
      </c>
      <c r="D7725" t="s">
        <v>220</v>
      </c>
      <c r="E7725" t="s">
        <v>222</v>
      </c>
      <c r="F7725">
        <v>1</v>
      </c>
      <c r="G7725" t="s">
        <v>498</v>
      </c>
      <c r="H7725" s="4">
        <v>94593720</v>
      </c>
      <c r="I7725" s="4">
        <v>100400589</v>
      </c>
      <c r="J7725" s="3">
        <v>0.061387468428136666</v>
      </c>
      <c r="K7725" s="3">
        <v>-0.05783700133472325</v>
      </c>
      <c r="L7725" t="s">
        <v>54</v>
      </c>
    </row>
    <row r="7726" spans="1:12" x14ac:dyDescent="0.25">
      <c r="A7726" t="s">
        <v>490</v>
      </c>
      <c r="B7726" t="s">
        <v>491</v>
      </c>
      <c r="C7726" t="s">
        <v>492</v>
      </c>
      <c r="D7726" t="s">
        <v>220</v>
      </c>
      <c r="E7726" t="s">
        <v>222</v>
      </c>
      <c r="F7726">
        <v>1</v>
      </c>
      <c r="G7726" t="s">
        <v>499</v>
      </c>
      <c r="H7726" s="4">
        <v>94593720</v>
      </c>
      <c r="I7726" s="4">
        <v>81680358</v>
      </c>
      <c r="J7726" s="3">
        <v>0.1365139461689423</v>
      </c>
      <c r="K7726" s="3">
        <v>0.1580962953174128</v>
      </c>
      <c r="L7726" t="s">
        <v>54</v>
      </c>
    </row>
    <row r="7727" spans="1:12" x14ac:dyDescent="0.25">
      <c r="A7727" t="s">
        <v>490</v>
      </c>
      <c r="B7727" t="s">
        <v>491</v>
      </c>
      <c r="C7727" t="s">
        <v>492</v>
      </c>
      <c r="D7727" t="s">
        <v>220</v>
      </c>
      <c r="E7727" t="s">
        <v>224</v>
      </c>
      <c r="F7727">
        <v>2</v>
      </c>
      <c r="G7727" t="s">
        <v>488</v>
      </c>
      <c r="H7727" s="4">
        <v>85688600</v>
      </c>
      <c r="I7727" s="4">
        <v>85330697.46626173</v>
      </c>
      <c r="J7727" s="3">
        <v>0.004176781202380134</v>
      </c>
      <c r="K7727" s="3">
        <v>0.004194299875256251</v>
      </c>
      <c r="L7727" t="s">
        <v>54</v>
      </c>
    </row>
    <row r="7728" spans="1:12" x14ac:dyDescent="0.25">
      <c r="A7728" t="s">
        <v>490</v>
      </c>
      <c r="B7728" t="s">
        <v>491</v>
      </c>
      <c r="C7728" t="s">
        <v>492</v>
      </c>
      <c r="D7728" t="s">
        <v>220</v>
      </c>
      <c r="E7728" t="s">
        <v>224</v>
      </c>
      <c r="F7728">
        <v>2</v>
      </c>
      <c r="G7728" t="s">
        <v>498</v>
      </c>
      <c r="H7728" s="4">
        <v>85688600</v>
      </c>
      <c r="I7728" s="4">
        <v>83490533</v>
      </c>
      <c r="J7728" s="3">
        <v>0.025651801989996337</v>
      </c>
      <c r="K7728" s="3">
        <v>0.026327140587304673</v>
      </c>
      <c r="L7728" t="s">
        <v>54</v>
      </c>
    </row>
    <row r="7729" spans="1:12" x14ac:dyDescent="0.25">
      <c r="A7729" t="s">
        <v>490</v>
      </c>
      <c r="B7729" t="s">
        <v>491</v>
      </c>
      <c r="C7729" t="s">
        <v>492</v>
      </c>
      <c r="D7729" t="s">
        <v>220</v>
      </c>
      <c r="E7729" t="s">
        <v>224</v>
      </c>
      <c r="F7729">
        <v>2</v>
      </c>
      <c r="G7729" t="s">
        <v>499</v>
      </c>
      <c r="H7729" s="4">
        <v>85688600</v>
      </c>
      <c r="I7729" s="4">
        <v>81680358</v>
      </c>
      <c r="J7729" s="3">
        <v>0.04677684079329106</v>
      </c>
      <c r="K7729" s="3">
        <v>0.049072287366811004</v>
      </c>
      <c r="L7729" t="s">
        <v>54</v>
      </c>
    </row>
    <row r="7730" spans="1:12" x14ac:dyDescent="0.25">
      <c r="A7730" t="s">
        <v>490</v>
      </c>
      <c r="B7730" t="s">
        <v>491</v>
      </c>
      <c r="C7730" t="s">
        <v>492</v>
      </c>
      <c r="D7730" t="s">
        <v>220</v>
      </c>
      <c r="E7730" t="s">
        <v>226</v>
      </c>
      <c r="F7730">
        <v>3</v>
      </c>
      <c r="G7730" t="s">
        <v>488</v>
      </c>
      <c r="H7730" s="4">
        <v>80302160</v>
      </c>
      <c r="I7730" s="4">
        <v>83150286.7043907</v>
      </c>
      <c r="J7730" s="3">
        <v>0.035467622594344966</v>
      </c>
      <c r="K7730" s="3">
        <v>-0.0342527586767817</v>
      </c>
      <c r="L7730" t="s">
        <v>54</v>
      </c>
    </row>
    <row r="7731" spans="1:12" x14ac:dyDescent="0.25">
      <c r="A7731" t="s">
        <v>490</v>
      </c>
      <c r="B7731" t="s">
        <v>491</v>
      </c>
      <c r="C7731" t="s">
        <v>492</v>
      </c>
      <c r="D7731" t="s">
        <v>220</v>
      </c>
      <c r="E7731" t="s">
        <v>226</v>
      </c>
      <c r="F7731">
        <v>3</v>
      </c>
      <c r="G7731" t="s">
        <v>498</v>
      </c>
      <c r="H7731" s="4">
        <v>80302160</v>
      </c>
      <c r="I7731" s="4">
        <v>81357143</v>
      </c>
      <c r="J7731" s="3">
        <v>0.01313766653350296</v>
      </c>
      <c r="K7731" s="3">
        <v>-0.012967306386361182</v>
      </c>
      <c r="L7731" t="s">
        <v>54</v>
      </c>
    </row>
    <row r="7732" spans="1:12" x14ac:dyDescent="0.25">
      <c r="A7732" t="s">
        <v>490</v>
      </c>
      <c r="B7732" t="s">
        <v>491</v>
      </c>
      <c r="C7732" t="s">
        <v>492</v>
      </c>
      <c r="D7732" t="s">
        <v>220</v>
      </c>
      <c r="E7732" t="s">
        <v>226</v>
      </c>
      <c r="F7732">
        <v>3</v>
      </c>
      <c r="G7732" t="s">
        <v>499</v>
      </c>
      <c r="H7732" s="4">
        <v>80302160</v>
      </c>
      <c r="I7732" s="4">
        <v>81680358</v>
      </c>
      <c r="J7732" s="3">
        <v>0.01716265166466257</v>
      </c>
      <c r="K7732" s="3">
        <v>-0.016873065125400162</v>
      </c>
      <c r="L7732" t="s">
        <v>54</v>
      </c>
    </row>
    <row r="7733" spans="1:12" x14ac:dyDescent="0.25">
      <c r="A7733" t="s">
        <v>490</v>
      </c>
      <c r="B7733" t="s">
        <v>491</v>
      </c>
      <c r="C7733" t="s">
        <v>492</v>
      </c>
      <c r="D7733" t="s">
        <v>222</v>
      </c>
      <c r="E7733" t="s">
        <v>224</v>
      </c>
      <c r="F7733">
        <v>1</v>
      </c>
      <c r="G7733" t="s">
        <v>488</v>
      </c>
      <c r="H7733" s="4">
        <v>85688600</v>
      </c>
      <c r="I7733" s="4">
        <v>83483741.86519378</v>
      </c>
      <c r="J7733" s="3">
        <v>0.025731055645747694</v>
      </c>
      <c r="K7733" s="3">
        <v>0.026410629010454906</v>
      </c>
      <c r="L7733" t="s">
        <v>54</v>
      </c>
    </row>
    <row r="7734" spans="1:12" x14ac:dyDescent="0.25">
      <c r="A7734" t="s">
        <v>490</v>
      </c>
      <c r="B7734" t="s">
        <v>491</v>
      </c>
      <c r="C7734" t="s">
        <v>492</v>
      </c>
      <c r="D7734" t="s">
        <v>222</v>
      </c>
      <c r="E7734" t="s">
        <v>224</v>
      </c>
      <c r="F7734">
        <v>1</v>
      </c>
      <c r="G7734" t="s">
        <v>498</v>
      </c>
      <c r="H7734" s="4">
        <v>85688600</v>
      </c>
      <c r="I7734" s="4">
        <v>83490533</v>
      </c>
      <c r="J7734" s="3">
        <v>0.025651801989996337</v>
      </c>
      <c r="K7734" s="3">
        <v>0.026327140587304673</v>
      </c>
      <c r="L7734" t="s">
        <v>54</v>
      </c>
    </row>
    <row r="7735" spans="1:12" x14ac:dyDescent="0.25">
      <c r="A7735" t="s">
        <v>490</v>
      </c>
      <c r="B7735" t="s">
        <v>491</v>
      </c>
      <c r="C7735" t="s">
        <v>492</v>
      </c>
      <c r="D7735" t="s">
        <v>222</v>
      </c>
      <c r="E7735" t="s">
        <v>224</v>
      </c>
      <c r="F7735">
        <v>1</v>
      </c>
      <c r="G7735" t="s">
        <v>499</v>
      </c>
      <c r="H7735" s="4">
        <v>85688600</v>
      </c>
      <c r="I7735" s="4">
        <v>94593720</v>
      </c>
      <c r="J7735" s="3">
        <v>0.10392420928804999</v>
      </c>
      <c r="K7735" s="3">
        <v>-0.09414071039811099</v>
      </c>
      <c r="L7735" t="s">
        <v>54</v>
      </c>
    </row>
    <row r="7736" spans="1:12" x14ac:dyDescent="0.25">
      <c r="A7736" t="s">
        <v>490</v>
      </c>
      <c r="B7736" t="s">
        <v>491</v>
      </c>
      <c r="C7736" t="s">
        <v>492</v>
      </c>
      <c r="D7736" t="s">
        <v>222</v>
      </c>
      <c r="E7736" t="s">
        <v>226</v>
      </c>
      <c r="F7736">
        <v>2</v>
      </c>
      <c r="G7736" t="s">
        <v>488</v>
      </c>
      <c r="H7736" s="4">
        <v>80302160</v>
      </c>
      <c r="I7736" s="4">
        <v>81350525.39551589</v>
      </c>
      <c r="J7736" s="3">
        <v>0.013055257735481697</v>
      </c>
      <c r="K7736" s="3">
        <v>-0.012887014440519836</v>
      </c>
      <c r="L7736" t="s">
        <v>54</v>
      </c>
    </row>
    <row r="7737" spans="1:12" x14ac:dyDescent="0.25">
      <c r="A7737" t="s">
        <v>490</v>
      </c>
      <c r="B7737" t="s">
        <v>491</v>
      </c>
      <c r="C7737" t="s">
        <v>492</v>
      </c>
      <c r="D7737" t="s">
        <v>222</v>
      </c>
      <c r="E7737" t="s">
        <v>226</v>
      </c>
      <c r="F7737">
        <v>2</v>
      </c>
      <c r="G7737" t="s">
        <v>498</v>
      </c>
      <c r="H7737" s="4">
        <v>80302160</v>
      </c>
      <c r="I7737" s="4">
        <v>81357143</v>
      </c>
      <c r="J7737" s="3">
        <v>0.01313766653350296</v>
      </c>
      <c r="K7737" s="3">
        <v>-0.012967306386361182</v>
      </c>
      <c r="L7737" t="s">
        <v>54</v>
      </c>
    </row>
    <row r="7738" spans="1:12" x14ac:dyDescent="0.25">
      <c r="A7738" t="s">
        <v>490</v>
      </c>
      <c r="B7738" t="s">
        <v>491</v>
      </c>
      <c r="C7738" t="s">
        <v>492</v>
      </c>
      <c r="D7738" t="s">
        <v>222</v>
      </c>
      <c r="E7738" t="s">
        <v>226</v>
      </c>
      <c r="F7738">
        <v>2</v>
      </c>
      <c r="G7738" t="s">
        <v>499</v>
      </c>
      <c r="H7738" s="4">
        <v>80302160</v>
      </c>
      <c r="I7738" s="4">
        <v>94593720</v>
      </c>
      <c r="J7738" s="3">
        <v>0.17797229862808173</v>
      </c>
      <c r="K7738" s="3">
        <v>-0.15108360259010853</v>
      </c>
      <c r="L7738" t="s">
        <v>54</v>
      </c>
    </row>
    <row r="7739" spans="1:12" x14ac:dyDescent="0.25">
      <c r="A7739" t="s">
        <v>490</v>
      </c>
      <c r="B7739" t="s">
        <v>491</v>
      </c>
      <c r="C7739" t="s">
        <v>492</v>
      </c>
      <c r="D7739" t="s">
        <v>222</v>
      </c>
      <c r="E7739" t="s">
        <v>228</v>
      </c>
      <c r="F7739">
        <v>3</v>
      </c>
      <c r="G7739" t="s">
        <v>488</v>
      </c>
      <c r="H7739" s="4">
        <v>62727009</v>
      </c>
      <c r="I7739" s="4">
        <v>63174051.99336522</v>
      </c>
      <c r="J7739" s="3">
        <v>0.00712680232155212</v>
      </c>
      <c r="K7739" s="3">
        <v>-0.007076370428355155</v>
      </c>
      <c r="L7739" t="s">
        <v>54</v>
      </c>
    </row>
    <row r="7740" spans="1:12" x14ac:dyDescent="0.25">
      <c r="A7740" t="s">
        <v>490</v>
      </c>
      <c r="B7740" t="s">
        <v>491</v>
      </c>
      <c r="C7740" t="s">
        <v>492</v>
      </c>
      <c r="D7740" t="s">
        <v>222</v>
      </c>
      <c r="E7740" t="s">
        <v>228</v>
      </c>
      <c r="F7740">
        <v>3</v>
      </c>
      <c r="G7740" t="s">
        <v>498</v>
      </c>
      <c r="H7740" s="4">
        <v>62727009</v>
      </c>
      <c r="I7740" s="4">
        <v>63179191</v>
      </c>
      <c r="J7740" s="3">
        <v>0.0072087288587281435</v>
      </c>
      <c r="K7740" s="3">
        <v>-0.007157135013014016</v>
      </c>
      <c r="L7740" t="s">
        <v>54</v>
      </c>
    </row>
    <row r="7741" spans="1:12" x14ac:dyDescent="0.25">
      <c r="A7741" t="s">
        <v>490</v>
      </c>
      <c r="B7741" t="s">
        <v>491</v>
      </c>
      <c r="C7741" t="s">
        <v>492</v>
      </c>
      <c r="D7741" t="s">
        <v>222</v>
      </c>
      <c r="E7741" t="s">
        <v>228</v>
      </c>
      <c r="F7741">
        <v>3</v>
      </c>
      <c r="G7741" t="s">
        <v>499</v>
      </c>
      <c r="H7741" s="4">
        <v>62727009</v>
      </c>
      <c r="I7741" s="4">
        <v>94593720</v>
      </c>
      <c r="J7741" s="3">
        <v>0.5080221663366733</v>
      </c>
      <c r="K7741" s="3">
        <v>-0.3368797738369947</v>
      </c>
      <c r="L7741" t="s">
        <v>54</v>
      </c>
    </row>
    <row r="7742" spans="1:12" x14ac:dyDescent="0.25">
      <c r="A7742" t="s">
        <v>490</v>
      </c>
      <c r="B7742" t="s">
        <v>491</v>
      </c>
      <c r="C7742" t="s">
        <v>492</v>
      </c>
      <c r="D7742" t="s">
        <v>224</v>
      </c>
      <c r="E7742" t="s">
        <v>226</v>
      </c>
      <c r="F7742">
        <v>1</v>
      </c>
      <c r="G7742" t="s">
        <v>488</v>
      </c>
      <c r="H7742" s="4">
        <v>80302160</v>
      </c>
      <c r="I7742" s="4">
        <v>81857189.89901294</v>
      </c>
      <c r="J7742" s="3">
        <v>0.01936473314058972</v>
      </c>
      <c r="K7742" s="3">
        <v>-0.01899686393988574</v>
      </c>
      <c r="L7742" t="s">
        <v>54</v>
      </c>
    </row>
    <row r="7743" spans="1:12" x14ac:dyDescent="0.25">
      <c r="A7743" t="s">
        <v>490</v>
      </c>
      <c r="B7743" t="s">
        <v>491</v>
      </c>
      <c r="C7743" t="s">
        <v>492</v>
      </c>
      <c r="D7743" t="s">
        <v>224</v>
      </c>
      <c r="E7743" t="s">
        <v>226</v>
      </c>
      <c r="F7743">
        <v>1</v>
      </c>
      <c r="G7743" t="s">
        <v>498</v>
      </c>
      <c r="H7743" s="4">
        <v>80302160</v>
      </c>
      <c r="I7743" s="4">
        <v>81357143</v>
      </c>
      <c r="J7743" s="3">
        <v>0.01313766653350296</v>
      </c>
      <c r="K7743" s="3">
        <v>-0.012967306386361182</v>
      </c>
      <c r="L7743" t="s">
        <v>54</v>
      </c>
    </row>
    <row r="7744" spans="1:12" x14ac:dyDescent="0.25">
      <c r="A7744" t="s">
        <v>490</v>
      </c>
      <c r="B7744" t="s">
        <v>491</v>
      </c>
      <c r="C7744" t="s">
        <v>492</v>
      </c>
      <c r="D7744" t="s">
        <v>224</v>
      </c>
      <c r="E7744" t="s">
        <v>226</v>
      </c>
      <c r="F7744">
        <v>1</v>
      </c>
      <c r="G7744" t="s">
        <v>499</v>
      </c>
      <c r="H7744" s="4">
        <v>80302160</v>
      </c>
      <c r="I7744" s="4">
        <v>85688600</v>
      </c>
      <c r="J7744" s="3">
        <v>0.06707714960593837</v>
      </c>
      <c r="K7744" s="3">
        <v>-0.06286063723762554</v>
      </c>
      <c r="L7744" t="s">
        <v>54</v>
      </c>
    </row>
    <row r="7745" spans="1:12" x14ac:dyDescent="0.25">
      <c r="A7745" t="s">
        <v>490</v>
      </c>
      <c r="B7745" t="s">
        <v>491</v>
      </c>
      <c r="C7745" t="s">
        <v>492</v>
      </c>
      <c r="D7745" t="s">
        <v>224</v>
      </c>
      <c r="E7745" t="s">
        <v>228</v>
      </c>
      <c r="F7745">
        <v>2</v>
      </c>
      <c r="G7745" t="s">
        <v>488</v>
      </c>
      <c r="H7745" s="4">
        <v>62727009</v>
      </c>
      <c r="I7745" s="4">
        <v>63567510.41949703</v>
      </c>
      <c r="J7745" s="3">
        <v>0.013399354327527844</v>
      </c>
      <c r="K7745" s="3">
        <v>-0.013222185577984106</v>
      </c>
      <c r="L7745" t="s">
        <v>54</v>
      </c>
    </row>
    <row r="7746" spans="1:12" x14ac:dyDescent="0.25">
      <c r="A7746" t="s">
        <v>490</v>
      </c>
      <c r="B7746" t="s">
        <v>491</v>
      </c>
      <c r="C7746" t="s">
        <v>492</v>
      </c>
      <c r="D7746" t="s">
        <v>224</v>
      </c>
      <c r="E7746" t="s">
        <v>228</v>
      </c>
      <c r="F7746">
        <v>2</v>
      </c>
      <c r="G7746" t="s">
        <v>498</v>
      </c>
      <c r="H7746" s="4">
        <v>62727009</v>
      </c>
      <c r="I7746" s="4">
        <v>63179191</v>
      </c>
      <c r="J7746" s="3">
        <v>0.0072087288587281435</v>
      </c>
      <c r="K7746" s="3">
        <v>-0.007157135013014016</v>
      </c>
      <c r="L7746" t="s">
        <v>54</v>
      </c>
    </row>
    <row r="7747" spans="1:12" x14ac:dyDescent="0.25">
      <c r="A7747" t="s">
        <v>490</v>
      </c>
      <c r="B7747" t="s">
        <v>491</v>
      </c>
      <c r="C7747" t="s">
        <v>492</v>
      </c>
      <c r="D7747" t="s">
        <v>224</v>
      </c>
      <c r="E7747" t="s">
        <v>228</v>
      </c>
      <c r="F7747">
        <v>2</v>
      </c>
      <c r="G7747" t="s">
        <v>499</v>
      </c>
      <c r="H7747" s="4">
        <v>62727009</v>
      </c>
      <c r="I7747" s="4">
        <v>85688600</v>
      </c>
      <c r="J7747" s="3">
        <v>0.36605588830164054</v>
      </c>
      <c r="K7747" s="3">
        <v>-0.2679655286700915</v>
      </c>
      <c r="L7747" t="s">
        <v>54</v>
      </c>
    </row>
    <row r="7748" spans="1:12" x14ac:dyDescent="0.25">
      <c r="A7748" t="s">
        <v>490</v>
      </c>
      <c r="B7748" t="s">
        <v>491</v>
      </c>
      <c r="C7748" t="s">
        <v>492</v>
      </c>
      <c r="D7748" t="s">
        <v>224</v>
      </c>
      <c r="E7748" t="s">
        <v>230</v>
      </c>
      <c r="F7748">
        <v>3</v>
      </c>
      <c r="G7748" t="s">
        <v>488</v>
      </c>
      <c r="H7748" s="4">
        <v>50447080</v>
      </c>
      <c r="I7748" s="4">
        <v>48604296.55958469</v>
      </c>
      <c r="J7748" s="3">
        <v>0.03652904073764642</v>
      </c>
      <c r="K7748" s="3">
        <v>0.037914002893884365</v>
      </c>
      <c r="L7748" t="s">
        <v>54</v>
      </c>
    </row>
    <row r="7749" spans="1:12" x14ac:dyDescent="0.25">
      <c r="A7749" t="s">
        <v>490</v>
      </c>
      <c r="B7749" t="s">
        <v>491</v>
      </c>
      <c r="C7749" t="s">
        <v>492</v>
      </c>
      <c r="D7749" t="s">
        <v>224</v>
      </c>
      <c r="E7749" t="s">
        <v>230</v>
      </c>
      <c r="F7749">
        <v>3</v>
      </c>
      <c r="G7749" t="s">
        <v>498</v>
      </c>
      <c r="H7749" s="4">
        <v>50447080</v>
      </c>
      <c r="I7749" s="4">
        <v>48307384</v>
      </c>
      <c r="J7749" s="3">
        <v>0.0424146650311574</v>
      </c>
      <c r="K7749" s="3">
        <v>0.04429335275120673</v>
      </c>
      <c r="L7749" t="s">
        <v>54</v>
      </c>
    </row>
    <row r="7750" spans="1:12" x14ac:dyDescent="0.25">
      <c r="A7750" t="s">
        <v>490</v>
      </c>
      <c r="B7750" t="s">
        <v>491</v>
      </c>
      <c r="C7750" t="s">
        <v>492</v>
      </c>
      <c r="D7750" t="s">
        <v>224</v>
      </c>
      <c r="E7750" t="s">
        <v>230</v>
      </c>
      <c r="F7750">
        <v>3</v>
      </c>
      <c r="G7750" t="s">
        <v>499</v>
      </c>
      <c r="H7750" s="4">
        <v>50447080</v>
      </c>
      <c r="I7750" s="4">
        <v>85688600</v>
      </c>
      <c r="J7750" s="3">
        <v>0.6985839418257707</v>
      </c>
      <c r="K7750" s="3">
        <v>-0.41127431186879</v>
      </c>
      <c r="L7750" t="s">
        <v>54</v>
      </c>
    </row>
    <row r="7751" spans="1:12" x14ac:dyDescent="0.25">
      <c r="A7751" t="s">
        <v>490</v>
      </c>
      <c r="B7751" t="s">
        <v>491</v>
      </c>
      <c r="C7751" t="s">
        <v>492</v>
      </c>
      <c r="D7751" t="s">
        <v>226</v>
      </c>
      <c r="E7751" t="s">
        <v>228</v>
      </c>
      <c r="F7751">
        <v>1</v>
      </c>
      <c r="G7751" t="s">
        <v>488</v>
      </c>
      <c r="H7751" s="4">
        <v>62727009</v>
      </c>
      <c r="I7751" s="4">
        <v>62998625.050796494</v>
      </c>
      <c r="J7751" s="3">
        <v>0.004330129160095835</v>
      </c>
      <c r="K7751" s="3">
        <v>-0.004311459981507324</v>
      </c>
      <c r="L7751" t="s">
        <v>54</v>
      </c>
    </row>
    <row r="7752" spans="1:12" x14ac:dyDescent="0.25">
      <c r="A7752" t="s">
        <v>490</v>
      </c>
      <c r="B7752" t="s">
        <v>491</v>
      </c>
      <c r="C7752" t="s">
        <v>492</v>
      </c>
      <c r="D7752" t="s">
        <v>226</v>
      </c>
      <c r="E7752" t="s">
        <v>228</v>
      </c>
      <c r="F7752">
        <v>1</v>
      </c>
      <c r="G7752" t="s">
        <v>498</v>
      </c>
      <c r="H7752" s="4">
        <v>62727009</v>
      </c>
      <c r="I7752" s="4">
        <v>63179191</v>
      </c>
      <c r="J7752" s="3">
        <v>0.0072087288587281435</v>
      </c>
      <c r="K7752" s="3">
        <v>-0.007157135013014016</v>
      </c>
      <c r="L7752" t="s">
        <v>54</v>
      </c>
    </row>
    <row r="7753" spans="1:12" x14ac:dyDescent="0.25">
      <c r="A7753" t="s">
        <v>490</v>
      </c>
      <c r="B7753" t="s">
        <v>491</v>
      </c>
      <c r="C7753" t="s">
        <v>492</v>
      </c>
      <c r="D7753" t="s">
        <v>226</v>
      </c>
      <c r="E7753" t="s">
        <v>228</v>
      </c>
      <c r="F7753">
        <v>1</v>
      </c>
      <c r="G7753" t="s">
        <v>499</v>
      </c>
      <c r="H7753" s="4">
        <v>62727009</v>
      </c>
      <c r="I7753" s="4">
        <v>80302160</v>
      </c>
      <c r="J7753" s="3">
        <v>0.2801847446607888</v>
      </c>
      <c r="K7753" s="3">
        <v>-0.2188627429199912</v>
      </c>
      <c r="L7753" t="s">
        <v>54</v>
      </c>
    </row>
    <row r="7754" spans="1:12" x14ac:dyDescent="0.25">
      <c r="A7754" t="s">
        <v>490</v>
      </c>
      <c r="B7754" t="s">
        <v>491</v>
      </c>
      <c r="C7754" t="s">
        <v>492</v>
      </c>
      <c r="D7754" t="s">
        <v>226</v>
      </c>
      <c r="E7754" t="s">
        <v>230</v>
      </c>
      <c r="F7754">
        <v>2</v>
      </c>
      <c r="G7754" t="s">
        <v>488</v>
      </c>
      <c r="H7754" s="4">
        <v>50447080</v>
      </c>
      <c r="I7754" s="4">
        <v>48169321.63314414</v>
      </c>
      <c r="J7754" s="3">
        <v>0.045151441210390365</v>
      </c>
      <c r="K7754" s="3">
        <v>0.04728649459095952</v>
      </c>
      <c r="L7754" t="s">
        <v>54</v>
      </c>
    </row>
    <row r="7755" spans="1:12" x14ac:dyDescent="0.25">
      <c r="A7755" t="s">
        <v>490</v>
      </c>
      <c r="B7755" t="s">
        <v>491</v>
      </c>
      <c r="C7755" t="s">
        <v>492</v>
      </c>
      <c r="D7755" t="s">
        <v>226</v>
      </c>
      <c r="E7755" t="s">
        <v>230</v>
      </c>
      <c r="F7755">
        <v>2</v>
      </c>
      <c r="G7755" t="s">
        <v>498</v>
      </c>
      <c r="H7755" s="4">
        <v>50447080</v>
      </c>
      <c r="I7755" s="4">
        <v>48307384</v>
      </c>
      <c r="J7755" s="3">
        <v>0.0424146650311574</v>
      </c>
      <c r="K7755" s="3">
        <v>0.04429335275120673</v>
      </c>
      <c r="L7755" t="s">
        <v>54</v>
      </c>
    </row>
    <row r="7756" spans="1:12" x14ac:dyDescent="0.25">
      <c r="A7756" t="s">
        <v>490</v>
      </c>
      <c r="B7756" t="s">
        <v>491</v>
      </c>
      <c r="C7756" t="s">
        <v>492</v>
      </c>
      <c r="D7756" t="s">
        <v>226</v>
      </c>
      <c r="E7756" t="s">
        <v>230</v>
      </c>
      <c r="F7756">
        <v>2</v>
      </c>
      <c r="G7756" t="s">
        <v>499</v>
      </c>
      <c r="H7756" s="4">
        <v>50447080</v>
      </c>
      <c r="I7756" s="4">
        <v>80302160</v>
      </c>
      <c r="J7756" s="3">
        <v>0.5918098728410048</v>
      </c>
      <c r="K7756" s="3">
        <v>-0.3717842708091538</v>
      </c>
      <c r="L7756" t="s">
        <v>54</v>
      </c>
    </row>
    <row r="7757" spans="1:12" x14ac:dyDescent="0.25">
      <c r="A7757" t="s">
        <v>490</v>
      </c>
      <c r="B7757" t="s">
        <v>491</v>
      </c>
      <c r="C7757" t="s">
        <v>492</v>
      </c>
      <c r="D7757" t="s">
        <v>226</v>
      </c>
      <c r="E7757" t="s">
        <v>232</v>
      </c>
      <c r="F7757">
        <v>3</v>
      </c>
      <c r="G7757" t="s">
        <v>488</v>
      </c>
      <c r="H7757" s="4">
        <v>58539674</v>
      </c>
      <c r="I7757" s="4">
        <v>54063258.497720316</v>
      </c>
      <c r="J7757" s="3">
        <v>0.0764680633903032</v>
      </c>
      <c r="K7757" s="3">
        <v>0.08279958749560833</v>
      </c>
      <c r="L7757" t="s">
        <v>54</v>
      </c>
    </row>
    <row r="7758" spans="1:12" x14ac:dyDescent="0.25">
      <c r="A7758" t="s">
        <v>490</v>
      </c>
      <c r="B7758" t="s">
        <v>491</v>
      </c>
      <c r="C7758" t="s">
        <v>492</v>
      </c>
      <c r="D7758" t="s">
        <v>226</v>
      </c>
      <c r="E7758" t="s">
        <v>232</v>
      </c>
      <c r="F7758">
        <v>3</v>
      </c>
      <c r="G7758" t="s">
        <v>498</v>
      </c>
      <c r="H7758" s="4">
        <v>58539674</v>
      </c>
      <c r="I7758" s="4">
        <v>54218214</v>
      </c>
      <c r="J7758" s="3">
        <v>0.07382104656066243</v>
      </c>
      <c r="K7758" s="3">
        <v>0.07970494933676717</v>
      </c>
      <c r="L7758" t="s">
        <v>54</v>
      </c>
    </row>
    <row r="7759" spans="1:12" x14ac:dyDescent="0.25">
      <c r="A7759" t="s">
        <v>490</v>
      </c>
      <c r="B7759" t="s">
        <v>491</v>
      </c>
      <c r="C7759" t="s">
        <v>492</v>
      </c>
      <c r="D7759" t="s">
        <v>226</v>
      </c>
      <c r="E7759" t="s">
        <v>232</v>
      </c>
      <c r="F7759">
        <v>3</v>
      </c>
      <c r="G7759" t="s">
        <v>499</v>
      </c>
      <c r="H7759" s="4">
        <v>58539674</v>
      </c>
      <c r="I7759" s="4">
        <v>80302160</v>
      </c>
      <c r="J7759" s="3">
        <v>0.3717561870945848</v>
      </c>
      <c r="K7759" s="3">
        <v>-0.2710074797489881</v>
      </c>
      <c r="L7759" t="s">
        <v>54</v>
      </c>
    </row>
    <row r="7760" spans="1:12" x14ac:dyDescent="0.25">
      <c r="A7760" t="s">
        <v>490</v>
      </c>
      <c r="B7760" t="s">
        <v>491</v>
      </c>
      <c r="C7760" t="s">
        <v>492</v>
      </c>
      <c r="D7760" t="s">
        <v>228</v>
      </c>
      <c r="E7760" t="s">
        <v>230</v>
      </c>
      <c r="F7760">
        <v>1</v>
      </c>
      <c r="G7760" t="s">
        <v>488</v>
      </c>
      <c r="H7760" s="4">
        <v>50447080</v>
      </c>
      <c r="I7760" s="4">
        <v>47682405.97426963</v>
      </c>
      <c r="J7760" s="3">
        <v>0.05480344998621073</v>
      </c>
      <c r="K7760" s="3">
        <v>0.05798100933124567</v>
      </c>
      <c r="L7760" t="s">
        <v>54</v>
      </c>
    </row>
    <row r="7761" spans="1:12" x14ac:dyDescent="0.25">
      <c r="A7761" t="s">
        <v>490</v>
      </c>
      <c r="B7761" t="s">
        <v>491</v>
      </c>
      <c r="C7761" t="s">
        <v>492</v>
      </c>
      <c r="D7761" t="s">
        <v>228</v>
      </c>
      <c r="E7761" t="s">
        <v>230</v>
      </c>
      <c r="F7761">
        <v>1</v>
      </c>
      <c r="G7761" t="s">
        <v>498</v>
      </c>
      <c r="H7761" s="4">
        <v>50447080</v>
      </c>
      <c r="I7761" s="4">
        <v>48307384</v>
      </c>
      <c r="J7761" s="3">
        <v>0.0424146650311574</v>
      </c>
      <c r="K7761" s="3">
        <v>0.04429335275120673</v>
      </c>
      <c r="L7761" t="s">
        <v>54</v>
      </c>
    </row>
    <row r="7762" spans="1:12" x14ac:dyDescent="0.25">
      <c r="A7762" t="s">
        <v>490</v>
      </c>
      <c r="B7762" t="s">
        <v>491</v>
      </c>
      <c r="C7762" t="s">
        <v>492</v>
      </c>
      <c r="D7762" t="s">
        <v>228</v>
      </c>
      <c r="E7762" t="s">
        <v>230</v>
      </c>
      <c r="F7762">
        <v>1</v>
      </c>
      <c r="G7762" t="s">
        <v>499</v>
      </c>
      <c r="H7762" s="4">
        <v>50447080</v>
      </c>
      <c r="I7762" s="4">
        <v>62727009</v>
      </c>
      <c r="J7762" s="3">
        <v>0.24342199786390015</v>
      </c>
      <c r="K7762" s="3">
        <v>-0.19576780713392536</v>
      </c>
      <c r="L7762" t="s">
        <v>54</v>
      </c>
    </row>
    <row r="7763" spans="1:12" x14ac:dyDescent="0.25">
      <c r="A7763" t="s">
        <v>490</v>
      </c>
      <c r="B7763" t="s">
        <v>491</v>
      </c>
      <c r="C7763" t="s">
        <v>492</v>
      </c>
      <c r="D7763" t="s">
        <v>228</v>
      </c>
      <c r="E7763" t="s">
        <v>232</v>
      </c>
      <c r="F7763">
        <v>2</v>
      </c>
      <c r="G7763" t="s">
        <v>488</v>
      </c>
      <c r="H7763" s="4">
        <v>58539674</v>
      </c>
      <c r="I7763" s="4">
        <v>53516764.45877982</v>
      </c>
      <c r="J7763" s="3">
        <v>0.0858035106451085</v>
      </c>
      <c r="K7763" s="3">
        <v>0.09385674922647787</v>
      </c>
      <c r="L7763" t="s">
        <v>54</v>
      </c>
    </row>
    <row r="7764" spans="1:12" x14ac:dyDescent="0.25">
      <c r="A7764" t="s">
        <v>490</v>
      </c>
      <c r="B7764" t="s">
        <v>491</v>
      </c>
      <c r="C7764" t="s">
        <v>492</v>
      </c>
      <c r="D7764" t="s">
        <v>228</v>
      </c>
      <c r="E7764" t="s">
        <v>232</v>
      </c>
      <c r="F7764">
        <v>2</v>
      </c>
      <c r="G7764" t="s">
        <v>498</v>
      </c>
      <c r="H7764" s="4">
        <v>58539674</v>
      </c>
      <c r="I7764" s="4">
        <v>54218214</v>
      </c>
      <c r="J7764" s="3">
        <v>0.07382104656066243</v>
      </c>
      <c r="K7764" s="3">
        <v>0.07970494933676717</v>
      </c>
      <c r="L7764" t="s">
        <v>54</v>
      </c>
    </row>
    <row r="7765" spans="1:12" x14ac:dyDescent="0.25">
      <c r="A7765" t="s">
        <v>490</v>
      </c>
      <c r="B7765" t="s">
        <v>491</v>
      </c>
      <c r="C7765" t="s">
        <v>492</v>
      </c>
      <c r="D7765" t="s">
        <v>228</v>
      </c>
      <c r="E7765" t="s">
        <v>232</v>
      </c>
      <c r="F7765">
        <v>2</v>
      </c>
      <c r="G7765" t="s">
        <v>499</v>
      </c>
      <c r="H7765" s="4">
        <v>58539674</v>
      </c>
      <c r="I7765" s="4">
        <v>62727009</v>
      </c>
      <c r="J7765" s="3">
        <v>0.07152986536959532</v>
      </c>
      <c r="K7765" s="3">
        <v>-0.0667548966028334</v>
      </c>
      <c r="L7765" t="s">
        <v>54</v>
      </c>
    </row>
    <row r="7766" spans="1:12" x14ac:dyDescent="0.25">
      <c r="A7766" t="s">
        <v>490</v>
      </c>
      <c r="B7766" t="s">
        <v>491</v>
      </c>
      <c r="C7766" t="s">
        <v>492</v>
      </c>
      <c r="D7766" t="s">
        <v>228</v>
      </c>
      <c r="E7766" t="s">
        <v>234</v>
      </c>
      <c r="F7766">
        <v>3</v>
      </c>
      <c r="G7766" t="s">
        <v>488</v>
      </c>
      <c r="H7766" s="4">
        <v>65454354</v>
      </c>
      <c r="I7766" s="4">
        <v>67694840.01583059</v>
      </c>
      <c r="J7766" s="3">
        <v>0.03422974758609017</v>
      </c>
      <c r="K7766" s="3">
        <v>-0.033096850739386466</v>
      </c>
      <c r="L7766" t="s">
        <v>54</v>
      </c>
    </row>
    <row r="7767" spans="1:12" x14ac:dyDescent="0.25">
      <c r="A7767" t="s">
        <v>490</v>
      </c>
      <c r="B7767" t="s">
        <v>491</v>
      </c>
      <c r="C7767" t="s">
        <v>492</v>
      </c>
      <c r="D7767" t="s">
        <v>228</v>
      </c>
      <c r="E7767" t="s">
        <v>234</v>
      </c>
      <c r="F7767">
        <v>3</v>
      </c>
      <c r="G7767" t="s">
        <v>498</v>
      </c>
      <c r="H7767" s="4">
        <v>65454354</v>
      </c>
      <c r="I7767" s="4">
        <v>68582123</v>
      </c>
      <c r="J7767" s="3">
        <v>0.047785499494808245</v>
      </c>
      <c r="K7767" s="3">
        <v>-0.045606185157027</v>
      </c>
      <c r="L7767" t="s">
        <v>54</v>
      </c>
    </row>
    <row r="7768" spans="1:12" x14ac:dyDescent="0.25">
      <c r="A7768" t="s">
        <v>490</v>
      </c>
      <c r="B7768" t="s">
        <v>491</v>
      </c>
      <c r="C7768" t="s">
        <v>492</v>
      </c>
      <c r="D7768" t="s">
        <v>228</v>
      </c>
      <c r="E7768" t="s">
        <v>234</v>
      </c>
      <c r="F7768">
        <v>3</v>
      </c>
      <c r="G7768" t="s">
        <v>499</v>
      </c>
      <c r="H7768" s="4">
        <v>65454354</v>
      </c>
      <c r="I7768" s="4">
        <v>62727009</v>
      </c>
      <c r="J7768" s="3">
        <v>0.041667892711919514</v>
      </c>
      <c r="K7768" s="3">
        <v>0.04347959584682254</v>
      </c>
      <c r="L7768" t="s">
        <v>54</v>
      </c>
    </row>
    <row r="7769" spans="1:12" x14ac:dyDescent="0.25">
      <c r="A7769" t="s">
        <v>490</v>
      </c>
      <c r="B7769" t="s">
        <v>491</v>
      </c>
      <c r="C7769" t="s">
        <v>492</v>
      </c>
      <c r="D7769" t="s">
        <v>230</v>
      </c>
      <c r="E7769" t="s">
        <v>232</v>
      </c>
      <c r="F7769">
        <v>1</v>
      </c>
      <c r="G7769" t="s">
        <v>488</v>
      </c>
      <c r="H7769" s="4">
        <v>58539674</v>
      </c>
      <c r="I7769" s="4">
        <v>54356582.95009684</v>
      </c>
      <c r="J7769" s="3">
        <v>0.07145736838068421</v>
      </c>
      <c r="K7769" s="3">
        <v>0.07695647560744452</v>
      </c>
      <c r="L7769" t="s">
        <v>54</v>
      </c>
    </row>
    <row r="7770" spans="1:12" x14ac:dyDescent="0.25">
      <c r="A7770" t="s">
        <v>490</v>
      </c>
      <c r="B7770" t="s">
        <v>491</v>
      </c>
      <c r="C7770" t="s">
        <v>492</v>
      </c>
      <c r="D7770" t="s">
        <v>230</v>
      </c>
      <c r="E7770" t="s">
        <v>232</v>
      </c>
      <c r="F7770">
        <v>1</v>
      </c>
      <c r="G7770" t="s">
        <v>498</v>
      </c>
      <c r="H7770" s="4">
        <v>58539674</v>
      </c>
      <c r="I7770" s="4">
        <v>54218214</v>
      </c>
      <c r="J7770" s="3">
        <v>0.07382104656066243</v>
      </c>
      <c r="K7770" s="3">
        <v>0.07970494933676717</v>
      </c>
      <c r="L7770" t="s">
        <v>54</v>
      </c>
    </row>
    <row r="7771" spans="1:12" x14ac:dyDescent="0.25">
      <c r="A7771" t="s">
        <v>490</v>
      </c>
      <c r="B7771" t="s">
        <v>491</v>
      </c>
      <c r="C7771" t="s">
        <v>492</v>
      </c>
      <c r="D7771" t="s">
        <v>230</v>
      </c>
      <c r="E7771" t="s">
        <v>232</v>
      </c>
      <c r="F7771">
        <v>1</v>
      </c>
      <c r="G7771" t="s">
        <v>499</v>
      </c>
      <c r="H7771" s="4">
        <v>58539674</v>
      </c>
      <c r="I7771" s="4">
        <v>50447080</v>
      </c>
      <c r="J7771" s="3">
        <v>0.1382411866523206</v>
      </c>
      <c r="K7771" s="3">
        <v>0.16041749096280697</v>
      </c>
      <c r="L7771" t="s">
        <v>54</v>
      </c>
    </row>
    <row r="7772" spans="1:12" x14ac:dyDescent="0.25">
      <c r="A7772" t="s">
        <v>490</v>
      </c>
      <c r="B7772" t="s">
        <v>491</v>
      </c>
      <c r="C7772" t="s">
        <v>492</v>
      </c>
      <c r="D7772" t="s">
        <v>230</v>
      </c>
      <c r="E7772" t="s">
        <v>234</v>
      </c>
      <c r="F7772">
        <v>2</v>
      </c>
      <c r="G7772" t="s">
        <v>488</v>
      </c>
      <c r="H7772" s="4">
        <v>65454354</v>
      </c>
      <c r="I7772" s="4">
        <v>68757149.72358264</v>
      </c>
      <c r="J7772" s="3">
        <v>0.05045952670440595</v>
      </c>
      <c r="K7772" s="3">
        <v>-0.04803566955379234</v>
      </c>
      <c r="L7772" t="s">
        <v>54</v>
      </c>
    </row>
    <row r="7773" spans="1:12" x14ac:dyDescent="0.25">
      <c r="A7773" t="s">
        <v>490</v>
      </c>
      <c r="B7773" t="s">
        <v>491</v>
      </c>
      <c r="C7773" t="s">
        <v>492</v>
      </c>
      <c r="D7773" t="s">
        <v>230</v>
      </c>
      <c r="E7773" t="s">
        <v>234</v>
      </c>
      <c r="F7773">
        <v>2</v>
      </c>
      <c r="G7773" t="s">
        <v>498</v>
      </c>
      <c r="H7773" s="4">
        <v>65454354</v>
      </c>
      <c r="I7773" s="4">
        <v>68582123</v>
      </c>
      <c r="J7773" s="3">
        <v>0.047785499494808245</v>
      </c>
      <c r="K7773" s="3">
        <v>-0.045606185157027</v>
      </c>
      <c r="L7773" t="s">
        <v>54</v>
      </c>
    </row>
    <row r="7774" spans="1:12" x14ac:dyDescent="0.25">
      <c r="A7774" t="s">
        <v>490</v>
      </c>
      <c r="B7774" t="s">
        <v>491</v>
      </c>
      <c r="C7774" t="s">
        <v>492</v>
      </c>
      <c r="D7774" t="s">
        <v>230</v>
      </c>
      <c r="E7774" t="s">
        <v>234</v>
      </c>
      <c r="F7774">
        <v>2</v>
      </c>
      <c r="G7774" t="s">
        <v>499</v>
      </c>
      <c r="H7774" s="4">
        <v>65454354</v>
      </c>
      <c r="I7774" s="4">
        <v>50447080</v>
      </c>
      <c r="J7774" s="3">
        <v>0.22927846786174072</v>
      </c>
      <c r="K7774" s="3">
        <v>0.29748548379807116</v>
      </c>
      <c r="L7774" t="s">
        <v>54</v>
      </c>
    </row>
    <row r="7775" spans="1:12" x14ac:dyDescent="0.25">
      <c r="A7775" t="s">
        <v>490</v>
      </c>
      <c r="B7775" t="s">
        <v>491</v>
      </c>
      <c r="C7775" t="s">
        <v>492</v>
      </c>
      <c r="D7775" t="s">
        <v>230</v>
      </c>
      <c r="E7775" t="s">
        <v>236</v>
      </c>
      <c r="F7775">
        <v>3</v>
      </c>
      <c r="G7775" t="s">
        <v>488</v>
      </c>
      <c r="H7775" s="4">
        <v>93195097</v>
      </c>
      <c r="I7775" s="4">
        <v>81605377.89726964</v>
      </c>
      <c r="J7775" s="3">
        <v>0.12435975148703761</v>
      </c>
      <c r="K7775" s="3">
        <v>0.14202151134353283</v>
      </c>
      <c r="L7775" t="s">
        <v>54</v>
      </c>
    </row>
    <row r="7776" spans="1:12" x14ac:dyDescent="0.25">
      <c r="A7776" t="s">
        <v>490</v>
      </c>
      <c r="B7776" t="s">
        <v>491</v>
      </c>
      <c r="C7776" t="s">
        <v>492</v>
      </c>
      <c r="D7776" t="s">
        <v>230</v>
      </c>
      <c r="E7776" t="s">
        <v>236</v>
      </c>
      <c r="F7776">
        <v>3</v>
      </c>
      <c r="G7776" t="s">
        <v>498</v>
      </c>
      <c r="H7776" s="4">
        <v>93195097</v>
      </c>
      <c r="I7776" s="4">
        <v>81397645</v>
      </c>
      <c r="J7776" s="3">
        <v>0.12658876249680817</v>
      </c>
      <c r="K7776" s="3">
        <v>0.1449360359258551</v>
      </c>
      <c r="L7776" t="s">
        <v>54</v>
      </c>
    </row>
    <row r="7777" spans="1:12" x14ac:dyDescent="0.25">
      <c r="A7777" t="s">
        <v>490</v>
      </c>
      <c r="B7777" t="s">
        <v>491</v>
      </c>
      <c r="C7777" t="s">
        <v>492</v>
      </c>
      <c r="D7777" t="s">
        <v>230</v>
      </c>
      <c r="E7777" t="s">
        <v>236</v>
      </c>
      <c r="F7777">
        <v>3</v>
      </c>
      <c r="G7777" t="s">
        <v>499</v>
      </c>
      <c r="H7777" s="4">
        <v>93195097</v>
      </c>
      <c r="I7777" s="4">
        <v>50447080</v>
      </c>
      <c r="J7777" s="3">
        <v>0.4586938409431561</v>
      </c>
      <c r="K7777" s="3">
        <v>0.8473833767980228</v>
      </c>
      <c r="L7777" t="s">
        <v>54</v>
      </c>
    </row>
    <row r="7778" spans="1:12" x14ac:dyDescent="0.25">
      <c r="A7778" t="s">
        <v>490</v>
      </c>
      <c r="B7778" t="s">
        <v>491</v>
      </c>
      <c r="C7778" t="s">
        <v>492</v>
      </c>
      <c r="D7778" t="s">
        <v>232</v>
      </c>
      <c r="E7778" t="s">
        <v>234</v>
      </c>
      <c r="F7778">
        <v>1</v>
      </c>
      <c r="G7778" t="s">
        <v>488</v>
      </c>
      <c r="H7778" s="4">
        <v>65454354</v>
      </c>
      <c r="I7778" s="4">
        <v>69395321.20428489</v>
      </c>
      <c r="J7778" s="3">
        <v>0.0602093972890618</v>
      </c>
      <c r="K7778" s="3">
        <v>-0.05679009961901512</v>
      </c>
      <c r="L7778" t="s">
        <v>54</v>
      </c>
    </row>
    <row r="7779" spans="1:12" x14ac:dyDescent="0.25">
      <c r="A7779" t="s">
        <v>490</v>
      </c>
      <c r="B7779" t="s">
        <v>491</v>
      </c>
      <c r="C7779" t="s">
        <v>492</v>
      </c>
      <c r="D7779" t="s">
        <v>232</v>
      </c>
      <c r="E7779" t="s">
        <v>234</v>
      </c>
      <c r="F7779">
        <v>1</v>
      </c>
      <c r="G7779" t="s">
        <v>498</v>
      </c>
      <c r="H7779" s="4">
        <v>65454354</v>
      </c>
      <c r="I7779" s="4">
        <v>68582123</v>
      </c>
      <c r="J7779" s="3">
        <v>0.047785499494808245</v>
      </c>
      <c r="K7779" s="3">
        <v>-0.045606185157027</v>
      </c>
      <c r="L7779" t="s">
        <v>54</v>
      </c>
    </row>
    <row r="7780" spans="1:12" x14ac:dyDescent="0.25">
      <c r="A7780" t="s">
        <v>490</v>
      </c>
      <c r="B7780" t="s">
        <v>491</v>
      </c>
      <c r="C7780" t="s">
        <v>492</v>
      </c>
      <c r="D7780" t="s">
        <v>232</v>
      </c>
      <c r="E7780" t="s">
        <v>234</v>
      </c>
      <c r="F7780">
        <v>1</v>
      </c>
      <c r="G7780" t="s">
        <v>499</v>
      </c>
      <c r="H7780" s="4">
        <v>65454354</v>
      </c>
      <c r="I7780" s="4">
        <v>58539674</v>
      </c>
      <c r="J7780" s="3">
        <v>0.10564125344511077</v>
      </c>
      <c r="K7780" s="3">
        <v>0.1181195508536655</v>
      </c>
      <c r="L7780" t="s">
        <v>54</v>
      </c>
    </row>
    <row r="7781" spans="1:12" x14ac:dyDescent="0.25">
      <c r="A7781" t="s">
        <v>490</v>
      </c>
      <c r="B7781" t="s">
        <v>491</v>
      </c>
      <c r="C7781" t="s">
        <v>492</v>
      </c>
      <c r="D7781" t="s">
        <v>232</v>
      </c>
      <c r="E7781" t="s">
        <v>236</v>
      </c>
      <c r="F7781">
        <v>2</v>
      </c>
      <c r="G7781" t="s">
        <v>488</v>
      </c>
      <c r="H7781" s="4">
        <v>93195097</v>
      </c>
      <c r="I7781" s="4">
        <v>82362800.58066085</v>
      </c>
      <c r="J7781" s="3">
        <v>0.11623247110670586</v>
      </c>
      <c r="K7781" s="3">
        <v>0.13151928228485496</v>
      </c>
      <c r="L7781" t="s">
        <v>54</v>
      </c>
    </row>
    <row r="7782" spans="1:12" x14ac:dyDescent="0.25">
      <c r="A7782" t="s">
        <v>490</v>
      </c>
      <c r="B7782" t="s">
        <v>491</v>
      </c>
      <c r="C7782" t="s">
        <v>492</v>
      </c>
      <c r="D7782" t="s">
        <v>232</v>
      </c>
      <c r="E7782" t="s">
        <v>236</v>
      </c>
      <c r="F7782">
        <v>2</v>
      </c>
      <c r="G7782" t="s">
        <v>498</v>
      </c>
      <c r="H7782" s="4">
        <v>93195097</v>
      </c>
      <c r="I7782" s="4">
        <v>81397645</v>
      </c>
      <c r="J7782" s="3">
        <v>0.12658876249680817</v>
      </c>
      <c r="K7782" s="3">
        <v>0.1449360359258551</v>
      </c>
      <c r="L7782" t="s">
        <v>54</v>
      </c>
    </row>
    <row r="7783" spans="1:12" x14ac:dyDescent="0.25">
      <c r="A7783" t="s">
        <v>490</v>
      </c>
      <c r="B7783" t="s">
        <v>491</v>
      </c>
      <c r="C7783" t="s">
        <v>492</v>
      </c>
      <c r="D7783" t="s">
        <v>232</v>
      </c>
      <c r="E7783" t="s">
        <v>236</v>
      </c>
      <c r="F7783">
        <v>2</v>
      </c>
      <c r="G7783" t="s">
        <v>499</v>
      </c>
      <c r="H7783" s="4">
        <v>93195097</v>
      </c>
      <c r="I7783" s="4">
        <v>58539674</v>
      </c>
      <c r="J7783" s="3">
        <v>0.371858865064543</v>
      </c>
      <c r="K7783" s="3">
        <v>0.5919989065876929</v>
      </c>
      <c r="L7783" t="s">
        <v>54</v>
      </c>
    </row>
    <row r="7784" spans="1:12" x14ac:dyDescent="0.25">
      <c r="A7784" t="s">
        <v>490</v>
      </c>
      <c r="B7784" t="s">
        <v>491</v>
      </c>
      <c r="C7784" t="s">
        <v>492</v>
      </c>
      <c r="D7784" t="s">
        <v>232</v>
      </c>
      <c r="E7784" t="s">
        <v>238</v>
      </c>
      <c r="F7784">
        <v>3</v>
      </c>
      <c r="G7784" t="s">
        <v>488</v>
      </c>
      <c r="H7784" s="4">
        <v>95267429</v>
      </c>
      <c r="I7784" s="4">
        <v>92415788.95058449</v>
      </c>
      <c r="J7784" s="3">
        <v>0.02993300101985028</v>
      </c>
      <c r="K7784" s="3">
        <v>0.030856632636013206</v>
      </c>
      <c r="L7784" t="s">
        <v>54</v>
      </c>
    </row>
    <row r="7785" spans="1:12" x14ac:dyDescent="0.25">
      <c r="A7785" t="s">
        <v>490</v>
      </c>
      <c r="B7785" t="s">
        <v>491</v>
      </c>
      <c r="C7785" t="s">
        <v>492</v>
      </c>
      <c r="D7785" t="s">
        <v>232</v>
      </c>
      <c r="E7785" t="s">
        <v>238</v>
      </c>
      <c r="F7785">
        <v>3</v>
      </c>
      <c r="G7785" t="s">
        <v>498</v>
      </c>
      <c r="H7785" s="4">
        <v>95267429</v>
      </c>
      <c r="I7785" s="4">
        <v>91332829</v>
      </c>
      <c r="J7785" s="3">
        <v>0.04130057923574278</v>
      </c>
      <c r="K7785" s="3">
        <v>0.0430797999260485</v>
      </c>
      <c r="L7785" t="s">
        <v>54</v>
      </c>
    </row>
    <row r="7786" spans="1:12" x14ac:dyDescent="0.25">
      <c r="A7786" t="s">
        <v>490</v>
      </c>
      <c r="B7786" t="s">
        <v>491</v>
      </c>
      <c r="C7786" t="s">
        <v>492</v>
      </c>
      <c r="D7786" t="s">
        <v>232</v>
      </c>
      <c r="E7786" t="s">
        <v>238</v>
      </c>
      <c r="F7786">
        <v>3</v>
      </c>
      <c r="G7786" t="s">
        <v>499</v>
      </c>
      <c r="H7786" s="4">
        <v>95267429</v>
      </c>
      <c r="I7786" s="4">
        <v>58539674</v>
      </c>
      <c r="J7786" s="3">
        <v>0.3855226847782362</v>
      </c>
      <c r="K7786" s="3">
        <v>0.627399377044703</v>
      </c>
      <c r="L7786" t="s">
        <v>54</v>
      </c>
    </row>
    <row r="7787" spans="1:12" x14ac:dyDescent="0.25">
      <c r="A7787" t="s">
        <v>490</v>
      </c>
      <c r="B7787" t="s">
        <v>491</v>
      </c>
      <c r="C7787" t="s">
        <v>492</v>
      </c>
      <c r="D7787" t="s">
        <v>234</v>
      </c>
      <c r="E7787" t="s">
        <v>236</v>
      </c>
      <c r="F7787">
        <v>1</v>
      </c>
      <c r="G7787" t="s">
        <v>488</v>
      </c>
      <c r="H7787" s="4">
        <v>93195097</v>
      </c>
      <c r="I7787" s="4">
        <v>82430948.30318291</v>
      </c>
      <c r="J7787" s="3">
        <v>0.11550123389878639</v>
      </c>
      <c r="K7787" s="3">
        <v>0.1305838270503246</v>
      </c>
      <c r="L7787" t="s">
        <v>54</v>
      </c>
    </row>
    <row r="7788" spans="1:12" x14ac:dyDescent="0.25">
      <c r="A7788" t="s">
        <v>490</v>
      </c>
      <c r="B7788" t="s">
        <v>491</v>
      </c>
      <c r="C7788" t="s">
        <v>492</v>
      </c>
      <c r="D7788" t="s">
        <v>234</v>
      </c>
      <c r="E7788" t="s">
        <v>236</v>
      </c>
      <c r="F7788">
        <v>1</v>
      </c>
      <c r="G7788" t="s">
        <v>498</v>
      </c>
      <c r="H7788" s="4">
        <v>93195097</v>
      </c>
      <c r="I7788" s="4">
        <v>81397645</v>
      </c>
      <c r="J7788" s="3">
        <v>0.12658876249680817</v>
      </c>
      <c r="K7788" s="3">
        <v>0.1449360359258551</v>
      </c>
      <c r="L7788" t="s">
        <v>54</v>
      </c>
    </row>
    <row r="7789" spans="1:12" x14ac:dyDescent="0.25">
      <c r="A7789" t="s">
        <v>490</v>
      </c>
      <c r="B7789" t="s">
        <v>491</v>
      </c>
      <c r="C7789" t="s">
        <v>492</v>
      </c>
      <c r="D7789" t="s">
        <v>234</v>
      </c>
      <c r="E7789" t="s">
        <v>236</v>
      </c>
      <c r="F7789">
        <v>1</v>
      </c>
      <c r="G7789" t="s">
        <v>499</v>
      </c>
      <c r="H7789" s="4">
        <v>93195097</v>
      </c>
      <c r="I7789" s="4">
        <v>65454354</v>
      </c>
      <c r="J7789" s="3">
        <v>0.29766311633325515</v>
      </c>
      <c r="K7789" s="3">
        <v>0.42381814661252326</v>
      </c>
      <c r="L7789" t="s">
        <v>54</v>
      </c>
    </row>
    <row r="7790" spans="1:12" x14ac:dyDescent="0.25">
      <c r="A7790" t="s">
        <v>490</v>
      </c>
      <c r="B7790" t="s">
        <v>491</v>
      </c>
      <c r="C7790" t="s">
        <v>492</v>
      </c>
      <c r="D7790" t="s">
        <v>234</v>
      </c>
      <c r="E7790" t="s">
        <v>238</v>
      </c>
      <c r="F7790">
        <v>2</v>
      </c>
      <c r="G7790" t="s">
        <v>488</v>
      </c>
      <c r="H7790" s="4">
        <v>95267429</v>
      </c>
      <c r="I7790" s="4">
        <v>92492254.6061676</v>
      </c>
      <c r="J7790" s="3">
        <v>0.02913035885362667</v>
      </c>
      <c r="K7790" s="3">
        <v>0.030004397726589156</v>
      </c>
      <c r="L7790" t="s">
        <v>54</v>
      </c>
    </row>
    <row r="7791" spans="1:12" x14ac:dyDescent="0.25">
      <c r="A7791" t="s">
        <v>490</v>
      </c>
      <c r="B7791" t="s">
        <v>491</v>
      </c>
      <c r="C7791" t="s">
        <v>492</v>
      </c>
      <c r="D7791" t="s">
        <v>234</v>
      </c>
      <c r="E7791" t="s">
        <v>238</v>
      </c>
      <c r="F7791">
        <v>2</v>
      </c>
      <c r="G7791" t="s">
        <v>498</v>
      </c>
      <c r="H7791" s="4">
        <v>95267429</v>
      </c>
      <c r="I7791" s="4">
        <v>91332829</v>
      </c>
      <c r="J7791" s="3">
        <v>0.04130057923574278</v>
      </c>
      <c r="K7791" s="3">
        <v>0.0430797999260485</v>
      </c>
      <c r="L7791" t="s">
        <v>54</v>
      </c>
    </row>
    <row r="7792" spans="1:12" x14ac:dyDescent="0.25">
      <c r="A7792" t="s">
        <v>490</v>
      </c>
      <c r="B7792" t="s">
        <v>491</v>
      </c>
      <c r="C7792" t="s">
        <v>492</v>
      </c>
      <c r="D7792" t="s">
        <v>234</v>
      </c>
      <c r="E7792" t="s">
        <v>238</v>
      </c>
      <c r="F7792">
        <v>2</v>
      </c>
      <c r="G7792" t="s">
        <v>499</v>
      </c>
      <c r="H7792" s="4">
        <v>95267429</v>
      </c>
      <c r="I7792" s="4">
        <v>65454354</v>
      </c>
      <c r="J7792" s="3">
        <v>0.31294090029447524</v>
      </c>
      <c r="K7792" s="3">
        <v>0.4554788669979082</v>
      </c>
      <c r="L7792" t="s">
        <v>54</v>
      </c>
    </row>
    <row r="7793" spans="1:12" x14ac:dyDescent="0.25">
      <c r="A7793" t="s">
        <v>490</v>
      </c>
      <c r="B7793" t="s">
        <v>491</v>
      </c>
      <c r="C7793" t="s">
        <v>492</v>
      </c>
      <c r="D7793" t="s">
        <v>234</v>
      </c>
      <c r="E7793" t="s">
        <v>240</v>
      </c>
      <c r="F7793">
        <v>3</v>
      </c>
      <c r="G7793" t="s">
        <v>488</v>
      </c>
      <c r="H7793" s="4">
        <v>102694596</v>
      </c>
      <c r="I7793" s="4">
        <v>109497079.55752176</v>
      </c>
      <c r="J7793" s="3">
        <v>0.06623993688549844</v>
      </c>
      <c r="K7793" s="3">
        <v>-0.062124794423838794</v>
      </c>
      <c r="L7793" t="s">
        <v>54</v>
      </c>
    </row>
    <row r="7794" spans="1:12" x14ac:dyDescent="0.25">
      <c r="A7794" t="s">
        <v>490</v>
      </c>
      <c r="B7794" t="s">
        <v>491</v>
      </c>
      <c r="C7794" t="s">
        <v>492</v>
      </c>
      <c r="D7794" t="s">
        <v>234</v>
      </c>
      <c r="E7794" t="s">
        <v>240</v>
      </c>
      <c r="F7794">
        <v>3</v>
      </c>
      <c r="G7794" t="s">
        <v>498</v>
      </c>
      <c r="H7794" s="4">
        <v>102694596</v>
      </c>
      <c r="I7794" s="4">
        <v>108124492</v>
      </c>
      <c r="J7794" s="3">
        <v>0.052874213556475744</v>
      </c>
      <c r="K7794" s="3">
        <v>-0.050218927271353096</v>
      </c>
      <c r="L7794" t="s">
        <v>54</v>
      </c>
    </row>
    <row r="7795" spans="1:12" x14ac:dyDescent="0.25">
      <c r="A7795" t="s">
        <v>490</v>
      </c>
      <c r="B7795" t="s">
        <v>491</v>
      </c>
      <c r="C7795" t="s">
        <v>492</v>
      </c>
      <c r="D7795" t="s">
        <v>234</v>
      </c>
      <c r="E7795" t="s">
        <v>240</v>
      </c>
      <c r="F7795">
        <v>3</v>
      </c>
      <c r="G7795" t="s">
        <v>499</v>
      </c>
      <c r="H7795" s="4">
        <v>102694596</v>
      </c>
      <c r="I7795" s="4">
        <v>65454354</v>
      </c>
      <c r="J7795" s="3">
        <v>0.36263098011505884</v>
      </c>
      <c r="K7795" s="3">
        <v>0.5689498058448488</v>
      </c>
      <c r="L7795" t="s">
        <v>54</v>
      </c>
    </row>
    <row r="7796" spans="1:12" x14ac:dyDescent="0.25">
      <c r="A7796" t="s">
        <v>490</v>
      </c>
      <c r="B7796" t="s">
        <v>491</v>
      </c>
      <c r="C7796" t="s">
        <v>492</v>
      </c>
      <c r="D7796" t="s">
        <v>236</v>
      </c>
      <c r="E7796" t="s">
        <v>238</v>
      </c>
      <c r="F7796">
        <v>1</v>
      </c>
      <c r="G7796" t="s">
        <v>488</v>
      </c>
      <c r="H7796" s="4">
        <v>95267429</v>
      </c>
      <c r="I7796" s="4">
        <v>93665425.20863312</v>
      </c>
      <c r="J7796" s="3">
        <v>0.01681586044866263</v>
      </c>
      <c r="K7796" s="3">
        <v>0.0171034700135992</v>
      </c>
      <c r="L7796" t="s">
        <v>54</v>
      </c>
    </row>
    <row r="7797" spans="1:12" x14ac:dyDescent="0.25">
      <c r="A7797" t="s">
        <v>490</v>
      </c>
      <c r="B7797" t="s">
        <v>491</v>
      </c>
      <c r="C7797" t="s">
        <v>492</v>
      </c>
      <c r="D7797" t="s">
        <v>236</v>
      </c>
      <c r="E7797" t="s">
        <v>238</v>
      </c>
      <c r="F7797">
        <v>1</v>
      </c>
      <c r="G7797" t="s">
        <v>498</v>
      </c>
      <c r="H7797" s="4">
        <v>95267429</v>
      </c>
      <c r="I7797" s="4">
        <v>91332829</v>
      </c>
      <c r="J7797" s="3">
        <v>0.04130057923574278</v>
      </c>
      <c r="K7797" s="3">
        <v>0.0430797999260485</v>
      </c>
      <c r="L7797" t="s">
        <v>54</v>
      </c>
    </row>
    <row r="7798" spans="1:12" x14ac:dyDescent="0.25">
      <c r="A7798" t="s">
        <v>490</v>
      </c>
      <c r="B7798" t="s">
        <v>491</v>
      </c>
      <c r="C7798" t="s">
        <v>492</v>
      </c>
      <c r="D7798" t="s">
        <v>236</v>
      </c>
      <c r="E7798" t="s">
        <v>238</v>
      </c>
      <c r="F7798">
        <v>1</v>
      </c>
      <c r="G7798" t="s">
        <v>499</v>
      </c>
      <c r="H7798" s="4">
        <v>95267429</v>
      </c>
      <c r="I7798" s="4">
        <v>93195097</v>
      </c>
      <c r="J7798" s="3">
        <v>0.02175278604401091</v>
      </c>
      <c r="K7798" s="3">
        <v>0.022236491690115413</v>
      </c>
      <c r="L7798" t="s">
        <v>54</v>
      </c>
    </row>
    <row r="7799" spans="1:12" x14ac:dyDescent="0.25">
      <c r="A7799" t="s">
        <v>490</v>
      </c>
      <c r="B7799" t="s">
        <v>491</v>
      </c>
      <c r="C7799" t="s">
        <v>492</v>
      </c>
      <c r="D7799" t="s">
        <v>236</v>
      </c>
      <c r="E7799" t="s">
        <v>240</v>
      </c>
      <c r="F7799">
        <v>2</v>
      </c>
      <c r="G7799" t="s">
        <v>488</v>
      </c>
      <c r="H7799" s="4">
        <v>102694596</v>
      </c>
      <c r="I7799" s="4">
        <v>110885939.1473295</v>
      </c>
      <c r="J7799" s="3">
        <v>0.0797641109307202</v>
      </c>
      <c r="K7799" s="3">
        <v>-0.07387179303631997</v>
      </c>
      <c r="L7799" t="s">
        <v>54</v>
      </c>
    </row>
    <row r="7800" spans="1:12" x14ac:dyDescent="0.25">
      <c r="A7800" t="s">
        <v>490</v>
      </c>
      <c r="B7800" t="s">
        <v>491</v>
      </c>
      <c r="C7800" t="s">
        <v>492</v>
      </c>
      <c r="D7800" t="s">
        <v>236</v>
      </c>
      <c r="E7800" t="s">
        <v>240</v>
      </c>
      <c r="F7800">
        <v>2</v>
      </c>
      <c r="G7800" t="s">
        <v>498</v>
      </c>
      <c r="H7800" s="4">
        <v>102694596</v>
      </c>
      <c r="I7800" s="4">
        <v>108124492</v>
      </c>
      <c r="J7800" s="3">
        <v>0.052874213556475744</v>
      </c>
      <c r="K7800" s="3">
        <v>-0.050218927271353096</v>
      </c>
      <c r="L7800" t="s">
        <v>54</v>
      </c>
    </row>
    <row r="7801" spans="1:12" x14ac:dyDescent="0.25">
      <c r="A7801" t="s">
        <v>490</v>
      </c>
      <c r="B7801" t="s">
        <v>491</v>
      </c>
      <c r="C7801" t="s">
        <v>492</v>
      </c>
      <c r="D7801" t="s">
        <v>236</v>
      </c>
      <c r="E7801" t="s">
        <v>240</v>
      </c>
      <c r="F7801">
        <v>2</v>
      </c>
      <c r="G7801" t="s">
        <v>499</v>
      </c>
      <c r="H7801" s="4">
        <v>102694596</v>
      </c>
      <c r="I7801" s="4">
        <v>93195097</v>
      </c>
      <c r="J7801" s="3">
        <v>0.09250242339918256</v>
      </c>
      <c r="K7801" s="3">
        <v>0.10193131726661543</v>
      </c>
      <c r="L7801" t="s">
        <v>54</v>
      </c>
    </row>
    <row r="7802" spans="1:12" x14ac:dyDescent="0.25">
      <c r="A7802" t="s">
        <v>490</v>
      </c>
      <c r="B7802" t="s">
        <v>491</v>
      </c>
      <c r="C7802" t="s">
        <v>492</v>
      </c>
      <c r="D7802" t="s">
        <v>236</v>
      </c>
      <c r="E7802" t="s">
        <v>242</v>
      </c>
      <c r="F7802">
        <v>3</v>
      </c>
      <c r="G7802" t="s">
        <v>488</v>
      </c>
      <c r="H7802" s="4">
        <v>86123020</v>
      </c>
      <c r="I7802" s="4">
        <v>86881580.79044628</v>
      </c>
      <c r="J7802" s="3">
        <v>0.008807874949650877</v>
      </c>
      <c r="K7802" s="3">
        <v>-0.008730973625766426</v>
      </c>
      <c r="L7802" t="s">
        <v>54</v>
      </c>
    </row>
    <row r="7803" spans="1:12" x14ac:dyDescent="0.25">
      <c r="A7803" t="s">
        <v>490</v>
      </c>
      <c r="B7803" t="s">
        <v>491</v>
      </c>
      <c r="C7803" t="s">
        <v>492</v>
      </c>
      <c r="D7803" t="s">
        <v>236</v>
      </c>
      <c r="E7803" t="s">
        <v>242</v>
      </c>
      <c r="F7803">
        <v>3</v>
      </c>
      <c r="G7803" t="s">
        <v>498</v>
      </c>
      <c r="H7803" s="4">
        <v>86123020</v>
      </c>
      <c r="I7803" s="4">
        <v>84717926</v>
      </c>
      <c r="J7803" s="3">
        <v>0.016314964338222233</v>
      </c>
      <c r="K7803" s="3">
        <v>0.01658555711101804</v>
      </c>
      <c r="L7803" t="s">
        <v>54</v>
      </c>
    </row>
    <row r="7804" spans="1:12" x14ac:dyDescent="0.25">
      <c r="A7804" t="s">
        <v>490</v>
      </c>
      <c r="B7804" t="s">
        <v>491</v>
      </c>
      <c r="C7804" t="s">
        <v>492</v>
      </c>
      <c r="D7804" t="s">
        <v>236</v>
      </c>
      <c r="E7804" t="s">
        <v>242</v>
      </c>
      <c r="F7804">
        <v>3</v>
      </c>
      <c r="G7804" t="s">
        <v>499</v>
      </c>
      <c r="H7804" s="4">
        <v>86123020</v>
      </c>
      <c r="I7804" s="4">
        <v>93195097</v>
      </c>
      <c r="J7804" s="3">
        <v>0.08211598943000373</v>
      </c>
      <c r="K7804" s="3">
        <v>-0.07588464659251334</v>
      </c>
      <c r="L7804" t="s">
        <v>54</v>
      </c>
    </row>
    <row r="7805" spans="1:12" x14ac:dyDescent="0.25">
      <c r="A7805" t="s">
        <v>490</v>
      </c>
      <c r="B7805" t="s">
        <v>491</v>
      </c>
      <c r="C7805" t="s">
        <v>492</v>
      </c>
      <c r="D7805" t="s">
        <v>238</v>
      </c>
      <c r="E7805" t="s">
        <v>240</v>
      </c>
      <c r="F7805">
        <v>1</v>
      </c>
      <c r="G7805" t="s">
        <v>488</v>
      </c>
      <c r="H7805" s="4">
        <v>102694596</v>
      </c>
      <c r="I7805" s="4">
        <v>112062032.06370078</v>
      </c>
      <c r="J7805" s="3">
        <v>0.09121644593354046</v>
      </c>
      <c r="K7805" s="3">
        <v>-0.08359152418703183</v>
      </c>
      <c r="L7805" t="s">
        <v>54</v>
      </c>
    </row>
    <row r="7806" spans="1:12" x14ac:dyDescent="0.25">
      <c r="A7806" t="s">
        <v>490</v>
      </c>
      <c r="B7806" t="s">
        <v>491</v>
      </c>
      <c r="C7806" t="s">
        <v>492</v>
      </c>
      <c r="D7806" t="s">
        <v>238</v>
      </c>
      <c r="E7806" t="s">
        <v>240</v>
      </c>
      <c r="F7806">
        <v>1</v>
      </c>
      <c r="G7806" t="s">
        <v>498</v>
      </c>
      <c r="H7806" s="4">
        <v>102694596</v>
      </c>
      <c r="I7806" s="4">
        <v>108124492</v>
      </c>
      <c r="J7806" s="3">
        <v>0.052874213556475744</v>
      </c>
      <c r="K7806" s="3">
        <v>-0.050218927271353096</v>
      </c>
      <c r="L7806" t="s">
        <v>54</v>
      </c>
    </row>
    <row r="7807" spans="1:12" x14ac:dyDescent="0.25">
      <c r="A7807" t="s">
        <v>490</v>
      </c>
      <c r="B7807" t="s">
        <v>491</v>
      </c>
      <c r="C7807" t="s">
        <v>492</v>
      </c>
      <c r="D7807" t="s">
        <v>238</v>
      </c>
      <c r="E7807" t="s">
        <v>240</v>
      </c>
      <c r="F7807">
        <v>1</v>
      </c>
      <c r="G7807" t="s">
        <v>499</v>
      </c>
      <c r="H7807" s="4">
        <v>102694596</v>
      </c>
      <c r="I7807" s="4">
        <v>95267429</v>
      </c>
      <c r="J7807" s="3">
        <v>0.0723228610782986</v>
      </c>
      <c r="K7807" s="3">
        <v>0.07796124108691964</v>
      </c>
      <c r="L7807" t="s">
        <v>54</v>
      </c>
    </row>
    <row r="7808" spans="1:12" x14ac:dyDescent="0.25">
      <c r="A7808" t="s">
        <v>490</v>
      </c>
      <c r="B7808" t="s">
        <v>491</v>
      </c>
      <c r="C7808" t="s">
        <v>492</v>
      </c>
      <c r="D7808" t="s">
        <v>238</v>
      </c>
      <c r="E7808" t="s">
        <v>242</v>
      </c>
      <c r="F7808">
        <v>2</v>
      </c>
      <c r="G7808" t="s">
        <v>488</v>
      </c>
      <c r="H7808" s="4">
        <v>86123020</v>
      </c>
      <c r="I7808" s="4">
        <v>87803075.5490831</v>
      </c>
      <c r="J7808" s="3">
        <v>0.01950762466391795</v>
      </c>
      <c r="K7808" s="3">
        <v>-0.019134358774755278</v>
      </c>
      <c r="L7808" t="s">
        <v>54</v>
      </c>
    </row>
    <row r="7809" spans="1:12" x14ac:dyDescent="0.25">
      <c r="A7809" t="s">
        <v>490</v>
      </c>
      <c r="B7809" t="s">
        <v>491</v>
      </c>
      <c r="C7809" t="s">
        <v>492</v>
      </c>
      <c r="D7809" t="s">
        <v>238</v>
      </c>
      <c r="E7809" t="s">
        <v>242</v>
      </c>
      <c r="F7809">
        <v>2</v>
      </c>
      <c r="G7809" t="s">
        <v>498</v>
      </c>
      <c r="H7809" s="4">
        <v>86123020</v>
      </c>
      <c r="I7809" s="4">
        <v>84717926</v>
      </c>
      <c r="J7809" s="3">
        <v>0.016314964338222233</v>
      </c>
      <c r="K7809" s="3">
        <v>0.01658555711101804</v>
      </c>
      <c r="L7809" t="s">
        <v>54</v>
      </c>
    </row>
    <row r="7810" spans="1:12" x14ac:dyDescent="0.25">
      <c r="A7810" t="s">
        <v>490</v>
      </c>
      <c r="B7810" t="s">
        <v>491</v>
      </c>
      <c r="C7810" t="s">
        <v>492</v>
      </c>
      <c r="D7810" t="s">
        <v>238</v>
      </c>
      <c r="E7810" t="s">
        <v>242</v>
      </c>
      <c r="F7810">
        <v>2</v>
      </c>
      <c r="G7810" t="s">
        <v>499</v>
      </c>
      <c r="H7810" s="4">
        <v>86123020</v>
      </c>
      <c r="I7810" s="4">
        <v>95267429</v>
      </c>
      <c r="J7810" s="3">
        <v>0.10617845263670503</v>
      </c>
      <c r="K7810" s="3">
        <v>-0.09598673015517192</v>
      </c>
      <c r="L7810" t="s">
        <v>54</v>
      </c>
    </row>
    <row r="7811" spans="1:12" x14ac:dyDescent="0.25">
      <c r="A7811" t="s">
        <v>490</v>
      </c>
      <c r="B7811" t="s">
        <v>491</v>
      </c>
      <c r="C7811" t="s">
        <v>492</v>
      </c>
      <c r="D7811" t="s">
        <v>238</v>
      </c>
      <c r="E7811" t="s">
        <v>244</v>
      </c>
      <c r="F7811">
        <v>3</v>
      </c>
      <c r="G7811" t="s">
        <v>488</v>
      </c>
      <c r="H7811" s="4">
        <v>80700301</v>
      </c>
      <c r="I7811" s="4">
        <v>84654889.26570456</v>
      </c>
      <c r="J7811" s="3">
        <v>0.04900338928976928</v>
      </c>
      <c r="K7811" s="3">
        <v>-0.04671423351925218</v>
      </c>
      <c r="L7811" t="s">
        <v>54</v>
      </c>
    </row>
    <row r="7812" spans="1:12" x14ac:dyDescent="0.25">
      <c r="A7812" t="s">
        <v>490</v>
      </c>
      <c r="B7812" t="s">
        <v>491</v>
      </c>
      <c r="C7812" t="s">
        <v>492</v>
      </c>
      <c r="D7812" t="s">
        <v>238</v>
      </c>
      <c r="E7812" t="s">
        <v>244</v>
      </c>
      <c r="F7812">
        <v>3</v>
      </c>
      <c r="G7812" t="s">
        <v>498</v>
      </c>
      <c r="H7812" s="4">
        <v>80700301</v>
      </c>
      <c r="I7812" s="4">
        <v>81680358</v>
      </c>
      <c r="J7812" s="3">
        <v>0.012144403278000164</v>
      </c>
      <c r="K7812" s="3">
        <v>-0.011998686391653671</v>
      </c>
      <c r="L7812" t="s">
        <v>54</v>
      </c>
    </row>
    <row r="7813" spans="1:12" x14ac:dyDescent="0.25">
      <c r="A7813" t="s">
        <v>490</v>
      </c>
      <c r="B7813" t="s">
        <v>491</v>
      </c>
      <c r="C7813" t="s">
        <v>492</v>
      </c>
      <c r="D7813" t="s">
        <v>238</v>
      </c>
      <c r="E7813" t="s">
        <v>244</v>
      </c>
      <c r="F7813">
        <v>3</v>
      </c>
      <c r="G7813" t="s">
        <v>499</v>
      </c>
      <c r="H7813" s="4">
        <v>80700301</v>
      </c>
      <c r="I7813" s="4">
        <v>95267429</v>
      </c>
      <c r="J7813" s="3">
        <v>0.18050896737051825</v>
      </c>
      <c r="K7813" s="3">
        <v>-0.15290774772561563</v>
      </c>
      <c r="L7813" t="s">
        <v>54</v>
      </c>
    </row>
    <row r="7814" spans="1:12" x14ac:dyDescent="0.25">
      <c r="A7814" t="s">
        <v>490</v>
      </c>
      <c r="B7814" t="s">
        <v>491</v>
      </c>
      <c r="C7814" t="s">
        <v>492</v>
      </c>
      <c r="D7814" t="s">
        <v>240</v>
      </c>
      <c r="E7814" t="s">
        <v>242</v>
      </c>
      <c r="F7814">
        <v>1</v>
      </c>
      <c r="G7814" t="s">
        <v>488</v>
      </c>
      <c r="H7814" s="4">
        <v>86123020</v>
      </c>
      <c r="I7814" s="4">
        <v>87062472.25372735</v>
      </c>
      <c r="J7814" s="3">
        <v>0.010908259530696284</v>
      </c>
      <c r="K7814" s="3">
        <v>-0.010790553374012723</v>
      </c>
      <c r="L7814" t="s">
        <v>54</v>
      </c>
    </row>
    <row r="7815" spans="1:12" x14ac:dyDescent="0.25">
      <c r="A7815" t="s">
        <v>490</v>
      </c>
      <c r="B7815" t="s">
        <v>491</v>
      </c>
      <c r="C7815" t="s">
        <v>492</v>
      </c>
      <c r="D7815" t="s">
        <v>240</v>
      </c>
      <c r="E7815" t="s">
        <v>242</v>
      </c>
      <c r="F7815">
        <v>1</v>
      </c>
      <c r="G7815" t="s">
        <v>498</v>
      </c>
      <c r="H7815" s="4">
        <v>86123020</v>
      </c>
      <c r="I7815" s="4">
        <v>84717926</v>
      </c>
      <c r="J7815" s="3">
        <v>0.016314964338222233</v>
      </c>
      <c r="K7815" s="3">
        <v>0.01658555711101804</v>
      </c>
      <c r="L7815" t="s">
        <v>54</v>
      </c>
    </row>
    <row r="7816" spans="1:12" x14ac:dyDescent="0.25">
      <c r="A7816" t="s">
        <v>490</v>
      </c>
      <c r="B7816" t="s">
        <v>491</v>
      </c>
      <c r="C7816" t="s">
        <v>492</v>
      </c>
      <c r="D7816" t="s">
        <v>240</v>
      </c>
      <c r="E7816" t="s">
        <v>242</v>
      </c>
      <c r="F7816">
        <v>1</v>
      </c>
      <c r="G7816" t="s">
        <v>499</v>
      </c>
      <c r="H7816" s="4">
        <v>86123020</v>
      </c>
      <c r="I7816" s="4">
        <v>102694596</v>
      </c>
      <c r="J7816" s="3">
        <v>0.19241749766787092</v>
      </c>
      <c r="K7816" s="3">
        <v>-0.1613675562830979</v>
      </c>
      <c r="L7816" t="s">
        <v>54</v>
      </c>
    </row>
    <row r="7817" spans="1:12" x14ac:dyDescent="0.25">
      <c r="A7817" t="s">
        <v>490</v>
      </c>
      <c r="B7817" t="s">
        <v>491</v>
      </c>
      <c r="C7817" t="s">
        <v>492</v>
      </c>
      <c r="D7817" t="s">
        <v>240</v>
      </c>
      <c r="E7817" t="s">
        <v>244</v>
      </c>
      <c r="F7817">
        <v>2</v>
      </c>
      <c r="G7817" t="s">
        <v>488</v>
      </c>
      <c r="H7817" s="4">
        <v>80700301</v>
      </c>
      <c r="I7817" s="4">
        <v>83940840.36062823</v>
      </c>
      <c r="J7817" s="3">
        <v>0.0401552326382058</v>
      </c>
      <c r="K7817" s="3">
        <v>-0.0386050383425537</v>
      </c>
      <c r="L7817" t="s">
        <v>54</v>
      </c>
    </row>
    <row r="7818" spans="1:12" x14ac:dyDescent="0.25">
      <c r="A7818" t="s">
        <v>490</v>
      </c>
      <c r="B7818" t="s">
        <v>491</v>
      </c>
      <c r="C7818" t="s">
        <v>492</v>
      </c>
      <c r="D7818" t="s">
        <v>240</v>
      </c>
      <c r="E7818" t="s">
        <v>244</v>
      </c>
      <c r="F7818">
        <v>2</v>
      </c>
      <c r="G7818" t="s">
        <v>498</v>
      </c>
      <c r="H7818" s="4">
        <v>80700301</v>
      </c>
      <c r="I7818" s="4">
        <v>81680358</v>
      </c>
      <c r="J7818" s="3">
        <v>0.012144403278000164</v>
      </c>
      <c r="K7818" s="3">
        <v>-0.011998686391653671</v>
      </c>
      <c r="L7818" t="s">
        <v>54</v>
      </c>
    </row>
    <row r="7819" spans="1:12" x14ac:dyDescent="0.25">
      <c r="A7819" t="s">
        <v>490</v>
      </c>
      <c r="B7819" t="s">
        <v>491</v>
      </c>
      <c r="C7819" t="s">
        <v>492</v>
      </c>
      <c r="D7819" t="s">
        <v>240</v>
      </c>
      <c r="E7819" t="s">
        <v>244</v>
      </c>
      <c r="F7819">
        <v>2</v>
      </c>
      <c r="G7819" t="s">
        <v>499</v>
      </c>
      <c r="H7819" s="4">
        <v>80700301</v>
      </c>
      <c r="I7819" s="4">
        <v>102694596</v>
      </c>
      <c r="J7819" s="3">
        <v>0.2725429115809618</v>
      </c>
      <c r="K7819" s="3">
        <v>-0.21417188300735904</v>
      </c>
      <c r="L7819" t="s">
        <v>54</v>
      </c>
    </row>
    <row r="7820" spans="1:12" x14ac:dyDescent="0.25">
      <c r="A7820" t="s">
        <v>490</v>
      </c>
      <c r="B7820" t="s">
        <v>491</v>
      </c>
      <c r="C7820" t="s">
        <v>492</v>
      </c>
      <c r="D7820" t="s">
        <v>240</v>
      </c>
      <c r="E7820" t="s">
        <v>246</v>
      </c>
      <c r="F7820">
        <v>3</v>
      </c>
      <c r="G7820" t="s">
        <v>488</v>
      </c>
      <c r="H7820" s="4">
        <v>84299607</v>
      </c>
      <c r="I7820" s="4">
        <v>97211576.24747391</v>
      </c>
      <c r="J7820" s="3">
        <v>0.1531676090432297</v>
      </c>
      <c r="K7820" s="3">
        <v>-0.132823370897758</v>
      </c>
      <c r="L7820" t="s">
        <v>54</v>
      </c>
    </row>
    <row r="7821" spans="1:12" x14ac:dyDescent="0.25">
      <c r="A7821" t="s">
        <v>490</v>
      </c>
      <c r="B7821" t="s">
        <v>491</v>
      </c>
      <c r="C7821" t="s">
        <v>492</v>
      </c>
      <c r="D7821" t="s">
        <v>240</v>
      </c>
      <c r="E7821" t="s">
        <v>246</v>
      </c>
      <c r="F7821">
        <v>3</v>
      </c>
      <c r="G7821" t="s">
        <v>498</v>
      </c>
      <c r="H7821" s="4">
        <v>84299607</v>
      </c>
      <c r="I7821" s="4">
        <v>94593720</v>
      </c>
      <c r="J7821" s="3">
        <v>0.12211341625827508</v>
      </c>
      <c r="K7821" s="3">
        <v>-0.10882448644582325</v>
      </c>
      <c r="L7821" t="s">
        <v>54</v>
      </c>
    </row>
    <row r="7822" spans="1:12" x14ac:dyDescent="0.25">
      <c r="A7822" t="s">
        <v>490</v>
      </c>
      <c r="B7822" t="s">
        <v>491</v>
      </c>
      <c r="C7822" t="s">
        <v>492</v>
      </c>
      <c r="D7822" t="s">
        <v>240</v>
      </c>
      <c r="E7822" t="s">
        <v>246</v>
      </c>
      <c r="F7822">
        <v>3</v>
      </c>
      <c r="G7822" t="s">
        <v>499</v>
      </c>
      <c r="H7822" s="4">
        <v>84299607</v>
      </c>
      <c r="I7822" s="4">
        <v>102694596</v>
      </c>
      <c r="J7822" s="3">
        <v>0.21820966496320676</v>
      </c>
      <c r="K7822" s="3">
        <v>-0.1791232422784934</v>
      </c>
      <c r="L7822" t="s">
        <v>54</v>
      </c>
    </row>
    <row r="7823" spans="1:12" x14ac:dyDescent="0.25">
      <c r="A7823" t="s">
        <v>490</v>
      </c>
      <c r="B7823" t="s">
        <v>491</v>
      </c>
      <c r="C7823" t="s">
        <v>492</v>
      </c>
      <c r="D7823" t="s">
        <v>242</v>
      </c>
      <c r="E7823" t="s">
        <v>244</v>
      </c>
      <c r="F7823">
        <v>1</v>
      </c>
      <c r="G7823" t="s">
        <v>488</v>
      </c>
      <c r="H7823" s="4">
        <v>80700301</v>
      </c>
      <c r="I7823" s="4">
        <v>83787239.923445</v>
      </c>
      <c r="J7823" s="3">
        <v>0.038251888595124336</v>
      </c>
      <c r="K7823" s="3">
        <v>-0.03684258994884526</v>
      </c>
      <c r="L7823" t="s">
        <v>54</v>
      </c>
    </row>
    <row r="7824" spans="1:12" x14ac:dyDescent="0.25">
      <c r="A7824" t="s">
        <v>490</v>
      </c>
      <c r="B7824" t="s">
        <v>491</v>
      </c>
      <c r="C7824" t="s">
        <v>492</v>
      </c>
      <c r="D7824" t="s">
        <v>242</v>
      </c>
      <c r="E7824" t="s">
        <v>244</v>
      </c>
      <c r="F7824">
        <v>1</v>
      </c>
      <c r="G7824" t="s">
        <v>498</v>
      </c>
      <c r="H7824" s="4">
        <v>80700301</v>
      </c>
      <c r="I7824" s="4">
        <v>81680358</v>
      </c>
      <c r="J7824" s="3">
        <v>0.012144403278000164</v>
      </c>
      <c r="K7824" s="3">
        <v>-0.011998686391653671</v>
      </c>
      <c r="L7824" t="s">
        <v>54</v>
      </c>
    </row>
    <row r="7825" spans="1:12" x14ac:dyDescent="0.25">
      <c r="A7825" t="s">
        <v>490</v>
      </c>
      <c r="B7825" t="s">
        <v>491</v>
      </c>
      <c r="C7825" t="s">
        <v>492</v>
      </c>
      <c r="D7825" t="s">
        <v>242</v>
      </c>
      <c r="E7825" t="s">
        <v>244</v>
      </c>
      <c r="F7825">
        <v>1</v>
      </c>
      <c r="G7825" t="s">
        <v>499</v>
      </c>
      <c r="H7825" s="4">
        <v>80700301</v>
      </c>
      <c r="I7825" s="4">
        <v>86123020</v>
      </c>
      <c r="J7825" s="3">
        <v>0.06719577167376364</v>
      </c>
      <c r="K7825" s="3">
        <v>-0.06296480313858013</v>
      </c>
      <c r="L7825" t="s">
        <v>54</v>
      </c>
    </row>
    <row r="7826" spans="1:12" x14ac:dyDescent="0.25">
      <c r="A7826" t="s">
        <v>490</v>
      </c>
      <c r="B7826" t="s">
        <v>491</v>
      </c>
      <c r="C7826" t="s">
        <v>492</v>
      </c>
      <c r="D7826" t="s">
        <v>242</v>
      </c>
      <c r="E7826" t="s">
        <v>246</v>
      </c>
      <c r="F7826">
        <v>2</v>
      </c>
      <c r="G7826" t="s">
        <v>488</v>
      </c>
      <c r="H7826" s="4">
        <v>84299607</v>
      </c>
      <c r="I7826" s="4">
        <v>97033692.15021288</v>
      </c>
      <c r="J7826" s="3">
        <v>0.15105746756580826</v>
      </c>
      <c r="K7826" s="3">
        <v>-0.13123364542802204</v>
      </c>
      <c r="L7826" t="s">
        <v>54</v>
      </c>
    </row>
    <row r="7827" spans="1:12" x14ac:dyDescent="0.25">
      <c r="A7827" t="s">
        <v>490</v>
      </c>
      <c r="B7827" t="s">
        <v>491</v>
      </c>
      <c r="C7827" t="s">
        <v>492</v>
      </c>
      <c r="D7827" t="s">
        <v>242</v>
      </c>
      <c r="E7827" t="s">
        <v>246</v>
      </c>
      <c r="F7827">
        <v>2</v>
      </c>
      <c r="G7827" t="s">
        <v>498</v>
      </c>
      <c r="H7827" s="4">
        <v>84299607</v>
      </c>
      <c r="I7827" s="4">
        <v>94593720</v>
      </c>
      <c r="J7827" s="3">
        <v>0.12211341625827508</v>
      </c>
      <c r="K7827" s="3">
        <v>-0.10882448644582325</v>
      </c>
      <c r="L7827" t="s">
        <v>54</v>
      </c>
    </row>
    <row r="7828" spans="1:12" x14ac:dyDescent="0.25">
      <c r="A7828" t="s">
        <v>490</v>
      </c>
      <c r="B7828" t="s">
        <v>491</v>
      </c>
      <c r="C7828" t="s">
        <v>492</v>
      </c>
      <c r="D7828" t="s">
        <v>242</v>
      </c>
      <c r="E7828" t="s">
        <v>246</v>
      </c>
      <c r="F7828">
        <v>2</v>
      </c>
      <c r="G7828" t="s">
        <v>499</v>
      </c>
      <c r="H7828" s="4">
        <v>84299607</v>
      </c>
      <c r="I7828" s="4">
        <v>86123020</v>
      </c>
      <c r="J7828" s="3">
        <v>0.02163014828764267</v>
      </c>
      <c r="K7828" s="3">
        <v>-0.021172190664005976</v>
      </c>
      <c r="L7828" t="s">
        <v>54</v>
      </c>
    </row>
    <row r="7829" spans="1:12" x14ac:dyDescent="0.25">
      <c r="A7829" t="s">
        <v>490</v>
      </c>
      <c r="B7829" t="s">
        <v>491</v>
      </c>
      <c r="C7829" t="s">
        <v>492</v>
      </c>
      <c r="D7829" t="s">
        <v>242</v>
      </c>
      <c r="E7829" t="s">
        <v>248</v>
      </c>
      <c r="F7829">
        <v>3</v>
      </c>
      <c r="G7829" t="s">
        <v>488</v>
      </c>
      <c r="H7829" s="4">
        <v>92649029</v>
      </c>
      <c r="I7829" s="4">
        <v>87898871.43864024</v>
      </c>
      <c r="J7829" s="3">
        <v>0.05127045164563746</v>
      </c>
      <c r="K7829" s="3">
        <v>0.054041166668171804</v>
      </c>
      <c r="L7829" t="s">
        <v>54</v>
      </c>
    </row>
    <row r="7830" spans="1:12" x14ac:dyDescent="0.25">
      <c r="A7830" t="s">
        <v>490</v>
      </c>
      <c r="B7830" t="s">
        <v>491</v>
      </c>
      <c r="C7830" t="s">
        <v>492</v>
      </c>
      <c r="D7830" t="s">
        <v>242</v>
      </c>
      <c r="E7830" t="s">
        <v>248</v>
      </c>
      <c r="F7830">
        <v>3</v>
      </c>
      <c r="G7830" t="s">
        <v>498</v>
      </c>
      <c r="H7830" s="4">
        <v>92649029</v>
      </c>
      <c r="I7830" s="4">
        <v>85688600</v>
      </c>
      <c r="J7830" s="3">
        <v>0.07512684239788417</v>
      </c>
      <c r="K7830" s="3">
        <v>0.08122934672756936</v>
      </c>
      <c r="L7830" t="s">
        <v>54</v>
      </c>
    </row>
    <row r="7831" spans="1:12" x14ac:dyDescent="0.25">
      <c r="A7831" t="s">
        <v>490</v>
      </c>
      <c r="B7831" t="s">
        <v>491</v>
      </c>
      <c r="C7831" t="s">
        <v>492</v>
      </c>
      <c r="D7831" t="s">
        <v>242</v>
      </c>
      <c r="E7831" t="s">
        <v>248</v>
      </c>
      <c r="F7831">
        <v>3</v>
      </c>
      <c r="G7831" t="s">
        <v>499</v>
      </c>
      <c r="H7831" s="4">
        <v>92649029</v>
      </c>
      <c r="I7831" s="4">
        <v>86123020</v>
      </c>
      <c r="J7831" s="3">
        <v>0.07043796433095915</v>
      </c>
      <c r="K7831" s="3">
        <v>0.07577543147000651</v>
      </c>
      <c r="L7831" t="s">
        <v>54</v>
      </c>
    </row>
    <row r="7832" spans="1:12" x14ac:dyDescent="0.25">
      <c r="A7832" t="s">
        <v>490</v>
      </c>
      <c r="B7832" t="s">
        <v>491</v>
      </c>
      <c r="C7832" t="s">
        <v>492</v>
      </c>
      <c r="D7832" t="s">
        <v>244</v>
      </c>
      <c r="E7832" t="s">
        <v>246</v>
      </c>
      <c r="F7832">
        <v>1</v>
      </c>
      <c r="G7832" t="s">
        <v>488</v>
      </c>
      <c r="H7832" s="4">
        <v>84299607</v>
      </c>
      <c r="I7832" s="4">
        <v>95927031.04926182</v>
      </c>
      <c r="J7832" s="3">
        <v>0.13792975392236198</v>
      </c>
      <c r="K7832" s="3">
        <v>-0.1212111322750179</v>
      </c>
      <c r="L7832" t="s">
        <v>54</v>
      </c>
    </row>
    <row r="7833" spans="1:12" x14ac:dyDescent="0.25">
      <c r="A7833" t="s">
        <v>490</v>
      </c>
      <c r="B7833" t="s">
        <v>491</v>
      </c>
      <c r="C7833" t="s">
        <v>492</v>
      </c>
      <c r="D7833" t="s">
        <v>244</v>
      </c>
      <c r="E7833" t="s">
        <v>246</v>
      </c>
      <c r="F7833">
        <v>1</v>
      </c>
      <c r="G7833" t="s">
        <v>498</v>
      </c>
      <c r="H7833" s="4">
        <v>84299607</v>
      </c>
      <c r="I7833" s="4">
        <v>94593720</v>
      </c>
      <c r="J7833" s="3">
        <v>0.12211341625827508</v>
      </c>
      <c r="K7833" s="3">
        <v>-0.10882448644582325</v>
      </c>
      <c r="L7833" t="s">
        <v>54</v>
      </c>
    </row>
    <row r="7834" spans="1:12" x14ac:dyDescent="0.25">
      <c r="A7834" t="s">
        <v>490</v>
      </c>
      <c r="B7834" t="s">
        <v>491</v>
      </c>
      <c r="C7834" t="s">
        <v>492</v>
      </c>
      <c r="D7834" t="s">
        <v>244</v>
      </c>
      <c r="E7834" t="s">
        <v>246</v>
      </c>
      <c r="F7834">
        <v>1</v>
      </c>
      <c r="G7834" t="s">
        <v>499</v>
      </c>
      <c r="H7834" s="4">
        <v>84299607</v>
      </c>
      <c r="I7834" s="4">
        <v>80700301</v>
      </c>
      <c r="J7834" s="3">
        <v>0.042696592879727185</v>
      </c>
      <c r="K7834" s="3">
        <v>0.04460089932006573</v>
      </c>
      <c r="L7834" t="s">
        <v>54</v>
      </c>
    </row>
    <row r="7835" spans="1:12" x14ac:dyDescent="0.25">
      <c r="A7835" t="s">
        <v>490</v>
      </c>
      <c r="B7835" t="s">
        <v>491</v>
      </c>
      <c r="C7835" t="s">
        <v>492</v>
      </c>
      <c r="D7835" t="s">
        <v>244</v>
      </c>
      <c r="E7835" t="s">
        <v>248</v>
      </c>
      <c r="F7835">
        <v>2</v>
      </c>
      <c r="G7835" t="s">
        <v>488</v>
      </c>
      <c r="H7835" s="4">
        <v>92649029</v>
      </c>
      <c r="I7835" s="4">
        <v>86896392.19990267</v>
      </c>
      <c r="J7835" s="3">
        <v>0.0620906323810186</v>
      </c>
      <c r="K7835" s="3">
        <v>0.0662011005803734</v>
      </c>
      <c r="L7835" t="s">
        <v>54</v>
      </c>
    </row>
    <row r="7836" spans="1:12" x14ac:dyDescent="0.25">
      <c r="A7836" t="s">
        <v>490</v>
      </c>
      <c r="B7836" t="s">
        <v>491</v>
      </c>
      <c r="C7836" t="s">
        <v>492</v>
      </c>
      <c r="D7836" t="s">
        <v>244</v>
      </c>
      <c r="E7836" t="s">
        <v>248</v>
      </c>
      <c r="F7836">
        <v>2</v>
      </c>
      <c r="G7836" t="s">
        <v>498</v>
      </c>
      <c r="H7836" s="4">
        <v>92649029</v>
      </c>
      <c r="I7836" s="4">
        <v>85688600</v>
      </c>
      <c r="J7836" s="3">
        <v>0.07512684239788417</v>
      </c>
      <c r="K7836" s="3">
        <v>0.08122934672756936</v>
      </c>
      <c r="L7836" t="s">
        <v>54</v>
      </c>
    </row>
    <row r="7837" spans="1:12" x14ac:dyDescent="0.25">
      <c r="A7837" t="s">
        <v>490</v>
      </c>
      <c r="B7837" t="s">
        <v>491</v>
      </c>
      <c r="C7837" t="s">
        <v>492</v>
      </c>
      <c r="D7837" t="s">
        <v>244</v>
      </c>
      <c r="E7837" t="s">
        <v>248</v>
      </c>
      <c r="F7837">
        <v>2</v>
      </c>
      <c r="G7837" t="s">
        <v>499</v>
      </c>
      <c r="H7837" s="4">
        <v>92649029</v>
      </c>
      <c r="I7837" s="4">
        <v>80700301</v>
      </c>
      <c r="J7837" s="3">
        <v>0.1289676549119581</v>
      </c>
      <c r="K7837" s="3">
        <v>0.14806299173530962</v>
      </c>
      <c r="L7837" t="s">
        <v>54</v>
      </c>
    </row>
    <row r="7838" spans="1:12" x14ac:dyDescent="0.25">
      <c r="A7838" t="s">
        <v>490</v>
      </c>
      <c r="B7838" t="s">
        <v>491</v>
      </c>
      <c r="C7838" t="s">
        <v>492</v>
      </c>
      <c r="D7838" t="s">
        <v>244</v>
      </c>
      <c r="E7838" t="s">
        <v>250</v>
      </c>
      <c r="F7838">
        <v>3</v>
      </c>
      <c r="G7838" t="s">
        <v>488</v>
      </c>
      <c r="H7838" s="4">
        <v>77588313</v>
      </c>
      <c r="I7838" s="4">
        <v>81434029.61256614</v>
      </c>
      <c r="J7838" s="3">
        <v>0.04956566864092203</v>
      </c>
      <c r="K7838" s="3">
        <v>-0.0472249332479638</v>
      </c>
      <c r="L7838" t="s">
        <v>54</v>
      </c>
    </row>
    <row r="7839" spans="1:12" x14ac:dyDescent="0.25">
      <c r="A7839" t="s">
        <v>490</v>
      </c>
      <c r="B7839" t="s">
        <v>491</v>
      </c>
      <c r="C7839" t="s">
        <v>492</v>
      </c>
      <c r="D7839" t="s">
        <v>244</v>
      </c>
      <c r="E7839" t="s">
        <v>250</v>
      </c>
      <c r="F7839">
        <v>3</v>
      </c>
      <c r="G7839" t="s">
        <v>498</v>
      </c>
      <c r="H7839" s="4">
        <v>77588313</v>
      </c>
      <c r="I7839" s="4">
        <v>80302160</v>
      </c>
      <c r="J7839" s="3">
        <v>0.03497752296792431</v>
      </c>
      <c r="K7839" s="3">
        <v>-0.03379544211513115</v>
      </c>
      <c r="L7839" t="s">
        <v>54</v>
      </c>
    </row>
    <row r="7840" spans="1:12" x14ac:dyDescent="0.25">
      <c r="A7840" t="s">
        <v>490</v>
      </c>
      <c r="B7840" t="s">
        <v>491</v>
      </c>
      <c r="C7840" t="s">
        <v>492</v>
      </c>
      <c r="D7840" t="s">
        <v>244</v>
      </c>
      <c r="E7840" t="s">
        <v>250</v>
      </c>
      <c r="F7840">
        <v>3</v>
      </c>
      <c r="G7840" t="s">
        <v>499</v>
      </c>
      <c r="H7840" s="4">
        <v>77588313</v>
      </c>
      <c r="I7840" s="4">
        <v>80700301</v>
      </c>
      <c r="J7840" s="3">
        <v>0.040108978783956806</v>
      </c>
      <c r="K7840" s="3">
        <v>-0.03856228491638464</v>
      </c>
      <c r="L7840" t="s">
        <v>54</v>
      </c>
    </row>
    <row r="7841" spans="1:12" x14ac:dyDescent="0.25">
      <c r="A7841" t="s">
        <v>490</v>
      </c>
      <c r="B7841" t="s">
        <v>491</v>
      </c>
      <c r="C7841" t="s">
        <v>492</v>
      </c>
      <c r="D7841" t="s">
        <v>246</v>
      </c>
      <c r="E7841" t="s">
        <v>248</v>
      </c>
      <c r="F7841">
        <v>1</v>
      </c>
      <c r="G7841" t="s">
        <v>488</v>
      </c>
      <c r="H7841" s="4">
        <v>92649029</v>
      </c>
      <c r="I7841" s="4">
        <v>86532305.01517841</v>
      </c>
      <c r="J7841" s="3">
        <v>0.06602037874375982</v>
      </c>
      <c r="K7841" s="3">
        <v>0.0706871726547521</v>
      </c>
      <c r="L7841" t="s">
        <v>54</v>
      </c>
    </row>
    <row r="7842" spans="1:12" x14ac:dyDescent="0.25">
      <c r="A7842" t="s">
        <v>490</v>
      </c>
      <c r="B7842" t="s">
        <v>491</v>
      </c>
      <c r="C7842" t="s">
        <v>492</v>
      </c>
      <c r="D7842" t="s">
        <v>246</v>
      </c>
      <c r="E7842" t="s">
        <v>248</v>
      </c>
      <c r="F7842">
        <v>1</v>
      </c>
      <c r="G7842" t="s">
        <v>498</v>
      </c>
      <c r="H7842" s="4">
        <v>92649029</v>
      </c>
      <c r="I7842" s="4">
        <v>85688600</v>
      </c>
      <c r="J7842" s="3">
        <v>0.07512684239788417</v>
      </c>
      <c r="K7842" s="3">
        <v>0.08122934672756936</v>
      </c>
      <c r="L7842" t="s">
        <v>54</v>
      </c>
    </row>
    <row r="7843" spans="1:12" x14ac:dyDescent="0.25">
      <c r="A7843" t="s">
        <v>490</v>
      </c>
      <c r="B7843" t="s">
        <v>491</v>
      </c>
      <c r="C7843" t="s">
        <v>492</v>
      </c>
      <c r="D7843" t="s">
        <v>246</v>
      </c>
      <c r="E7843" t="s">
        <v>248</v>
      </c>
      <c r="F7843">
        <v>1</v>
      </c>
      <c r="G7843" t="s">
        <v>499</v>
      </c>
      <c r="H7843" s="4">
        <v>92649029</v>
      </c>
      <c r="I7843" s="4">
        <v>84299607</v>
      </c>
      <c r="J7843" s="3">
        <v>0.09011882898416561</v>
      </c>
      <c r="K7843" s="3">
        <v>0.09904461357690553</v>
      </c>
      <c r="L7843" t="s">
        <v>54</v>
      </c>
    </row>
    <row r="7844" spans="1:12" x14ac:dyDescent="0.25">
      <c r="A7844" t="s">
        <v>490</v>
      </c>
      <c r="B7844" t="s">
        <v>491</v>
      </c>
      <c r="C7844" t="s">
        <v>492</v>
      </c>
      <c r="D7844" t="s">
        <v>246</v>
      </c>
      <c r="E7844" t="s">
        <v>250</v>
      </c>
      <c r="F7844">
        <v>2</v>
      </c>
      <c r="G7844" t="s">
        <v>488</v>
      </c>
      <c r="H7844" s="4">
        <v>77588313</v>
      </c>
      <c r="I7844" s="4">
        <v>81092829.18028373</v>
      </c>
      <c r="J7844" s="3">
        <v>0.04516809355403468</v>
      </c>
      <c r="K7844" s="3">
        <v>-0.043216104502810784</v>
      </c>
      <c r="L7844" t="s">
        <v>54</v>
      </c>
    </row>
    <row r="7845" spans="1:12" x14ac:dyDescent="0.25">
      <c r="A7845" t="s">
        <v>490</v>
      </c>
      <c r="B7845" t="s">
        <v>491</v>
      </c>
      <c r="C7845" t="s">
        <v>492</v>
      </c>
      <c r="D7845" t="s">
        <v>246</v>
      </c>
      <c r="E7845" t="s">
        <v>250</v>
      </c>
      <c r="F7845">
        <v>2</v>
      </c>
      <c r="G7845" t="s">
        <v>498</v>
      </c>
      <c r="H7845" s="4">
        <v>77588313</v>
      </c>
      <c r="I7845" s="4">
        <v>80302160</v>
      </c>
      <c r="J7845" s="3">
        <v>0.03497752296792431</v>
      </c>
      <c r="K7845" s="3">
        <v>-0.03379544211513115</v>
      </c>
      <c r="L7845" t="s">
        <v>54</v>
      </c>
    </row>
    <row r="7846" spans="1:12" x14ac:dyDescent="0.25">
      <c r="A7846" t="s">
        <v>490</v>
      </c>
      <c r="B7846" t="s">
        <v>491</v>
      </c>
      <c r="C7846" t="s">
        <v>492</v>
      </c>
      <c r="D7846" t="s">
        <v>246</v>
      </c>
      <c r="E7846" t="s">
        <v>250</v>
      </c>
      <c r="F7846">
        <v>2</v>
      </c>
      <c r="G7846" t="s">
        <v>499</v>
      </c>
      <c r="H7846" s="4">
        <v>77588313</v>
      </c>
      <c r="I7846" s="4">
        <v>84299607</v>
      </c>
      <c r="J7846" s="3">
        <v>0.08649877462859645</v>
      </c>
      <c r="K7846" s="3">
        <v>-0.0796123996165249</v>
      </c>
      <c r="L7846" t="s">
        <v>54</v>
      </c>
    </row>
    <row r="7847" spans="1:12" x14ac:dyDescent="0.25">
      <c r="A7847" t="s">
        <v>490</v>
      </c>
      <c r="B7847" t="s">
        <v>491</v>
      </c>
      <c r="C7847" t="s">
        <v>492</v>
      </c>
      <c r="D7847" t="s">
        <v>246</v>
      </c>
      <c r="E7847" t="s">
        <v>252</v>
      </c>
      <c r="F7847">
        <v>3</v>
      </c>
      <c r="G7847" t="s">
        <v>488</v>
      </c>
      <c r="H7847" s="4">
        <v>60278799</v>
      </c>
      <c r="I7847" s="4">
        <v>63344630.15474452</v>
      </c>
      <c r="J7847" s="3">
        <v>0.050860853328290774</v>
      </c>
      <c r="K7847" s="3">
        <v>-0.04839922732605756</v>
      </c>
      <c r="L7847" t="s">
        <v>54</v>
      </c>
    </row>
    <row r="7848" spans="1:12" x14ac:dyDescent="0.25">
      <c r="A7848" t="s">
        <v>490</v>
      </c>
      <c r="B7848" t="s">
        <v>491</v>
      </c>
      <c r="C7848" t="s">
        <v>492</v>
      </c>
      <c r="D7848" t="s">
        <v>246</v>
      </c>
      <c r="E7848" t="s">
        <v>252</v>
      </c>
      <c r="F7848">
        <v>3</v>
      </c>
      <c r="G7848" t="s">
        <v>498</v>
      </c>
      <c r="H7848" s="4">
        <v>60278799</v>
      </c>
      <c r="I7848" s="4">
        <v>62727009</v>
      </c>
      <c r="J7848" s="3">
        <v>0.04061477734485055</v>
      </c>
      <c r="K7848" s="3">
        <v>-0.03902959887661789</v>
      </c>
      <c r="L7848" t="s">
        <v>54</v>
      </c>
    </row>
    <row r="7849" spans="1:12" x14ac:dyDescent="0.25">
      <c r="A7849" t="s">
        <v>490</v>
      </c>
      <c r="B7849" t="s">
        <v>491</v>
      </c>
      <c r="C7849" t="s">
        <v>492</v>
      </c>
      <c r="D7849" t="s">
        <v>246</v>
      </c>
      <c r="E7849" t="s">
        <v>252</v>
      </c>
      <c r="F7849">
        <v>3</v>
      </c>
      <c r="G7849" t="s">
        <v>499</v>
      </c>
      <c r="H7849" s="4">
        <v>60278799</v>
      </c>
      <c r="I7849" s="4">
        <v>84299607</v>
      </c>
      <c r="J7849" s="3">
        <v>0.39849513259214076</v>
      </c>
      <c r="K7849" s="3">
        <v>-0.28494567003141547</v>
      </c>
      <c r="L7849" t="s">
        <v>54</v>
      </c>
    </row>
    <row r="7850" spans="1:12" x14ac:dyDescent="0.25">
      <c r="A7850" t="s">
        <v>490</v>
      </c>
      <c r="B7850" t="s">
        <v>491</v>
      </c>
      <c r="C7850" t="s">
        <v>492</v>
      </c>
      <c r="D7850" t="s">
        <v>248</v>
      </c>
      <c r="E7850" t="s">
        <v>250</v>
      </c>
      <c r="F7850">
        <v>1</v>
      </c>
      <c r="G7850" t="s">
        <v>488</v>
      </c>
      <c r="H7850" s="4">
        <v>77588313</v>
      </c>
      <c r="I7850" s="4">
        <v>81460226.3254361</v>
      </c>
      <c r="J7850" s="3">
        <v>0.049903305997078456</v>
      </c>
      <c r="K7850" s="3">
        <v>-0.04753133523061534</v>
      </c>
      <c r="L7850" t="s">
        <v>54</v>
      </c>
    </row>
    <row r="7851" spans="1:12" x14ac:dyDescent="0.25">
      <c r="A7851" t="s">
        <v>490</v>
      </c>
      <c r="B7851" t="s">
        <v>491</v>
      </c>
      <c r="C7851" t="s">
        <v>492</v>
      </c>
      <c r="D7851" t="s">
        <v>248</v>
      </c>
      <c r="E7851" t="s">
        <v>250</v>
      </c>
      <c r="F7851">
        <v>1</v>
      </c>
      <c r="G7851" t="s">
        <v>498</v>
      </c>
      <c r="H7851" s="4">
        <v>77588313</v>
      </c>
      <c r="I7851" s="4">
        <v>80302160</v>
      </c>
      <c r="J7851" s="3">
        <v>0.03497752296792431</v>
      </c>
      <c r="K7851" s="3">
        <v>-0.03379544211513115</v>
      </c>
      <c r="L7851" t="s">
        <v>54</v>
      </c>
    </row>
    <row r="7852" spans="1:12" x14ac:dyDescent="0.25">
      <c r="A7852" t="s">
        <v>490</v>
      </c>
      <c r="B7852" t="s">
        <v>491</v>
      </c>
      <c r="C7852" t="s">
        <v>492</v>
      </c>
      <c r="D7852" t="s">
        <v>248</v>
      </c>
      <c r="E7852" t="s">
        <v>250</v>
      </c>
      <c r="F7852">
        <v>1</v>
      </c>
      <c r="G7852" t="s">
        <v>499</v>
      </c>
      <c r="H7852" s="4">
        <v>77588313</v>
      </c>
      <c r="I7852" s="4">
        <v>92649029</v>
      </c>
      <c r="J7852" s="3">
        <v>0.19411062591346714</v>
      </c>
      <c r="K7852" s="3">
        <v>-0.16255665237462985</v>
      </c>
      <c r="L7852" t="s">
        <v>54</v>
      </c>
    </row>
    <row r="7853" spans="1:12" x14ac:dyDescent="0.25">
      <c r="A7853" t="s">
        <v>490</v>
      </c>
      <c r="B7853" t="s">
        <v>491</v>
      </c>
      <c r="C7853" t="s">
        <v>492</v>
      </c>
      <c r="D7853" t="s">
        <v>248</v>
      </c>
      <c r="E7853" t="s">
        <v>252</v>
      </c>
      <c r="F7853">
        <v>2</v>
      </c>
      <c r="G7853" t="s">
        <v>488</v>
      </c>
      <c r="H7853" s="4">
        <v>60278799</v>
      </c>
      <c r="I7853" s="4">
        <v>63631617.75296788</v>
      </c>
      <c r="J7853" s="3">
        <v>0.05562185724649025</v>
      </c>
      <c r="K7853" s="3">
        <v>-0.0526910814366573</v>
      </c>
      <c r="L7853" t="s">
        <v>54</v>
      </c>
    </row>
    <row r="7854" spans="1:12" x14ac:dyDescent="0.25">
      <c r="A7854" t="s">
        <v>490</v>
      </c>
      <c r="B7854" t="s">
        <v>491</v>
      </c>
      <c r="C7854" t="s">
        <v>492</v>
      </c>
      <c r="D7854" t="s">
        <v>248</v>
      </c>
      <c r="E7854" t="s">
        <v>252</v>
      </c>
      <c r="F7854">
        <v>2</v>
      </c>
      <c r="G7854" t="s">
        <v>498</v>
      </c>
      <c r="H7854" s="4">
        <v>60278799</v>
      </c>
      <c r="I7854" s="4">
        <v>62727009</v>
      </c>
      <c r="J7854" s="3">
        <v>0.04061477734485055</v>
      </c>
      <c r="K7854" s="3">
        <v>-0.03902959887661789</v>
      </c>
      <c r="L7854" t="s">
        <v>54</v>
      </c>
    </row>
    <row r="7855" spans="1:12" x14ac:dyDescent="0.25">
      <c r="A7855" t="s">
        <v>490</v>
      </c>
      <c r="B7855" t="s">
        <v>491</v>
      </c>
      <c r="C7855" t="s">
        <v>492</v>
      </c>
      <c r="D7855" t="s">
        <v>248</v>
      </c>
      <c r="E7855" t="s">
        <v>252</v>
      </c>
      <c r="F7855">
        <v>2</v>
      </c>
      <c r="G7855" t="s">
        <v>499</v>
      </c>
      <c r="H7855" s="4">
        <v>60278799</v>
      </c>
      <c r="I7855" s="4">
        <v>92649029</v>
      </c>
      <c r="J7855" s="3">
        <v>0.5370085425889125</v>
      </c>
      <c r="K7855" s="3">
        <v>-0.3493855289082414</v>
      </c>
      <c r="L7855" t="s">
        <v>54</v>
      </c>
    </row>
    <row r="7856" spans="1:12" x14ac:dyDescent="0.25">
      <c r="A7856" t="s">
        <v>490</v>
      </c>
      <c r="B7856" t="s">
        <v>491</v>
      </c>
      <c r="C7856" t="s">
        <v>492</v>
      </c>
      <c r="D7856" t="s">
        <v>248</v>
      </c>
      <c r="E7856" t="s">
        <v>254</v>
      </c>
      <c r="F7856">
        <v>3</v>
      </c>
      <c r="G7856" t="s">
        <v>488</v>
      </c>
      <c r="H7856" s="4">
        <v>53237813</v>
      </c>
      <c r="I7856" s="4">
        <v>51174595.4810852</v>
      </c>
      <c r="J7856" s="3">
        <v>0.03875473845844863</v>
      </c>
      <c r="K7856" s="3">
        <v>0.04031722184648022</v>
      </c>
      <c r="L7856" t="s">
        <v>54</v>
      </c>
    </row>
    <row r="7857" spans="1:12" x14ac:dyDescent="0.25">
      <c r="A7857" t="s">
        <v>490</v>
      </c>
      <c r="B7857" t="s">
        <v>491</v>
      </c>
      <c r="C7857" t="s">
        <v>492</v>
      </c>
      <c r="D7857" t="s">
        <v>248</v>
      </c>
      <c r="E7857" t="s">
        <v>254</v>
      </c>
      <c r="F7857">
        <v>3</v>
      </c>
      <c r="G7857" t="s">
        <v>498</v>
      </c>
      <c r="H7857" s="4">
        <v>53237813</v>
      </c>
      <c r="I7857" s="4">
        <v>50447080</v>
      </c>
      <c r="J7857" s="3">
        <v>0.052420128527819125</v>
      </c>
      <c r="K7857" s="3">
        <v>0.05532001059327914</v>
      </c>
      <c r="L7857" t="s">
        <v>54</v>
      </c>
    </row>
    <row r="7858" spans="1:12" x14ac:dyDescent="0.25">
      <c r="A7858" t="s">
        <v>490</v>
      </c>
      <c r="B7858" t="s">
        <v>491</v>
      </c>
      <c r="C7858" t="s">
        <v>492</v>
      </c>
      <c r="D7858" t="s">
        <v>248</v>
      </c>
      <c r="E7858" t="s">
        <v>254</v>
      </c>
      <c r="F7858">
        <v>3</v>
      </c>
      <c r="G7858" t="s">
        <v>499</v>
      </c>
      <c r="H7858" s="4">
        <v>53237813</v>
      </c>
      <c r="I7858" s="4">
        <v>92649029</v>
      </c>
      <c r="J7858" s="3">
        <v>0.7402861571342159</v>
      </c>
      <c r="K7858" s="3">
        <v>-0.4253818569431526</v>
      </c>
      <c r="L7858" t="s">
        <v>54</v>
      </c>
    </row>
    <row r="7859" spans="1:12" x14ac:dyDescent="0.25">
      <c r="A7859" t="s">
        <v>490</v>
      </c>
      <c r="B7859" t="s">
        <v>491</v>
      </c>
      <c r="C7859" t="s">
        <v>492</v>
      </c>
      <c r="D7859" t="s">
        <v>250</v>
      </c>
      <c r="E7859" t="s">
        <v>252</v>
      </c>
      <c r="F7859">
        <v>1</v>
      </c>
      <c r="G7859" t="s">
        <v>488</v>
      </c>
      <c r="H7859" s="4">
        <v>60278799</v>
      </c>
      <c r="I7859" s="4">
        <v>63522743.864858575</v>
      </c>
      <c r="J7859" s="3">
        <v>0.05381568509449857</v>
      </c>
      <c r="K7859" s="3">
        <v>-0.051067455016740204</v>
      </c>
      <c r="L7859" t="s">
        <v>54</v>
      </c>
    </row>
    <row r="7860" spans="1:12" x14ac:dyDescent="0.25">
      <c r="A7860" t="s">
        <v>490</v>
      </c>
      <c r="B7860" t="s">
        <v>491</v>
      </c>
      <c r="C7860" t="s">
        <v>492</v>
      </c>
      <c r="D7860" t="s">
        <v>250</v>
      </c>
      <c r="E7860" t="s">
        <v>252</v>
      </c>
      <c r="F7860">
        <v>1</v>
      </c>
      <c r="G7860" t="s">
        <v>498</v>
      </c>
      <c r="H7860" s="4">
        <v>60278799</v>
      </c>
      <c r="I7860" s="4">
        <v>62727009</v>
      </c>
      <c r="J7860" s="3">
        <v>0.04061477734485055</v>
      </c>
      <c r="K7860" s="3">
        <v>-0.03902959887661789</v>
      </c>
      <c r="L7860" t="s">
        <v>54</v>
      </c>
    </row>
    <row r="7861" spans="1:12" x14ac:dyDescent="0.25">
      <c r="A7861" t="s">
        <v>490</v>
      </c>
      <c r="B7861" t="s">
        <v>491</v>
      </c>
      <c r="C7861" t="s">
        <v>492</v>
      </c>
      <c r="D7861" t="s">
        <v>250</v>
      </c>
      <c r="E7861" t="s">
        <v>252</v>
      </c>
      <c r="F7861">
        <v>1</v>
      </c>
      <c r="G7861" t="s">
        <v>499</v>
      </c>
      <c r="H7861" s="4">
        <v>60278799</v>
      </c>
      <c r="I7861" s="4">
        <v>77588313</v>
      </c>
      <c r="J7861" s="3">
        <v>0.28715757923445023</v>
      </c>
      <c r="K7861" s="3">
        <v>-0.22309434669626083</v>
      </c>
      <c r="L7861" t="s">
        <v>54</v>
      </c>
    </row>
    <row r="7862" spans="1:12" x14ac:dyDescent="0.25">
      <c r="A7862" t="s">
        <v>490</v>
      </c>
      <c r="B7862" t="s">
        <v>491</v>
      </c>
      <c r="C7862" t="s">
        <v>492</v>
      </c>
      <c r="D7862" t="s">
        <v>250</v>
      </c>
      <c r="E7862" t="s">
        <v>254</v>
      </c>
      <c r="F7862">
        <v>2</v>
      </c>
      <c r="G7862" t="s">
        <v>488</v>
      </c>
      <c r="H7862" s="4">
        <v>53237813</v>
      </c>
      <c r="I7862" s="4">
        <v>51087035.5953052</v>
      </c>
      <c r="J7862" s="3">
        <v>0.04039943197318799</v>
      </c>
      <c r="K7862" s="3">
        <v>0.042100258502618136</v>
      </c>
      <c r="L7862" t="s">
        <v>54</v>
      </c>
    </row>
    <row r="7863" spans="1:12" x14ac:dyDescent="0.25">
      <c r="A7863" t="s">
        <v>490</v>
      </c>
      <c r="B7863" t="s">
        <v>491</v>
      </c>
      <c r="C7863" t="s">
        <v>492</v>
      </c>
      <c r="D7863" t="s">
        <v>250</v>
      </c>
      <c r="E7863" t="s">
        <v>254</v>
      </c>
      <c r="F7863">
        <v>2</v>
      </c>
      <c r="G7863" t="s">
        <v>498</v>
      </c>
      <c r="H7863" s="4">
        <v>53237813</v>
      </c>
      <c r="I7863" s="4">
        <v>50447080</v>
      </c>
      <c r="J7863" s="3">
        <v>0.052420128527819125</v>
      </c>
      <c r="K7863" s="3">
        <v>0.05532001059327914</v>
      </c>
      <c r="L7863" t="s">
        <v>54</v>
      </c>
    </row>
    <row r="7864" spans="1:12" x14ac:dyDescent="0.25">
      <c r="A7864" t="s">
        <v>490</v>
      </c>
      <c r="B7864" t="s">
        <v>491</v>
      </c>
      <c r="C7864" t="s">
        <v>492</v>
      </c>
      <c r="D7864" t="s">
        <v>250</v>
      </c>
      <c r="E7864" t="s">
        <v>254</v>
      </c>
      <c r="F7864">
        <v>2</v>
      </c>
      <c r="G7864" t="s">
        <v>499</v>
      </c>
      <c r="H7864" s="4">
        <v>53237813</v>
      </c>
      <c r="I7864" s="4">
        <v>77588313</v>
      </c>
      <c r="J7864" s="3">
        <v>0.4573910652565687</v>
      </c>
      <c r="K7864" s="3">
        <v>-0.3138423695331538</v>
      </c>
      <c r="L7864" t="s">
        <v>54</v>
      </c>
    </row>
    <row r="7865" spans="1:12" x14ac:dyDescent="0.25">
      <c r="A7865" t="s">
        <v>490</v>
      </c>
      <c r="B7865" t="s">
        <v>491</v>
      </c>
      <c r="C7865" t="s">
        <v>492</v>
      </c>
      <c r="D7865" t="s">
        <v>250</v>
      </c>
      <c r="E7865" t="s">
        <v>256</v>
      </c>
      <c r="F7865">
        <v>3</v>
      </c>
      <c r="G7865" t="s">
        <v>488</v>
      </c>
      <c r="H7865" s="4">
        <v>57713596</v>
      </c>
      <c r="I7865" s="4">
        <v>59282289.66623167</v>
      </c>
      <c r="J7865" s="3">
        <v>0.027180660623394002</v>
      </c>
      <c r="K7865" s="3">
        <v>-0.026461421700539133</v>
      </c>
      <c r="L7865" t="s">
        <v>54</v>
      </c>
    </row>
    <row r="7866" spans="1:12" x14ac:dyDescent="0.25">
      <c r="A7866" t="s">
        <v>490</v>
      </c>
      <c r="B7866" t="s">
        <v>491</v>
      </c>
      <c r="C7866" t="s">
        <v>492</v>
      </c>
      <c r="D7866" t="s">
        <v>250</v>
      </c>
      <c r="E7866" t="s">
        <v>256</v>
      </c>
      <c r="F7866">
        <v>3</v>
      </c>
      <c r="G7866" t="s">
        <v>498</v>
      </c>
      <c r="H7866" s="4">
        <v>57713596</v>
      </c>
      <c r="I7866" s="4">
        <v>58539674</v>
      </c>
      <c r="J7866" s="3">
        <v>0.01431340372552769</v>
      </c>
      <c r="K7866" s="3">
        <v>-0.01411142125595028</v>
      </c>
      <c r="L7866" t="s">
        <v>54</v>
      </c>
    </row>
    <row r="7867" spans="1:12" x14ac:dyDescent="0.25">
      <c r="A7867" t="s">
        <v>490</v>
      </c>
      <c r="B7867" t="s">
        <v>491</v>
      </c>
      <c r="C7867" t="s">
        <v>492</v>
      </c>
      <c r="D7867" t="s">
        <v>250</v>
      </c>
      <c r="E7867" t="s">
        <v>256</v>
      </c>
      <c r="F7867">
        <v>3</v>
      </c>
      <c r="G7867" t="s">
        <v>499</v>
      </c>
      <c r="H7867" s="4">
        <v>57713596</v>
      </c>
      <c r="I7867" s="4">
        <v>77588313</v>
      </c>
      <c r="J7867" s="3">
        <v>0.344368023784205</v>
      </c>
      <c r="K7867" s="3">
        <v>-0.25615606566932314</v>
      </c>
      <c r="L7867" t="s">
        <v>54</v>
      </c>
    </row>
    <row r="7868" spans="1:12" x14ac:dyDescent="0.25">
      <c r="A7868" t="s">
        <v>490</v>
      </c>
      <c r="B7868" t="s">
        <v>491</v>
      </c>
      <c r="C7868" t="s">
        <v>492</v>
      </c>
      <c r="D7868" t="s">
        <v>252</v>
      </c>
      <c r="E7868" t="s">
        <v>254</v>
      </c>
      <c r="F7868">
        <v>1</v>
      </c>
      <c r="G7868" t="s">
        <v>488</v>
      </c>
      <c r="H7868" s="4">
        <v>53237813</v>
      </c>
      <c r="I7868" s="4">
        <v>50953046.20077817</v>
      </c>
      <c r="J7868" s="3">
        <v>0.042916240740802566</v>
      </c>
      <c r="K7868" s="3">
        <v>0.04484063210310937</v>
      </c>
      <c r="L7868" t="s">
        <v>54</v>
      </c>
    </row>
    <row r="7869" spans="1:12" x14ac:dyDescent="0.25">
      <c r="A7869" t="s">
        <v>490</v>
      </c>
      <c r="B7869" t="s">
        <v>491</v>
      </c>
      <c r="C7869" t="s">
        <v>492</v>
      </c>
      <c r="D7869" t="s">
        <v>252</v>
      </c>
      <c r="E7869" t="s">
        <v>254</v>
      </c>
      <c r="F7869">
        <v>1</v>
      </c>
      <c r="G7869" t="s">
        <v>498</v>
      </c>
      <c r="H7869" s="4">
        <v>53237813</v>
      </c>
      <c r="I7869" s="4">
        <v>50447080</v>
      </c>
      <c r="J7869" s="3">
        <v>0.052420128527819125</v>
      </c>
      <c r="K7869" s="3">
        <v>0.05532001059327914</v>
      </c>
      <c r="L7869" t="s">
        <v>54</v>
      </c>
    </row>
    <row r="7870" spans="1:12" x14ac:dyDescent="0.25">
      <c r="A7870" t="s">
        <v>490</v>
      </c>
      <c r="B7870" t="s">
        <v>491</v>
      </c>
      <c r="C7870" t="s">
        <v>492</v>
      </c>
      <c r="D7870" t="s">
        <v>252</v>
      </c>
      <c r="E7870" t="s">
        <v>254</v>
      </c>
      <c r="F7870">
        <v>1</v>
      </c>
      <c r="G7870" t="s">
        <v>499</v>
      </c>
      <c r="H7870" s="4">
        <v>53237813</v>
      </c>
      <c r="I7870" s="4">
        <v>60278799</v>
      </c>
      <c r="J7870" s="3">
        <v>0.13225535767218688</v>
      </c>
      <c r="K7870" s="3">
        <v>-0.11680700539504776</v>
      </c>
      <c r="L7870" t="s">
        <v>54</v>
      </c>
    </row>
    <row r="7871" spans="1:12" x14ac:dyDescent="0.25">
      <c r="A7871" t="s">
        <v>490</v>
      </c>
      <c r="B7871" t="s">
        <v>491</v>
      </c>
      <c r="C7871" t="s">
        <v>492</v>
      </c>
      <c r="D7871" t="s">
        <v>252</v>
      </c>
      <c r="E7871" t="s">
        <v>256</v>
      </c>
      <c r="F7871">
        <v>2</v>
      </c>
      <c r="G7871" t="s">
        <v>488</v>
      </c>
      <c r="H7871" s="4">
        <v>57713596</v>
      </c>
      <c r="I7871" s="4">
        <v>59126806.029218994</v>
      </c>
      <c r="J7871" s="3">
        <v>0.024486605014509822</v>
      </c>
      <c r="K7871" s="3">
        <v>-0.02390134228662074</v>
      </c>
      <c r="L7871" t="s">
        <v>54</v>
      </c>
    </row>
    <row r="7872" spans="1:12" x14ac:dyDescent="0.25">
      <c r="A7872" t="s">
        <v>490</v>
      </c>
      <c r="B7872" t="s">
        <v>491</v>
      </c>
      <c r="C7872" t="s">
        <v>492</v>
      </c>
      <c r="D7872" t="s">
        <v>252</v>
      </c>
      <c r="E7872" t="s">
        <v>256</v>
      </c>
      <c r="F7872">
        <v>2</v>
      </c>
      <c r="G7872" t="s">
        <v>498</v>
      </c>
      <c r="H7872" s="4">
        <v>57713596</v>
      </c>
      <c r="I7872" s="4">
        <v>58539674</v>
      </c>
      <c r="J7872" s="3">
        <v>0.01431340372552769</v>
      </c>
      <c r="K7872" s="3">
        <v>-0.01411142125595028</v>
      </c>
      <c r="L7872" t="s">
        <v>54</v>
      </c>
    </row>
    <row r="7873" spans="1:12" x14ac:dyDescent="0.25">
      <c r="A7873" t="s">
        <v>490</v>
      </c>
      <c r="B7873" t="s">
        <v>491</v>
      </c>
      <c r="C7873" t="s">
        <v>492</v>
      </c>
      <c r="D7873" t="s">
        <v>252</v>
      </c>
      <c r="E7873" t="s">
        <v>256</v>
      </c>
      <c r="F7873">
        <v>2</v>
      </c>
      <c r="G7873" t="s">
        <v>499</v>
      </c>
      <c r="H7873" s="4">
        <v>57713596</v>
      </c>
      <c r="I7873" s="4">
        <v>60278799</v>
      </c>
      <c r="J7873" s="3">
        <v>0.04444711779872459</v>
      </c>
      <c r="K7873" s="3">
        <v>-0.04255564215869662</v>
      </c>
      <c r="L7873" t="s">
        <v>54</v>
      </c>
    </row>
    <row r="7874" spans="1:12" x14ac:dyDescent="0.25">
      <c r="A7874" t="s">
        <v>490</v>
      </c>
      <c r="B7874" t="s">
        <v>491</v>
      </c>
      <c r="C7874" t="s">
        <v>492</v>
      </c>
      <c r="D7874" t="s">
        <v>252</v>
      </c>
      <c r="E7874" t="s">
        <v>258</v>
      </c>
      <c r="F7874">
        <v>3</v>
      </c>
      <c r="G7874" t="s">
        <v>488</v>
      </c>
      <c r="H7874" s="4">
        <v>62356873</v>
      </c>
      <c r="I7874" s="4">
        <v>66110837.80080214</v>
      </c>
      <c r="J7874" s="3">
        <v>0.060201299715624636</v>
      </c>
      <c r="K7874" s="3">
        <v>-0.05678289559895115</v>
      </c>
      <c r="L7874" t="s">
        <v>54</v>
      </c>
    </row>
    <row r="7875" spans="1:12" x14ac:dyDescent="0.25">
      <c r="A7875" t="s">
        <v>490</v>
      </c>
      <c r="B7875" t="s">
        <v>491</v>
      </c>
      <c r="C7875" t="s">
        <v>492</v>
      </c>
      <c r="D7875" t="s">
        <v>252</v>
      </c>
      <c r="E7875" t="s">
        <v>258</v>
      </c>
      <c r="F7875">
        <v>3</v>
      </c>
      <c r="G7875" t="s">
        <v>498</v>
      </c>
      <c r="H7875" s="4">
        <v>62356873</v>
      </c>
      <c r="I7875" s="4">
        <v>65454354</v>
      </c>
      <c r="J7875" s="3">
        <v>0.0496734497895685</v>
      </c>
      <c r="K7875" s="3">
        <v>-0.04732276480797595</v>
      </c>
      <c r="L7875" t="s">
        <v>54</v>
      </c>
    </row>
    <row r="7876" spans="1:12" x14ac:dyDescent="0.25">
      <c r="A7876" t="s">
        <v>490</v>
      </c>
      <c r="B7876" t="s">
        <v>491</v>
      </c>
      <c r="C7876" t="s">
        <v>492</v>
      </c>
      <c r="D7876" t="s">
        <v>252</v>
      </c>
      <c r="E7876" t="s">
        <v>258</v>
      </c>
      <c r="F7876">
        <v>3</v>
      </c>
      <c r="G7876" t="s">
        <v>499</v>
      </c>
      <c r="H7876" s="4">
        <v>62356873</v>
      </c>
      <c r="I7876" s="4">
        <v>60278799</v>
      </c>
      <c r="J7876" s="3">
        <v>0.03332550046247508</v>
      </c>
      <c r="K7876" s="3">
        <v>0.03447437630600437</v>
      </c>
      <c r="L7876" t="s">
        <v>54</v>
      </c>
    </row>
    <row r="7877" spans="1:12" x14ac:dyDescent="0.25">
      <c r="A7877" t="s">
        <v>490</v>
      </c>
      <c r="B7877" t="s">
        <v>491</v>
      </c>
      <c r="C7877" t="s">
        <v>492</v>
      </c>
      <c r="D7877" t="s">
        <v>254</v>
      </c>
      <c r="E7877" t="s">
        <v>256</v>
      </c>
      <c r="F7877">
        <v>1</v>
      </c>
      <c r="G7877" t="s">
        <v>488</v>
      </c>
      <c r="H7877" s="4">
        <v>57713596</v>
      </c>
      <c r="I7877" s="4">
        <v>59180597.442167684</v>
      </c>
      <c r="J7877" s="3">
        <v>0.025418645585135336</v>
      </c>
      <c r="K7877" s="3">
        <v>-0.024788554113554934</v>
      </c>
      <c r="L7877" t="s">
        <v>54</v>
      </c>
    </row>
    <row r="7878" spans="1:12" x14ac:dyDescent="0.25">
      <c r="A7878" t="s">
        <v>490</v>
      </c>
      <c r="B7878" t="s">
        <v>491</v>
      </c>
      <c r="C7878" t="s">
        <v>492</v>
      </c>
      <c r="D7878" t="s">
        <v>254</v>
      </c>
      <c r="E7878" t="s">
        <v>256</v>
      </c>
      <c r="F7878">
        <v>1</v>
      </c>
      <c r="G7878" t="s">
        <v>498</v>
      </c>
      <c r="H7878" s="4">
        <v>57713596</v>
      </c>
      <c r="I7878" s="4">
        <v>58539674</v>
      </c>
      <c r="J7878" s="3">
        <v>0.01431340372552769</v>
      </c>
      <c r="K7878" s="3">
        <v>-0.01411142125595028</v>
      </c>
      <c r="L7878" t="s">
        <v>54</v>
      </c>
    </row>
    <row r="7879" spans="1:12" x14ac:dyDescent="0.25">
      <c r="A7879" t="s">
        <v>490</v>
      </c>
      <c r="B7879" t="s">
        <v>491</v>
      </c>
      <c r="C7879" t="s">
        <v>492</v>
      </c>
      <c r="D7879" t="s">
        <v>254</v>
      </c>
      <c r="E7879" t="s">
        <v>256</v>
      </c>
      <c r="F7879">
        <v>1</v>
      </c>
      <c r="G7879" t="s">
        <v>499</v>
      </c>
      <c r="H7879" s="4">
        <v>57713596</v>
      </c>
      <c r="I7879" s="4">
        <v>53237813</v>
      </c>
      <c r="J7879" s="3">
        <v>0.07755162232483313</v>
      </c>
      <c r="K7879" s="3">
        <v>0.08407150383882223</v>
      </c>
      <c r="L7879" t="s">
        <v>54</v>
      </c>
    </row>
    <row r="7880" spans="1:12" x14ac:dyDescent="0.25">
      <c r="A7880" t="s">
        <v>490</v>
      </c>
      <c r="B7880" t="s">
        <v>491</v>
      </c>
      <c r="C7880" t="s">
        <v>492</v>
      </c>
      <c r="D7880" t="s">
        <v>254</v>
      </c>
      <c r="E7880" t="s">
        <v>258</v>
      </c>
      <c r="F7880">
        <v>2</v>
      </c>
      <c r="G7880" t="s">
        <v>488</v>
      </c>
      <c r="H7880" s="4">
        <v>62356873</v>
      </c>
      <c r="I7880" s="4">
        <v>66170983.03128812</v>
      </c>
      <c r="J7880" s="3">
        <v>0.06116583221368584</v>
      </c>
      <c r="K7880" s="3">
        <v>-0.05764022017754615</v>
      </c>
      <c r="L7880" t="s">
        <v>54</v>
      </c>
    </row>
    <row r="7881" spans="1:12" x14ac:dyDescent="0.25">
      <c r="A7881" t="s">
        <v>490</v>
      </c>
      <c r="B7881" t="s">
        <v>491</v>
      </c>
      <c r="C7881" t="s">
        <v>492</v>
      </c>
      <c r="D7881" t="s">
        <v>254</v>
      </c>
      <c r="E7881" t="s">
        <v>258</v>
      </c>
      <c r="F7881">
        <v>2</v>
      </c>
      <c r="G7881" t="s">
        <v>498</v>
      </c>
      <c r="H7881" s="4">
        <v>62356873</v>
      </c>
      <c r="I7881" s="4">
        <v>65454354</v>
      </c>
      <c r="J7881" s="3">
        <v>0.0496734497895685</v>
      </c>
      <c r="K7881" s="3">
        <v>-0.04732276480797595</v>
      </c>
      <c r="L7881" t="s">
        <v>54</v>
      </c>
    </row>
    <row r="7882" spans="1:12" x14ac:dyDescent="0.25">
      <c r="A7882" t="s">
        <v>490</v>
      </c>
      <c r="B7882" t="s">
        <v>491</v>
      </c>
      <c r="C7882" t="s">
        <v>492</v>
      </c>
      <c r="D7882" t="s">
        <v>254</v>
      </c>
      <c r="E7882" t="s">
        <v>258</v>
      </c>
      <c r="F7882">
        <v>2</v>
      </c>
      <c r="G7882" t="s">
        <v>499</v>
      </c>
      <c r="H7882" s="4">
        <v>62356873</v>
      </c>
      <c r="I7882" s="4">
        <v>53237813</v>
      </c>
      <c r="J7882" s="3">
        <v>0.14623985394520986</v>
      </c>
      <c r="K7882" s="3">
        <v>0.17128915494706742</v>
      </c>
      <c r="L7882" t="s">
        <v>54</v>
      </c>
    </row>
    <row r="7883" spans="1:12" x14ac:dyDescent="0.25">
      <c r="A7883" t="s">
        <v>490</v>
      </c>
      <c r="B7883" t="s">
        <v>491</v>
      </c>
      <c r="C7883" t="s">
        <v>492</v>
      </c>
      <c r="D7883" t="s">
        <v>254</v>
      </c>
      <c r="E7883" t="s">
        <v>260</v>
      </c>
      <c r="F7883">
        <v>3</v>
      </c>
      <c r="G7883" t="s">
        <v>488</v>
      </c>
      <c r="H7883" s="4">
        <v>97388786</v>
      </c>
      <c r="I7883" s="4">
        <v>94215446.41913737</v>
      </c>
      <c r="J7883" s="3">
        <v>0.03258424004651446</v>
      </c>
      <c r="K7883" s="3">
        <v>0.033681733744012135</v>
      </c>
      <c r="L7883" t="s">
        <v>54</v>
      </c>
    </row>
    <row r="7884" spans="1:12" x14ac:dyDescent="0.25">
      <c r="A7884" t="s">
        <v>490</v>
      </c>
      <c r="B7884" t="s">
        <v>491</v>
      </c>
      <c r="C7884" t="s">
        <v>492</v>
      </c>
      <c r="D7884" t="s">
        <v>254</v>
      </c>
      <c r="E7884" t="s">
        <v>260</v>
      </c>
      <c r="F7884">
        <v>3</v>
      </c>
      <c r="G7884" t="s">
        <v>498</v>
      </c>
      <c r="H7884" s="4">
        <v>97388786</v>
      </c>
      <c r="I7884" s="4">
        <v>93195097</v>
      </c>
      <c r="J7884" s="3">
        <v>0.04306131303454178</v>
      </c>
      <c r="K7884" s="3">
        <v>0.04499903036744519</v>
      </c>
      <c r="L7884" t="s">
        <v>54</v>
      </c>
    </row>
    <row r="7885" spans="1:12" x14ac:dyDescent="0.25">
      <c r="A7885" t="s">
        <v>490</v>
      </c>
      <c r="B7885" t="s">
        <v>491</v>
      </c>
      <c r="C7885" t="s">
        <v>492</v>
      </c>
      <c r="D7885" t="s">
        <v>254</v>
      </c>
      <c r="E7885" t="s">
        <v>260</v>
      </c>
      <c r="F7885">
        <v>3</v>
      </c>
      <c r="G7885" t="s">
        <v>499</v>
      </c>
      <c r="H7885" s="4">
        <v>97388786</v>
      </c>
      <c r="I7885" s="4">
        <v>53237813</v>
      </c>
      <c r="J7885" s="3">
        <v>0.45334760616073394</v>
      </c>
      <c r="K7885" s="3">
        <v>0.8293160539859141</v>
      </c>
      <c r="L7885" t="s">
        <v>54</v>
      </c>
    </row>
    <row r="7886" spans="1:12" x14ac:dyDescent="0.25">
      <c r="A7886" t="s">
        <v>490</v>
      </c>
      <c r="B7886" t="s">
        <v>491</v>
      </c>
      <c r="C7886" t="s">
        <v>492</v>
      </c>
      <c r="D7886" t="s">
        <v>256</v>
      </c>
      <c r="E7886" t="s">
        <v>258</v>
      </c>
      <c r="F7886">
        <v>1</v>
      </c>
      <c r="G7886" t="s">
        <v>488</v>
      </c>
      <c r="H7886" s="4">
        <v>62356873</v>
      </c>
      <c r="I7886" s="4">
        <v>65659258.87030722</v>
      </c>
      <c r="J7886" s="3">
        <v>0.05295945276645322</v>
      </c>
      <c r="K7886" s="3">
        <v>-0.05029581398154716</v>
      </c>
      <c r="L7886" t="s">
        <v>54</v>
      </c>
    </row>
    <row r="7887" spans="1:12" x14ac:dyDescent="0.25">
      <c r="A7887" t="s">
        <v>490</v>
      </c>
      <c r="B7887" t="s">
        <v>491</v>
      </c>
      <c r="C7887" t="s">
        <v>492</v>
      </c>
      <c r="D7887" t="s">
        <v>256</v>
      </c>
      <c r="E7887" t="s">
        <v>258</v>
      </c>
      <c r="F7887">
        <v>1</v>
      </c>
      <c r="G7887" t="s">
        <v>498</v>
      </c>
      <c r="H7887" s="4">
        <v>62356873</v>
      </c>
      <c r="I7887" s="4">
        <v>65454354</v>
      </c>
      <c r="J7887" s="3">
        <v>0.0496734497895685</v>
      </c>
      <c r="K7887" s="3">
        <v>-0.04732276480797595</v>
      </c>
      <c r="L7887" t="s">
        <v>54</v>
      </c>
    </row>
    <row r="7888" spans="1:12" x14ac:dyDescent="0.25">
      <c r="A7888" t="s">
        <v>490</v>
      </c>
      <c r="B7888" t="s">
        <v>491</v>
      </c>
      <c r="C7888" t="s">
        <v>492</v>
      </c>
      <c r="D7888" t="s">
        <v>256</v>
      </c>
      <c r="E7888" t="s">
        <v>258</v>
      </c>
      <c r="F7888">
        <v>1</v>
      </c>
      <c r="G7888" t="s">
        <v>499</v>
      </c>
      <c r="H7888" s="4">
        <v>62356873</v>
      </c>
      <c r="I7888" s="4">
        <v>57713596</v>
      </c>
      <c r="J7888" s="3">
        <v>0.07446295454873114</v>
      </c>
      <c r="K7888" s="3">
        <v>0.08045378076943949</v>
      </c>
      <c r="L7888" t="s">
        <v>54</v>
      </c>
    </row>
    <row r="7889" spans="1:12" x14ac:dyDescent="0.25">
      <c r="A7889" t="s">
        <v>490</v>
      </c>
      <c r="B7889" t="s">
        <v>491</v>
      </c>
      <c r="C7889" t="s">
        <v>492</v>
      </c>
      <c r="D7889" t="s">
        <v>256</v>
      </c>
      <c r="E7889" t="s">
        <v>260</v>
      </c>
      <c r="F7889">
        <v>2</v>
      </c>
      <c r="G7889" t="s">
        <v>488</v>
      </c>
      <c r="H7889" s="4">
        <v>97388786</v>
      </c>
      <c r="I7889" s="4">
        <v>93486844.27267271</v>
      </c>
      <c r="J7889" s="3">
        <v>0.040065616254085834</v>
      </c>
      <c r="K7889" s="3">
        <v>0.04173786972578205</v>
      </c>
      <c r="L7889" t="s">
        <v>54</v>
      </c>
    </row>
    <row r="7890" spans="1:12" x14ac:dyDescent="0.25">
      <c r="A7890" t="s">
        <v>490</v>
      </c>
      <c r="B7890" t="s">
        <v>491</v>
      </c>
      <c r="C7890" t="s">
        <v>492</v>
      </c>
      <c r="D7890" t="s">
        <v>256</v>
      </c>
      <c r="E7890" t="s">
        <v>260</v>
      </c>
      <c r="F7890">
        <v>2</v>
      </c>
      <c r="G7890" t="s">
        <v>498</v>
      </c>
      <c r="H7890" s="4">
        <v>97388786</v>
      </c>
      <c r="I7890" s="4">
        <v>93195097</v>
      </c>
      <c r="J7890" s="3">
        <v>0.04306131303454178</v>
      </c>
      <c r="K7890" s="3">
        <v>0.04499903036744519</v>
      </c>
      <c r="L7890" t="s">
        <v>54</v>
      </c>
    </row>
    <row r="7891" spans="1:12" x14ac:dyDescent="0.25">
      <c r="A7891" t="s">
        <v>490</v>
      </c>
      <c r="B7891" t="s">
        <v>491</v>
      </c>
      <c r="C7891" t="s">
        <v>492</v>
      </c>
      <c r="D7891" t="s">
        <v>256</v>
      </c>
      <c r="E7891" t="s">
        <v>260</v>
      </c>
      <c r="F7891">
        <v>2</v>
      </c>
      <c r="G7891" t="s">
        <v>499</v>
      </c>
      <c r="H7891" s="4">
        <v>97388786</v>
      </c>
      <c r="I7891" s="4">
        <v>57713596</v>
      </c>
      <c r="J7891" s="3">
        <v>0.4073897173335747</v>
      </c>
      <c r="K7891" s="3">
        <v>0.6874496262544445</v>
      </c>
      <c r="L7891" t="s">
        <v>54</v>
      </c>
    </row>
    <row r="7892" spans="1:12" x14ac:dyDescent="0.25">
      <c r="A7892" t="s">
        <v>490</v>
      </c>
      <c r="B7892" t="s">
        <v>491</v>
      </c>
      <c r="C7892" t="s">
        <v>492</v>
      </c>
      <c r="D7892" t="s">
        <v>256</v>
      </c>
      <c r="E7892" t="s">
        <v>262</v>
      </c>
      <c r="F7892">
        <v>3</v>
      </c>
      <c r="G7892" t="s">
        <v>488</v>
      </c>
      <c r="H7892" s="4">
        <v>96456830</v>
      </c>
      <c r="I7892" s="4">
        <v>95565663.70847711</v>
      </c>
      <c r="J7892" s="3">
        <v>0.009239016993642548</v>
      </c>
      <c r="K7892" s="3">
        <v>0.009325172420100503</v>
      </c>
      <c r="L7892" t="s">
        <v>54</v>
      </c>
    </row>
    <row r="7893" spans="1:12" x14ac:dyDescent="0.25">
      <c r="A7893" t="s">
        <v>490</v>
      </c>
      <c r="B7893" t="s">
        <v>491</v>
      </c>
      <c r="C7893" t="s">
        <v>492</v>
      </c>
      <c r="D7893" t="s">
        <v>256</v>
      </c>
      <c r="E7893" t="s">
        <v>262</v>
      </c>
      <c r="F7893">
        <v>3</v>
      </c>
      <c r="G7893" t="s">
        <v>498</v>
      </c>
      <c r="H7893" s="4">
        <v>96456830</v>
      </c>
      <c r="I7893" s="4">
        <v>95267429</v>
      </c>
      <c r="J7893" s="3">
        <v>0.012330915291327738</v>
      </c>
      <c r="K7893" s="3">
        <v>0.012484865105365655</v>
      </c>
      <c r="L7893" t="s">
        <v>54</v>
      </c>
    </row>
    <row r="7894" spans="1:12" x14ac:dyDescent="0.25">
      <c r="A7894" t="s">
        <v>490</v>
      </c>
      <c r="B7894" t="s">
        <v>491</v>
      </c>
      <c r="C7894" t="s">
        <v>492</v>
      </c>
      <c r="D7894" t="s">
        <v>256</v>
      </c>
      <c r="E7894" t="s">
        <v>262</v>
      </c>
      <c r="F7894">
        <v>3</v>
      </c>
      <c r="G7894" t="s">
        <v>499</v>
      </c>
      <c r="H7894" s="4">
        <v>96456830</v>
      </c>
      <c r="I7894" s="4">
        <v>57713596</v>
      </c>
      <c r="J7894" s="3">
        <v>0.4016639775534817</v>
      </c>
      <c r="K7894" s="3">
        <v>0.6713016808032547</v>
      </c>
      <c r="L7894" t="s">
        <v>54</v>
      </c>
    </row>
    <row r="7895" spans="1:12" x14ac:dyDescent="0.25">
      <c r="A7895" t="s">
        <v>490</v>
      </c>
      <c r="B7895" t="s">
        <v>491</v>
      </c>
      <c r="C7895" t="s">
        <v>492</v>
      </c>
      <c r="D7895" t="s">
        <v>258</v>
      </c>
      <c r="E7895" t="s">
        <v>260</v>
      </c>
      <c r="F7895">
        <v>1</v>
      </c>
      <c r="G7895" t="s">
        <v>488</v>
      </c>
      <c r="H7895" s="4">
        <v>97388786</v>
      </c>
      <c r="I7895" s="4">
        <v>93473512.87208281</v>
      </c>
      <c r="J7895" s="3">
        <v>0.04020250471052371</v>
      </c>
      <c r="K7895" s="3">
        <v>0.04188644470091952</v>
      </c>
      <c r="L7895" t="s">
        <v>54</v>
      </c>
    </row>
    <row r="7896" spans="1:12" x14ac:dyDescent="0.25">
      <c r="A7896" t="s">
        <v>490</v>
      </c>
      <c r="B7896" t="s">
        <v>491</v>
      </c>
      <c r="C7896" t="s">
        <v>492</v>
      </c>
      <c r="D7896" t="s">
        <v>258</v>
      </c>
      <c r="E7896" t="s">
        <v>260</v>
      </c>
      <c r="F7896">
        <v>1</v>
      </c>
      <c r="G7896" t="s">
        <v>498</v>
      </c>
      <c r="H7896" s="4">
        <v>97388786</v>
      </c>
      <c r="I7896" s="4">
        <v>93195097</v>
      </c>
      <c r="J7896" s="3">
        <v>0.04306131303454178</v>
      </c>
      <c r="K7896" s="3">
        <v>0.04499903036744519</v>
      </c>
      <c r="L7896" t="s">
        <v>54</v>
      </c>
    </row>
    <row r="7897" spans="1:12" x14ac:dyDescent="0.25">
      <c r="A7897" t="s">
        <v>490</v>
      </c>
      <c r="B7897" t="s">
        <v>491</v>
      </c>
      <c r="C7897" t="s">
        <v>492</v>
      </c>
      <c r="D7897" t="s">
        <v>258</v>
      </c>
      <c r="E7897" t="s">
        <v>260</v>
      </c>
      <c r="F7897">
        <v>1</v>
      </c>
      <c r="G7897" t="s">
        <v>499</v>
      </c>
      <c r="H7897" s="4">
        <v>97388786</v>
      </c>
      <c r="I7897" s="4">
        <v>62356873</v>
      </c>
      <c r="J7897" s="3">
        <v>0.35971197957021456</v>
      </c>
      <c r="K7897" s="3">
        <v>0.5617971414313864</v>
      </c>
      <c r="L7897" t="s">
        <v>54</v>
      </c>
    </row>
    <row r="7898" spans="1:12" x14ac:dyDescent="0.25">
      <c r="A7898" t="s">
        <v>490</v>
      </c>
      <c r="B7898" t="s">
        <v>491</v>
      </c>
      <c r="C7898" t="s">
        <v>492</v>
      </c>
      <c r="D7898" t="s">
        <v>258</v>
      </c>
      <c r="E7898" t="s">
        <v>262</v>
      </c>
      <c r="F7898">
        <v>2</v>
      </c>
      <c r="G7898" t="s">
        <v>488</v>
      </c>
      <c r="H7898" s="4">
        <v>96456830</v>
      </c>
      <c r="I7898" s="4">
        <v>95552035.86430879</v>
      </c>
      <c r="J7898" s="3">
        <v>0.009380301381366262</v>
      </c>
      <c r="K7898" s="3">
        <v>0.009469124624158585</v>
      </c>
      <c r="L7898" t="s">
        <v>54</v>
      </c>
    </row>
    <row r="7899" spans="1:12" x14ac:dyDescent="0.25">
      <c r="A7899" t="s">
        <v>490</v>
      </c>
      <c r="B7899" t="s">
        <v>491</v>
      </c>
      <c r="C7899" t="s">
        <v>492</v>
      </c>
      <c r="D7899" t="s">
        <v>258</v>
      </c>
      <c r="E7899" t="s">
        <v>262</v>
      </c>
      <c r="F7899">
        <v>2</v>
      </c>
      <c r="G7899" t="s">
        <v>498</v>
      </c>
      <c r="H7899" s="4">
        <v>96456830</v>
      </c>
      <c r="I7899" s="4">
        <v>95267429</v>
      </c>
      <c r="J7899" s="3">
        <v>0.012330915291327738</v>
      </c>
      <c r="K7899" s="3">
        <v>0.012484865105365655</v>
      </c>
      <c r="L7899" t="s">
        <v>54</v>
      </c>
    </row>
    <row r="7900" spans="1:12" x14ac:dyDescent="0.25">
      <c r="A7900" t="s">
        <v>490</v>
      </c>
      <c r="B7900" t="s">
        <v>491</v>
      </c>
      <c r="C7900" t="s">
        <v>492</v>
      </c>
      <c r="D7900" t="s">
        <v>258</v>
      </c>
      <c r="E7900" t="s">
        <v>262</v>
      </c>
      <c r="F7900">
        <v>2</v>
      </c>
      <c r="G7900" t="s">
        <v>499</v>
      </c>
      <c r="H7900" s="4">
        <v>96456830</v>
      </c>
      <c r="I7900" s="4">
        <v>62356873</v>
      </c>
      <c r="J7900" s="3">
        <v>0.35352558237711107</v>
      </c>
      <c r="K7900" s="3">
        <v>0.546851619708384</v>
      </c>
      <c r="L7900" t="s">
        <v>54</v>
      </c>
    </row>
    <row r="7901" spans="1:12" x14ac:dyDescent="0.25">
      <c r="A7901" t="s">
        <v>490</v>
      </c>
      <c r="B7901" t="s">
        <v>491</v>
      </c>
      <c r="C7901" t="s">
        <v>492</v>
      </c>
      <c r="D7901" t="s">
        <v>258</v>
      </c>
      <c r="E7901" t="s">
        <v>264</v>
      </c>
      <c r="F7901">
        <v>3</v>
      </c>
      <c r="G7901" t="s">
        <v>488</v>
      </c>
      <c r="H7901" s="4">
        <v>90548891</v>
      </c>
      <c r="I7901" s="4">
        <v>103001391.16867216</v>
      </c>
      <c r="J7901" s="3">
        <v>0.13752239294319088</v>
      </c>
      <c r="K7901" s="3">
        <v>-0.12089642700340132</v>
      </c>
      <c r="L7901" t="s">
        <v>54</v>
      </c>
    </row>
    <row r="7902" spans="1:12" x14ac:dyDescent="0.25">
      <c r="A7902" t="s">
        <v>490</v>
      </c>
      <c r="B7902" t="s">
        <v>491</v>
      </c>
      <c r="C7902" t="s">
        <v>492</v>
      </c>
      <c r="D7902" t="s">
        <v>258</v>
      </c>
      <c r="E7902" t="s">
        <v>264</v>
      </c>
      <c r="F7902">
        <v>3</v>
      </c>
      <c r="G7902" t="s">
        <v>498</v>
      </c>
      <c r="H7902" s="4">
        <v>90548891</v>
      </c>
      <c r="I7902" s="4">
        <v>102694596</v>
      </c>
      <c r="J7902" s="3">
        <v>0.13413422147820672</v>
      </c>
      <c r="K7902" s="3">
        <v>-0.11827014734056697</v>
      </c>
      <c r="L7902" t="s">
        <v>54</v>
      </c>
    </row>
    <row r="7903" spans="1:12" x14ac:dyDescent="0.25">
      <c r="A7903" t="s">
        <v>490</v>
      </c>
      <c r="B7903" t="s">
        <v>491</v>
      </c>
      <c r="C7903" t="s">
        <v>492</v>
      </c>
      <c r="D7903" t="s">
        <v>258</v>
      </c>
      <c r="E7903" t="s">
        <v>264</v>
      </c>
      <c r="F7903">
        <v>3</v>
      </c>
      <c r="G7903" t="s">
        <v>499</v>
      </c>
      <c r="H7903" s="4">
        <v>90548891</v>
      </c>
      <c r="I7903" s="4">
        <v>62356873</v>
      </c>
      <c r="J7903" s="3">
        <v>0.311345812065219</v>
      </c>
      <c r="K7903" s="3">
        <v>0.4521076289377115</v>
      </c>
      <c r="L7903" t="s">
        <v>54</v>
      </c>
    </row>
    <row r="7904" spans="1:12" x14ac:dyDescent="0.25">
      <c r="A7904" t="s">
        <v>490</v>
      </c>
      <c r="B7904" t="s">
        <v>491</v>
      </c>
      <c r="C7904" t="s">
        <v>492</v>
      </c>
      <c r="D7904" t="s">
        <v>260</v>
      </c>
      <c r="E7904" t="s">
        <v>262</v>
      </c>
      <c r="F7904">
        <v>1</v>
      </c>
      <c r="G7904" t="s">
        <v>488</v>
      </c>
      <c r="H7904" s="4">
        <v>96456830</v>
      </c>
      <c r="I7904" s="4">
        <v>94758640.73251642</v>
      </c>
      <c r="J7904" s="3">
        <v>0.01760569228206626</v>
      </c>
      <c r="K7904" s="3">
        <v>0.01792120754747006</v>
      </c>
      <c r="L7904" t="s">
        <v>54</v>
      </c>
    </row>
    <row r="7905" spans="1:12" x14ac:dyDescent="0.25">
      <c r="A7905" t="s">
        <v>490</v>
      </c>
      <c r="B7905" t="s">
        <v>491</v>
      </c>
      <c r="C7905" t="s">
        <v>492</v>
      </c>
      <c r="D7905" t="s">
        <v>260</v>
      </c>
      <c r="E7905" t="s">
        <v>262</v>
      </c>
      <c r="F7905">
        <v>1</v>
      </c>
      <c r="G7905" t="s">
        <v>498</v>
      </c>
      <c r="H7905" s="4">
        <v>96456830</v>
      </c>
      <c r="I7905" s="4">
        <v>95267429</v>
      </c>
      <c r="J7905" s="3">
        <v>0.012330915291327738</v>
      </c>
      <c r="K7905" s="3">
        <v>0.012484865105365655</v>
      </c>
      <c r="L7905" t="s">
        <v>54</v>
      </c>
    </row>
    <row r="7906" spans="1:12" x14ac:dyDescent="0.25">
      <c r="A7906" t="s">
        <v>490</v>
      </c>
      <c r="B7906" t="s">
        <v>491</v>
      </c>
      <c r="C7906" t="s">
        <v>492</v>
      </c>
      <c r="D7906" t="s">
        <v>260</v>
      </c>
      <c r="E7906" t="s">
        <v>262</v>
      </c>
      <c r="F7906">
        <v>1</v>
      </c>
      <c r="G7906" t="s">
        <v>499</v>
      </c>
      <c r="H7906" s="4">
        <v>96456830</v>
      </c>
      <c r="I7906" s="4">
        <v>97388786</v>
      </c>
      <c r="J7906" s="3">
        <v>0.009661897451948193</v>
      </c>
      <c r="K7906" s="3">
        <v>-0.009569438518311544</v>
      </c>
      <c r="L7906" t="s">
        <v>54</v>
      </c>
    </row>
    <row r="7907" spans="1:12" x14ac:dyDescent="0.25">
      <c r="A7907" t="s">
        <v>490</v>
      </c>
      <c r="B7907" t="s">
        <v>491</v>
      </c>
      <c r="C7907" t="s">
        <v>492</v>
      </c>
      <c r="D7907" t="s">
        <v>260</v>
      </c>
      <c r="E7907" t="s">
        <v>264</v>
      </c>
      <c r="F7907">
        <v>2</v>
      </c>
      <c r="G7907" t="s">
        <v>488</v>
      </c>
      <c r="H7907" s="4">
        <v>90548891</v>
      </c>
      <c r="I7907" s="4">
        <v>102146141.96773295</v>
      </c>
      <c r="J7907" s="3">
        <v>0.12807722811020347</v>
      </c>
      <c r="K7907" s="3">
        <v>-0.1135358687496628</v>
      </c>
      <c r="L7907" t="s">
        <v>54</v>
      </c>
    </row>
    <row r="7908" spans="1:12" x14ac:dyDescent="0.25">
      <c r="A7908" t="s">
        <v>490</v>
      </c>
      <c r="B7908" t="s">
        <v>491</v>
      </c>
      <c r="C7908" t="s">
        <v>492</v>
      </c>
      <c r="D7908" t="s">
        <v>260</v>
      </c>
      <c r="E7908" t="s">
        <v>264</v>
      </c>
      <c r="F7908">
        <v>2</v>
      </c>
      <c r="G7908" t="s">
        <v>498</v>
      </c>
      <c r="H7908" s="4">
        <v>90548891</v>
      </c>
      <c r="I7908" s="4">
        <v>102694596</v>
      </c>
      <c r="J7908" s="3">
        <v>0.13413422147820672</v>
      </c>
      <c r="K7908" s="3">
        <v>-0.11827014734056697</v>
      </c>
      <c r="L7908" t="s">
        <v>54</v>
      </c>
    </row>
    <row r="7909" spans="1:12" x14ac:dyDescent="0.25">
      <c r="A7909" t="s">
        <v>490</v>
      </c>
      <c r="B7909" t="s">
        <v>491</v>
      </c>
      <c r="C7909" t="s">
        <v>492</v>
      </c>
      <c r="D7909" t="s">
        <v>260</v>
      </c>
      <c r="E7909" t="s">
        <v>264</v>
      </c>
      <c r="F7909">
        <v>2</v>
      </c>
      <c r="G7909" t="s">
        <v>499</v>
      </c>
      <c r="H7909" s="4">
        <v>90548891</v>
      </c>
      <c r="I7909" s="4">
        <v>97388786</v>
      </c>
      <c r="J7909" s="3">
        <v>0.07553814215129372</v>
      </c>
      <c r="K7909" s="3">
        <v>-0.07023288081648332</v>
      </c>
      <c r="L7909" t="s">
        <v>54</v>
      </c>
    </row>
    <row r="7910" spans="1:12" x14ac:dyDescent="0.25">
      <c r="A7910" t="s">
        <v>490</v>
      </c>
      <c r="B7910" t="s">
        <v>491</v>
      </c>
      <c r="C7910" t="s">
        <v>492</v>
      </c>
      <c r="D7910" t="s">
        <v>260</v>
      </c>
      <c r="E7910" t="s">
        <v>266</v>
      </c>
      <c r="F7910">
        <v>3</v>
      </c>
      <c r="G7910" t="s">
        <v>488</v>
      </c>
      <c r="H7910" s="4">
        <v>96083371</v>
      </c>
      <c r="I7910" s="4">
        <v>85663068.65465349</v>
      </c>
      <c r="J7910" s="3">
        <v>0.10845063237161517</v>
      </c>
      <c r="K7910" s="3">
        <v>0.121642879586248</v>
      </c>
      <c r="L7910" t="s">
        <v>54</v>
      </c>
    </row>
    <row r="7911" spans="1:12" x14ac:dyDescent="0.25">
      <c r="A7911" t="s">
        <v>490</v>
      </c>
      <c r="B7911" t="s">
        <v>491</v>
      </c>
      <c r="C7911" t="s">
        <v>492</v>
      </c>
      <c r="D7911" t="s">
        <v>260</v>
      </c>
      <c r="E7911" t="s">
        <v>266</v>
      </c>
      <c r="F7911">
        <v>3</v>
      </c>
      <c r="G7911" t="s">
        <v>498</v>
      </c>
      <c r="H7911" s="4">
        <v>96083371</v>
      </c>
      <c r="I7911" s="4">
        <v>86123020</v>
      </c>
      <c r="J7911" s="3">
        <v>0.10366362978667766</v>
      </c>
      <c r="K7911" s="3">
        <v>0.11565259787685105</v>
      </c>
      <c r="L7911" t="s">
        <v>54</v>
      </c>
    </row>
    <row r="7912" spans="1:12" x14ac:dyDescent="0.25">
      <c r="A7912" t="s">
        <v>490</v>
      </c>
      <c r="B7912" t="s">
        <v>491</v>
      </c>
      <c r="C7912" t="s">
        <v>492</v>
      </c>
      <c r="D7912" t="s">
        <v>260</v>
      </c>
      <c r="E7912" t="s">
        <v>266</v>
      </c>
      <c r="F7912">
        <v>3</v>
      </c>
      <c r="G7912" t="s">
        <v>499</v>
      </c>
      <c r="H7912" s="4">
        <v>96083371</v>
      </c>
      <c r="I7912" s="4">
        <v>97388786</v>
      </c>
      <c r="J7912" s="3">
        <v>0.013586273945363552</v>
      </c>
      <c r="K7912" s="3">
        <v>-0.01340416133742544</v>
      </c>
      <c r="L7912" t="s">
        <v>54</v>
      </c>
    </row>
    <row r="7913" spans="1:12" x14ac:dyDescent="0.25">
      <c r="A7913" t="s">
        <v>490</v>
      </c>
      <c r="B7913" t="s">
        <v>491</v>
      </c>
      <c r="C7913" t="s">
        <v>492</v>
      </c>
      <c r="D7913" t="s">
        <v>262</v>
      </c>
      <c r="E7913" t="s">
        <v>264</v>
      </c>
      <c r="F7913">
        <v>1</v>
      </c>
      <c r="G7913" t="s">
        <v>488</v>
      </c>
      <c r="H7913" s="4">
        <v>90548891</v>
      </c>
      <c r="I7913" s="4">
        <v>101884314.09514491</v>
      </c>
      <c r="J7913" s="3">
        <v>0.12518566456153407</v>
      </c>
      <c r="K7913" s="3">
        <v>-0.11125778482995234</v>
      </c>
      <c r="L7913" t="s">
        <v>54</v>
      </c>
    </row>
    <row r="7914" spans="1:12" x14ac:dyDescent="0.25">
      <c r="A7914" t="s">
        <v>490</v>
      </c>
      <c r="B7914" t="s">
        <v>491</v>
      </c>
      <c r="C7914" t="s">
        <v>492</v>
      </c>
      <c r="D7914" t="s">
        <v>262</v>
      </c>
      <c r="E7914" t="s">
        <v>264</v>
      </c>
      <c r="F7914">
        <v>1</v>
      </c>
      <c r="G7914" t="s">
        <v>498</v>
      </c>
      <c r="H7914" s="4">
        <v>90548891</v>
      </c>
      <c r="I7914" s="4">
        <v>102694596</v>
      </c>
      <c r="J7914" s="3">
        <v>0.13413422147820672</v>
      </c>
      <c r="K7914" s="3">
        <v>-0.11827014734056697</v>
      </c>
      <c r="L7914" t="s">
        <v>54</v>
      </c>
    </row>
    <row r="7915" spans="1:12" x14ac:dyDescent="0.25">
      <c r="A7915" t="s">
        <v>490</v>
      </c>
      <c r="B7915" t="s">
        <v>491</v>
      </c>
      <c r="C7915" t="s">
        <v>492</v>
      </c>
      <c r="D7915" t="s">
        <v>262</v>
      </c>
      <c r="E7915" t="s">
        <v>264</v>
      </c>
      <c r="F7915">
        <v>1</v>
      </c>
      <c r="G7915" t="s">
        <v>499</v>
      </c>
      <c r="H7915" s="4">
        <v>90548891</v>
      </c>
      <c r="I7915" s="4">
        <v>96456830</v>
      </c>
      <c r="J7915" s="3">
        <v>0.0652458460258779</v>
      </c>
      <c r="K7915" s="3">
        <v>-0.06124956625673889</v>
      </c>
      <c r="L7915" t="s">
        <v>54</v>
      </c>
    </row>
    <row r="7916" spans="1:12" x14ac:dyDescent="0.25">
      <c r="A7916" t="s">
        <v>490</v>
      </c>
      <c r="B7916" t="s">
        <v>491</v>
      </c>
      <c r="C7916" t="s">
        <v>492</v>
      </c>
      <c r="D7916" t="s">
        <v>262</v>
      </c>
      <c r="E7916" t="s">
        <v>266</v>
      </c>
      <c r="F7916">
        <v>2</v>
      </c>
      <c r="G7916" t="s">
        <v>488</v>
      </c>
      <c r="H7916" s="4">
        <v>96083371</v>
      </c>
      <c r="I7916" s="4">
        <v>85443491.3060318</v>
      </c>
      <c r="J7916" s="3">
        <v>0.11073591177362217</v>
      </c>
      <c r="K7916" s="3">
        <v>0.1245253386926746</v>
      </c>
      <c r="L7916" t="s">
        <v>54</v>
      </c>
    </row>
    <row r="7917" spans="1:12" x14ac:dyDescent="0.25">
      <c r="A7917" t="s">
        <v>490</v>
      </c>
      <c r="B7917" t="s">
        <v>491</v>
      </c>
      <c r="C7917" t="s">
        <v>492</v>
      </c>
      <c r="D7917" t="s">
        <v>262</v>
      </c>
      <c r="E7917" t="s">
        <v>266</v>
      </c>
      <c r="F7917">
        <v>2</v>
      </c>
      <c r="G7917" t="s">
        <v>498</v>
      </c>
      <c r="H7917" s="4">
        <v>96083371</v>
      </c>
      <c r="I7917" s="4">
        <v>86123020</v>
      </c>
      <c r="J7917" s="3">
        <v>0.10366362978667766</v>
      </c>
      <c r="K7917" s="3">
        <v>0.11565259787685105</v>
      </c>
      <c r="L7917" t="s">
        <v>54</v>
      </c>
    </row>
    <row r="7918" spans="1:12" x14ac:dyDescent="0.25">
      <c r="A7918" t="s">
        <v>490</v>
      </c>
      <c r="B7918" t="s">
        <v>491</v>
      </c>
      <c r="C7918" t="s">
        <v>492</v>
      </c>
      <c r="D7918" t="s">
        <v>262</v>
      </c>
      <c r="E7918" t="s">
        <v>266</v>
      </c>
      <c r="F7918">
        <v>2</v>
      </c>
      <c r="G7918" t="s">
        <v>499</v>
      </c>
      <c r="H7918" s="4">
        <v>96083371</v>
      </c>
      <c r="I7918" s="4">
        <v>96456830</v>
      </c>
      <c r="J7918" s="3">
        <v>0.003886822413838915</v>
      </c>
      <c r="K7918" s="3">
        <v>-0.003871773517748821</v>
      </c>
      <c r="L7918" t="s">
        <v>54</v>
      </c>
    </row>
    <row r="7919" spans="1:12" x14ac:dyDescent="0.25">
      <c r="A7919" t="s">
        <v>490</v>
      </c>
      <c r="B7919" t="s">
        <v>491</v>
      </c>
      <c r="C7919" t="s">
        <v>492</v>
      </c>
      <c r="D7919" t="s">
        <v>262</v>
      </c>
      <c r="E7919" t="s">
        <v>268</v>
      </c>
      <c r="F7919">
        <v>3</v>
      </c>
      <c r="G7919" t="s">
        <v>488</v>
      </c>
      <c r="H7919" s="4">
        <v>78717404</v>
      </c>
      <c r="I7919" s="4">
        <v>80063558.69647452</v>
      </c>
      <c r="J7919" s="3">
        <v>0.01710110633824411</v>
      </c>
      <c r="K7919" s="3">
        <v>-0.01681357559408358</v>
      </c>
      <c r="L7919" t="s">
        <v>54</v>
      </c>
    </row>
    <row r="7920" spans="1:12" x14ac:dyDescent="0.25">
      <c r="A7920" t="s">
        <v>490</v>
      </c>
      <c r="B7920" t="s">
        <v>491</v>
      </c>
      <c r="C7920" t="s">
        <v>492</v>
      </c>
      <c r="D7920" t="s">
        <v>262</v>
      </c>
      <c r="E7920" t="s">
        <v>268</v>
      </c>
      <c r="F7920">
        <v>3</v>
      </c>
      <c r="G7920" t="s">
        <v>498</v>
      </c>
      <c r="H7920" s="4">
        <v>78717404</v>
      </c>
      <c r="I7920" s="4">
        <v>80700301</v>
      </c>
      <c r="J7920" s="3">
        <v>0.025190071054680616</v>
      </c>
      <c r="K7920" s="3">
        <v>-0.024571122727286978</v>
      </c>
      <c r="L7920" t="s">
        <v>54</v>
      </c>
    </row>
    <row r="7921" spans="1:12" x14ac:dyDescent="0.25">
      <c r="A7921" t="s">
        <v>490</v>
      </c>
      <c r="B7921" t="s">
        <v>491</v>
      </c>
      <c r="C7921" t="s">
        <v>492</v>
      </c>
      <c r="D7921" t="s">
        <v>262</v>
      </c>
      <c r="E7921" t="s">
        <v>268</v>
      </c>
      <c r="F7921">
        <v>3</v>
      </c>
      <c r="G7921" t="s">
        <v>499</v>
      </c>
      <c r="H7921" s="4">
        <v>78717404</v>
      </c>
      <c r="I7921" s="4">
        <v>96456830</v>
      </c>
      <c r="J7921" s="3">
        <v>0.22535583109422663</v>
      </c>
      <c r="K7921" s="3">
        <v>-0.18391052245859624</v>
      </c>
      <c r="L7921" t="s">
        <v>54</v>
      </c>
    </row>
    <row r="7922" spans="1:12" x14ac:dyDescent="0.25">
      <c r="A7922" t="s">
        <v>490</v>
      </c>
      <c r="B7922" t="s">
        <v>491</v>
      </c>
      <c r="C7922" t="s">
        <v>492</v>
      </c>
      <c r="D7922" t="s">
        <v>264</v>
      </c>
      <c r="E7922" t="s">
        <v>266</v>
      </c>
      <c r="F7922">
        <v>1</v>
      </c>
      <c r="G7922" t="s">
        <v>488</v>
      </c>
      <c r="H7922" s="4">
        <v>96083371</v>
      </c>
      <c r="I7922" s="4">
        <v>84955093.25711136</v>
      </c>
      <c r="J7922" s="3">
        <v>0.11581897707240771</v>
      </c>
      <c r="K7922" s="3">
        <v>0.13099011861725107</v>
      </c>
      <c r="L7922" t="s">
        <v>54</v>
      </c>
    </row>
    <row r="7923" spans="1:12" x14ac:dyDescent="0.25">
      <c r="A7923" t="s">
        <v>490</v>
      </c>
      <c r="B7923" t="s">
        <v>491</v>
      </c>
      <c r="C7923" t="s">
        <v>492</v>
      </c>
      <c r="D7923" t="s">
        <v>264</v>
      </c>
      <c r="E7923" t="s">
        <v>266</v>
      </c>
      <c r="F7923">
        <v>1</v>
      </c>
      <c r="G7923" t="s">
        <v>498</v>
      </c>
      <c r="H7923" s="4">
        <v>96083371</v>
      </c>
      <c r="I7923" s="4">
        <v>86123020</v>
      </c>
      <c r="J7923" s="3">
        <v>0.10366362978667766</v>
      </c>
      <c r="K7923" s="3">
        <v>0.11565259787685105</v>
      </c>
      <c r="L7923" t="s">
        <v>54</v>
      </c>
    </row>
    <row r="7924" spans="1:12" x14ac:dyDescent="0.25">
      <c r="A7924" t="s">
        <v>490</v>
      </c>
      <c r="B7924" t="s">
        <v>491</v>
      </c>
      <c r="C7924" t="s">
        <v>492</v>
      </c>
      <c r="D7924" t="s">
        <v>264</v>
      </c>
      <c r="E7924" t="s">
        <v>266</v>
      </c>
      <c r="F7924">
        <v>1</v>
      </c>
      <c r="G7924" t="s">
        <v>499</v>
      </c>
      <c r="H7924" s="4">
        <v>96083371</v>
      </c>
      <c r="I7924" s="4">
        <v>90548891</v>
      </c>
      <c r="J7924" s="3">
        <v>0.057600810029864585</v>
      </c>
      <c r="K7924" s="3">
        <v>0.06112145536934296</v>
      </c>
      <c r="L7924" t="s">
        <v>54</v>
      </c>
    </row>
    <row r="7925" spans="1:12" x14ac:dyDescent="0.25">
      <c r="A7925" t="s">
        <v>490</v>
      </c>
      <c r="B7925" t="s">
        <v>491</v>
      </c>
      <c r="C7925" t="s">
        <v>492</v>
      </c>
      <c r="D7925" t="s">
        <v>264</v>
      </c>
      <c r="E7925" t="s">
        <v>268</v>
      </c>
      <c r="F7925">
        <v>2</v>
      </c>
      <c r="G7925" t="s">
        <v>488</v>
      </c>
      <c r="H7925" s="4">
        <v>78717404</v>
      </c>
      <c r="I7925" s="4">
        <v>79605912.53455763</v>
      </c>
      <c r="J7925" s="3">
        <v>0.011287320076734563</v>
      </c>
      <c r="K7925" s="3">
        <v>-0.011161338476861455</v>
      </c>
      <c r="L7925" t="s">
        <v>54</v>
      </c>
    </row>
    <row r="7926" spans="1:12" x14ac:dyDescent="0.25">
      <c r="A7926" t="s">
        <v>490</v>
      </c>
      <c r="B7926" t="s">
        <v>491</v>
      </c>
      <c r="C7926" t="s">
        <v>492</v>
      </c>
      <c r="D7926" t="s">
        <v>264</v>
      </c>
      <c r="E7926" t="s">
        <v>268</v>
      </c>
      <c r="F7926">
        <v>2</v>
      </c>
      <c r="G7926" t="s">
        <v>498</v>
      </c>
      <c r="H7926" s="4">
        <v>78717404</v>
      </c>
      <c r="I7926" s="4">
        <v>80700301</v>
      </c>
      <c r="J7926" s="3">
        <v>0.025190071054680616</v>
      </c>
      <c r="K7926" s="3">
        <v>-0.024571122727286978</v>
      </c>
      <c r="L7926" t="s">
        <v>54</v>
      </c>
    </row>
    <row r="7927" spans="1:12" x14ac:dyDescent="0.25">
      <c r="A7927" t="s">
        <v>490</v>
      </c>
      <c r="B7927" t="s">
        <v>491</v>
      </c>
      <c r="C7927" t="s">
        <v>492</v>
      </c>
      <c r="D7927" t="s">
        <v>264</v>
      </c>
      <c r="E7927" t="s">
        <v>268</v>
      </c>
      <c r="F7927">
        <v>2</v>
      </c>
      <c r="G7927" t="s">
        <v>499</v>
      </c>
      <c r="H7927" s="4">
        <v>78717404</v>
      </c>
      <c r="I7927" s="4">
        <v>90548891</v>
      </c>
      <c r="J7927" s="3">
        <v>0.15030331792953944</v>
      </c>
      <c r="K7927" s="3">
        <v>-0.13066407406359068</v>
      </c>
      <c r="L7927" t="s">
        <v>54</v>
      </c>
    </row>
    <row r="7928" spans="1:12" x14ac:dyDescent="0.25">
      <c r="A7928" t="s">
        <v>490</v>
      </c>
      <c r="B7928" t="s">
        <v>491</v>
      </c>
      <c r="C7928" t="s">
        <v>492</v>
      </c>
      <c r="D7928" t="s">
        <v>264</v>
      </c>
      <c r="E7928" t="s">
        <v>270</v>
      </c>
      <c r="F7928">
        <v>3</v>
      </c>
      <c r="G7928" t="s">
        <v>488</v>
      </c>
      <c r="H7928" s="4">
        <v>87026323</v>
      </c>
      <c r="I7928" s="4">
        <v>83156407.82479338</v>
      </c>
      <c r="J7928" s="3">
        <v>0.044468329142282804</v>
      </c>
      <c r="K7928" s="3">
        <v>0.046537786761548725</v>
      </c>
      <c r="L7928" t="s">
        <v>54</v>
      </c>
    </row>
    <row r="7929" spans="1:12" x14ac:dyDescent="0.25">
      <c r="A7929" t="s">
        <v>490</v>
      </c>
      <c r="B7929" t="s">
        <v>491</v>
      </c>
      <c r="C7929" t="s">
        <v>492</v>
      </c>
      <c r="D7929" t="s">
        <v>264</v>
      </c>
      <c r="E7929" t="s">
        <v>270</v>
      </c>
      <c r="F7929">
        <v>3</v>
      </c>
      <c r="G7929" t="s">
        <v>498</v>
      </c>
      <c r="H7929" s="4">
        <v>87026323</v>
      </c>
      <c r="I7929" s="4">
        <v>84299607</v>
      </c>
      <c r="J7929" s="3">
        <v>0.03133208328243398</v>
      </c>
      <c r="K7929" s="3">
        <v>0.03234553632023456</v>
      </c>
      <c r="L7929" t="s">
        <v>54</v>
      </c>
    </row>
    <row r="7930" spans="1:12" x14ac:dyDescent="0.25">
      <c r="A7930" t="s">
        <v>490</v>
      </c>
      <c r="B7930" t="s">
        <v>491</v>
      </c>
      <c r="C7930" t="s">
        <v>492</v>
      </c>
      <c r="D7930" t="s">
        <v>264</v>
      </c>
      <c r="E7930" t="s">
        <v>270</v>
      </c>
      <c r="F7930">
        <v>3</v>
      </c>
      <c r="G7930" t="s">
        <v>499</v>
      </c>
      <c r="H7930" s="4">
        <v>87026323</v>
      </c>
      <c r="I7930" s="4">
        <v>90548891</v>
      </c>
      <c r="J7930" s="3">
        <v>0.04047704049267944</v>
      </c>
      <c r="K7930" s="3">
        <v>-0.038902386998864516</v>
      </c>
      <c r="L7930" t="s">
        <v>54</v>
      </c>
    </row>
    <row r="7931" spans="1:12" x14ac:dyDescent="0.25">
      <c r="A7931" t="s">
        <v>490</v>
      </c>
      <c r="B7931" t="s">
        <v>491</v>
      </c>
      <c r="C7931" t="s">
        <v>492</v>
      </c>
      <c r="D7931" t="s">
        <v>266</v>
      </c>
      <c r="E7931" t="s">
        <v>268</v>
      </c>
      <c r="F7931">
        <v>1</v>
      </c>
      <c r="G7931" t="s">
        <v>488</v>
      </c>
      <c r="H7931" s="4">
        <v>78717404</v>
      </c>
      <c r="I7931" s="4">
        <v>80272140.86863944</v>
      </c>
      <c r="J7931" s="3">
        <v>0.019750865623559426</v>
      </c>
      <c r="K7931" s="3">
        <v>-0.019368324449994093</v>
      </c>
      <c r="L7931" t="s">
        <v>54</v>
      </c>
    </row>
    <row r="7932" spans="1:12" x14ac:dyDescent="0.25">
      <c r="A7932" t="s">
        <v>490</v>
      </c>
      <c r="B7932" t="s">
        <v>491</v>
      </c>
      <c r="C7932" t="s">
        <v>492</v>
      </c>
      <c r="D7932" t="s">
        <v>266</v>
      </c>
      <c r="E7932" t="s">
        <v>268</v>
      </c>
      <c r="F7932">
        <v>1</v>
      </c>
      <c r="G7932" t="s">
        <v>498</v>
      </c>
      <c r="H7932" s="4">
        <v>78717404</v>
      </c>
      <c r="I7932" s="4">
        <v>80700301</v>
      </c>
      <c r="J7932" s="3">
        <v>0.025190071054680616</v>
      </c>
      <c r="K7932" s="3">
        <v>-0.024571122727286978</v>
      </c>
      <c r="L7932" t="s">
        <v>54</v>
      </c>
    </row>
    <row r="7933" spans="1:12" x14ac:dyDescent="0.25">
      <c r="A7933" t="s">
        <v>490</v>
      </c>
      <c r="B7933" t="s">
        <v>491</v>
      </c>
      <c r="C7933" t="s">
        <v>492</v>
      </c>
      <c r="D7933" t="s">
        <v>266</v>
      </c>
      <c r="E7933" t="s">
        <v>268</v>
      </c>
      <c r="F7933">
        <v>1</v>
      </c>
      <c r="G7933" t="s">
        <v>499</v>
      </c>
      <c r="H7933" s="4">
        <v>78717404</v>
      </c>
      <c r="I7933" s="4">
        <v>96083371</v>
      </c>
      <c r="J7933" s="3">
        <v>0.2206115308375769</v>
      </c>
      <c r="K7933" s="3">
        <v>-0.18073852758559023</v>
      </c>
      <c r="L7933" t="s">
        <v>54</v>
      </c>
    </row>
    <row r="7934" spans="1:12" x14ac:dyDescent="0.25">
      <c r="A7934" t="s">
        <v>490</v>
      </c>
      <c r="B7934" t="s">
        <v>491</v>
      </c>
      <c r="C7934" t="s">
        <v>492</v>
      </c>
      <c r="D7934" t="s">
        <v>266</v>
      </c>
      <c r="E7934" t="s">
        <v>270</v>
      </c>
      <c r="F7934">
        <v>2</v>
      </c>
      <c r="G7934" t="s">
        <v>488</v>
      </c>
      <c r="H7934" s="4">
        <v>87026323</v>
      </c>
      <c r="I7934" s="4">
        <v>83852350.54172777</v>
      </c>
      <c r="J7934" s="3">
        <v>0.03647140714278177</v>
      </c>
      <c r="K7934" s="3">
        <v>0.037851919925521435</v>
      </c>
      <c r="L7934" t="s">
        <v>54</v>
      </c>
    </row>
    <row r="7935" spans="1:12" x14ac:dyDescent="0.25">
      <c r="A7935" t="s">
        <v>490</v>
      </c>
      <c r="B7935" t="s">
        <v>491</v>
      </c>
      <c r="C7935" t="s">
        <v>492</v>
      </c>
      <c r="D7935" t="s">
        <v>266</v>
      </c>
      <c r="E7935" t="s">
        <v>270</v>
      </c>
      <c r="F7935">
        <v>2</v>
      </c>
      <c r="G7935" t="s">
        <v>498</v>
      </c>
      <c r="H7935" s="4">
        <v>87026323</v>
      </c>
      <c r="I7935" s="4">
        <v>84299607</v>
      </c>
      <c r="J7935" s="3">
        <v>0.03133208328243398</v>
      </c>
      <c r="K7935" s="3">
        <v>0.03234553632023456</v>
      </c>
      <c r="L7935" t="s">
        <v>54</v>
      </c>
    </row>
    <row r="7936" spans="1:12" x14ac:dyDescent="0.25">
      <c r="A7936" t="s">
        <v>490</v>
      </c>
      <c r="B7936" t="s">
        <v>491</v>
      </c>
      <c r="C7936" t="s">
        <v>492</v>
      </c>
      <c r="D7936" t="s">
        <v>266</v>
      </c>
      <c r="E7936" t="s">
        <v>270</v>
      </c>
      <c r="F7936">
        <v>2</v>
      </c>
      <c r="G7936" t="s">
        <v>499</v>
      </c>
      <c r="H7936" s="4">
        <v>87026323</v>
      </c>
      <c r="I7936" s="4">
        <v>96083371</v>
      </c>
      <c r="J7936" s="3">
        <v>0.10407251148597879</v>
      </c>
      <c r="K7936" s="3">
        <v>-0.09426238802549923</v>
      </c>
      <c r="L7936" t="s">
        <v>54</v>
      </c>
    </row>
    <row r="7937" spans="1:12" x14ac:dyDescent="0.25">
      <c r="A7937" t="s">
        <v>490</v>
      </c>
      <c r="B7937" t="s">
        <v>491</v>
      </c>
      <c r="C7937" t="s">
        <v>492</v>
      </c>
      <c r="D7937" t="s">
        <v>266</v>
      </c>
      <c r="E7937" t="s">
        <v>272</v>
      </c>
      <c r="F7937">
        <v>3</v>
      </c>
      <c r="G7937" t="s">
        <v>488</v>
      </c>
      <c r="H7937" s="4">
        <v>99521650</v>
      </c>
      <c r="I7937" s="4">
        <v>92157474.19864842</v>
      </c>
      <c r="J7937" s="3">
        <v>0.07399571652350596</v>
      </c>
      <c r="K7937" s="3">
        <v>0.0799086114868758</v>
      </c>
      <c r="L7937" t="s">
        <v>54</v>
      </c>
    </row>
    <row r="7938" spans="1:12" x14ac:dyDescent="0.25">
      <c r="A7938" t="s">
        <v>490</v>
      </c>
      <c r="B7938" t="s">
        <v>491</v>
      </c>
      <c r="C7938" t="s">
        <v>492</v>
      </c>
      <c r="D7938" t="s">
        <v>266</v>
      </c>
      <c r="E7938" t="s">
        <v>272</v>
      </c>
      <c r="F7938">
        <v>3</v>
      </c>
      <c r="G7938" t="s">
        <v>498</v>
      </c>
      <c r="H7938" s="4">
        <v>99521650</v>
      </c>
      <c r="I7938" s="4">
        <v>92649029</v>
      </c>
      <c r="J7938" s="3">
        <v>0.06905654196850634</v>
      </c>
      <c r="K7938" s="3">
        <v>0.07417909366324821</v>
      </c>
      <c r="L7938" t="s">
        <v>54</v>
      </c>
    </row>
    <row r="7939" spans="1:12" x14ac:dyDescent="0.25">
      <c r="A7939" t="s">
        <v>490</v>
      </c>
      <c r="B7939" t="s">
        <v>491</v>
      </c>
      <c r="C7939" t="s">
        <v>492</v>
      </c>
      <c r="D7939" t="s">
        <v>266</v>
      </c>
      <c r="E7939" t="s">
        <v>272</v>
      </c>
      <c r="F7939">
        <v>3</v>
      </c>
      <c r="G7939" t="s">
        <v>499</v>
      </c>
      <c r="H7939" s="4">
        <v>99521650</v>
      </c>
      <c r="I7939" s="4">
        <v>96083371</v>
      </c>
      <c r="J7939" s="3">
        <v>0.034548050600045316</v>
      </c>
      <c r="K7939" s="3">
        <v>0.035784329423662706</v>
      </c>
      <c r="L7939" t="s">
        <v>54</v>
      </c>
    </row>
    <row r="7940" spans="1:12" x14ac:dyDescent="0.25">
      <c r="A7940" t="s">
        <v>490</v>
      </c>
      <c r="B7940" t="s">
        <v>491</v>
      </c>
      <c r="C7940" t="s">
        <v>492</v>
      </c>
      <c r="D7940" t="s">
        <v>268</v>
      </c>
      <c r="E7940" t="s">
        <v>270</v>
      </c>
      <c r="F7940">
        <v>1</v>
      </c>
      <c r="G7940" t="s">
        <v>488</v>
      </c>
      <c r="H7940" s="4">
        <v>87026323</v>
      </c>
      <c r="I7940" s="4">
        <v>83764029.58821723</v>
      </c>
      <c r="J7940" s="3">
        <v>0.037486283452223663</v>
      </c>
      <c r="K7940" s="3">
        <v>0.03894623298115144</v>
      </c>
      <c r="L7940" t="s">
        <v>54</v>
      </c>
    </row>
    <row r="7941" spans="1:12" x14ac:dyDescent="0.25">
      <c r="A7941" t="s">
        <v>490</v>
      </c>
      <c r="B7941" t="s">
        <v>491</v>
      </c>
      <c r="C7941" t="s">
        <v>492</v>
      </c>
      <c r="D7941" t="s">
        <v>268</v>
      </c>
      <c r="E7941" t="s">
        <v>270</v>
      </c>
      <c r="F7941">
        <v>1</v>
      </c>
      <c r="G7941" t="s">
        <v>498</v>
      </c>
      <c r="H7941" s="4">
        <v>87026323</v>
      </c>
      <c r="I7941" s="4">
        <v>84299607</v>
      </c>
      <c r="J7941" s="3">
        <v>0.03133208328243398</v>
      </c>
      <c r="K7941" s="3">
        <v>0.03234553632023456</v>
      </c>
      <c r="L7941" t="s">
        <v>54</v>
      </c>
    </row>
    <row r="7942" spans="1:12" x14ac:dyDescent="0.25">
      <c r="A7942" t="s">
        <v>490</v>
      </c>
      <c r="B7942" t="s">
        <v>491</v>
      </c>
      <c r="C7942" t="s">
        <v>492</v>
      </c>
      <c r="D7942" t="s">
        <v>268</v>
      </c>
      <c r="E7942" t="s">
        <v>270</v>
      </c>
      <c r="F7942">
        <v>1</v>
      </c>
      <c r="G7942" t="s">
        <v>499</v>
      </c>
      <c r="H7942" s="4">
        <v>87026323</v>
      </c>
      <c r="I7942" s="4">
        <v>78717404</v>
      </c>
      <c r="J7942" s="3">
        <v>0.09547592858772166</v>
      </c>
      <c r="K7942" s="3">
        <v>0.10555377308936661</v>
      </c>
      <c r="L7942" t="s">
        <v>54</v>
      </c>
    </row>
    <row r="7943" spans="1:12" x14ac:dyDescent="0.25">
      <c r="A7943" t="s">
        <v>490</v>
      </c>
      <c r="B7943" t="s">
        <v>491</v>
      </c>
      <c r="C7943" t="s">
        <v>492</v>
      </c>
      <c r="D7943" t="s">
        <v>268</v>
      </c>
      <c r="E7943" t="s">
        <v>272</v>
      </c>
      <c r="F7943">
        <v>2</v>
      </c>
      <c r="G7943" t="s">
        <v>488</v>
      </c>
      <c r="H7943" s="4">
        <v>99521650</v>
      </c>
      <c r="I7943" s="4">
        <v>92060405.5304267</v>
      </c>
      <c r="J7943" s="3">
        <v>0.07497106880335389</v>
      </c>
      <c r="K7943" s="3">
        <v>0.08104726919877953</v>
      </c>
      <c r="L7943" t="s">
        <v>54</v>
      </c>
    </row>
    <row r="7944" spans="1:12" x14ac:dyDescent="0.25">
      <c r="A7944" t="s">
        <v>490</v>
      </c>
      <c r="B7944" t="s">
        <v>491</v>
      </c>
      <c r="C7944" t="s">
        <v>492</v>
      </c>
      <c r="D7944" t="s">
        <v>268</v>
      </c>
      <c r="E7944" t="s">
        <v>272</v>
      </c>
      <c r="F7944">
        <v>2</v>
      </c>
      <c r="G7944" t="s">
        <v>498</v>
      </c>
      <c r="H7944" s="4">
        <v>99521650</v>
      </c>
      <c r="I7944" s="4">
        <v>92649029</v>
      </c>
      <c r="J7944" s="3">
        <v>0.06905654196850634</v>
      </c>
      <c r="K7944" s="3">
        <v>0.07417909366324821</v>
      </c>
      <c r="L7944" t="s">
        <v>54</v>
      </c>
    </row>
    <row r="7945" spans="1:12" x14ac:dyDescent="0.25">
      <c r="A7945" t="s">
        <v>490</v>
      </c>
      <c r="B7945" t="s">
        <v>491</v>
      </c>
      <c r="C7945" t="s">
        <v>492</v>
      </c>
      <c r="D7945" t="s">
        <v>268</v>
      </c>
      <c r="E7945" t="s">
        <v>272</v>
      </c>
      <c r="F7945">
        <v>2</v>
      </c>
      <c r="G7945" t="s">
        <v>499</v>
      </c>
      <c r="H7945" s="4">
        <v>99521650</v>
      </c>
      <c r="I7945" s="4">
        <v>78717404</v>
      </c>
      <c r="J7945" s="3">
        <v>0.20904241438923088</v>
      </c>
      <c r="K7945" s="3">
        <v>0.26429029595539</v>
      </c>
      <c r="L7945" t="s">
        <v>54</v>
      </c>
    </row>
    <row r="7946" spans="1:12" x14ac:dyDescent="0.25">
      <c r="A7946" t="s">
        <v>490</v>
      </c>
      <c r="B7946" t="s">
        <v>491</v>
      </c>
      <c r="C7946" t="s">
        <v>492</v>
      </c>
      <c r="D7946" t="s">
        <v>268</v>
      </c>
      <c r="E7946" t="s">
        <v>274</v>
      </c>
      <c r="F7946">
        <v>3</v>
      </c>
      <c r="G7946" t="s">
        <v>488</v>
      </c>
      <c r="H7946" s="4">
        <v>75510651</v>
      </c>
      <c r="I7946" s="4">
        <v>77095374.19114967</v>
      </c>
      <c r="J7946" s="3">
        <v>0.020986750480401325</v>
      </c>
      <c r="K7946" s="3">
        <v>-0.020555360263516155</v>
      </c>
      <c r="L7946" t="s">
        <v>54</v>
      </c>
    </row>
    <row r="7947" spans="1:12" x14ac:dyDescent="0.25">
      <c r="A7947" t="s">
        <v>490</v>
      </c>
      <c r="B7947" t="s">
        <v>491</v>
      </c>
      <c r="C7947" t="s">
        <v>492</v>
      </c>
      <c r="D7947" t="s">
        <v>268</v>
      </c>
      <c r="E7947" t="s">
        <v>274</v>
      </c>
      <c r="F7947">
        <v>3</v>
      </c>
      <c r="G7947" t="s">
        <v>498</v>
      </c>
      <c r="H7947" s="4">
        <v>75510651</v>
      </c>
      <c r="I7947" s="4">
        <v>77588313</v>
      </c>
      <c r="J7947" s="3">
        <v>0.027514820392688707</v>
      </c>
      <c r="K7947" s="3">
        <v>-0.02677802776817689</v>
      </c>
      <c r="L7947" t="s">
        <v>54</v>
      </c>
    </row>
    <row r="7948" spans="1:12" x14ac:dyDescent="0.25">
      <c r="A7948" t="s">
        <v>490</v>
      </c>
      <c r="B7948" t="s">
        <v>491</v>
      </c>
      <c r="C7948" t="s">
        <v>492</v>
      </c>
      <c r="D7948" t="s">
        <v>268</v>
      </c>
      <c r="E7948" t="s">
        <v>274</v>
      </c>
      <c r="F7948">
        <v>3</v>
      </c>
      <c r="G7948" t="s">
        <v>499</v>
      </c>
      <c r="H7948" s="4">
        <v>75510651</v>
      </c>
      <c r="I7948" s="4">
        <v>78717404</v>
      </c>
      <c r="J7948" s="3">
        <v>0.042467558649441385</v>
      </c>
      <c r="K7948" s="3">
        <v>-0.04073753499289687</v>
      </c>
      <c r="L7948" t="s">
        <v>54</v>
      </c>
    </row>
    <row r="7949" spans="1:12" x14ac:dyDescent="0.25">
      <c r="A7949" t="s">
        <v>490</v>
      </c>
      <c r="B7949" t="s">
        <v>491</v>
      </c>
      <c r="C7949" t="s">
        <v>492</v>
      </c>
      <c r="D7949" t="s">
        <v>270</v>
      </c>
      <c r="E7949" t="s">
        <v>272</v>
      </c>
      <c r="F7949">
        <v>1</v>
      </c>
      <c r="G7949" t="s">
        <v>488</v>
      </c>
      <c r="H7949" s="4">
        <v>99521650</v>
      </c>
      <c r="I7949" s="4">
        <v>93150344.32485862</v>
      </c>
      <c r="J7949" s="3">
        <v>0.06401929303966905</v>
      </c>
      <c r="K7949" s="3">
        <v>0.06839809043455244</v>
      </c>
      <c r="L7949" t="s">
        <v>54</v>
      </c>
    </row>
    <row r="7950" spans="1:12" x14ac:dyDescent="0.25">
      <c r="A7950" t="s">
        <v>490</v>
      </c>
      <c r="B7950" t="s">
        <v>491</v>
      </c>
      <c r="C7950" t="s">
        <v>492</v>
      </c>
      <c r="D7950" t="s">
        <v>270</v>
      </c>
      <c r="E7950" t="s">
        <v>272</v>
      </c>
      <c r="F7950">
        <v>1</v>
      </c>
      <c r="G7950" t="s">
        <v>498</v>
      </c>
      <c r="H7950" s="4">
        <v>99521650</v>
      </c>
      <c r="I7950" s="4">
        <v>92649029</v>
      </c>
      <c r="J7950" s="3">
        <v>0.06905654196850634</v>
      </c>
      <c r="K7950" s="3">
        <v>0.07417909366324821</v>
      </c>
      <c r="L7950" t="s">
        <v>54</v>
      </c>
    </row>
    <row r="7951" spans="1:12" x14ac:dyDescent="0.25">
      <c r="A7951" t="s">
        <v>490</v>
      </c>
      <c r="B7951" t="s">
        <v>491</v>
      </c>
      <c r="C7951" t="s">
        <v>492</v>
      </c>
      <c r="D7951" t="s">
        <v>270</v>
      </c>
      <c r="E7951" t="s">
        <v>272</v>
      </c>
      <c r="F7951">
        <v>1</v>
      </c>
      <c r="G7951" t="s">
        <v>499</v>
      </c>
      <c r="H7951" s="4">
        <v>99521650</v>
      </c>
      <c r="I7951" s="4">
        <v>87026323</v>
      </c>
      <c r="J7951" s="3">
        <v>0.1255538568743585</v>
      </c>
      <c r="K7951" s="3">
        <v>0.14358100594460368</v>
      </c>
      <c r="L7951" t="s">
        <v>54</v>
      </c>
    </row>
    <row r="7952" spans="1:12" x14ac:dyDescent="0.25">
      <c r="A7952" t="s">
        <v>490</v>
      </c>
      <c r="B7952" t="s">
        <v>491</v>
      </c>
      <c r="C7952" t="s">
        <v>492</v>
      </c>
      <c r="D7952" t="s">
        <v>270</v>
      </c>
      <c r="E7952" t="s">
        <v>274</v>
      </c>
      <c r="F7952">
        <v>2</v>
      </c>
      <c r="G7952" t="s">
        <v>488</v>
      </c>
      <c r="H7952" s="4">
        <v>75510651</v>
      </c>
      <c r="I7952" s="4">
        <v>78008136.1838655</v>
      </c>
      <c r="J7952" s="3">
        <v>0.033074608029342804</v>
      </c>
      <c r="K7952" s="3">
        <v>-0.0320157012594035</v>
      </c>
      <c r="L7952" t="s">
        <v>54</v>
      </c>
    </row>
    <row r="7953" spans="1:12" x14ac:dyDescent="0.25">
      <c r="A7953" t="s">
        <v>490</v>
      </c>
      <c r="B7953" t="s">
        <v>491</v>
      </c>
      <c r="C7953" t="s">
        <v>492</v>
      </c>
      <c r="D7953" t="s">
        <v>270</v>
      </c>
      <c r="E7953" t="s">
        <v>274</v>
      </c>
      <c r="F7953">
        <v>2</v>
      </c>
      <c r="G7953" t="s">
        <v>498</v>
      </c>
      <c r="H7953" s="4">
        <v>75510651</v>
      </c>
      <c r="I7953" s="4">
        <v>77588313</v>
      </c>
      <c r="J7953" s="3">
        <v>0.027514820392688707</v>
      </c>
      <c r="K7953" s="3">
        <v>-0.02677802776817689</v>
      </c>
      <c r="L7953" t="s">
        <v>54</v>
      </c>
    </row>
    <row r="7954" spans="1:12" x14ac:dyDescent="0.25">
      <c r="A7954" t="s">
        <v>490</v>
      </c>
      <c r="B7954" t="s">
        <v>491</v>
      </c>
      <c r="C7954" t="s">
        <v>492</v>
      </c>
      <c r="D7954" t="s">
        <v>270</v>
      </c>
      <c r="E7954" t="s">
        <v>274</v>
      </c>
      <c r="F7954">
        <v>2</v>
      </c>
      <c r="G7954" t="s">
        <v>499</v>
      </c>
      <c r="H7954" s="4">
        <v>75510651</v>
      </c>
      <c r="I7954" s="4">
        <v>87026323</v>
      </c>
      <c r="J7954" s="3">
        <v>0.15250394278815052</v>
      </c>
      <c r="K7954" s="3">
        <v>-0.1323240095987969</v>
      </c>
      <c r="L7954" t="s">
        <v>54</v>
      </c>
    </row>
    <row r="7955" spans="1:12" x14ac:dyDescent="0.25">
      <c r="A7955" t="s">
        <v>490</v>
      </c>
      <c r="B7955" t="s">
        <v>491</v>
      </c>
      <c r="C7955" t="s">
        <v>492</v>
      </c>
      <c r="D7955" t="s">
        <v>270</v>
      </c>
      <c r="E7955" t="s">
        <v>276</v>
      </c>
      <c r="F7955">
        <v>3</v>
      </c>
      <c r="G7955" t="s">
        <v>488</v>
      </c>
      <c r="H7955" s="4">
        <v>57649368</v>
      </c>
      <c r="I7955" s="4">
        <v>60604962.00493308</v>
      </c>
      <c r="J7955" s="3">
        <v>0.05126845458102995</v>
      </c>
      <c r="K7955" s="3">
        <v>-0.048768185098317596</v>
      </c>
      <c r="L7955" t="s">
        <v>54</v>
      </c>
    </row>
    <row r="7956" spans="1:12" x14ac:dyDescent="0.25">
      <c r="A7956" t="s">
        <v>490</v>
      </c>
      <c r="B7956" t="s">
        <v>491</v>
      </c>
      <c r="C7956" t="s">
        <v>492</v>
      </c>
      <c r="D7956" t="s">
        <v>270</v>
      </c>
      <c r="E7956" t="s">
        <v>276</v>
      </c>
      <c r="F7956">
        <v>3</v>
      </c>
      <c r="G7956" t="s">
        <v>498</v>
      </c>
      <c r="H7956" s="4">
        <v>57649368</v>
      </c>
      <c r="I7956" s="4">
        <v>60278799</v>
      </c>
      <c r="J7956" s="3">
        <v>0.04561075153503851</v>
      </c>
      <c r="K7956" s="3">
        <v>-0.04362115774735326</v>
      </c>
      <c r="L7956" t="s">
        <v>54</v>
      </c>
    </row>
    <row r="7957" spans="1:12" x14ac:dyDescent="0.25">
      <c r="A7957" t="s">
        <v>490</v>
      </c>
      <c r="B7957" t="s">
        <v>491</v>
      </c>
      <c r="C7957" t="s">
        <v>492</v>
      </c>
      <c r="D7957" t="s">
        <v>270</v>
      </c>
      <c r="E7957" t="s">
        <v>276</v>
      </c>
      <c r="F7957">
        <v>3</v>
      </c>
      <c r="G7957" t="s">
        <v>499</v>
      </c>
      <c r="H7957" s="4">
        <v>57649368</v>
      </c>
      <c r="I7957" s="4">
        <v>87026323</v>
      </c>
      <c r="J7957" s="3">
        <v>0.5095798274839717</v>
      </c>
      <c r="K7957" s="3">
        <v>-0.337564014970505</v>
      </c>
      <c r="L7957" t="s">
        <v>54</v>
      </c>
    </row>
    <row r="7958" spans="1:12" x14ac:dyDescent="0.25">
      <c r="A7958" t="s">
        <v>490</v>
      </c>
      <c r="B7958" t="s">
        <v>491</v>
      </c>
      <c r="C7958" t="s">
        <v>492</v>
      </c>
      <c r="D7958" t="s">
        <v>272</v>
      </c>
      <c r="E7958" t="s">
        <v>274</v>
      </c>
      <c r="F7958">
        <v>1</v>
      </c>
      <c r="G7958" t="s">
        <v>488</v>
      </c>
      <c r="H7958" s="4">
        <v>75510651</v>
      </c>
      <c r="I7958" s="4">
        <v>77962551.41374186</v>
      </c>
      <c r="J7958" s="3">
        <v>0.03247092140341707</v>
      </c>
      <c r="K7958" s="3">
        <v>-0.031449720016598626</v>
      </c>
      <c r="L7958" t="s">
        <v>54</v>
      </c>
    </row>
    <row r="7959" spans="1:12" x14ac:dyDescent="0.25">
      <c r="A7959" t="s">
        <v>490</v>
      </c>
      <c r="B7959" t="s">
        <v>491</v>
      </c>
      <c r="C7959" t="s">
        <v>492</v>
      </c>
      <c r="D7959" t="s">
        <v>272</v>
      </c>
      <c r="E7959" t="s">
        <v>274</v>
      </c>
      <c r="F7959">
        <v>1</v>
      </c>
      <c r="G7959" t="s">
        <v>498</v>
      </c>
      <c r="H7959" s="4">
        <v>75510651</v>
      </c>
      <c r="I7959" s="4">
        <v>77588313</v>
      </c>
      <c r="J7959" s="3">
        <v>0.027514820392688707</v>
      </c>
      <c r="K7959" s="3">
        <v>-0.02677802776817689</v>
      </c>
      <c r="L7959" t="s">
        <v>54</v>
      </c>
    </row>
    <row r="7960" spans="1:12" x14ac:dyDescent="0.25">
      <c r="A7960" t="s">
        <v>490</v>
      </c>
      <c r="B7960" t="s">
        <v>491</v>
      </c>
      <c r="C7960" t="s">
        <v>492</v>
      </c>
      <c r="D7960" t="s">
        <v>272</v>
      </c>
      <c r="E7960" t="s">
        <v>274</v>
      </c>
      <c r="F7960">
        <v>1</v>
      </c>
      <c r="G7960" t="s">
        <v>499</v>
      </c>
      <c r="H7960" s="4">
        <v>75510651</v>
      </c>
      <c r="I7960" s="4">
        <v>99521650</v>
      </c>
      <c r="J7960" s="3">
        <v>0.3179816182487951</v>
      </c>
      <c r="K7960" s="3">
        <v>-0.24126407671094682</v>
      </c>
      <c r="L7960" t="s">
        <v>54</v>
      </c>
    </row>
    <row r="7961" spans="1:12" x14ac:dyDescent="0.25">
      <c r="A7961" t="s">
        <v>490</v>
      </c>
      <c r="B7961" t="s">
        <v>491</v>
      </c>
      <c r="C7961" t="s">
        <v>492</v>
      </c>
      <c r="D7961" t="s">
        <v>272</v>
      </c>
      <c r="E7961" t="s">
        <v>276</v>
      </c>
      <c r="F7961">
        <v>2</v>
      </c>
      <c r="G7961" t="s">
        <v>488</v>
      </c>
      <c r="H7961" s="4">
        <v>57649368</v>
      </c>
      <c r="I7961" s="4">
        <v>60569546.93931947</v>
      </c>
      <c r="J7961" s="3">
        <v>0.05065413621393853</v>
      </c>
      <c r="K7961" s="3">
        <v>-0.04821199904706236</v>
      </c>
      <c r="L7961" t="s">
        <v>54</v>
      </c>
    </row>
    <row r="7962" spans="1:12" x14ac:dyDescent="0.25">
      <c r="A7962" t="s">
        <v>490</v>
      </c>
      <c r="B7962" t="s">
        <v>491</v>
      </c>
      <c r="C7962" t="s">
        <v>492</v>
      </c>
      <c r="D7962" t="s">
        <v>272</v>
      </c>
      <c r="E7962" t="s">
        <v>276</v>
      </c>
      <c r="F7962">
        <v>2</v>
      </c>
      <c r="G7962" t="s">
        <v>498</v>
      </c>
      <c r="H7962" s="4">
        <v>57649368</v>
      </c>
      <c r="I7962" s="4">
        <v>60278799</v>
      </c>
      <c r="J7962" s="3">
        <v>0.04561075153503851</v>
      </c>
      <c r="K7962" s="3">
        <v>-0.04362115774735326</v>
      </c>
      <c r="L7962" t="s">
        <v>54</v>
      </c>
    </row>
    <row r="7963" spans="1:12" x14ac:dyDescent="0.25">
      <c r="A7963" t="s">
        <v>490</v>
      </c>
      <c r="B7963" t="s">
        <v>491</v>
      </c>
      <c r="C7963" t="s">
        <v>492</v>
      </c>
      <c r="D7963" t="s">
        <v>272</v>
      </c>
      <c r="E7963" t="s">
        <v>276</v>
      </c>
      <c r="F7963">
        <v>2</v>
      </c>
      <c r="G7963" t="s">
        <v>499</v>
      </c>
      <c r="H7963" s="4">
        <v>57649368</v>
      </c>
      <c r="I7963" s="4">
        <v>99521650</v>
      </c>
      <c r="J7963" s="3">
        <v>0.7263268176678017</v>
      </c>
      <c r="K7963" s="3">
        <v>-0.42073540782332286</v>
      </c>
      <c r="L7963" t="s">
        <v>54</v>
      </c>
    </row>
    <row r="7964" spans="1:12" x14ac:dyDescent="0.25">
      <c r="A7964" t="s">
        <v>490</v>
      </c>
      <c r="B7964" t="s">
        <v>491</v>
      </c>
      <c r="C7964" t="s">
        <v>492</v>
      </c>
      <c r="D7964" t="s">
        <v>272</v>
      </c>
      <c r="E7964" t="s">
        <v>278</v>
      </c>
      <c r="F7964">
        <v>3</v>
      </c>
      <c r="G7964" t="s">
        <v>488</v>
      </c>
      <c r="H7964" s="4">
        <v>49660282</v>
      </c>
      <c r="I7964" s="4">
        <v>53494599.54320278</v>
      </c>
      <c r="J7964" s="3">
        <v>0.07721094985330088</v>
      </c>
      <c r="K7964" s="3">
        <v>-0.0716767220606287</v>
      </c>
      <c r="L7964" t="s">
        <v>54</v>
      </c>
    </row>
    <row r="7965" spans="1:12" x14ac:dyDescent="0.25">
      <c r="A7965" t="s">
        <v>490</v>
      </c>
      <c r="B7965" t="s">
        <v>491</v>
      </c>
      <c r="C7965" t="s">
        <v>492</v>
      </c>
      <c r="D7965" t="s">
        <v>272</v>
      </c>
      <c r="E7965" t="s">
        <v>278</v>
      </c>
      <c r="F7965">
        <v>3</v>
      </c>
      <c r="G7965" t="s">
        <v>498</v>
      </c>
      <c r="H7965" s="4">
        <v>49660282</v>
      </c>
      <c r="I7965" s="4">
        <v>53237813</v>
      </c>
      <c r="J7965" s="3">
        <v>0.0720400862806216</v>
      </c>
      <c r="K7965" s="3">
        <v>-0.06719906018678866</v>
      </c>
      <c r="L7965" t="s">
        <v>54</v>
      </c>
    </row>
    <row r="7966" spans="1:12" x14ac:dyDescent="0.25">
      <c r="A7966" t="s">
        <v>490</v>
      </c>
      <c r="B7966" t="s">
        <v>491</v>
      </c>
      <c r="C7966" t="s">
        <v>492</v>
      </c>
      <c r="D7966" t="s">
        <v>272</v>
      </c>
      <c r="E7966" t="s">
        <v>278</v>
      </c>
      <c r="F7966">
        <v>3</v>
      </c>
      <c r="G7966" t="s">
        <v>499</v>
      </c>
      <c r="H7966" s="4">
        <v>49660282</v>
      </c>
      <c r="I7966" s="4">
        <v>99521650</v>
      </c>
      <c r="J7966" s="3">
        <v>1.0040492319395207</v>
      </c>
      <c r="K7966" s="3">
        <v>-0.5010102625911046</v>
      </c>
      <c r="L7966" t="s">
        <v>54</v>
      </c>
    </row>
    <row r="7967" spans="1:12" x14ac:dyDescent="0.25">
      <c r="A7967" t="s">
        <v>490</v>
      </c>
      <c r="B7967" t="s">
        <v>491</v>
      </c>
      <c r="C7967" t="s">
        <v>492</v>
      </c>
      <c r="D7967" t="s">
        <v>274</v>
      </c>
      <c r="E7967" t="s">
        <v>276</v>
      </c>
      <c r="F7967">
        <v>1</v>
      </c>
      <c r="G7967" t="s">
        <v>488</v>
      </c>
      <c r="H7967" s="4">
        <v>57649368</v>
      </c>
      <c r="I7967" s="4">
        <v>60604797.04839612</v>
      </c>
      <c r="J7967" s="3">
        <v>0.051265593204701185</v>
      </c>
      <c r="K7967" s="3">
        <v>-0.04876559599788862</v>
      </c>
      <c r="L7967" t="s">
        <v>54</v>
      </c>
    </row>
    <row r="7968" spans="1:12" x14ac:dyDescent="0.25">
      <c r="A7968" t="s">
        <v>490</v>
      </c>
      <c r="B7968" t="s">
        <v>491</v>
      </c>
      <c r="C7968" t="s">
        <v>492</v>
      </c>
      <c r="D7968" t="s">
        <v>274</v>
      </c>
      <c r="E7968" t="s">
        <v>276</v>
      </c>
      <c r="F7968">
        <v>1</v>
      </c>
      <c r="G7968" t="s">
        <v>498</v>
      </c>
      <c r="H7968" s="4">
        <v>57649368</v>
      </c>
      <c r="I7968" s="4">
        <v>60278799</v>
      </c>
      <c r="J7968" s="3">
        <v>0.04561075153503851</v>
      </c>
      <c r="K7968" s="3">
        <v>-0.04362115774735326</v>
      </c>
      <c r="L7968" t="s">
        <v>54</v>
      </c>
    </row>
    <row r="7969" spans="1:12" x14ac:dyDescent="0.25">
      <c r="A7969" t="s">
        <v>490</v>
      </c>
      <c r="B7969" t="s">
        <v>491</v>
      </c>
      <c r="C7969" t="s">
        <v>492</v>
      </c>
      <c r="D7969" t="s">
        <v>274</v>
      </c>
      <c r="E7969" t="s">
        <v>276</v>
      </c>
      <c r="F7969">
        <v>1</v>
      </c>
      <c r="G7969" t="s">
        <v>499</v>
      </c>
      <c r="H7969" s="4">
        <v>57649368</v>
      </c>
      <c r="I7969" s="4">
        <v>75510651</v>
      </c>
      <c r="J7969" s="3">
        <v>0.3098261719018325</v>
      </c>
      <c r="K7969" s="3">
        <v>-0.23653991540875471</v>
      </c>
      <c r="L7969" t="s">
        <v>54</v>
      </c>
    </row>
    <row r="7970" spans="1:12" x14ac:dyDescent="0.25">
      <c r="A7970" t="s">
        <v>490</v>
      </c>
      <c r="B7970" t="s">
        <v>491</v>
      </c>
      <c r="C7970" t="s">
        <v>492</v>
      </c>
      <c r="D7970" t="s">
        <v>274</v>
      </c>
      <c r="E7970" t="s">
        <v>278</v>
      </c>
      <c r="F7970">
        <v>2</v>
      </c>
      <c r="G7970" t="s">
        <v>488</v>
      </c>
      <c r="H7970" s="4">
        <v>49660282</v>
      </c>
      <c r="I7970" s="4">
        <v>53525732.192598335</v>
      </c>
      <c r="J7970" s="3">
        <v>0.07783786231013218</v>
      </c>
      <c r="K7970" s="3">
        <v>-0.07221667101515818</v>
      </c>
      <c r="L7970" t="s">
        <v>54</v>
      </c>
    </row>
    <row r="7971" spans="1:12" x14ac:dyDescent="0.25">
      <c r="A7971" t="s">
        <v>490</v>
      </c>
      <c r="B7971" t="s">
        <v>491</v>
      </c>
      <c r="C7971" t="s">
        <v>492</v>
      </c>
      <c r="D7971" t="s">
        <v>274</v>
      </c>
      <c r="E7971" t="s">
        <v>278</v>
      </c>
      <c r="F7971">
        <v>2</v>
      </c>
      <c r="G7971" t="s">
        <v>498</v>
      </c>
      <c r="H7971" s="4">
        <v>49660282</v>
      </c>
      <c r="I7971" s="4">
        <v>53237813</v>
      </c>
      <c r="J7971" s="3">
        <v>0.0720400862806216</v>
      </c>
      <c r="K7971" s="3">
        <v>-0.06719906018678866</v>
      </c>
      <c r="L7971" t="s">
        <v>54</v>
      </c>
    </row>
    <row r="7972" spans="1:12" x14ac:dyDescent="0.25">
      <c r="A7972" t="s">
        <v>490</v>
      </c>
      <c r="B7972" t="s">
        <v>491</v>
      </c>
      <c r="C7972" t="s">
        <v>492</v>
      </c>
      <c r="D7972" t="s">
        <v>274</v>
      </c>
      <c r="E7972" t="s">
        <v>278</v>
      </c>
      <c r="F7972">
        <v>2</v>
      </c>
      <c r="G7972" t="s">
        <v>499</v>
      </c>
      <c r="H7972" s="4">
        <v>49660282</v>
      </c>
      <c r="I7972" s="4">
        <v>75510651</v>
      </c>
      <c r="J7972" s="3">
        <v>0.5205441443123501</v>
      </c>
      <c r="K7972" s="3">
        <v>-0.34234069840028264</v>
      </c>
      <c r="L7972" t="s">
        <v>54</v>
      </c>
    </row>
    <row r="7973" spans="1:12" x14ac:dyDescent="0.25">
      <c r="A7973" t="s">
        <v>490</v>
      </c>
      <c r="B7973" t="s">
        <v>491</v>
      </c>
      <c r="C7973" t="s">
        <v>492</v>
      </c>
      <c r="D7973" t="s">
        <v>274</v>
      </c>
      <c r="E7973" t="s">
        <v>280</v>
      </c>
      <c r="F7973">
        <v>3</v>
      </c>
      <c r="G7973" t="s">
        <v>488</v>
      </c>
      <c r="H7973" s="4">
        <v>50856240</v>
      </c>
      <c r="I7973" s="4">
        <v>58025720.99210414</v>
      </c>
      <c r="J7973" s="3">
        <v>0.14097544356610206</v>
      </c>
      <c r="K7973" s="3">
        <v>-0.12355694801413551</v>
      </c>
      <c r="L7973" t="s">
        <v>54</v>
      </c>
    </row>
    <row r="7974" spans="1:12" x14ac:dyDescent="0.25">
      <c r="A7974" t="s">
        <v>490</v>
      </c>
      <c r="B7974" t="s">
        <v>491</v>
      </c>
      <c r="C7974" t="s">
        <v>492</v>
      </c>
      <c r="D7974" t="s">
        <v>274</v>
      </c>
      <c r="E7974" t="s">
        <v>280</v>
      </c>
      <c r="F7974">
        <v>3</v>
      </c>
      <c r="G7974" t="s">
        <v>498</v>
      </c>
      <c r="H7974" s="4">
        <v>50856240</v>
      </c>
      <c r="I7974" s="4">
        <v>57713596</v>
      </c>
      <c r="J7974" s="3">
        <v>0.13483804543945838</v>
      </c>
      <c r="K7974" s="3">
        <v>-0.11881699417932648</v>
      </c>
      <c r="L7974" t="s">
        <v>54</v>
      </c>
    </row>
    <row r="7975" spans="1:12" x14ac:dyDescent="0.25">
      <c r="A7975" t="s">
        <v>490</v>
      </c>
      <c r="B7975" t="s">
        <v>491</v>
      </c>
      <c r="C7975" t="s">
        <v>492</v>
      </c>
      <c r="D7975" t="s">
        <v>274</v>
      </c>
      <c r="E7975" t="s">
        <v>280</v>
      </c>
      <c r="F7975">
        <v>3</v>
      </c>
      <c r="G7975" t="s">
        <v>499</v>
      </c>
      <c r="H7975" s="4">
        <v>50856240</v>
      </c>
      <c r="I7975" s="4">
        <v>75510651</v>
      </c>
      <c r="J7975" s="3">
        <v>0.48478635070150683</v>
      </c>
      <c r="K7975" s="3">
        <v>-0.3265024294387291</v>
      </c>
      <c r="L7975" t="s">
        <v>54</v>
      </c>
    </row>
    <row r="7976" spans="1:12" x14ac:dyDescent="0.25">
      <c r="A7976" t="s">
        <v>490</v>
      </c>
      <c r="B7976" t="s">
        <v>491</v>
      </c>
      <c r="C7976" t="s">
        <v>492</v>
      </c>
      <c r="D7976" t="s">
        <v>276</v>
      </c>
      <c r="E7976" t="s">
        <v>278</v>
      </c>
      <c r="F7976">
        <v>1</v>
      </c>
      <c r="G7976" t="s">
        <v>488</v>
      </c>
      <c r="H7976" s="4">
        <v>49660282</v>
      </c>
      <c r="I7976" s="4">
        <v>53505361.81322011</v>
      </c>
      <c r="J7976" s="3">
        <v>0.07742766771280343</v>
      </c>
      <c r="K7976" s="3">
        <v>-0.07186344850153074</v>
      </c>
      <c r="L7976" t="s">
        <v>54</v>
      </c>
    </row>
    <row r="7977" spans="1:12" x14ac:dyDescent="0.25">
      <c r="A7977" t="s">
        <v>490</v>
      </c>
      <c r="B7977" t="s">
        <v>491</v>
      </c>
      <c r="C7977" t="s">
        <v>492</v>
      </c>
      <c r="D7977" t="s">
        <v>276</v>
      </c>
      <c r="E7977" t="s">
        <v>278</v>
      </c>
      <c r="F7977">
        <v>1</v>
      </c>
      <c r="G7977" t="s">
        <v>498</v>
      </c>
      <c r="H7977" s="4">
        <v>49660282</v>
      </c>
      <c r="I7977" s="4">
        <v>53237813</v>
      </c>
      <c r="J7977" s="3">
        <v>0.0720400862806216</v>
      </c>
      <c r="K7977" s="3">
        <v>-0.06719906018678866</v>
      </c>
      <c r="L7977" t="s">
        <v>54</v>
      </c>
    </row>
    <row r="7978" spans="1:12" x14ac:dyDescent="0.25">
      <c r="A7978" t="s">
        <v>490</v>
      </c>
      <c r="B7978" t="s">
        <v>491</v>
      </c>
      <c r="C7978" t="s">
        <v>492</v>
      </c>
      <c r="D7978" t="s">
        <v>276</v>
      </c>
      <c r="E7978" t="s">
        <v>278</v>
      </c>
      <c r="F7978">
        <v>1</v>
      </c>
      <c r="G7978" t="s">
        <v>499</v>
      </c>
      <c r="H7978" s="4">
        <v>49660282</v>
      </c>
      <c r="I7978" s="4">
        <v>57649368</v>
      </c>
      <c r="J7978" s="3">
        <v>0.16087476104142945</v>
      </c>
      <c r="K7978" s="3">
        <v>-0.13858063457000952</v>
      </c>
      <c r="L7978" t="s">
        <v>54</v>
      </c>
    </row>
    <row r="7979" spans="1:12" x14ac:dyDescent="0.25">
      <c r="A7979" t="s">
        <v>490</v>
      </c>
      <c r="B7979" t="s">
        <v>491</v>
      </c>
      <c r="C7979" t="s">
        <v>492</v>
      </c>
      <c r="D7979" t="s">
        <v>276</v>
      </c>
      <c r="E7979" t="s">
        <v>280</v>
      </c>
      <c r="F7979">
        <v>2</v>
      </c>
      <c r="G7979" t="s">
        <v>488</v>
      </c>
      <c r="H7979" s="4">
        <v>50856240</v>
      </c>
      <c r="I7979" s="4">
        <v>58003638.044297814</v>
      </c>
      <c r="J7979" s="3">
        <v>0.14054122059156976</v>
      </c>
      <c r="K7979" s="3">
        <v>-0.12322327159615906</v>
      </c>
      <c r="L7979" t="s">
        <v>54</v>
      </c>
    </row>
    <row r="7980" spans="1:12" x14ac:dyDescent="0.25">
      <c r="A7980" t="s">
        <v>490</v>
      </c>
      <c r="B7980" t="s">
        <v>491</v>
      </c>
      <c r="C7980" t="s">
        <v>492</v>
      </c>
      <c r="D7980" t="s">
        <v>276</v>
      </c>
      <c r="E7980" t="s">
        <v>280</v>
      </c>
      <c r="F7980">
        <v>2</v>
      </c>
      <c r="G7980" t="s">
        <v>498</v>
      </c>
      <c r="H7980" s="4">
        <v>50856240</v>
      </c>
      <c r="I7980" s="4">
        <v>57713596</v>
      </c>
      <c r="J7980" s="3">
        <v>0.13483804543945838</v>
      </c>
      <c r="K7980" s="3">
        <v>-0.11881699417932648</v>
      </c>
      <c r="L7980" t="s">
        <v>54</v>
      </c>
    </row>
    <row r="7981" spans="1:12" x14ac:dyDescent="0.25">
      <c r="A7981" t="s">
        <v>490</v>
      </c>
      <c r="B7981" t="s">
        <v>491</v>
      </c>
      <c r="C7981" t="s">
        <v>492</v>
      </c>
      <c r="D7981" t="s">
        <v>276</v>
      </c>
      <c r="E7981" t="s">
        <v>280</v>
      </c>
      <c r="F7981">
        <v>2</v>
      </c>
      <c r="G7981" t="s">
        <v>499</v>
      </c>
      <c r="H7981" s="4">
        <v>50856240</v>
      </c>
      <c r="I7981" s="4">
        <v>57649368</v>
      </c>
      <c r="J7981" s="3">
        <v>0.1335751129064988</v>
      </c>
      <c r="K7981" s="3">
        <v>-0.11783525536654625</v>
      </c>
      <c r="L7981" t="s">
        <v>54</v>
      </c>
    </row>
    <row r="7982" spans="1:12" x14ac:dyDescent="0.25">
      <c r="A7982" t="s">
        <v>490</v>
      </c>
      <c r="B7982" t="s">
        <v>491</v>
      </c>
      <c r="C7982" t="s">
        <v>492</v>
      </c>
      <c r="D7982" t="s">
        <v>276</v>
      </c>
      <c r="E7982" t="s">
        <v>282</v>
      </c>
      <c r="F7982">
        <v>3</v>
      </c>
      <c r="G7982" t="s">
        <v>488</v>
      </c>
      <c r="H7982" s="4">
        <v>59615879</v>
      </c>
      <c r="I7982" s="4">
        <v>62670250.023343675</v>
      </c>
      <c r="J7982" s="3">
        <v>0.05123418583400699</v>
      </c>
      <c r="K7982" s="3">
        <v>-0.04873717628708949</v>
      </c>
      <c r="L7982" t="s">
        <v>54</v>
      </c>
    </row>
    <row r="7983" spans="1:12" x14ac:dyDescent="0.25">
      <c r="A7983" t="s">
        <v>490</v>
      </c>
      <c r="B7983" t="s">
        <v>491</v>
      </c>
      <c r="C7983" t="s">
        <v>492</v>
      </c>
      <c r="D7983" t="s">
        <v>276</v>
      </c>
      <c r="E7983" t="s">
        <v>282</v>
      </c>
      <c r="F7983">
        <v>3</v>
      </c>
      <c r="G7983" t="s">
        <v>498</v>
      </c>
      <c r="H7983" s="4">
        <v>59615879</v>
      </c>
      <c r="I7983" s="4">
        <v>62356873</v>
      </c>
      <c r="J7983" s="3">
        <v>0.04597758258332482</v>
      </c>
      <c r="K7983" s="3">
        <v>-0.04395656594261871</v>
      </c>
      <c r="L7983" t="s">
        <v>54</v>
      </c>
    </row>
    <row r="7984" spans="1:12" x14ac:dyDescent="0.25">
      <c r="A7984" t="s">
        <v>490</v>
      </c>
      <c r="B7984" t="s">
        <v>491</v>
      </c>
      <c r="C7984" t="s">
        <v>492</v>
      </c>
      <c r="D7984" t="s">
        <v>276</v>
      </c>
      <c r="E7984" t="s">
        <v>282</v>
      </c>
      <c r="F7984">
        <v>3</v>
      </c>
      <c r="G7984" t="s">
        <v>499</v>
      </c>
      <c r="H7984" s="4">
        <v>59615879</v>
      </c>
      <c r="I7984" s="4">
        <v>57649368</v>
      </c>
      <c r="J7984" s="3">
        <v>0.03298636257631964</v>
      </c>
      <c r="K7984" s="3">
        <v>0.034111579505954</v>
      </c>
      <c r="L7984" t="s">
        <v>54</v>
      </c>
    </row>
    <row r="7985" spans="1:12" x14ac:dyDescent="0.25">
      <c r="A7985" t="s">
        <v>490</v>
      </c>
      <c r="B7985" t="s">
        <v>491</v>
      </c>
      <c r="C7985" t="s">
        <v>492</v>
      </c>
      <c r="D7985" t="s">
        <v>278</v>
      </c>
      <c r="E7985" t="s">
        <v>280</v>
      </c>
      <c r="F7985">
        <v>1</v>
      </c>
      <c r="G7985" t="s">
        <v>488</v>
      </c>
      <c r="H7985" s="4">
        <v>50856240</v>
      </c>
      <c r="I7985" s="4">
        <v>57414386.6981898</v>
      </c>
      <c r="J7985" s="3">
        <v>0.1289546120238107</v>
      </c>
      <c r="K7985" s="3">
        <v>-0.11422479756971038</v>
      </c>
      <c r="L7985" t="s">
        <v>54</v>
      </c>
    </row>
    <row r="7986" spans="1:12" x14ac:dyDescent="0.25">
      <c r="A7986" t="s">
        <v>490</v>
      </c>
      <c r="B7986" t="s">
        <v>491</v>
      </c>
      <c r="C7986" t="s">
        <v>492</v>
      </c>
      <c r="D7986" t="s">
        <v>278</v>
      </c>
      <c r="E7986" t="s">
        <v>280</v>
      </c>
      <c r="F7986">
        <v>1</v>
      </c>
      <c r="G7986" t="s">
        <v>498</v>
      </c>
      <c r="H7986" s="4">
        <v>50856240</v>
      </c>
      <c r="I7986" s="4">
        <v>57713596</v>
      </c>
      <c r="J7986" s="3">
        <v>0.13483804543945838</v>
      </c>
      <c r="K7986" s="3">
        <v>-0.11881699417932648</v>
      </c>
      <c r="L7986" t="s">
        <v>54</v>
      </c>
    </row>
    <row r="7987" spans="1:12" x14ac:dyDescent="0.25">
      <c r="A7987" t="s">
        <v>490</v>
      </c>
      <c r="B7987" t="s">
        <v>491</v>
      </c>
      <c r="C7987" t="s">
        <v>492</v>
      </c>
      <c r="D7987" t="s">
        <v>278</v>
      </c>
      <c r="E7987" t="s">
        <v>280</v>
      </c>
      <c r="F7987">
        <v>1</v>
      </c>
      <c r="G7987" t="s">
        <v>499</v>
      </c>
      <c r="H7987" s="4">
        <v>50856240</v>
      </c>
      <c r="I7987" s="4">
        <v>49660282</v>
      </c>
      <c r="J7987" s="3">
        <v>0.02351644557285399</v>
      </c>
      <c r="K7987" s="3">
        <v>0.024082787125534244</v>
      </c>
      <c r="L7987" t="s">
        <v>54</v>
      </c>
    </row>
    <row r="7988" spans="1:12" x14ac:dyDescent="0.25">
      <c r="A7988" t="s">
        <v>490</v>
      </c>
      <c r="B7988" t="s">
        <v>491</v>
      </c>
      <c r="C7988" t="s">
        <v>492</v>
      </c>
      <c r="D7988" t="s">
        <v>278</v>
      </c>
      <c r="E7988" t="s">
        <v>282</v>
      </c>
      <c r="F7988">
        <v>2</v>
      </c>
      <c r="G7988" t="s">
        <v>488</v>
      </c>
      <c r="H7988" s="4">
        <v>59615879</v>
      </c>
      <c r="I7988" s="4">
        <v>62033591.17861779</v>
      </c>
      <c r="J7988" s="3">
        <v>0.04055483571109956</v>
      </c>
      <c r="K7988" s="3">
        <v>-0.03897424174035479</v>
      </c>
      <c r="L7988" t="s">
        <v>54</v>
      </c>
    </row>
    <row r="7989" spans="1:12" x14ac:dyDescent="0.25">
      <c r="A7989" t="s">
        <v>490</v>
      </c>
      <c r="B7989" t="s">
        <v>491</v>
      </c>
      <c r="C7989" t="s">
        <v>492</v>
      </c>
      <c r="D7989" t="s">
        <v>278</v>
      </c>
      <c r="E7989" t="s">
        <v>282</v>
      </c>
      <c r="F7989">
        <v>2</v>
      </c>
      <c r="G7989" t="s">
        <v>498</v>
      </c>
      <c r="H7989" s="4">
        <v>59615879</v>
      </c>
      <c r="I7989" s="4">
        <v>62356873</v>
      </c>
      <c r="J7989" s="3">
        <v>0.04597758258332482</v>
      </c>
      <c r="K7989" s="3">
        <v>-0.04395656594261871</v>
      </c>
      <c r="L7989" t="s">
        <v>54</v>
      </c>
    </row>
    <row r="7990" spans="1:12" x14ac:dyDescent="0.25">
      <c r="A7990" t="s">
        <v>490</v>
      </c>
      <c r="B7990" t="s">
        <v>491</v>
      </c>
      <c r="C7990" t="s">
        <v>492</v>
      </c>
      <c r="D7990" t="s">
        <v>278</v>
      </c>
      <c r="E7990" t="s">
        <v>282</v>
      </c>
      <c r="F7990">
        <v>2</v>
      </c>
      <c r="G7990" t="s">
        <v>499</v>
      </c>
      <c r="H7990" s="4">
        <v>59615879</v>
      </c>
      <c r="I7990" s="4">
        <v>49660282</v>
      </c>
      <c r="J7990" s="3">
        <v>0.16699572608834637</v>
      </c>
      <c r="K7990" s="3">
        <v>0.20047403274914952</v>
      </c>
      <c r="L7990" t="s">
        <v>54</v>
      </c>
    </row>
    <row r="7991" spans="1:12" x14ac:dyDescent="0.25">
      <c r="A7991" t="s">
        <v>490</v>
      </c>
      <c r="B7991" t="s">
        <v>491</v>
      </c>
      <c r="C7991" t="s">
        <v>492</v>
      </c>
      <c r="D7991" t="s">
        <v>278</v>
      </c>
      <c r="E7991" t="s">
        <v>284</v>
      </c>
      <c r="F7991">
        <v>3</v>
      </c>
      <c r="G7991" t="s">
        <v>488</v>
      </c>
      <c r="H7991" s="4">
        <v>79118022</v>
      </c>
      <c r="I7991" s="4">
        <v>96883885.37548853</v>
      </c>
      <c r="J7991" s="3">
        <v>0.2245488818652283</v>
      </c>
      <c r="K7991" s="3">
        <v>-0.18337273847590002</v>
      </c>
      <c r="L7991" t="s">
        <v>54</v>
      </c>
    </row>
    <row r="7992" spans="1:12" x14ac:dyDescent="0.25">
      <c r="A7992" t="s">
        <v>490</v>
      </c>
      <c r="B7992" t="s">
        <v>491</v>
      </c>
      <c r="C7992" t="s">
        <v>492</v>
      </c>
      <c r="D7992" t="s">
        <v>278</v>
      </c>
      <c r="E7992" t="s">
        <v>284</v>
      </c>
      <c r="F7992">
        <v>3</v>
      </c>
      <c r="G7992" t="s">
        <v>498</v>
      </c>
      <c r="H7992" s="4">
        <v>79118022</v>
      </c>
      <c r="I7992" s="4">
        <v>97388786</v>
      </c>
      <c r="J7992" s="3">
        <v>0.230930495203735</v>
      </c>
      <c r="K7992" s="3">
        <v>-0.18760644577703228</v>
      </c>
      <c r="L7992" t="s">
        <v>54</v>
      </c>
    </row>
    <row r="7993" spans="1:12" x14ac:dyDescent="0.25">
      <c r="A7993" t="s">
        <v>490</v>
      </c>
      <c r="B7993" t="s">
        <v>491</v>
      </c>
      <c r="C7993" t="s">
        <v>492</v>
      </c>
      <c r="D7993" t="s">
        <v>278</v>
      </c>
      <c r="E7993" t="s">
        <v>284</v>
      </c>
      <c r="F7993">
        <v>3</v>
      </c>
      <c r="G7993" t="s">
        <v>499</v>
      </c>
      <c r="H7993" s="4">
        <v>79118022</v>
      </c>
      <c r="I7993" s="4">
        <v>49660282</v>
      </c>
      <c r="J7993" s="3">
        <v>0.37232654779969093</v>
      </c>
      <c r="K7993" s="3">
        <v>0.5931851132057607</v>
      </c>
      <c r="L7993" t="s">
        <v>54</v>
      </c>
    </row>
    <row r="7994" spans="1:12" x14ac:dyDescent="0.25">
      <c r="A7994" t="s">
        <v>490</v>
      </c>
      <c r="B7994" t="s">
        <v>491</v>
      </c>
      <c r="C7994" t="s">
        <v>492</v>
      </c>
      <c r="D7994" t="s">
        <v>280</v>
      </c>
      <c r="E7994" t="s">
        <v>282</v>
      </c>
      <c r="F7994">
        <v>1</v>
      </c>
      <c r="G7994" t="s">
        <v>488</v>
      </c>
      <c r="H7994" s="4">
        <v>59615879</v>
      </c>
      <c r="I7994" s="4">
        <v>61489498.50251986</v>
      </c>
      <c r="J7994" s="3">
        <v>0.031428195540316714</v>
      </c>
      <c r="K7994" s="3">
        <v>-0.030470560797354353</v>
      </c>
      <c r="L7994" t="s">
        <v>54</v>
      </c>
    </row>
    <row r="7995" spans="1:12" x14ac:dyDescent="0.25">
      <c r="A7995" t="s">
        <v>490</v>
      </c>
      <c r="B7995" t="s">
        <v>491</v>
      </c>
      <c r="C7995" t="s">
        <v>492</v>
      </c>
      <c r="D7995" t="s">
        <v>280</v>
      </c>
      <c r="E7995" t="s">
        <v>282</v>
      </c>
      <c r="F7995">
        <v>1</v>
      </c>
      <c r="G7995" t="s">
        <v>498</v>
      </c>
      <c r="H7995" s="4">
        <v>59615879</v>
      </c>
      <c r="I7995" s="4">
        <v>62356873</v>
      </c>
      <c r="J7995" s="3">
        <v>0.04597758258332482</v>
      </c>
      <c r="K7995" s="3">
        <v>-0.04395656594261871</v>
      </c>
      <c r="L7995" t="s">
        <v>54</v>
      </c>
    </row>
    <row r="7996" spans="1:12" x14ac:dyDescent="0.25">
      <c r="A7996" t="s">
        <v>490</v>
      </c>
      <c r="B7996" t="s">
        <v>491</v>
      </c>
      <c r="C7996" t="s">
        <v>492</v>
      </c>
      <c r="D7996" t="s">
        <v>280</v>
      </c>
      <c r="E7996" t="s">
        <v>282</v>
      </c>
      <c r="F7996">
        <v>1</v>
      </c>
      <c r="G7996" t="s">
        <v>499</v>
      </c>
      <c r="H7996" s="4">
        <v>59615879</v>
      </c>
      <c r="I7996" s="4">
        <v>50856240</v>
      </c>
      <c r="J7996" s="3">
        <v>0.14693466148507178</v>
      </c>
      <c r="K7996" s="3">
        <v>0.1722431504963796</v>
      </c>
      <c r="L7996" t="s">
        <v>54</v>
      </c>
    </row>
    <row r="7997" spans="1:12" x14ac:dyDescent="0.25">
      <c r="A7997" t="s">
        <v>490</v>
      </c>
      <c r="B7997" t="s">
        <v>491</v>
      </c>
      <c r="C7997" t="s">
        <v>492</v>
      </c>
      <c r="D7997" t="s">
        <v>280</v>
      </c>
      <c r="E7997" t="s">
        <v>284</v>
      </c>
      <c r="F7997">
        <v>2</v>
      </c>
      <c r="G7997" t="s">
        <v>488</v>
      </c>
      <c r="H7997" s="4">
        <v>79118022</v>
      </c>
      <c r="I7997" s="4">
        <v>96034122.98928502</v>
      </c>
      <c r="J7997" s="3">
        <v>0.21380844163779805</v>
      </c>
      <c r="K7997" s="3">
        <v>-0.17614677432075296</v>
      </c>
      <c r="L7997" t="s">
        <v>54</v>
      </c>
    </row>
    <row r="7998" spans="1:12" x14ac:dyDescent="0.25">
      <c r="A7998" t="s">
        <v>490</v>
      </c>
      <c r="B7998" t="s">
        <v>491</v>
      </c>
      <c r="C7998" t="s">
        <v>492</v>
      </c>
      <c r="D7998" t="s">
        <v>280</v>
      </c>
      <c r="E7998" t="s">
        <v>284</v>
      </c>
      <c r="F7998">
        <v>2</v>
      </c>
      <c r="G7998" t="s">
        <v>498</v>
      </c>
      <c r="H7998" s="4">
        <v>79118022</v>
      </c>
      <c r="I7998" s="4">
        <v>97388786</v>
      </c>
      <c r="J7998" s="3">
        <v>0.230930495203735</v>
      </c>
      <c r="K7998" s="3">
        <v>-0.18760644577703228</v>
      </c>
      <c r="L7998" t="s">
        <v>54</v>
      </c>
    </row>
    <row r="7999" spans="1:12" x14ac:dyDescent="0.25">
      <c r="A7999" t="s">
        <v>490</v>
      </c>
      <c r="B7999" t="s">
        <v>491</v>
      </c>
      <c r="C7999" t="s">
        <v>492</v>
      </c>
      <c r="D7999" t="s">
        <v>280</v>
      </c>
      <c r="E7999" t="s">
        <v>284</v>
      </c>
      <c r="F7999">
        <v>2</v>
      </c>
      <c r="G7999" t="s">
        <v>499</v>
      </c>
      <c r="H7999" s="4">
        <v>79118022</v>
      </c>
      <c r="I7999" s="4">
        <v>50856240</v>
      </c>
      <c r="J7999" s="3">
        <v>0.3572104216660017</v>
      </c>
      <c r="K7999" s="3">
        <v>0.5557190622035763</v>
      </c>
      <c r="L7999" t="s">
        <v>54</v>
      </c>
    </row>
    <row r="8000" spans="1:12" x14ac:dyDescent="0.25">
      <c r="A8000" t="s">
        <v>490</v>
      </c>
      <c r="B8000" t="s">
        <v>491</v>
      </c>
      <c r="C8000" t="s">
        <v>492</v>
      </c>
      <c r="D8000" t="s">
        <v>280</v>
      </c>
      <c r="E8000" t="s">
        <v>286</v>
      </c>
      <c r="F8000">
        <v>3</v>
      </c>
      <c r="G8000" t="s">
        <v>488</v>
      </c>
      <c r="H8000" s="4">
        <v>97396592</v>
      </c>
      <c r="I8000" s="4">
        <v>95115130.35367909</v>
      </c>
      <c r="J8000" s="3">
        <v>0.02342445048098715</v>
      </c>
      <c r="K8000" s="3">
        <v>0.023986316770396577</v>
      </c>
      <c r="L8000" t="s">
        <v>54</v>
      </c>
    </row>
    <row r="8001" spans="1:12" x14ac:dyDescent="0.25">
      <c r="A8001" t="s">
        <v>490</v>
      </c>
      <c r="B8001" t="s">
        <v>491</v>
      </c>
      <c r="C8001" t="s">
        <v>492</v>
      </c>
      <c r="D8001" t="s">
        <v>280</v>
      </c>
      <c r="E8001" t="s">
        <v>286</v>
      </c>
      <c r="F8001">
        <v>3</v>
      </c>
      <c r="G8001" t="s">
        <v>498</v>
      </c>
      <c r="H8001" s="4">
        <v>97396592</v>
      </c>
      <c r="I8001" s="4">
        <v>96456830</v>
      </c>
      <c r="J8001" s="3">
        <v>0.009648818102382883</v>
      </c>
      <c r="K8001" s="3">
        <v>0.009742824847136278</v>
      </c>
      <c r="L8001" t="s">
        <v>54</v>
      </c>
    </row>
    <row r="8002" spans="1:12" x14ac:dyDescent="0.25">
      <c r="A8002" t="s">
        <v>490</v>
      </c>
      <c r="B8002" t="s">
        <v>491</v>
      </c>
      <c r="C8002" t="s">
        <v>492</v>
      </c>
      <c r="D8002" t="s">
        <v>280</v>
      </c>
      <c r="E8002" t="s">
        <v>286</v>
      </c>
      <c r="F8002">
        <v>3</v>
      </c>
      <c r="G8002" t="s">
        <v>499</v>
      </c>
      <c r="H8002" s="4">
        <v>97396592</v>
      </c>
      <c r="I8002" s="4">
        <v>50856240</v>
      </c>
      <c r="J8002" s="3">
        <v>0.4778437422122532</v>
      </c>
      <c r="K8002" s="3">
        <v>0.9151355271250883</v>
      </c>
      <c r="L8002" t="s">
        <v>54</v>
      </c>
    </row>
    <row r="8003" spans="1:12" x14ac:dyDescent="0.25">
      <c r="A8003" t="s">
        <v>490</v>
      </c>
      <c r="B8003" t="s">
        <v>491</v>
      </c>
      <c r="C8003" t="s">
        <v>492</v>
      </c>
      <c r="D8003" t="s">
        <v>282</v>
      </c>
      <c r="E8003" t="s">
        <v>284</v>
      </c>
      <c r="F8003">
        <v>1</v>
      </c>
      <c r="G8003" t="s">
        <v>488</v>
      </c>
      <c r="H8003" s="4">
        <v>79118022</v>
      </c>
      <c r="I8003" s="4">
        <v>96061442.157696</v>
      </c>
      <c r="J8003" s="3">
        <v>0.21415373804082202</v>
      </c>
      <c r="K8003" s="3">
        <v>-0.17638107212549864</v>
      </c>
      <c r="L8003" t="s">
        <v>54</v>
      </c>
    </row>
    <row r="8004" spans="1:12" x14ac:dyDescent="0.25">
      <c r="A8004" t="s">
        <v>490</v>
      </c>
      <c r="B8004" t="s">
        <v>491</v>
      </c>
      <c r="C8004" t="s">
        <v>492</v>
      </c>
      <c r="D8004" t="s">
        <v>282</v>
      </c>
      <c r="E8004" t="s">
        <v>284</v>
      </c>
      <c r="F8004">
        <v>1</v>
      </c>
      <c r="G8004" t="s">
        <v>498</v>
      </c>
      <c r="H8004" s="4">
        <v>79118022</v>
      </c>
      <c r="I8004" s="4">
        <v>97388786</v>
      </c>
      <c r="J8004" s="3">
        <v>0.230930495203735</v>
      </c>
      <c r="K8004" s="3">
        <v>-0.18760644577703228</v>
      </c>
      <c r="L8004" t="s">
        <v>54</v>
      </c>
    </row>
    <row r="8005" spans="1:12" x14ac:dyDescent="0.25">
      <c r="A8005" t="s">
        <v>490</v>
      </c>
      <c r="B8005" t="s">
        <v>491</v>
      </c>
      <c r="C8005" t="s">
        <v>492</v>
      </c>
      <c r="D8005" t="s">
        <v>282</v>
      </c>
      <c r="E8005" t="s">
        <v>284</v>
      </c>
      <c r="F8005">
        <v>1</v>
      </c>
      <c r="G8005" t="s">
        <v>499</v>
      </c>
      <c r="H8005" s="4">
        <v>79118022</v>
      </c>
      <c r="I8005" s="4">
        <v>59615879</v>
      </c>
      <c r="J8005" s="3">
        <v>0.24649431958751447</v>
      </c>
      <c r="K8005" s="3">
        <v>0.32713000843282036</v>
      </c>
      <c r="L8005" t="s">
        <v>54</v>
      </c>
    </row>
    <row r="8006" spans="1:12" x14ac:dyDescent="0.25">
      <c r="A8006" t="s">
        <v>490</v>
      </c>
      <c r="B8006" t="s">
        <v>491</v>
      </c>
      <c r="C8006" t="s">
        <v>492</v>
      </c>
      <c r="D8006" t="s">
        <v>282</v>
      </c>
      <c r="E8006" t="s">
        <v>286</v>
      </c>
      <c r="F8006">
        <v>2</v>
      </c>
      <c r="G8006" t="s">
        <v>488</v>
      </c>
      <c r="H8006" s="4">
        <v>97396592</v>
      </c>
      <c r="I8006" s="4">
        <v>95142188.09298758</v>
      </c>
      <c r="J8006" s="3">
        <v>0.023146640562253122</v>
      </c>
      <c r="K8006" s="3">
        <v>0.023695102584870842</v>
      </c>
      <c r="L8006" t="s">
        <v>54</v>
      </c>
    </row>
    <row r="8007" spans="1:12" x14ac:dyDescent="0.25">
      <c r="A8007" t="s">
        <v>490</v>
      </c>
      <c r="B8007" t="s">
        <v>491</v>
      </c>
      <c r="C8007" t="s">
        <v>492</v>
      </c>
      <c r="D8007" t="s">
        <v>282</v>
      </c>
      <c r="E8007" t="s">
        <v>286</v>
      </c>
      <c r="F8007">
        <v>2</v>
      </c>
      <c r="G8007" t="s">
        <v>498</v>
      </c>
      <c r="H8007" s="4">
        <v>97396592</v>
      </c>
      <c r="I8007" s="4">
        <v>96456830</v>
      </c>
      <c r="J8007" s="3">
        <v>0.009648818102382883</v>
      </c>
      <c r="K8007" s="3">
        <v>0.009742824847136278</v>
      </c>
      <c r="L8007" t="s">
        <v>54</v>
      </c>
    </row>
    <row r="8008" spans="1:12" x14ac:dyDescent="0.25">
      <c r="A8008" t="s">
        <v>490</v>
      </c>
      <c r="B8008" t="s">
        <v>491</v>
      </c>
      <c r="C8008" t="s">
        <v>492</v>
      </c>
      <c r="D8008" t="s">
        <v>282</v>
      </c>
      <c r="E8008" t="s">
        <v>286</v>
      </c>
      <c r="F8008">
        <v>2</v>
      </c>
      <c r="G8008" t="s">
        <v>499</v>
      </c>
      <c r="H8008" s="4">
        <v>97396592</v>
      </c>
      <c r="I8008" s="4">
        <v>59615879</v>
      </c>
      <c r="J8008" s="3">
        <v>0.38790590331949193</v>
      </c>
      <c r="K8008" s="3">
        <v>0.6337357367489289</v>
      </c>
      <c r="L8008" t="s">
        <v>54</v>
      </c>
    </row>
    <row r="8009" spans="1:12" x14ac:dyDescent="0.25">
      <c r="A8009" t="s">
        <v>490</v>
      </c>
      <c r="B8009" t="s">
        <v>491</v>
      </c>
      <c r="C8009" t="s">
        <v>492</v>
      </c>
      <c r="D8009" t="s">
        <v>282</v>
      </c>
      <c r="E8009" t="s">
        <v>288</v>
      </c>
      <c r="F8009">
        <v>3</v>
      </c>
      <c r="G8009" t="s">
        <v>488</v>
      </c>
      <c r="H8009" s="4">
        <v>72367208</v>
      </c>
      <c r="I8009" s="4">
        <v>89314770.33957502</v>
      </c>
      <c r="J8009" s="3">
        <v>0.23418842329214942</v>
      </c>
      <c r="K8009" s="3">
        <v>-0.18975094796907993</v>
      </c>
      <c r="L8009" t="s">
        <v>54</v>
      </c>
    </row>
    <row r="8010" spans="1:12" x14ac:dyDescent="0.25">
      <c r="A8010" t="s">
        <v>490</v>
      </c>
      <c r="B8010" t="s">
        <v>491</v>
      </c>
      <c r="C8010" t="s">
        <v>492</v>
      </c>
      <c r="D8010" t="s">
        <v>282</v>
      </c>
      <c r="E8010" t="s">
        <v>288</v>
      </c>
      <c r="F8010">
        <v>3</v>
      </c>
      <c r="G8010" t="s">
        <v>498</v>
      </c>
      <c r="H8010" s="4">
        <v>72367208</v>
      </c>
      <c r="I8010" s="4">
        <v>90548891</v>
      </c>
      <c r="J8010" s="3">
        <v>0.2512420128188447</v>
      </c>
      <c r="K8010" s="3">
        <v>-0.20079409917897284</v>
      </c>
      <c r="L8010" t="s">
        <v>54</v>
      </c>
    </row>
    <row r="8011" spans="1:12" x14ac:dyDescent="0.25">
      <c r="A8011" t="s">
        <v>490</v>
      </c>
      <c r="B8011" t="s">
        <v>491</v>
      </c>
      <c r="C8011" t="s">
        <v>492</v>
      </c>
      <c r="D8011" t="s">
        <v>282</v>
      </c>
      <c r="E8011" t="s">
        <v>288</v>
      </c>
      <c r="F8011">
        <v>3</v>
      </c>
      <c r="G8011" t="s">
        <v>499</v>
      </c>
      <c r="H8011" s="4">
        <v>72367208</v>
      </c>
      <c r="I8011" s="4">
        <v>59615879</v>
      </c>
      <c r="J8011" s="3">
        <v>0.1762031360944587</v>
      </c>
      <c r="K8011" s="3">
        <v>0.21389148686375992</v>
      </c>
      <c r="L8011" t="s">
        <v>54</v>
      </c>
    </row>
    <row r="8012" spans="1:12" x14ac:dyDescent="0.25">
      <c r="A8012" t="s">
        <v>490</v>
      </c>
      <c r="B8012" t="s">
        <v>491</v>
      </c>
      <c r="C8012" t="s">
        <v>492</v>
      </c>
      <c r="D8012" t="s">
        <v>284</v>
      </c>
      <c r="E8012" t="s">
        <v>286</v>
      </c>
      <c r="F8012">
        <v>1</v>
      </c>
      <c r="G8012" t="s">
        <v>488</v>
      </c>
      <c r="H8012" s="4">
        <v>97396592</v>
      </c>
      <c r="I8012" s="4">
        <v>93272489.18719284</v>
      </c>
      <c r="J8012" s="3">
        <v>0.04234339958021486</v>
      </c>
      <c r="K8012" s="3">
        <v>0.04421564009651663</v>
      </c>
      <c r="L8012" t="s">
        <v>54</v>
      </c>
    </row>
    <row r="8013" spans="1:12" x14ac:dyDescent="0.25">
      <c r="A8013" t="s">
        <v>490</v>
      </c>
      <c r="B8013" t="s">
        <v>491</v>
      </c>
      <c r="C8013" t="s">
        <v>492</v>
      </c>
      <c r="D8013" t="s">
        <v>284</v>
      </c>
      <c r="E8013" t="s">
        <v>286</v>
      </c>
      <c r="F8013">
        <v>1</v>
      </c>
      <c r="G8013" t="s">
        <v>498</v>
      </c>
      <c r="H8013" s="4">
        <v>97396592</v>
      </c>
      <c r="I8013" s="4">
        <v>96456830</v>
      </c>
      <c r="J8013" s="3">
        <v>0.009648818102382883</v>
      </c>
      <c r="K8013" s="3">
        <v>0.009742824847136278</v>
      </c>
      <c r="L8013" t="s">
        <v>54</v>
      </c>
    </row>
    <row r="8014" spans="1:12" x14ac:dyDescent="0.25">
      <c r="A8014" t="s">
        <v>490</v>
      </c>
      <c r="B8014" t="s">
        <v>491</v>
      </c>
      <c r="C8014" t="s">
        <v>492</v>
      </c>
      <c r="D8014" t="s">
        <v>284</v>
      </c>
      <c r="E8014" t="s">
        <v>286</v>
      </c>
      <c r="F8014">
        <v>1</v>
      </c>
      <c r="G8014" t="s">
        <v>499</v>
      </c>
      <c r="H8014" s="4">
        <v>97396592</v>
      </c>
      <c r="I8014" s="4">
        <v>79118022</v>
      </c>
      <c r="J8014" s="3">
        <v>0.18767155631071772</v>
      </c>
      <c r="K8014" s="3">
        <v>0.23102915793319503</v>
      </c>
      <c r="L8014" t="s">
        <v>54</v>
      </c>
    </row>
    <row r="8015" spans="1:12" x14ac:dyDescent="0.25">
      <c r="A8015" t="s">
        <v>490</v>
      </c>
      <c r="B8015" t="s">
        <v>491</v>
      </c>
      <c r="C8015" t="s">
        <v>492</v>
      </c>
      <c r="D8015" t="s">
        <v>284</v>
      </c>
      <c r="E8015" t="s">
        <v>288</v>
      </c>
      <c r="F8015">
        <v>2</v>
      </c>
      <c r="G8015" t="s">
        <v>488</v>
      </c>
      <c r="H8015" s="4">
        <v>72367208</v>
      </c>
      <c r="I8015" s="4">
        <v>87559589.68079092</v>
      </c>
      <c r="J8015" s="3">
        <v>0.20993461127850774</v>
      </c>
      <c r="K8015" s="3">
        <v>-0.17350905521801305</v>
      </c>
      <c r="L8015" t="s">
        <v>54</v>
      </c>
    </row>
    <row r="8016" spans="1:12" x14ac:dyDescent="0.25">
      <c r="A8016" t="s">
        <v>490</v>
      </c>
      <c r="B8016" t="s">
        <v>491</v>
      </c>
      <c r="C8016" t="s">
        <v>492</v>
      </c>
      <c r="D8016" t="s">
        <v>284</v>
      </c>
      <c r="E8016" t="s">
        <v>288</v>
      </c>
      <c r="F8016">
        <v>2</v>
      </c>
      <c r="G8016" t="s">
        <v>498</v>
      </c>
      <c r="H8016" s="4">
        <v>72367208</v>
      </c>
      <c r="I8016" s="4">
        <v>90548891</v>
      </c>
      <c r="J8016" s="3">
        <v>0.2512420128188447</v>
      </c>
      <c r="K8016" s="3">
        <v>-0.20079409917897284</v>
      </c>
      <c r="L8016" t="s">
        <v>54</v>
      </c>
    </row>
    <row r="8017" spans="1:12" x14ac:dyDescent="0.25">
      <c r="A8017" t="s">
        <v>490</v>
      </c>
      <c r="B8017" t="s">
        <v>491</v>
      </c>
      <c r="C8017" t="s">
        <v>492</v>
      </c>
      <c r="D8017" t="s">
        <v>284</v>
      </c>
      <c r="E8017" t="s">
        <v>288</v>
      </c>
      <c r="F8017">
        <v>2</v>
      </c>
      <c r="G8017" t="s">
        <v>499</v>
      </c>
      <c r="H8017" s="4">
        <v>72367208</v>
      </c>
      <c r="I8017" s="4">
        <v>79118022</v>
      </c>
      <c r="J8017" s="3">
        <v>0.09328553894189202</v>
      </c>
      <c r="K8017" s="3">
        <v>-0.08532586924379884</v>
      </c>
      <c r="L8017" t="s">
        <v>54</v>
      </c>
    </row>
    <row r="8018" spans="1:12" x14ac:dyDescent="0.25">
      <c r="A8018" t="s">
        <v>490</v>
      </c>
      <c r="B8018" t="s">
        <v>491</v>
      </c>
      <c r="C8018" t="s">
        <v>492</v>
      </c>
      <c r="D8018" t="s">
        <v>284</v>
      </c>
      <c r="E8018" t="s">
        <v>290</v>
      </c>
      <c r="F8018">
        <v>3</v>
      </c>
      <c r="G8018" t="s">
        <v>488</v>
      </c>
      <c r="H8018" s="4">
        <v>48310685</v>
      </c>
      <c r="I8018" s="4">
        <v>92911359.23362336</v>
      </c>
      <c r="J8018" s="3">
        <v>0.9232051715603568</v>
      </c>
      <c r="K8018" s="3">
        <v>-0.48003467607740025</v>
      </c>
      <c r="L8018" t="s">
        <v>54</v>
      </c>
    </row>
    <row r="8019" spans="1:12" x14ac:dyDescent="0.25">
      <c r="A8019" t="s">
        <v>490</v>
      </c>
      <c r="B8019" t="s">
        <v>491</v>
      </c>
      <c r="C8019" t="s">
        <v>492</v>
      </c>
      <c r="D8019" t="s">
        <v>284</v>
      </c>
      <c r="E8019" t="s">
        <v>290</v>
      </c>
      <c r="F8019">
        <v>3</v>
      </c>
      <c r="G8019" t="s">
        <v>498</v>
      </c>
      <c r="H8019" s="4">
        <v>48310685</v>
      </c>
      <c r="I8019" s="4">
        <v>96083371</v>
      </c>
      <c r="J8019" s="3">
        <v>0.988863767922148</v>
      </c>
      <c r="K8019" s="3">
        <v>-0.4972003532224114</v>
      </c>
      <c r="L8019" t="s">
        <v>54</v>
      </c>
    </row>
    <row r="8020" spans="1:12" x14ac:dyDescent="0.25">
      <c r="A8020" t="s">
        <v>490</v>
      </c>
      <c r="B8020" t="s">
        <v>491</v>
      </c>
      <c r="C8020" t="s">
        <v>492</v>
      </c>
      <c r="D8020" t="s">
        <v>284</v>
      </c>
      <c r="E8020" t="s">
        <v>290</v>
      </c>
      <c r="F8020">
        <v>3</v>
      </c>
      <c r="G8020" t="s">
        <v>499</v>
      </c>
      <c r="H8020" s="4">
        <v>48310685</v>
      </c>
      <c r="I8020" s="4">
        <v>79118022</v>
      </c>
      <c r="J8020" s="3">
        <v>0.6376919929825048</v>
      </c>
      <c r="K8020" s="3">
        <v>-0.38938457030687645</v>
      </c>
      <c r="L8020" t="s">
        <v>54</v>
      </c>
    </row>
    <row r="8021" spans="1:12" x14ac:dyDescent="0.25">
      <c r="A8021" t="s">
        <v>490</v>
      </c>
      <c r="B8021" t="s">
        <v>491</v>
      </c>
      <c r="C8021" t="s">
        <v>492</v>
      </c>
      <c r="D8021" t="s">
        <v>286</v>
      </c>
      <c r="E8021" t="s">
        <v>288</v>
      </c>
      <c r="F8021">
        <v>1</v>
      </c>
      <c r="G8021" t="s">
        <v>488</v>
      </c>
      <c r="H8021" s="4">
        <v>72367208</v>
      </c>
      <c r="I8021" s="4">
        <v>87538898.95541926</v>
      </c>
      <c r="J8021" s="3">
        <v>0.20964869828084645</v>
      </c>
      <c r="K8021" s="3">
        <v>-0.17331370552359485</v>
      </c>
      <c r="L8021" t="s">
        <v>54</v>
      </c>
    </row>
    <row r="8022" spans="1:12" x14ac:dyDescent="0.25">
      <c r="A8022" t="s">
        <v>490</v>
      </c>
      <c r="B8022" t="s">
        <v>491</v>
      </c>
      <c r="C8022" t="s">
        <v>492</v>
      </c>
      <c r="D8022" t="s">
        <v>286</v>
      </c>
      <c r="E8022" t="s">
        <v>288</v>
      </c>
      <c r="F8022">
        <v>1</v>
      </c>
      <c r="G8022" t="s">
        <v>498</v>
      </c>
      <c r="H8022" s="4">
        <v>72367208</v>
      </c>
      <c r="I8022" s="4">
        <v>90548891</v>
      </c>
      <c r="J8022" s="3">
        <v>0.2512420128188447</v>
      </c>
      <c r="K8022" s="3">
        <v>-0.20079409917897284</v>
      </c>
      <c r="L8022" t="s">
        <v>54</v>
      </c>
    </row>
    <row r="8023" spans="1:12" x14ac:dyDescent="0.25">
      <c r="A8023" t="s">
        <v>490</v>
      </c>
      <c r="B8023" t="s">
        <v>491</v>
      </c>
      <c r="C8023" t="s">
        <v>492</v>
      </c>
      <c r="D8023" t="s">
        <v>286</v>
      </c>
      <c r="E8023" t="s">
        <v>288</v>
      </c>
      <c r="F8023">
        <v>1</v>
      </c>
      <c r="G8023" t="s">
        <v>499</v>
      </c>
      <c r="H8023" s="4">
        <v>72367208</v>
      </c>
      <c r="I8023" s="4">
        <v>97396592</v>
      </c>
      <c r="J8023" s="3">
        <v>0.34586637638417667</v>
      </c>
      <c r="K8023" s="3">
        <v>-0.25698418687996805</v>
      </c>
      <c r="L8023" t="s">
        <v>54</v>
      </c>
    </row>
    <row r="8024" spans="1:12" x14ac:dyDescent="0.25">
      <c r="A8024" t="s">
        <v>490</v>
      </c>
      <c r="B8024" t="s">
        <v>491</v>
      </c>
      <c r="C8024" t="s">
        <v>492</v>
      </c>
      <c r="D8024" t="s">
        <v>286</v>
      </c>
      <c r="E8024" t="s">
        <v>290</v>
      </c>
      <c r="F8024">
        <v>2</v>
      </c>
      <c r="G8024" t="s">
        <v>488</v>
      </c>
      <c r="H8024" s="4">
        <v>48310685</v>
      </c>
      <c r="I8024" s="4">
        <v>92889403.86100434</v>
      </c>
      <c r="J8024" s="3">
        <v>0.9227507095170424</v>
      </c>
      <c r="K8024" s="3">
        <v>-0.47991177688802905</v>
      </c>
      <c r="L8024" t="s">
        <v>54</v>
      </c>
    </row>
    <row r="8025" spans="1:12" x14ac:dyDescent="0.25">
      <c r="A8025" t="s">
        <v>490</v>
      </c>
      <c r="B8025" t="s">
        <v>491</v>
      </c>
      <c r="C8025" t="s">
        <v>492</v>
      </c>
      <c r="D8025" t="s">
        <v>286</v>
      </c>
      <c r="E8025" t="s">
        <v>290</v>
      </c>
      <c r="F8025">
        <v>2</v>
      </c>
      <c r="G8025" t="s">
        <v>498</v>
      </c>
      <c r="H8025" s="4">
        <v>48310685</v>
      </c>
      <c r="I8025" s="4">
        <v>96083371</v>
      </c>
      <c r="J8025" s="3">
        <v>0.988863767922148</v>
      </c>
      <c r="K8025" s="3">
        <v>-0.4972003532224114</v>
      </c>
      <c r="L8025" t="s">
        <v>54</v>
      </c>
    </row>
    <row r="8026" spans="1:12" x14ac:dyDescent="0.25">
      <c r="A8026" t="s">
        <v>490</v>
      </c>
      <c r="B8026" t="s">
        <v>491</v>
      </c>
      <c r="C8026" t="s">
        <v>492</v>
      </c>
      <c r="D8026" t="s">
        <v>286</v>
      </c>
      <c r="E8026" t="s">
        <v>290</v>
      </c>
      <c r="F8026">
        <v>2</v>
      </c>
      <c r="G8026" t="s">
        <v>499</v>
      </c>
      <c r="H8026" s="4">
        <v>48310685</v>
      </c>
      <c r="I8026" s="4">
        <v>97396592</v>
      </c>
      <c r="J8026" s="3">
        <v>1.016046595075189</v>
      </c>
      <c r="K8026" s="3">
        <v>-0.5039797183047227</v>
      </c>
      <c r="L8026" t="s">
        <v>54</v>
      </c>
    </row>
    <row r="8027" spans="1:12" x14ac:dyDescent="0.25">
      <c r="A8027" t="s">
        <v>490</v>
      </c>
      <c r="B8027" t="s">
        <v>491</v>
      </c>
      <c r="C8027" t="s">
        <v>492</v>
      </c>
      <c r="D8027" t="s">
        <v>286</v>
      </c>
      <c r="E8027" t="s">
        <v>292</v>
      </c>
      <c r="F8027">
        <v>3</v>
      </c>
      <c r="G8027" t="s">
        <v>488</v>
      </c>
      <c r="H8027" s="4">
        <v>33938170</v>
      </c>
      <c r="I8027" s="4">
        <v>76100709.77886316</v>
      </c>
      <c r="J8027" s="3">
        <v>1.2423339201513566</v>
      </c>
      <c r="K8027" s="3">
        <v>-0.5540360911400295</v>
      </c>
      <c r="L8027" t="s">
        <v>54</v>
      </c>
    </row>
    <row r="8028" spans="1:12" x14ac:dyDescent="0.25">
      <c r="A8028" t="s">
        <v>490</v>
      </c>
      <c r="B8028" t="s">
        <v>491</v>
      </c>
      <c r="C8028" t="s">
        <v>492</v>
      </c>
      <c r="D8028" t="s">
        <v>286</v>
      </c>
      <c r="E8028" t="s">
        <v>292</v>
      </c>
      <c r="F8028">
        <v>3</v>
      </c>
      <c r="G8028" t="s">
        <v>498</v>
      </c>
      <c r="H8028" s="4">
        <v>33938170</v>
      </c>
      <c r="I8028" s="4">
        <v>78717404</v>
      </c>
      <c r="J8028" s="3">
        <v>1.3194357267937546</v>
      </c>
      <c r="K8028" s="3">
        <v>-0.5688606550083892</v>
      </c>
      <c r="L8028" t="s">
        <v>54</v>
      </c>
    </row>
    <row r="8029" spans="1:12" x14ac:dyDescent="0.25">
      <c r="A8029" t="s">
        <v>490</v>
      </c>
      <c r="B8029" t="s">
        <v>491</v>
      </c>
      <c r="C8029" t="s">
        <v>492</v>
      </c>
      <c r="D8029" t="s">
        <v>286</v>
      </c>
      <c r="E8029" t="s">
        <v>292</v>
      </c>
      <c r="F8029">
        <v>3</v>
      </c>
      <c r="G8029" t="s">
        <v>499</v>
      </c>
      <c r="H8029" s="4">
        <v>33938170</v>
      </c>
      <c r="I8029" s="4">
        <v>97396592</v>
      </c>
      <c r="J8029" s="3">
        <v>1.8698245073320099</v>
      </c>
      <c r="K8029" s="3">
        <v>-0.6515466372786431</v>
      </c>
      <c r="L8029" t="s">
        <v>54</v>
      </c>
    </row>
    <row r="8030" spans="1:12" x14ac:dyDescent="0.25">
      <c r="A8030" t="s">
        <v>490</v>
      </c>
      <c r="B8030" t="s">
        <v>491</v>
      </c>
      <c r="C8030" t="s">
        <v>492</v>
      </c>
      <c r="D8030" t="s">
        <v>288</v>
      </c>
      <c r="E8030" t="s">
        <v>290</v>
      </c>
      <c r="F8030">
        <v>1</v>
      </c>
      <c r="G8030" t="s">
        <v>488</v>
      </c>
      <c r="H8030" s="4">
        <v>48310685</v>
      </c>
      <c r="I8030" s="4">
        <v>92228638.90426469</v>
      </c>
      <c r="J8030" s="3">
        <v>0.909073301367279</v>
      </c>
      <c r="K8030" s="3">
        <v>-0.47618564500179245</v>
      </c>
      <c r="L8030" t="s">
        <v>54</v>
      </c>
    </row>
    <row r="8031" spans="1:12" x14ac:dyDescent="0.25">
      <c r="A8031" t="s">
        <v>490</v>
      </c>
      <c r="B8031" t="s">
        <v>491</v>
      </c>
      <c r="C8031" t="s">
        <v>492</v>
      </c>
      <c r="D8031" t="s">
        <v>288</v>
      </c>
      <c r="E8031" t="s">
        <v>290</v>
      </c>
      <c r="F8031">
        <v>1</v>
      </c>
      <c r="G8031" t="s">
        <v>498</v>
      </c>
      <c r="H8031" s="4">
        <v>48310685</v>
      </c>
      <c r="I8031" s="4">
        <v>96083371</v>
      </c>
      <c r="J8031" s="3">
        <v>0.988863767922148</v>
      </c>
      <c r="K8031" s="3">
        <v>-0.4972003532224114</v>
      </c>
      <c r="L8031" t="s">
        <v>54</v>
      </c>
    </row>
    <row r="8032" spans="1:12" x14ac:dyDescent="0.25">
      <c r="A8032" t="s">
        <v>490</v>
      </c>
      <c r="B8032" t="s">
        <v>491</v>
      </c>
      <c r="C8032" t="s">
        <v>492</v>
      </c>
      <c r="D8032" t="s">
        <v>288</v>
      </c>
      <c r="E8032" t="s">
        <v>290</v>
      </c>
      <c r="F8032">
        <v>1</v>
      </c>
      <c r="G8032" t="s">
        <v>499</v>
      </c>
      <c r="H8032" s="4">
        <v>48310685</v>
      </c>
      <c r="I8032" s="4">
        <v>72367208</v>
      </c>
      <c r="J8032" s="3">
        <v>0.4979545001276633</v>
      </c>
      <c r="K8032" s="3">
        <v>-0.33242298086171845</v>
      </c>
      <c r="L8032" t="s">
        <v>54</v>
      </c>
    </row>
    <row r="8033" spans="1:12" x14ac:dyDescent="0.25">
      <c r="A8033" t="s">
        <v>490</v>
      </c>
      <c r="B8033" t="s">
        <v>491</v>
      </c>
      <c r="C8033" t="s">
        <v>492</v>
      </c>
      <c r="D8033" t="s">
        <v>288</v>
      </c>
      <c r="E8033" t="s">
        <v>292</v>
      </c>
      <c r="F8033">
        <v>2</v>
      </c>
      <c r="G8033" t="s">
        <v>488</v>
      </c>
      <c r="H8033" s="4">
        <v>33938170</v>
      </c>
      <c r="I8033" s="4">
        <v>75559370.5074848</v>
      </c>
      <c r="J8033" s="3">
        <v>1.2263831699671726</v>
      </c>
      <c r="K8033" s="3">
        <v>-0.5508410171755185</v>
      </c>
      <c r="L8033" t="s">
        <v>54</v>
      </c>
    </row>
    <row r="8034" spans="1:12" x14ac:dyDescent="0.25">
      <c r="A8034" t="s">
        <v>490</v>
      </c>
      <c r="B8034" t="s">
        <v>491</v>
      </c>
      <c r="C8034" t="s">
        <v>492</v>
      </c>
      <c r="D8034" t="s">
        <v>288</v>
      </c>
      <c r="E8034" t="s">
        <v>292</v>
      </c>
      <c r="F8034">
        <v>2</v>
      </c>
      <c r="G8034" t="s">
        <v>498</v>
      </c>
      <c r="H8034" s="4">
        <v>33938170</v>
      </c>
      <c r="I8034" s="4">
        <v>78717404</v>
      </c>
      <c r="J8034" s="3">
        <v>1.3194357267937546</v>
      </c>
      <c r="K8034" s="3">
        <v>-0.5688606550083892</v>
      </c>
      <c r="L8034" t="s">
        <v>54</v>
      </c>
    </row>
    <row r="8035" spans="1:12" x14ac:dyDescent="0.25">
      <c r="A8035" t="s">
        <v>490</v>
      </c>
      <c r="B8035" t="s">
        <v>491</v>
      </c>
      <c r="C8035" t="s">
        <v>492</v>
      </c>
      <c r="D8035" t="s">
        <v>288</v>
      </c>
      <c r="E8035" t="s">
        <v>292</v>
      </c>
      <c r="F8035">
        <v>2</v>
      </c>
      <c r="G8035" t="s">
        <v>499</v>
      </c>
      <c r="H8035" s="4">
        <v>33938170</v>
      </c>
      <c r="I8035" s="4">
        <v>72367208</v>
      </c>
      <c r="J8035" s="3">
        <v>1.1323249898270884</v>
      </c>
      <c r="K8035" s="3">
        <v>-0.5310283353753263</v>
      </c>
      <c r="L8035" t="s">
        <v>54</v>
      </c>
    </row>
    <row r="8036" spans="1:12" x14ac:dyDescent="0.25">
      <c r="A8036" t="s">
        <v>490</v>
      </c>
      <c r="B8036" t="s">
        <v>491</v>
      </c>
      <c r="C8036" t="s">
        <v>492</v>
      </c>
      <c r="D8036" t="s">
        <v>288</v>
      </c>
      <c r="E8036" t="s">
        <v>294</v>
      </c>
      <c r="F8036">
        <v>3</v>
      </c>
      <c r="G8036" t="s">
        <v>488</v>
      </c>
      <c r="H8036" s="4">
        <v>49038579</v>
      </c>
      <c r="I8036" s="4">
        <v>83534947.15680723</v>
      </c>
      <c r="J8036" s="3">
        <v>0.7034536656701906</v>
      </c>
      <c r="K8036" s="3">
        <v>-0.41295732302377036</v>
      </c>
      <c r="L8036" t="s">
        <v>54</v>
      </c>
    </row>
    <row r="8037" spans="1:12" x14ac:dyDescent="0.25">
      <c r="A8037" t="s">
        <v>490</v>
      </c>
      <c r="B8037" t="s">
        <v>491</v>
      </c>
      <c r="C8037" t="s">
        <v>492</v>
      </c>
      <c r="D8037" t="s">
        <v>288</v>
      </c>
      <c r="E8037" t="s">
        <v>294</v>
      </c>
      <c r="F8037">
        <v>3</v>
      </c>
      <c r="G8037" t="s">
        <v>498</v>
      </c>
      <c r="H8037" s="4">
        <v>49038579</v>
      </c>
      <c r="I8037" s="4">
        <v>87026323</v>
      </c>
      <c r="J8037" s="3">
        <v>0.7746501789947869</v>
      </c>
      <c r="K8037" s="3">
        <v>-0.4365086641658984</v>
      </c>
      <c r="L8037" t="s">
        <v>54</v>
      </c>
    </row>
    <row r="8038" spans="1:12" x14ac:dyDescent="0.25">
      <c r="A8038" t="s">
        <v>490</v>
      </c>
      <c r="B8038" t="s">
        <v>491</v>
      </c>
      <c r="C8038" t="s">
        <v>492</v>
      </c>
      <c r="D8038" t="s">
        <v>288</v>
      </c>
      <c r="E8038" t="s">
        <v>294</v>
      </c>
      <c r="F8038">
        <v>3</v>
      </c>
      <c r="G8038" t="s">
        <v>499</v>
      </c>
      <c r="H8038" s="4">
        <v>49038579</v>
      </c>
      <c r="I8038" s="4">
        <v>72367208</v>
      </c>
      <c r="J8038" s="3">
        <v>0.47571992247165235</v>
      </c>
      <c r="K8038" s="3">
        <v>-0.32236464062562703</v>
      </c>
      <c r="L8038" t="s">
        <v>54</v>
      </c>
    </row>
    <row r="8039" spans="1:12" x14ac:dyDescent="0.25">
      <c r="A8039" t="s">
        <v>490</v>
      </c>
      <c r="B8039" t="s">
        <v>491</v>
      </c>
      <c r="C8039" t="s">
        <v>492</v>
      </c>
      <c r="D8039" t="s">
        <v>290</v>
      </c>
      <c r="E8039" t="s">
        <v>292</v>
      </c>
      <c r="F8039">
        <v>1</v>
      </c>
      <c r="G8039" t="s">
        <v>488</v>
      </c>
      <c r="H8039" s="4">
        <v>33938170</v>
      </c>
      <c r="I8039" s="4">
        <v>71539187.7287954</v>
      </c>
      <c r="J8039" s="3">
        <v>1.1079270841296214</v>
      </c>
      <c r="K8039" s="3">
        <v>-0.5256002887723664</v>
      </c>
      <c r="L8039" t="s">
        <v>54</v>
      </c>
    </row>
    <row r="8040" spans="1:12" x14ac:dyDescent="0.25">
      <c r="A8040" t="s">
        <v>490</v>
      </c>
      <c r="B8040" t="s">
        <v>491</v>
      </c>
      <c r="C8040" t="s">
        <v>492</v>
      </c>
      <c r="D8040" t="s">
        <v>290</v>
      </c>
      <c r="E8040" t="s">
        <v>292</v>
      </c>
      <c r="F8040">
        <v>1</v>
      </c>
      <c r="G8040" t="s">
        <v>498</v>
      </c>
      <c r="H8040" s="4">
        <v>33938170</v>
      </c>
      <c r="I8040" s="4">
        <v>78717404</v>
      </c>
      <c r="J8040" s="3">
        <v>1.3194357267937546</v>
      </c>
      <c r="K8040" s="3">
        <v>-0.5688606550083892</v>
      </c>
      <c r="L8040" t="s">
        <v>54</v>
      </c>
    </row>
    <row r="8041" spans="1:12" x14ac:dyDescent="0.25">
      <c r="A8041" t="s">
        <v>490</v>
      </c>
      <c r="B8041" t="s">
        <v>491</v>
      </c>
      <c r="C8041" t="s">
        <v>492</v>
      </c>
      <c r="D8041" t="s">
        <v>290</v>
      </c>
      <c r="E8041" t="s">
        <v>292</v>
      </c>
      <c r="F8041">
        <v>1</v>
      </c>
      <c r="G8041" t="s">
        <v>499</v>
      </c>
      <c r="H8041" s="4">
        <v>33938170</v>
      </c>
      <c r="I8041" s="4">
        <v>48310685</v>
      </c>
      <c r="J8041" s="3">
        <v>0.4234911605428342</v>
      </c>
      <c r="K8041" s="3">
        <v>-0.2975017845431088</v>
      </c>
      <c r="L8041" t="s">
        <v>54</v>
      </c>
    </row>
    <row r="8042" spans="1:12" x14ac:dyDescent="0.25">
      <c r="A8042" t="s">
        <v>490</v>
      </c>
      <c r="B8042" t="s">
        <v>491</v>
      </c>
      <c r="C8042" t="s">
        <v>492</v>
      </c>
      <c r="D8042" t="s">
        <v>290</v>
      </c>
      <c r="E8042" t="s">
        <v>294</v>
      </c>
      <c r="F8042">
        <v>2</v>
      </c>
      <c r="G8042" t="s">
        <v>488</v>
      </c>
      <c r="H8042" s="4">
        <v>49038579</v>
      </c>
      <c r="I8042" s="4">
        <v>79090418.91731827</v>
      </c>
      <c r="J8042" s="3">
        <v>0.6128203657230417</v>
      </c>
      <c r="K8042" s="3">
        <v>-0.37996814694754233</v>
      </c>
      <c r="L8042" t="s">
        <v>54</v>
      </c>
    </row>
    <row r="8043" spans="1:12" x14ac:dyDescent="0.25">
      <c r="A8043" t="s">
        <v>490</v>
      </c>
      <c r="B8043" t="s">
        <v>491</v>
      </c>
      <c r="C8043" t="s">
        <v>492</v>
      </c>
      <c r="D8043" t="s">
        <v>290</v>
      </c>
      <c r="E8043" t="s">
        <v>294</v>
      </c>
      <c r="F8043">
        <v>2</v>
      </c>
      <c r="G8043" t="s">
        <v>498</v>
      </c>
      <c r="H8043" s="4">
        <v>49038579</v>
      </c>
      <c r="I8043" s="4">
        <v>87026323</v>
      </c>
      <c r="J8043" s="3">
        <v>0.7746501789947869</v>
      </c>
      <c r="K8043" s="3">
        <v>-0.4365086641658984</v>
      </c>
      <c r="L8043" t="s">
        <v>54</v>
      </c>
    </row>
    <row r="8044" spans="1:12" x14ac:dyDescent="0.25">
      <c r="A8044" t="s">
        <v>490</v>
      </c>
      <c r="B8044" t="s">
        <v>491</v>
      </c>
      <c r="C8044" t="s">
        <v>492</v>
      </c>
      <c r="D8044" t="s">
        <v>290</v>
      </c>
      <c r="E8044" t="s">
        <v>294</v>
      </c>
      <c r="F8044">
        <v>2</v>
      </c>
      <c r="G8044" t="s">
        <v>499</v>
      </c>
      <c r="H8044" s="4">
        <v>49038579</v>
      </c>
      <c r="I8044" s="4">
        <v>48310685</v>
      </c>
      <c r="J8044" s="3">
        <v>0.014843293073398395</v>
      </c>
      <c r="K8044" s="3">
        <v>0.01506693602046835</v>
      </c>
      <c r="L8044" t="s">
        <v>54</v>
      </c>
    </row>
    <row r="8045" spans="1:12" x14ac:dyDescent="0.25">
      <c r="A8045" t="s">
        <v>490</v>
      </c>
      <c r="B8045" t="s">
        <v>491</v>
      </c>
      <c r="C8045" t="s">
        <v>492</v>
      </c>
      <c r="D8045" t="s">
        <v>290</v>
      </c>
      <c r="E8045" t="s">
        <v>296</v>
      </c>
      <c r="F8045">
        <v>3</v>
      </c>
      <c r="G8045" t="s">
        <v>488</v>
      </c>
      <c r="H8045" s="4">
        <v>65713696</v>
      </c>
      <c r="I8045" s="4">
        <v>90446300.82604694</v>
      </c>
      <c r="J8045" s="3">
        <v>0.3763691031173615</v>
      </c>
      <c r="K8045" s="3">
        <v>-0.2734507061114034</v>
      </c>
      <c r="L8045" t="s">
        <v>54</v>
      </c>
    </row>
    <row r="8046" spans="1:12" x14ac:dyDescent="0.25">
      <c r="A8046" t="s">
        <v>490</v>
      </c>
      <c r="B8046" t="s">
        <v>491</v>
      </c>
      <c r="C8046" t="s">
        <v>492</v>
      </c>
      <c r="D8046" t="s">
        <v>290</v>
      </c>
      <c r="E8046" t="s">
        <v>296</v>
      </c>
      <c r="F8046">
        <v>3</v>
      </c>
      <c r="G8046" t="s">
        <v>498</v>
      </c>
      <c r="H8046" s="4">
        <v>65713696</v>
      </c>
      <c r="I8046" s="4">
        <v>99521650</v>
      </c>
      <c r="J8046" s="3">
        <v>0.5144734820576825</v>
      </c>
      <c r="K8046" s="3">
        <v>-0.33970451655494055</v>
      </c>
      <c r="L8046" t="s">
        <v>54</v>
      </c>
    </row>
    <row r="8047" spans="1:12" x14ac:dyDescent="0.25">
      <c r="A8047" t="s">
        <v>490</v>
      </c>
      <c r="B8047" t="s">
        <v>491</v>
      </c>
      <c r="C8047" t="s">
        <v>492</v>
      </c>
      <c r="D8047" t="s">
        <v>290</v>
      </c>
      <c r="E8047" t="s">
        <v>296</v>
      </c>
      <c r="F8047">
        <v>3</v>
      </c>
      <c r="G8047" t="s">
        <v>499</v>
      </c>
      <c r="H8047" s="4">
        <v>65713696</v>
      </c>
      <c r="I8047" s="4">
        <v>48310685</v>
      </c>
      <c r="J8047" s="3">
        <v>0.26483080482948335</v>
      </c>
      <c r="K8047" s="3">
        <v>0.36023109587454616</v>
      </c>
      <c r="L8047" t="s">
        <v>54</v>
      </c>
    </row>
    <row r="8048" spans="1:12" x14ac:dyDescent="0.25">
      <c r="A8048" t="s">
        <v>490</v>
      </c>
      <c r="B8048" t="s">
        <v>491</v>
      </c>
      <c r="C8048" t="s">
        <v>492</v>
      </c>
      <c r="D8048" t="s">
        <v>292</v>
      </c>
      <c r="E8048" t="s">
        <v>294</v>
      </c>
      <c r="F8048">
        <v>1</v>
      </c>
      <c r="G8048" t="s">
        <v>488</v>
      </c>
      <c r="H8048" s="4">
        <v>49038579</v>
      </c>
      <c r="I8048" s="4">
        <v>75143125.86383376</v>
      </c>
      <c r="J8048" s="3">
        <v>0.5323267393990709</v>
      </c>
      <c r="K8048" s="3">
        <v>-0.34739767029571794</v>
      </c>
      <c r="L8048" t="s">
        <v>54</v>
      </c>
    </row>
    <row r="8049" spans="1:12" x14ac:dyDescent="0.25">
      <c r="A8049" t="s">
        <v>490</v>
      </c>
      <c r="B8049" t="s">
        <v>491</v>
      </c>
      <c r="C8049" t="s">
        <v>492</v>
      </c>
      <c r="D8049" t="s">
        <v>292</v>
      </c>
      <c r="E8049" t="s">
        <v>294</v>
      </c>
      <c r="F8049">
        <v>1</v>
      </c>
      <c r="G8049" t="s">
        <v>498</v>
      </c>
      <c r="H8049" s="4">
        <v>49038579</v>
      </c>
      <c r="I8049" s="4">
        <v>87026323</v>
      </c>
      <c r="J8049" s="3">
        <v>0.7746501789947869</v>
      </c>
      <c r="K8049" s="3">
        <v>-0.4365086641658984</v>
      </c>
      <c r="L8049" t="s">
        <v>54</v>
      </c>
    </row>
    <row r="8050" spans="1:12" x14ac:dyDescent="0.25">
      <c r="A8050" t="s">
        <v>490</v>
      </c>
      <c r="B8050" t="s">
        <v>491</v>
      </c>
      <c r="C8050" t="s">
        <v>492</v>
      </c>
      <c r="D8050" t="s">
        <v>292</v>
      </c>
      <c r="E8050" t="s">
        <v>294</v>
      </c>
      <c r="F8050">
        <v>1</v>
      </c>
      <c r="G8050" t="s">
        <v>499</v>
      </c>
      <c r="H8050" s="4">
        <v>49038579</v>
      </c>
      <c r="I8050" s="4">
        <v>33938170</v>
      </c>
      <c r="J8050" s="3">
        <v>0.3079291714386748</v>
      </c>
      <c r="K8050" s="3">
        <v>0.44493881078443537</v>
      </c>
      <c r="L8050" t="s">
        <v>54</v>
      </c>
    </row>
    <row r="8051" spans="1:12" x14ac:dyDescent="0.25">
      <c r="A8051" t="s">
        <v>490</v>
      </c>
      <c r="B8051" t="s">
        <v>491</v>
      </c>
      <c r="C8051" t="s">
        <v>492</v>
      </c>
      <c r="D8051" t="s">
        <v>292</v>
      </c>
      <c r="E8051" t="s">
        <v>296</v>
      </c>
      <c r="F8051">
        <v>2</v>
      </c>
      <c r="G8051" t="s">
        <v>488</v>
      </c>
      <c r="H8051" s="4">
        <v>65713696</v>
      </c>
      <c r="I8051" s="4">
        <v>85932251.46518497</v>
      </c>
      <c r="J8051" s="3">
        <v>0.30767643118391896</v>
      </c>
      <c r="K8051" s="3">
        <v>-0.23528483334777303</v>
      </c>
      <c r="L8051" t="s">
        <v>54</v>
      </c>
    </row>
    <row r="8052" spans="1:12" x14ac:dyDescent="0.25">
      <c r="A8052" t="s">
        <v>490</v>
      </c>
      <c r="B8052" t="s">
        <v>491</v>
      </c>
      <c r="C8052" t="s">
        <v>492</v>
      </c>
      <c r="D8052" t="s">
        <v>292</v>
      </c>
      <c r="E8052" t="s">
        <v>296</v>
      </c>
      <c r="F8052">
        <v>2</v>
      </c>
      <c r="G8052" t="s">
        <v>498</v>
      </c>
      <c r="H8052" s="4">
        <v>65713696</v>
      </c>
      <c r="I8052" s="4">
        <v>99521650</v>
      </c>
      <c r="J8052" s="3">
        <v>0.5144734820576825</v>
      </c>
      <c r="K8052" s="3">
        <v>-0.33970451655494055</v>
      </c>
      <c r="L8052" t="s">
        <v>54</v>
      </c>
    </row>
    <row r="8053" spans="1:12" x14ac:dyDescent="0.25">
      <c r="A8053" t="s">
        <v>490</v>
      </c>
      <c r="B8053" t="s">
        <v>491</v>
      </c>
      <c r="C8053" t="s">
        <v>492</v>
      </c>
      <c r="D8053" t="s">
        <v>292</v>
      </c>
      <c r="E8053" t="s">
        <v>296</v>
      </c>
      <c r="F8053">
        <v>2</v>
      </c>
      <c r="G8053" t="s">
        <v>499</v>
      </c>
      <c r="H8053" s="4">
        <v>65713696</v>
      </c>
      <c r="I8053" s="4">
        <v>33938170</v>
      </c>
      <c r="J8053" s="3">
        <v>0.4835449523338331</v>
      </c>
      <c r="K8053" s="3">
        <v>0.936276941272909</v>
      </c>
      <c r="L8053" t="s">
        <v>54</v>
      </c>
    </row>
    <row r="8054" spans="1:12" x14ac:dyDescent="0.25">
      <c r="A8054" t="s">
        <v>490</v>
      </c>
      <c r="B8054" t="s">
        <v>491</v>
      </c>
      <c r="C8054" t="s">
        <v>492</v>
      </c>
      <c r="D8054" t="s">
        <v>292</v>
      </c>
      <c r="E8054" t="s">
        <v>298</v>
      </c>
      <c r="F8054">
        <v>3</v>
      </c>
      <c r="G8054" t="s">
        <v>488</v>
      </c>
      <c r="H8054" s="4">
        <v>66762856</v>
      </c>
      <c r="I8054" s="4">
        <v>65199886.15574422</v>
      </c>
      <c r="J8054" s="3">
        <v>0.023410769668927623</v>
      </c>
      <c r="K8054" s="3">
        <v>0.02397197198354437</v>
      </c>
      <c r="L8054" t="s">
        <v>54</v>
      </c>
    </row>
    <row r="8055" spans="1:12" x14ac:dyDescent="0.25">
      <c r="A8055" t="s">
        <v>490</v>
      </c>
      <c r="B8055" t="s">
        <v>491</v>
      </c>
      <c r="C8055" t="s">
        <v>492</v>
      </c>
      <c r="D8055" t="s">
        <v>292</v>
      </c>
      <c r="E8055" t="s">
        <v>298</v>
      </c>
      <c r="F8055">
        <v>3</v>
      </c>
      <c r="G8055" t="s">
        <v>498</v>
      </c>
      <c r="H8055" s="4">
        <v>66762856</v>
      </c>
      <c r="I8055" s="4">
        <v>75510651</v>
      </c>
      <c r="J8055" s="3">
        <v>0.13102787274408992</v>
      </c>
      <c r="K8055" s="3">
        <v>-0.11584849136051019</v>
      </c>
      <c r="L8055" t="s">
        <v>54</v>
      </c>
    </row>
    <row r="8056" spans="1:12" x14ac:dyDescent="0.25">
      <c r="A8056" t="s">
        <v>490</v>
      </c>
      <c r="B8056" t="s">
        <v>491</v>
      </c>
      <c r="C8056" t="s">
        <v>492</v>
      </c>
      <c r="D8056" t="s">
        <v>292</v>
      </c>
      <c r="E8056" t="s">
        <v>298</v>
      </c>
      <c r="F8056">
        <v>3</v>
      </c>
      <c r="G8056" t="s">
        <v>499</v>
      </c>
      <c r="H8056" s="4">
        <v>66762856</v>
      </c>
      <c r="I8056" s="4">
        <v>33938170</v>
      </c>
      <c r="J8056" s="3">
        <v>0.49166090198418116</v>
      </c>
      <c r="K8056" s="3">
        <v>0.9671908061041594</v>
      </c>
      <c r="L8056" t="s">
        <v>54</v>
      </c>
    </row>
    <row r="8057" spans="1:12" x14ac:dyDescent="0.25">
      <c r="A8057" t="s">
        <v>490</v>
      </c>
      <c r="B8057" t="s">
        <v>491</v>
      </c>
      <c r="C8057" t="s">
        <v>492</v>
      </c>
      <c r="D8057" t="s">
        <v>294</v>
      </c>
      <c r="E8057" t="s">
        <v>296</v>
      </c>
      <c r="F8057">
        <v>1</v>
      </c>
      <c r="G8057" t="s">
        <v>488</v>
      </c>
      <c r="H8057" s="4">
        <v>65713696</v>
      </c>
      <c r="I8057" s="4">
        <v>82043822.82836741</v>
      </c>
      <c r="J8057" s="3">
        <v>0.24850416005161866</v>
      </c>
      <c r="K8057" s="3">
        <v>-0.19904151544144186</v>
      </c>
      <c r="L8057" t="s">
        <v>54</v>
      </c>
    </row>
    <row r="8058" spans="1:12" x14ac:dyDescent="0.25">
      <c r="A8058" t="s">
        <v>490</v>
      </c>
      <c r="B8058" t="s">
        <v>491</v>
      </c>
      <c r="C8058" t="s">
        <v>492</v>
      </c>
      <c r="D8058" t="s">
        <v>294</v>
      </c>
      <c r="E8058" t="s">
        <v>296</v>
      </c>
      <c r="F8058">
        <v>1</v>
      </c>
      <c r="G8058" t="s">
        <v>498</v>
      </c>
      <c r="H8058" s="4">
        <v>65713696</v>
      </c>
      <c r="I8058" s="4">
        <v>99521650</v>
      </c>
      <c r="J8058" s="3">
        <v>0.5144734820576825</v>
      </c>
      <c r="K8058" s="3">
        <v>-0.33970451655494055</v>
      </c>
      <c r="L8058" t="s">
        <v>54</v>
      </c>
    </row>
    <row r="8059" spans="1:12" x14ac:dyDescent="0.25">
      <c r="A8059" t="s">
        <v>490</v>
      </c>
      <c r="B8059" t="s">
        <v>491</v>
      </c>
      <c r="C8059" t="s">
        <v>492</v>
      </c>
      <c r="D8059" t="s">
        <v>294</v>
      </c>
      <c r="E8059" t="s">
        <v>296</v>
      </c>
      <c r="F8059">
        <v>1</v>
      </c>
      <c r="G8059" t="s">
        <v>499</v>
      </c>
      <c r="H8059" s="4">
        <v>65713696</v>
      </c>
      <c r="I8059" s="4">
        <v>49038579</v>
      </c>
      <c r="J8059" s="3">
        <v>0.25375405760162995</v>
      </c>
      <c r="K8059" s="3">
        <v>0.34004078707093044</v>
      </c>
      <c r="L8059" t="s">
        <v>54</v>
      </c>
    </row>
    <row r="8060" spans="1:12" x14ac:dyDescent="0.25">
      <c r="A8060" t="s">
        <v>490</v>
      </c>
      <c r="B8060" t="s">
        <v>491</v>
      </c>
      <c r="C8060" t="s">
        <v>492</v>
      </c>
      <c r="D8060" t="s">
        <v>294</v>
      </c>
      <c r="E8060" t="s">
        <v>298</v>
      </c>
      <c r="F8060">
        <v>2</v>
      </c>
      <c r="G8060" t="s">
        <v>488</v>
      </c>
      <c r="H8060" s="4">
        <v>66762856</v>
      </c>
      <c r="I8060" s="4">
        <v>62249595.663844846</v>
      </c>
      <c r="J8060" s="3">
        <v>0.06760136708584118</v>
      </c>
      <c r="K8060" s="3">
        <v>0.07250264500555621</v>
      </c>
      <c r="L8060" t="s">
        <v>54</v>
      </c>
    </row>
    <row r="8061" spans="1:12" x14ac:dyDescent="0.25">
      <c r="A8061" t="s">
        <v>490</v>
      </c>
      <c r="B8061" t="s">
        <v>491</v>
      </c>
      <c r="C8061" t="s">
        <v>492</v>
      </c>
      <c r="D8061" t="s">
        <v>294</v>
      </c>
      <c r="E8061" t="s">
        <v>298</v>
      </c>
      <c r="F8061">
        <v>2</v>
      </c>
      <c r="G8061" t="s">
        <v>498</v>
      </c>
      <c r="H8061" s="4">
        <v>66762856</v>
      </c>
      <c r="I8061" s="4">
        <v>75510651</v>
      </c>
      <c r="J8061" s="3">
        <v>0.13102787274408992</v>
      </c>
      <c r="K8061" s="3">
        <v>-0.11584849136051019</v>
      </c>
      <c r="L8061" t="s">
        <v>54</v>
      </c>
    </row>
    <row r="8062" spans="1:12" x14ac:dyDescent="0.25">
      <c r="A8062" t="s">
        <v>490</v>
      </c>
      <c r="B8062" t="s">
        <v>491</v>
      </c>
      <c r="C8062" t="s">
        <v>492</v>
      </c>
      <c r="D8062" t="s">
        <v>294</v>
      </c>
      <c r="E8062" t="s">
        <v>298</v>
      </c>
      <c r="F8062">
        <v>2</v>
      </c>
      <c r="G8062" t="s">
        <v>499</v>
      </c>
      <c r="H8062" s="4">
        <v>66762856</v>
      </c>
      <c r="I8062" s="4">
        <v>49038579</v>
      </c>
      <c r="J8062" s="3">
        <v>0.2654811082377902</v>
      </c>
      <c r="K8062" s="3">
        <v>0.36143537111872676</v>
      </c>
      <c r="L8062" t="s">
        <v>54</v>
      </c>
    </row>
    <row r="8063" spans="1:12" x14ac:dyDescent="0.25">
      <c r="A8063" t="s">
        <v>490</v>
      </c>
      <c r="B8063" t="s">
        <v>491</v>
      </c>
      <c r="C8063" t="s">
        <v>492</v>
      </c>
      <c r="D8063" t="s">
        <v>294</v>
      </c>
      <c r="E8063" t="s">
        <v>300</v>
      </c>
      <c r="F8063">
        <v>3</v>
      </c>
      <c r="G8063" t="s">
        <v>488</v>
      </c>
      <c r="H8063" s="4">
        <v>66539009</v>
      </c>
      <c r="I8063" s="4">
        <v>47525081.5712898</v>
      </c>
      <c r="J8063" s="3">
        <v>0.285756095776993</v>
      </c>
      <c r="K8063" s="3">
        <v>0.4000819525199223</v>
      </c>
      <c r="L8063" t="s">
        <v>54</v>
      </c>
    </row>
    <row r="8064" spans="1:12" x14ac:dyDescent="0.25">
      <c r="A8064" t="s">
        <v>490</v>
      </c>
      <c r="B8064" t="s">
        <v>491</v>
      </c>
      <c r="C8064" t="s">
        <v>492</v>
      </c>
      <c r="D8064" t="s">
        <v>294</v>
      </c>
      <c r="E8064" t="s">
        <v>300</v>
      </c>
      <c r="F8064">
        <v>3</v>
      </c>
      <c r="G8064" t="s">
        <v>498</v>
      </c>
      <c r="H8064" s="4">
        <v>66539009</v>
      </c>
      <c r="I8064" s="4">
        <v>57649368</v>
      </c>
      <c r="J8064" s="3">
        <v>0.13360044181000652</v>
      </c>
      <c r="K8064" s="3">
        <v>0.1542018812764782</v>
      </c>
      <c r="L8064" t="s">
        <v>54</v>
      </c>
    </row>
    <row r="8065" spans="1:12" x14ac:dyDescent="0.25">
      <c r="A8065" t="s">
        <v>490</v>
      </c>
      <c r="B8065" t="s">
        <v>491</v>
      </c>
      <c r="C8065" t="s">
        <v>492</v>
      </c>
      <c r="D8065" t="s">
        <v>294</v>
      </c>
      <c r="E8065" t="s">
        <v>300</v>
      </c>
      <c r="F8065">
        <v>3</v>
      </c>
      <c r="G8065" t="s">
        <v>499</v>
      </c>
      <c r="H8065" s="4">
        <v>66539009</v>
      </c>
      <c r="I8065" s="4">
        <v>49038579</v>
      </c>
      <c r="J8065" s="3">
        <v>0.26301007879453087</v>
      </c>
      <c r="K8065" s="3">
        <v>0.3568706589153001</v>
      </c>
      <c r="L8065" t="s">
        <v>54</v>
      </c>
    </row>
    <row r="8066" spans="1:12" x14ac:dyDescent="0.25">
      <c r="A8066" t="s">
        <v>490</v>
      </c>
      <c r="B8066" t="s">
        <v>491</v>
      </c>
      <c r="C8066" t="s">
        <v>492</v>
      </c>
      <c r="D8066" t="s">
        <v>296</v>
      </c>
      <c r="E8066" t="s">
        <v>298</v>
      </c>
      <c r="F8066">
        <v>1</v>
      </c>
      <c r="G8066" t="s">
        <v>488</v>
      </c>
      <c r="H8066" s="4">
        <v>66762856</v>
      </c>
      <c r="I8066" s="4">
        <v>59645210.59336104</v>
      </c>
      <c r="J8066" s="3">
        <v>0.10661085868823462</v>
      </c>
      <c r="K8066" s="3">
        <v>0.11933305852777397</v>
      </c>
      <c r="L8066" t="s">
        <v>54</v>
      </c>
    </row>
    <row r="8067" spans="1:12" x14ac:dyDescent="0.25">
      <c r="A8067" t="s">
        <v>490</v>
      </c>
      <c r="B8067" t="s">
        <v>491</v>
      </c>
      <c r="C8067" t="s">
        <v>492</v>
      </c>
      <c r="D8067" t="s">
        <v>296</v>
      </c>
      <c r="E8067" t="s">
        <v>298</v>
      </c>
      <c r="F8067">
        <v>1</v>
      </c>
      <c r="G8067" t="s">
        <v>498</v>
      </c>
      <c r="H8067" s="4">
        <v>66762856</v>
      </c>
      <c r="I8067" s="4">
        <v>75510651</v>
      </c>
      <c r="J8067" s="3">
        <v>0.13102787274408992</v>
      </c>
      <c r="K8067" s="3">
        <v>-0.11584849136051019</v>
      </c>
      <c r="L8067" t="s">
        <v>54</v>
      </c>
    </row>
    <row r="8068" spans="1:12" x14ac:dyDescent="0.25">
      <c r="A8068" t="s">
        <v>490</v>
      </c>
      <c r="B8068" t="s">
        <v>491</v>
      </c>
      <c r="C8068" t="s">
        <v>492</v>
      </c>
      <c r="D8068" t="s">
        <v>296</v>
      </c>
      <c r="E8068" t="s">
        <v>298</v>
      </c>
      <c r="F8068">
        <v>1</v>
      </c>
      <c r="G8068" t="s">
        <v>499</v>
      </c>
      <c r="H8068" s="4">
        <v>66762856</v>
      </c>
      <c r="I8068" s="4">
        <v>65713696</v>
      </c>
      <c r="J8068" s="3">
        <v>0.01571472616450081</v>
      </c>
      <c r="K8068" s="3">
        <v>0.015965621534968905</v>
      </c>
      <c r="L8068" t="s">
        <v>54</v>
      </c>
    </row>
    <row r="8069" spans="1:12" x14ac:dyDescent="0.25">
      <c r="A8069" t="s">
        <v>490</v>
      </c>
      <c r="B8069" t="s">
        <v>491</v>
      </c>
      <c r="C8069" t="s">
        <v>492</v>
      </c>
      <c r="D8069" t="s">
        <v>296</v>
      </c>
      <c r="E8069" t="s">
        <v>300</v>
      </c>
      <c r="F8069">
        <v>2</v>
      </c>
      <c r="G8069" t="s">
        <v>488</v>
      </c>
      <c r="H8069" s="4">
        <v>66539009</v>
      </c>
      <c r="I8069" s="4">
        <v>45536737.52507006</v>
      </c>
      <c r="J8069" s="3">
        <v>0.3156384771965862</v>
      </c>
      <c r="K8069" s="3">
        <v>0.4612159899107228</v>
      </c>
      <c r="L8069" t="s">
        <v>54</v>
      </c>
    </row>
    <row r="8070" spans="1:12" x14ac:dyDescent="0.25">
      <c r="A8070" t="s">
        <v>490</v>
      </c>
      <c r="B8070" t="s">
        <v>491</v>
      </c>
      <c r="C8070" t="s">
        <v>492</v>
      </c>
      <c r="D8070" t="s">
        <v>296</v>
      </c>
      <c r="E8070" t="s">
        <v>300</v>
      </c>
      <c r="F8070">
        <v>2</v>
      </c>
      <c r="G8070" t="s">
        <v>498</v>
      </c>
      <c r="H8070" s="4">
        <v>66539009</v>
      </c>
      <c r="I8070" s="4">
        <v>57649368</v>
      </c>
      <c r="J8070" s="3">
        <v>0.13360044181000652</v>
      </c>
      <c r="K8070" s="3">
        <v>0.1542018812764782</v>
      </c>
      <c r="L8070" t="s">
        <v>54</v>
      </c>
    </row>
    <row r="8071" spans="1:12" x14ac:dyDescent="0.25">
      <c r="A8071" t="s">
        <v>490</v>
      </c>
      <c r="B8071" t="s">
        <v>491</v>
      </c>
      <c r="C8071" t="s">
        <v>492</v>
      </c>
      <c r="D8071" t="s">
        <v>296</v>
      </c>
      <c r="E8071" t="s">
        <v>300</v>
      </c>
      <c r="F8071">
        <v>2</v>
      </c>
      <c r="G8071" t="s">
        <v>499</v>
      </c>
      <c r="H8071" s="4">
        <v>66539009</v>
      </c>
      <c r="I8071" s="4">
        <v>65713696</v>
      </c>
      <c r="J8071" s="3">
        <v>0.012403445924480179</v>
      </c>
      <c r="K8071" s="3">
        <v>0.012559223574945473</v>
      </c>
      <c r="L8071" t="s">
        <v>54</v>
      </c>
    </row>
    <row r="8072" spans="1:12" x14ac:dyDescent="0.25">
      <c r="A8072" t="s">
        <v>490</v>
      </c>
      <c r="B8072" t="s">
        <v>491</v>
      </c>
      <c r="C8072" t="s">
        <v>492</v>
      </c>
      <c r="D8072" t="s">
        <v>296</v>
      </c>
      <c r="E8072" t="s">
        <v>302</v>
      </c>
      <c r="F8072">
        <v>3</v>
      </c>
      <c r="G8072" t="s">
        <v>488</v>
      </c>
      <c r="H8072" s="4">
        <v>53893356</v>
      </c>
      <c r="I8072" s="4">
        <v>39226227.54259788</v>
      </c>
      <c r="J8072" s="3">
        <v>0.2721509578546587</v>
      </c>
      <c r="K8072" s="3">
        <v>0.37391126744151704</v>
      </c>
      <c r="L8072" t="s">
        <v>54</v>
      </c>
    </row>
    <row r="8073" spans="1:12" x14ac:dyDescent="0.25">
      <c r="A8073" t="s">
        <v>490</v>
      </c>
      <c r="B8073" t="s">
        <v>491</v>
      </c>
      <c r="C8073" t="s">
        <v>492</v>
      </c>
      <c r="D8073" t="s">
        <v>296</v>
      </c>
      <c r="E8073" t="s">
        <v>302</v>
      </c>
      <c r="F8073">
        <v>3</v>
      </c>
      <c r="G8073" t="s">
        <v>498</v>
      </c>
      <c r="H8073" s="4">
        <v>53893356</v>
      </c>
      <c r="I8073" s="4">
        <v>49660282</v>
      </c>
      <c r="J8073" s="3">
        <v>0.07854537765285947</v>
      </c>
      <c r="K8073" s="3">
        <v>0.08524063556465507</v>
      </c>
      <c r="L8073" t="s">
        <v>54</v>
      </c>
    </row>
    <row r="8074" spans="1:12" x14ac:dyDescent="0.25">
      <c r="A8074" t="s">
        <v>490</v>
      </c>
      <c r="B8074" t="s">
        <v>491</v>
      </c>
      <c r="C8074" t="s">
        <v>492</v>
      </c>
      <c r="D8074" t="s">
        <v>296</v>
      </c>
      <c r="E8074" t="s">
        <v>302</v>
      </c>
      <c r="F8074">
        <v>3</v>
      </c>
      <c r="G8074" t="s">
        <v>499</v>
      </c>
      <c r="H8074" s="4">
        <v>53893356</v>
      </c>
      <c r="I8074" s="4">
        <v>65713696</v>
      </c>
      <c r="J8074" s="3">
        <v>0.2193283342755645</v>
      </c>
      <c r="K8074" s="3">
        <v>-0.1798763533251881</v>
      </c>
      <c r="L8074" t="s">
        <v>54</v>
      </c>
    </row>
    <row r="8075" spans="1:12" x14ac:dyDescent="0.25">
      <c r="A8075" t="s">
        <v>490</v>
      </c>
      <c r="B8075" t="s">
        <v>491</v>
      </c>
      <c r="C8075" t="s">
        <v>492</v>
      </c>
      <c r="D8075" t="s">
        <v>298</v>
      </c>
      <c r="E8075" t="s">
        <v>300</v>
      </c>
      <c r="F8075">
        <v>1</v>
      </c>
      <c r="G8075" t="s">
        <v>488</v>
      </c>
      <c r="H8075" s="4">
        <v>66539009</v>
      </c>
      <c r="I8075" s="4">
        <v>45108832.863939635</v>
      </c>
      <c r="J8075" s="3">
        <v>0.32206936138860087</v>
      </c>
      <c r="K8075" s="3">
        <v>0.4750771584070804</v>
      </c>
      <c r="L8075" t="s">
        <v>54</v>
      </c>
    </row>
    <row r="8076" spans="1:12" x14ac:dyDescent="0.25">
      <c r="A8076" t="s">
        <v>490</v>
      </c>
      <c r="B8076" t="s">
        <v>491</v>
      </c>
      <c r="C8076" t="s">
        <v>492</v>
      </c>
      <c r="D8076" t="s">
        <v>298</v>
      </c>
      <c r="E8076" t="s">
        <v>300</v>
      </c>
      <c r="F8076">
        <v>1</v>
      </c>
      <c r="G8076" t="s">
        <v>498</v>
      </c>
      <c r="H8076" s="4">
        <v>66539009</v>
      </c>
      <c r="I8076" s="4">
        <v>57649368</v>
      </c>
      <c r="J8076" s="3">
        <v>0.13360044181000652</v>
      </c>
      <c r="K8076" s="3">
        <v>0.1542018812764782</v>
      </c>
      <c r="L8076" t="s">
        <v>54</v>
      </c>
    </row>
    <row r="8077" spans="1:12" x14ac:dyDescent="0.25">
      <c r="A8077" t="s">
        <v>490</v>
      </c>
      <c r="B8077" t="s">
        <v>491</v>
      </c>
      <c r="C8077" t="s">
        <v>492</v>
      </c>
      <c r="D8077" t="s">
        <v>298</v>
      </c>
      <c r="E8077" t="s">
        <v>300</v>
      </c>
      <c r="F8077">
        <v>1</v>
      </c>
      <c r="G8077" t="s">
        <v>499</v>
      </c>
      <c r="H8077" s="4">
        <v>66539009</v>
      </c>
      <c r="I8077" s="4">
        <v>66762856</v>
      </c>
      <c r="J8077" s="3">
        <v>0.0033641468871290223</v>
      </c>
      <c r="K8077" s="3">
        <v>-0.0033528673488743502</v>
      </c>
      <c r="L8077" t="s">
        <v>54</v>
      </c>
    </row>
    <row r="8078" spans="1:12" x14ac:dyDescent="0.25">
      <c r="A8078" t="s">
        <v>490</v>
      </c>
      <c r="B8078" t="s">
        <v>491</v>
      </c>
      <c r="C8078" t="s">
        <v>492</v>
      </c>
      <c r="D8078" t="s">
        <v>298</v>
      </c>
      <c r="E8078" t="s">
        <v>302</v>
      </c>
      <c r="F8078">
        <v>2</v>
      </c>
      <c r="G8078" t="s">
        <v>488</v>
      </c>
      <c r="H8078" s="4">
        <v>53893356</v>
      </c>
      <c r="I8078" s="4">
        <v>38857622.18094239</v>
      </c>
      <c r="J8078" s="3">
        <v>0.2789904903873051</v>
      </c>
      <c r="K8078" s="3">
        <v>0.3869442589421194</v>
      </c>
      <c r="L8078" t="s">
        <v>54</v>
      </c>
    </row>
    <row r="8079" spans="1:12" x14ac:dyDescent="0.25">
      <c r="A8079" t="s">
        <v>490</v>
      </c>
      <c r="B8079" t="s">
        <v>491</v>
      </c>
      <c r="C8079" t="s">
        <v>492</v>
      </c>
      <c r="D8079" t="s">
        <v>298</v>
      </c>
      <c r="E8079" t="s">
        <v>302</v>
      </c>
      <c r="F8079">
        <v>2</v>
      </c>
      <c r="G8079" t="s">
        <v>498</v>
      </c>
      <c r="H8079" s="4">
        <v>53893356</v>
      </c>
      <c r="I8079" s="4">
        <v>49660282</v>
      </c>
      <c r="J8079" s="3">
        <v>0.07854537765285947</v>
      </c>
      <c r="K8079" s="3">
        <v>0.08524063556465507</v>
      </c>
      <c r="L8079" t="s">
        <v>54</v>
      </c>
    </row>
    <row r="8080" spans="1:12" x14ac:dyDescent="0.25">
      <c r="A8080" t="s">
        <v>490</v>
      </c>
      <c r="B8080" t="s">
        <v>491</v>
      </c>
      <c r="C8080" t="s">
        <v>492</v>
      </c>
      <c r="D8080" t="s">
        <v>298</v>
      </c>
      <c r="E8080" t="s">
        <v>302</v>
      </c>
      <c r="F8080">
        <v>2</v>
      </c>
      <c r="G8080" t="s">
        <v>499</v>
      </c>
      <c r="H8080" s="4">
        <v>53893356</v>
      </c>
      <c r="I8080" s="4">
        <v>66762856</v>
      </c>
      <c r="J8080" s="3">
        <v>0.23879566898747223</v>
      </c>
      <c r="K8080" s="3">
        <v>-0.1927643718537146</v>
      </c>
      <c r="L8080" t="s">
        <v>54</v>
      </c>
    </row>
    <row r="8081" spans="1:12" x14ac:dyDescent="0.25">
      <c r="A8081" t="s">
        <v>490</v>
      </c>
      <c r="B8081" t="s">
        <v>491</v>
      </c>
      <c r="C8081" t="s">
        <v>492</v>
      </c>
      <c r="D8081" t="s">
        <v>298</v>
      </c>
      <c r="E8081" t="s">
        <v>304</v>
      </c>
      <c r="F8081">
        <v>3</v>
      </c>
      <c r="G8081" t="s">
        <v>488</v>
      </c>
      <c r="H8081" s="4">
        <v>40051176</v>
      </c>
      <c r="I8081" s="4">
        <v>39793422.024130456</v>
      </c>
      <c r="J8081" s="3">
        <v>0.006435615670050334</v>
      </c>
      <c r="K8081" s="3">
        <v>0.006477301090447653</v>
      </c>
      <c r="L8081" t="s">
        <v>54</v>
      </c>
    </row>
    <row r="8082" spans="1:12" x14ac:dyDescent="0.25">
      <c r="A8082" t="s">
        <v>490</v>
      </c>
      <c r="B8082" t="s">
        <v>491</v>
      </c>
      <c r="C8082" t="s">
        <v>492</v>
      </c>
      <c r="D8082" t="s">
        <v>298</v>
      </c>
      <c r="E8082" t="s">
        <v>304</v>
      </c>
      <c r="F8082">
        <v>3</v>
      </c>
      <c r="G8082" t="s">
        <v>498</v>
      </c>
      <c r="H8082" s="4">
        <v>40051176</v>
      </c>
      <c r="I8082" s="4">
        <v>50856240</v>
      </c>
      <c r="J8082" s="3">
        <v>0.2697814416235868</v>
      </c>
      <c r="K8082" s="3">
        <v>-0.212462895408705</v>
      </c>
      <c r="L8082" t="s">
        <v>54</v>
      </c>
    </row>
    <row r="8083" spans="1:12" x14ac:dyDescent="0.25">
      <c r="A8083" t="s">
        <v>490</v>
      </c>
      <c r="B8083" t="s">
        <v>491</v>
      </c>
      <c r="C8083" t="s">
        <v>492</v>
      </c>
      <c r="D8083" t="s">
        <v>298</v>
      </c>
      <c r="E8083" t="s">
        <v>304</v>
      </c>
      <c r="F8083">
        <v>3</v>
      </c>
      <c r="G8083" t="s">
        <v>499</v>
      </c>
      <c r="H8083" s="4">
        <v>40051176</v>
      </c>
      <c r="I8083" s="4">
        <v>66762856</v>
      </c>
      <c r="J8083" s="3">
        <v>0.6669387186034188</v>
      </c>
      <c r="K8083" s="3">
        <v>-0.4000979227131925</v>
      </c>
      <c r="L8083" t="s">
        <v>54</v>
      </c>
    </row>
    <row r="8084" spans="1:12" x14ac:dyDescent="0.25">
      <c r="A8084" t="s">
        <v>490</v>
      </c>
      <c r="B8084" t="s">
        <v>491</v>
      </c>
      <c r="C8084" t="s">
        <v>492</v>
      </c>
      <c r="D8084" t="s">
        <v>300</v>
      </c>
      <c r="E8084" t="s">
        <v>302</v>
      </c>
      <c r="F8084">
        <v>1</v>
      </c>
      <c r="G8084" t="s">
        <v>488</v>
      </c>
      <c r="H8084" s="4">
        <v>53893356</v>
      </c>
      <c r="I8084" s="4">
        <v>39676284.50627743</v>
      </c>
      <c r="J8084" s="3">
        <v>0.2638000775776994</v>
      </c>
      <c r="K8084" s="3">
        <v>0.3583266848354513</v>
      </c>
      <c r="L8084" t="s">
        <v>54</v>
      </c>
    </row>
    <row r="8085" spans="1:12" x14ac:dyDescent="0.25">
      <c r="A8085" t="s">
        <v>490</v>
      </c>
      <c r="B8085" t="s">
        <v>491</v>
      </c>
      <c r="C8085" t="s">
        <v>492</v>
      </c>
      <c r="D8085" t="s">
        <v>300</v>
      </c>
      <c r="E8085" t="s">
        <v>302</v>
      </c>
      <c r="F8085">
        <v>1</v>
      </c>
      <c r="G8085" t="s">
        <v>498</v>
      </c>
      <c r="H8085" s="4">
        <v>53893356</v>
      </c>
      <c r="I8085" s="4">
        <v>49660282</v>
      </c>
      <c r="J8085" s="3">
        <v>0.07854537765285947</v>
      </c>
      <c r="K8085" s="3">
        <v>0.08524063556465507</v>
      </c>
      <c r="L8085" t="s">
        <v>54</v>
      </c>
    </row>
    <row r="8086" spans="1:12" x14ac:dyDescent="0.25">
      <c r="A8086" t="s">
        <v>490</v>
      </c>
      <c r="B8086" t="s">
        <v>491</v>
      </c>
      <c r="C8086" t="s">
        <v>492</v>
      </c>
      <c r="D8086" t="s">
        <v>300</v>
      </c>
      <c r="E8086" t="s">
        <v>302</v>
      </c>
      <c r="F8086">
        <v>1</v>
      </c>
      <c r="G8086" t="s">
        <v>499</v>
      </c>
      <c r="H8086" s="4">
        <v>53893356</v>
      </c>
      <c r="I8086" s="4">
        <v>66539009</v>
      </c>
      <c r="J8086" s="3">
        <v>0.23464215143699718</v>
      </c>
      <c r="K8086" s="3">
        <v>-0.19004871262810663</v>
      </c>
      <c r="L8086" t="s">
        <v>54</v>
      </c>
    </row>
    <row r="8087" spans="1:12" x14ac:dyDescent="0.25">
      <c r="A8087" t="s">
        <v>490</v>
      </c>
      <c r="B8087" t="s">
        <v>491</v>
      </c>
      <c r="C8087" t="s">
        <v>492</v>
      </c>
      <c r="D8087" t="s">
        <v>300</v>
      </c>
      <c r="E8087" t="s">
        <v>304</v>
      </c>
      <c r="F8087">
        <v>2</v>
      </c>
      <c r="G8087" t="s">
        <v>488</v>
      </c>
      <c r="H8087" s="4">
        <v>40051176</v>
      </c>
      <c r="I8087" s="4">
        <v>40631800.01997424</v>
      </c>
      <c r="J8087" s="3">
        <v>0.014497052969786435</v>
      </c>
      <c r="K8087" s="3">
        <v>-0.014289891653552376</v>
      </c>
      <c r="L8087" t="s">
        <v>54</v>
      </c>
    </row>
    <row r="8088" spans="1:12" x14ac:dyDescent="0.25">
      <c r="A8088" t="s">
        <v>490</v>
      </c>
      <c r="B8088" t="s">
        <v>491</v>
      </c>
      <c r="C8088" t="s">
        <v>492</v>
      </c>
      <c r="D8088" t="s">
        <v>300</v>
      </c>
      <c r="E8088" t="s">
        <v>304</v>
      </c>
      <c r="F8088">
        <v>2</v>
      </c>
      <c r="G8088" t="s">
        <v>498</v>
      </c>
      <c r="H8088" s="4">
        <v>40051176</v>
      </c>
      <c r="I8088" s="4">
        <v>50856240</v>
      </c>
      <c r="J8088" s="3">
        <v>0.2697814416235868</v>
      </c>
      <c r="K8088" s="3">
        <v>-0.212462895408705</v>
      </c>
      <c r="L8088" t="s">
        <v>54</v>
      </c>
    </row>
    <row r="8089" spans="1:12" x14ac:dyDescent="0.25">
      <c r="A8089" t="s">
        <v>490</v>
      </c>
      <c r="B8089" t="s">
        <v>491</v>
      </c>
      <c r="C8089" t="s">
        <v>492</v>
      </c>
      <c r="D8089" t="s">
        <v>300</v>
      </c>
      <c r="E8089" t="s">
        <v>304</v>
      </c>
      <c r="F8089">
        <v>2</v>
      </c>
      <c r="G8089" t="s">
        <v>499</v>
      </c>
      <c r="H8089" s="4">
        <v>40051176</v>
      </c>
      <c r="I8089" s="4">
        <v>66539009</v>
      </c>
      <c r="J8089" s="3">
        <v>0.6613496942012389</v>
      </c>
      <c r="K8089" s="3">
        <v>-0.3980797640073058</v>
      </c>
      <c r="L8089" t="s">
        <v>54</v>
      </c>
    </row>
    <row r="8090" spans="1:12" x14ac:dyDescent="0.25">
      <c r="A8090" t="s">
        <v>490</v>
      </c>
      <c r="B8090" t="s">
        <v>491</v>
      </c>
      <c r="C8090" t="s">
        <v>492</v>
      </c>
      <c r="D8090" t="s">
        <v>300</v>
      </c>
      <c r="E8090" t="s">
        <v>306</v>
      </c>
      <c r="F8090">
        <v>3</v>
      </c>
      <c r="G8090" t="s">
        <v>488</v>
      </c>
      <c r="H8090" s="4">
        <v>48975049</v>
      </c>
      <c r="I8090" s="4">
        <v>47630349.26575346</v>
      </c>
      <c r="J8090" s="3">
        <v>0.02745683285067335</v>
      </c>
      <c r="K8090" s="3">
        <v>0.028231993990717703</v>
      </c>
      <c r="L8090" t="s">
        <v>54</v>
      </c>
    </row>
    <row r="8091" spans="1:12" x14ac:dyDescent="0.25">
      <c r="A8091" t="s">
        <v>490</v>
      </c>
      <c r="B8091" t="s">
        <v>491</v>
      </c>
      <c r="C8091" t="s">
        <v>492</v>
      </c>
      <c r="D8091" t="s">
        <v>300</v>
      </c>
      <c r="E8091" t="s">
        <v>306</v>
      </c>
      <c r="F8091">
        <v>3</v>
      </c>
      <c r="G8091" t="s">
        <v>498</v>
      </c>
      <c r="H8091" s="4">
        <v>48975049</v>
      </c>
      <c r="I8091" s="4">
        <v>59615879</v>
      </c>
      <c r="J8091" s="3">
        <v>0.2172704309086041</v>
      </c>
      <c r="K8091" s="3">
        <v>-0.17848986173633372</v>
      </c>
      <c r="L8091" t="s">
        <v>54</v>
      </c>
    </row>
    <row r="8092" spans="1:12" x14ac:dyDescent="0.25">
      <c r="A8092" t="s">
        <v>490</v>
      </c>
      <c r="B8092" t="s">
        <v>491</v>
      </c>
      <c r="C8092" t="s">
        <v>492</v>
      </c>
      <c r="D8092" t="s">
        <v>300</v>
      </c>
      <c r="E8092" t="s">
        <v>306</v>
      </c>
      <c r="F8092">
        <v>3</v>
      </c>
      <c r="G8092" t="s">
        <v>499</v>
      </c>
      <c r="H8092" s="4">
        <v>48975049</v>
      </c>
      <c r="I8092" s="4">
        <v>66539009</v>
      </c>
      <c r="J8092" s="3">
        <v>0.35863077952203787</v>
      </c>
      <c r="K8092" s="3">
        <v>-0.26396485706602574</v>
      </c>
      <c r="L8092" t="s">
        <v>54</v>
      </c>
    </row>
    <row r="8093" spans="1:12" x14ac:dyDescent="0.25">
      <c r="A8093" t="s">
        <v>490</v>
      </c>
      <c r="B8093" t="s">
        <v>491</v>
      </c>
      <c r="C8093" t="s">
        <v>492</v>
      </c>
      <c r="D8093" t="s">
        <v>302</v>
      </c>
      <c r="E8093" t="s">
        <v>304</v>
      </c>
      <c r="F8093">
        <v>1</v>
      </c>
      <c r="G8093" t="s">
        <v>488</v>
      </c>
      <c r="H8093" s="4">
        <v>40051176</v>
      </c>
      <c r="I8093" s="4">
        <v>41277842.499362774</v>
      </c>
      <c r="J8093" s="3">
        <v>0.0306274776891139</v>
      </c>
      <c r="K8093" s="3">
        <v>-0.02971731139731227</v>
      </c>
      <c r="L8093" t="s">
        <v>54</v>
      </c>
    </row>
    <row r="8094" spans="1:12" x14ac:dyDescent="0.25">
      <c r="A8094" t="s">
        <v>490</v>
      </c>
      <c r="B8094" t="s">
        <v>491</v>
      </c>
      <c r="C8094" t="s">
        <v>492</v>
      </c>
      <c r="D8094" t="s">
        <v>302</v>
      </c>
      <c r="E8094" t="s">
        <v>304</v>
      </c>
      <c r="F8094">
        <v>1</v>
      </c>
      <c r="G8094" t="s">
        <v>498</v>
      </c>
      <c r="H8094" s="4">
        <v>40051176</v>
      </c>
      <c r="I8094" s="4">
        <v>50856240</v>
      </c>
      <c r="J8094" s="3">
        <v>0.2697814416235868</v>
      </c>
      <c r="K8094" s="3">
        <v>-0.212462895408705</v>
      </c>
      <c r="L8094" t="s">
        <v>54</v>
      </c>
    </row>
    <row r="8095" spans="1:12" x14ac:dyDescent="0.25">
      <c r="A8095" t="s">
        <v>490</v>
      </c>
      <c r="B8095" t="s">
        <v>491</v>
      </c>
      <c r="C8095" t="s">
        <v>492</v>
      </c>
      <c r="D8095" t="s">
        <v>302</v>
      </c>
      <c r="E8095" t="s">
        <v>304</v>
      </c>
      <c r="F8095">
        <v>1</v>
      </c>
      <c r="G8095" t="s">
        <v>499</v>
      </c>
      <c r="H8095" s="4">
        <v>40051176</v>
      </c>
      <c r="I8095" s="4">
        <v>53893356</v>
      </c>
      <c r="J8095" s="3">
        <v>0.3456123235931949</v>
      </c>
      <c r="K8095" s="3">
        <v>-0.25684390484051506</v>
      </c>
      <c r="L8095" t="s">
        <v>54</v>
      </c>
    </row>
    <row r="8096" spans="1:12" x14ac:dyDescent="0.25">
      <c r="A8096" t="s">
        <v>490</v>
      </c>
      <c r="B8096" t="s">
        <v>491</v>
      </c>
      <c r="C8096" t="s">
        <v>492</v>
      </c>
      <c r="D8096" t="s">
        <v>302</v>
      </c>
      <c r="E8096" t="s">
        <v>306</v>
      </c>
      <c r="F8096">
        <v>2</v>
      </c>
      <c r="G8096" t="s">
        <v>488</v>
      </c>
      <c r="H8096" s="4">
        <v>48975049</v>
      </c>
      <c r="I8096" s="4">
        <v>48387668.13714637</v>
      </c>
      <c r="J8096" s="3">
        <v>0.01199347167276201</v>
      </c>
      <c r="K8096" s="3">
        <v>0.012139061158905265</v>
      </c>
      <c r="L8096" t="s">
        <v>54</v>
      </c>
    </row>
    <row r="8097" spans="1:12" x14ac:dyDescent="0.25">
      <c r="A8097" t="s">
        <v>490</v>
      </c>
      <c r="B8097" t="s">
        <v>491</v>
      </c>
      <c r="C8097" t="s">
        <v>492</v>
      </c>
      <c r="D8097" t="s">
        <v>302</v>
      </c>
      <c r="E8097" t="s">
        <v>306</v>
      </c>
      <c r="F8097">
        <v>2</v>
      </c>
      <c r="G8097" t="s">
        <v>498</v>
      </c>
      <c r="H8097" s="4">
        <v>48975049</v>
      </c>
      <c r="I8097" s="4">
        <v>59615879</v>
      </c>
      <c r="J8097" s="3">
        <v>0.2172704309086041</v>
      </c>
      <c r="K8097" s="3">
        <v>-0.17848986173633372</v>
      </c>
      <c r="L8097" t="s">
        <v>54</v>
      </c>
    </row>
    <row r="8098" spans="1:12" x14ac:dyDescent="0.25">
      <c r="A8098" t="s">
        <v>490</v>
      </c>
      <c r="B8098" t="s">
        <v>491</v>
      </c>
      <c r="C8098" t="s">
        <v>492</v>
      </c>
      <c r="D8098" t="s">
        <v>302</v>
      </c>
      <c r="E8098" t="s">
        <v>306</v>
      </c>
      <c r="F8098">
        <v>2</v>
      </c>
      <c r="G8098" t="s">
        <v>499</v>
      </c>
      <c r="H8098" s="4">
        <v>48975049</v>
      </c>
      <c r="I8098" s="4">
        <v>53893356</v>
      </c>
      <c r="J8098" s="3">
        <v>0.10042474893695359</v>
      </c>
      <c r="K8098" s="3">
        <v>-0.09125998759476028</v>
      </c>
      <c r="L8098" t="s">
        <v>54</v>
      </c>
    </row>
    <row r="8099" spans="1:12" x14ac:dyDescent="0.25">
      <c r="A8099" t="s">
        <v>490</v>
      </c>
      <c r="B8099" t="s">
        <v>491</v>
      </c>
      <c r="C8099" t="s">
        <v>492</v>
      </c>
      <c r="D8099" t="s">
        <v>302</v>
      </c>
      <c r="E8099" t="s">
        <v>308</v>
      </c>
      <c r="F8099">
        <v>3</v>
      </c>
      <c r="G8099" t="s">
        <v>488</v>
      </c>
      <c r="H8099" s="4">
        <v>69464444</v>
      </c>
      <c r="I8099" s="4">
        <v>64216726.42289557</v>
      </c>
      <c r="J8099" s="3">
        <v>0.07554537652535485</v>
      </c>
      <c r="K8099" s="3">
        <v>0.08171885845668748</v>
      </c>
      <c r="L8099" t="s">
        <v>54</v>
      </c>
    </row>
    <row r="8100" spans="1:12" x14ac:dyDescent="0.25">
      <c r="A8100" t="s">
        <v>490</v>
      </c>
      <c r="B8100" t="s">
        <v>491</v>
      </c>
      <c r="C8100" t="s">
        <v>492</v>
      </c>
      <c r="D8100" t="s">
        <v>302</v>
      </c>
      <c r="E8100" t="s">
        <v>308</v>
      </c>
      <c r="F8100">
        <v>3</v>
      </c>
      <c r="G8100" t="s">
        <v>498</v>
      </c>
      <c r="H8100" s="4">
        <v>69464444</v>
      </c>
      <c r="I8100" s="4">
        <v>79118022</v>
      </c>
      <c r="J8100" s="3">
        <v>0.13897150029733196</v>
      </c>
      <c r="K8100" s="3">
        <v>-0.1220149057821491</v>
      </c>
      <c r="L8100" t="s">
        <v>54</v>
      </c>
    </row>
    <row r="8101" spans="1:12" x14ac:dyDescent="0.25">
      <c r="A8101" t="s">
        <v>490</v>
      </c>
      <c r="B8101" t="s">
        <v>491</v>
      </c>
      <c r="C8101" t="s">
        <v>492</v>
      </c>
      <c r="D8101" t="s">
        <v>302</v>
      </c>
      <c r="E8101" t="s">
        <v>308</v>
      </c>
      <c r="F8101">
        <v>3</v>
      </c>
      <c r="G8101" t="s">
        <v>499</v>
      </c>
      <c r="H8101" s="4">
        <v>69464444</v>
      </c>
      <c r="I8101" s="4">
        <v>53893356</v>
      </c>
      <c r="J8101" s="3">
        <v>0.22415911081070483</v>
      </c>
      <c r="K8101" s="3">
        <v>0.2889240744257975</v>
      </c>
      <c r="L8101" t="s">
        <v>54</v>
      </c>
    </row>
    <row r="8102" spans="1:12" x14ac:dyDescent="0.25">
      <c r="A8102" t="s">
        <v>490</v>
      </c>
      <c r="B8102" t="s">
        <v>491</v>
      </c>
      <c r="C8102" t="s">
        <v>492</v>
      </c>
      <c r="D8102" t="s">
        <v>304</v>
      </c>
      <c r="E8102" t="s">
        <v>306</v>
      </c>
      <c r="F8102">
        <v>1</v>
      </c>
      <c r="G8102" t="s">
        <v>488</v>
      </c>
      <c r="H8102" s="4">
        <v>48975049</v>
      </c>
      <c r="I8102" s="4">
        <v>47922436.24410165</v>
      </c>
      <c r="J8102" s="3">
        <v>0.021492837217954575</v>
      </c>
      <c r="K8102" s="3">
        <v>0.021964925792517607</v>
      </c>
      <c r="L8102" t="s">
        <v>54</v>
      </c>
    </row>
    <row r="8103" spans="1:12" x14ac:dyDescent="0.25">
      <c r="A8103" t="s">
        <v>490</v>
      </c>
      <c r="B8103" t="s">
        <v>491</v>
      </c>
      <c r="C8103" t="s">
        <v>492</v>
      </c>
      <c r="D8103" t="s">
        <v>304</v>
      </c>
      <c r="E8103" t="s">
        <v>306</v>
      </c>
      <c r="F8103">
        <v>1</v>
      </c>
      <c r="G8103" t="s">
        <v>498</v>
      </c>
      <c r="H8103" s="4">
        <v>48975049</v>
      </c>
      <c r="I8103" s="4">
        <v>59615879</v>
      </c>
      <c r="J8103" s="3">
        <v>0.2172704309086041</v>
      </c>
      <c r="K8103" s="3">
        <v>-0.17848986173633372</v>
      </c>
      <c r="L8103" t="s">
        <v>54</v>
      </c>
    </row>
    <row r="8104" spans="1:12" x14ac:dyDescent="0.25">
      <c r="A8104" t="s">
        <v>490</v>
      </c>
      <c r="B8104" t="s">
        <v>491</v>
      </c>
      <c r="C8104" t="s">
        <v>492</v>
      </c>
      <c r="D8104" t="s">
        <v>304</v>
      </c>
      <c r="E8104" t="s">
        <v>306</v>
      </c>
      <c r="F8104">
        <v>1</v>
      </c>
      <c r="G8104" t="s">
        <v>499</v>
      </c>
      <c r="H8104" s="4">
        <v>48975049</v>
      </c>
      <c r="I8104" s="4">
        <v>40051176</v>
      </c>
      <c r="J8104" s="3">
        <v>0.18221264056315697</v>
      </c>
      <c r="K8104" s="3">
        <v>0.22281175963472333</v>
      </c>
      <c r="L8104" t="s">
        <v>54</v>
      </c>
    </row>
    <row r="8105" spans="1:12" x14ac:dyDescent="0.25">
      <c r="A8105" t="s">
        <v>490</v>
      </c>
      <c r="B8105" t="s">
        <v>491</v>
      </c>
      <c r="C8105" t="s">
        <v>492</v>
      </c>
      <c r="D8105" t="s">
        <v>304</v>
      </c>
      <c r="E8105" t="s">
        <v>308</v>
      </c>
      <c r="F8105">
        <v>2</v>
      </c>
      <c r="G8105" t="s">
        <v>488</v>
      </c>
      <c r="H8105" s="4">
        <v>69464444</v>
      </c>
      <c r="I8105" s="4">
        <v>63599303.21675592</v>
      </c>
      <c r="J8105" s="3">
        <v>0.08443371091034833</v>
      </c>
      <c r="K8105" s="3">
        <v>0.09222020504304591</v>
      </c>
      <c r="L8105" t="s">
        <v>54</v>
      </c>
    </row>
    <row r="8106" spans="1:12" x14ac:dyDescent="0.25">
      <c r="A8106" t="s">
        <v>490</v>
      </c>
      <c r="B8106" t="s">
        <v>491</v>
      </c>
      <c r="C8106" t="s">
        <v>492</v>
      </c>
      <c r="D8106" t="s">
        <v>304</v>
      </c>
      <c r="E8106" t="s">
        <v>308</v>
      </c>
      <c r="F8106">
        <v>2</v>
      </c>
      <c r="G8106" t="s">
        <v>498</v>
      </c>
      <c r="H8106" s="4">
        <v>69464444</v>
      </c>
      <c r="I8106" s="4">
        <v>79118022</v>
      </c>
      <c r="J8106" s="3">
        <v>0.13897150029733196</v>
      </c>
      <c r="K8106" s="3">
        <v>-0.1220149057821491</v>
      </c>
      <c r="L8106" t="s">
        <v>54</v>
      </c>
    </row>
    <row r="8107" spans="1:12" x14ac:dyDescent="0.25">
      <c r="A8107" t="s">
        <v>490</v>
      </c>
      <c r="B8107" t="s">
        <v>491</v>
      </c>
      <c r="C8107" t="s">
        <v>492</v>
      </c>
      <c r="D8107" t="s">
        <v>304</v>
      </c>
      <c r="E8107" t="s">
        <v>308</v>
      </c>
      <c r="F8107">
        <v>2</v>
      </c>
      <c r="G8107" t="s">
        <v>499</v>
      </c>
      <c r="H8107" s="4">
        <v>69464444</v>
      </c>
      <c r="I8107" s="4">
        <v>40051176</v>
      </c>
      <c r="J8107" s="3">
        <v>0.42342911432502073</v>
      </c>
      <c r="K8107" s="3">
        <v>0.7343921187233055</v>
      </c>
      <c r="L8107" t="s">
        <v>54</v>
      </c>
    </row>
    <row r="8108" spans="1:12" x14ac:dyDescent="0.25">
      <c r="A8108" t="s">
        <v>490</v>
      </c>
      <c r="B8108" t="s">
        <v>491</v>
      </c>
      <c r="C8108" t="s">
        <v>492</v>
      </c>
      <c r="D8108" t="s">
        <v>304</v>
      </c>
      <c r="E8108" t="s">
        <v>310</v>
      </c>
      <c r="F8108">
        <v>3</v>
      </c>
      <c r="G8108" t="s">
        <v>488</v>
      </c>
      <c r="H8108" s="4">
        <v>83748379</v>
      </c>
      <c r="I8108" s="4">
        <v>78292596.68406098</v>
      </c>
      <c r="J8108" s="3">
        <v>0.06514493033875944</v>
      </c>
      <c r="K8108" s="3">
        <v>0.06968452378652204</v>
      </c>
      <c r="L8108" t="s">
        <v>54</v>
      </c>
    </row>
    <row r="8109" spans="1:12" x14ac:dyDescent="0.25">
      <c r="A8109" t="s">
        <v>490</v>
      </c>
      <c r="B8109" t="s">
        <v>491</v>
      </c>
      <c r="C8109" t="s">
        <v>492</v>
      </c>
      <c r="D8109" t="s">
        <v>304</v>
      </c>
      <c r="E8109" t="s">
        <v>310</v>
      </c>
      <c r="F8109">
        <v>3</v>
      </c>
      <c r="G8109" t="s">
        <v>498</v>
      </c>
      <c r="H8109" s="4">
        <v>83748379</v>
      </c>
      <c r="I8109" s="4">
        <v>97396592</v>
      </c>
      <c r="J8109" s="3">
        <v>0.16296689157410438</v>
      </c>
      <c r="K8109" s="3">
        <v>-0.14013029326529208</v>
      </c>
      <c r="L8109" t="s">
        <v>54</v>
      </c>
    </row>
    <row r="8110" spans="1:12" x14ac:dyDescent="0.25">
      <c r="A8110" t="s">
        <v>490</v>
      </c>
      <c r="B8110" t="s">
        <v>491</v>
      </c>
      <c r="C8110" t="s">
        <v>492</v>
      </c>
      <c r="D8110" t="s">
        <v>304</v>
      </c>
      <c r="E8110" t="s">
        <v>310</v>
      </c>
      <c r="F8110">
        <v>3</v>
      </c>
      <c r="G8110" t="s">
        <v>499</v>
      </c>
      <c r="H8110" s="4">
        <v>83748379</v>
      </c>
      <c r="I8110" s="4">
        <v>40051176</v>
      </c>
      <c r="J8110" s="3">
        <v>0.521767746692745</v>
      </c>
      <c r="K8110" s="3">
        <v>1.0910342058370521</v>
      </c>
      <c r="L8110" t="s">
        <v>54</v>
      </c>
    </row>
    <row r="8111" spans="1:12" x14ac:dyDescent="0.25">
      <c r="A8111" t="s">
        <v>490</v>
      </c>
      <c r="B8111" t="s">
        <v>491</v>
      </c>
      <c r="C8111" t="s">
        <v>492</v>
      </c>
      <c r="D8111" t="s">
        <v>306</v>
      </c>
      <c r="E8111" t="s">
        <v>308</v>
      </c>
      <c r="F8111">
        <v>1</v>
      </c>
      <c r="G8111" t="s">
        <v>488</v>
      </c>
      <c r="H8111" s="4">
        <v>69464444</v>
      </c>
      <c r="I8111" s="4">
        <v>62712302.52872762</v>
      </c>
      <c r="J8111" s="3">
        <v>0.09720284338952427</v>
      </c>
      <c r="K8111" s="3">
        <v>0.10766853071898162</v>
      </c>
      <c r="L8111" t="s">
        <v>54</v>
      </c>
    </row>
    <row r="8112" spans="1:12" x14ac:dyDescent="0.25">
      <c r="A8112" t="s">
        <v>490</v>
      </c>
      <c r="B8112" t="s">
        <v>491</v>
      </c>
      <c r="C8112" t="s">
        <v>492</v>
      </c>
      <c r="D8112" t="s">
        <v>306</v>
      </c>
      <c r="E8112" t="s">
        <v>308</v>
      </c>
      <c r="F8112">
        <v>1</v>
      </c>
      <c r="G8112" t="s">
        <v>498</v>
      </c>
      <c r="H8112" s="4">
        <v>69464444</v>
      </c>
      <c r="I8112" s="4">
        <v>79118022</v>
      </c>
      <c r="J8112" s="3">
        <v>0.13897150029733196</v>
      </c>
      <c r="K8112" s="3">
        <v>-0.1220149057821491</v>
      </c>
      <c r="L8112" t="s">
        <v>54</v>
      </c>
    </row>
    <row r="8113" spans="1:12" x14ac:dyDescent="0.25">
      <c r="A8113" t="s">
        <v>490</v>
      </c>
      <c r="B8113" t="s">
        <v>491</v>
      </c>
      <c r="C8113" t="s">
        <v>492</v>
      </c>
      <c r="D8113" t="s">
        <v>306</v>
      </c>
      <c r="E8113" t="s">
        <v>308</v>
      </c>
      <c r="F8113">
        <v>1</v>
      </c>
      <c r="G8113" t="s">
        <v>499</v>
      </c>
      <c r="H8113" s="4">
        <v>69464444</v>
      </c>
      <c r="I8113" s="4">
        <v>48975049</v>
      </c>
      <c r="J8113" s="3">
        <v>0.2949623407336277</v>
      </c>
      <c r="K8113" s="3">
        <v>0.41836395099880347</v>
      </c>
      <c r="L8113" t="s">
        <v>54</v>
      </c>
    </row>
    <row r="8114" spans="1:12" x14ac:dyDescent="0.25">
      <c r="A8114" t="s">
        <v>490</v>
      </c>
      <c r="B8114" t="s">
        <v>491</v>
      </c>
      <c r="C8114" t="s">
        <v>492</v>
      </c>
      <c r="D8114" t="s">
        <v>306</v>
      </c>
      <c r="E8114" t="s">
        <v>310</v>
      </c>
      <c r="F8114">
        <v>2</v>
      </c>
      <c r="G8114" t="s">
        <v>488</v>
      </c>
      <c r="H8114" s="4">
        <v>83748379</v>
      </c>
      <c r="I8114" s="4">
        <v>77200672.97399133</v>
      </c>
      <c r="J8114" s="3">
        <v>0.07818307774062905</v>
      </c>
      <c r="K8114" s="3">
        <v>0.08481410554820638</v>
      </c>
      <c r="L8114" t="s">
        <v>54</v>
      </c>
    </row>
    <row r="8115" spans="1:12" x14ac:dyDescent="0.25">
      <c r="A8115" t="s">
        <v>490</v>
      </c>
      <c r="B8115" t="s">
        <v>491</v>
      </c>
      <c r="C8115" t="s">
        <v>492</v>
      </c>
      <c r="D8115" t="s">
        <v>306</v>
      </c>
      <c r="E8115" t="s">
        <v>310</v>
      </c>
      <c r="F8115">
        <v>2</v>
      </c>
      <c r="G8115" t="s">
        <v>498</v>
      </c>
      <c r="H8115" s="4">
        <v>83748379</v>
      </c>
      <c r="I8115" s="4">
        <v>97396592</v>
      </c>
      <c r="J8115" s="3">
        <v>0.16296689157410438</v>
      </c>
      <c r="K8115" s="3">
        <v>-0.14013029326529208</v>
      </c>
      <c r="L8115" t="s">
        <v>54</v>
      </c>
    </row>
    <row r="8116" spans="1:12" x14ac:dyDescent="0.25">
      <c r="A8116" t="s">
        <v>490</v>
      </c>
      <c r="B8116" t="s">
        <v>491</v>
      </c>
      <c r="C8116" t="s">
        <v>492</v>
      </c>
      <c r="D8116" t="s">
        <v>306</v>
      </c>
      <c r="E8116" t="s">
        <v>310</v>
      </c>
      <c r="F8116">
        <v>2</v>
      </c>
      <c r="G8116" t="s">
        <v>499</v>
      </c>
      <c r="H8116" s="4">
        <v>83748379</v>
      </c>
      <c r="I8116" s="4">
        <v>48975049</v>
      </c>
      <c r="J8116" s="3">
        <v>0.4152119768192767</v>
      </c>
      <c r="K8116" s="3">
        <v>0.710021341683599</v>
      </c>
      <c r="L8116" t="s">
        <v>54</v>
      </c>
    </row>
    <row r="8117" spans="1:12" x14ac:dyDescent="0.25">
      <c r="A8117" t="s">
        <v>490</v>
      </c>
      <c r="B8117" t="s">
        <v>491</v>
      </c>
      <c r="C8117" t="s">
        <v>492</v>
      </c>
      <c r="D8117" t="s">
        <v>306</v>
      </c>
      <c r="E8117" t="s">
        <v>312</v>
      </c>
      <c r="F8117">
        <v>3</v>
      </c>
      <c r="G8117" t="s">
        <v>488</v>
      </c>
      <c r="H8117" s="4">
        <v>99253933</v>
      </c>
      <c r="I8117" s="4">
        <v>57361320.803183846</v>
      </c>
      <c r="J8117" s="3">
        <v>0.42207508489176093</v>
      </c>
      <c r="K8117" s="3">
        <v>0.7303285839696163</v>
      </c>
      <c r="L8117" t="s">
        <v>54</v>
      </c>
    </row>
    <row r="8118" spans="1:12" x14ac:dyDescent="0.25">
      <c r="A8118" t="s">
        <v>490</v>
      </c>
      <c r="B8118" t="s">
        <v>491</v>
      </c>
      <c r="C8118" t="s">
        <v>492</v>
      </c>
      <c r="D8118" t="s">
        <v>306</v>
      </c>
      <c r="E8118" t="s">
        <v>312</v>
      </c>
      <c r="F8118">
        <v>3</v>
      </c>
      <c r="G8118" t="s">
        <v>498</v>
      </c>
      <c r="H8118" s="4">
        <v>99253933</v>
      </c>
      <c r="I8118" s="4">
        <v>72367208</v>
      </c>
      <c r="J8118" s="3">
        <v>0.2708882578990598</v>
      </c>
      <c r="K8118" s="3">
        <v>0.3715318822304157</v>
      </c>
      <c r="L8118" t="s">
        <v>54</v>
      </c>
    </row>
    <row r="8119" spans="1:12" x14ac:dyDescent="0.25">
      <c r="A8119" t="s">
        <v>490</v>
      </c>
      <c r="B8119" t="s">
        <v>491</v>
      </c>
      <c r="C8119" t="s">
        <v>492</v>
      </c>
      <c r="D8119" t="s">
        <v>306</v>
      </c>
      <c r="E8119" t="s">
        <v>312</v>
      </c>
      <c r="F8119">
        <v>3</v>
      </c>
      <c r="G8119" t="s">
        <v>499</v>
      </c>
      <c r="H8119" s="4">
        <v>99253933</v>
      </c>
      <c r="I8119" s="4">
        <v>48975049</v>
      </c>
      <c r="J8119" s="3">
        <v>0.5065681780086236</v>
      </c>
      <c r="K8119" s="3">
        <v>1.026622433802976</v>
      </c>
      <c r="L8119" t="s">
        <v>54</v>
      </c>
    </row>
    <row r="8120" spans="1:12" x14ac:dyDescent="0.25">
      <c r="A8120" t="s">
        <v>490</v>
      </c>
      <c r="B8120" t="s">
        <v>491</v>
      </c>
      <c r="C8120" t="s">
        <v>492</v>
      </c>
      <c r="D8120" t="s">
        <v>308</v>
      </c>
      <c r="E8120" t="s">
        <v>310</v>
      </c>
      <c r="F8120">
        <v>1</v>
      </c>
      <c r="G8120" t="s">
        <v>488</v>
      </c>
      <c r="H8120" s="4">
        <v>83748379</v>
      </c>
      <c r="I8120" s="4">
        <v>77733039.01228578</v>
      </c>
      <c r="J8120" s="3">
        <v>0.07182634529217832</v>
      </c>
      <c r="K8120" s="3">
        <v>0.07738459815990838</v>
      </c>
      <c r="L8120" t="s">
        <v>54</v>
      </c>
    </row>
    <row r="8121" spans="1:12" x14ac:dyDescent="0.25">
      <c r="A8121" t="s">
        <v>490</v>
      </c>
      <c r="B8121" t="s">
        <v>491</v>
      </c>
      <c r="C8121" t="s">
        <v>492</v>
      </c>
      <c r="D8121" t="s">
        <v>308</v>
      </c>
      <c r="E8121" t="s">
        <v>310</v>
      </c>
      <c r="F8121">
        <v>1</v>
      </c>
      <c r="G8121" t="s">
        <v>498</v>
      </c>
      <c r="H8121" s="4">
        <v>83748379</v>
      </c>
      <c r="I8121" s="4">
        <v>97396592</v>
      </c>
      <c r="J8121" s="3">
        <v>0.16296689157410438</v>
      </c>
      <c r="K8121" s="3">
        <v>-0.14013029326529208</v>
      </c>
      <c r="L8121" t="s">
        <v>54</v>
      </c>
    </row>
    <row r="8122" spans="1:12" x14ac:dyDescent="0.25">
      <c r="A8122" t="s">
        <v>490</v>
      </c>
      <c r="B8122" t="s">
        <v>491</v>
      </c>
      <c r="C8122" t="s">
        <v>492</v>
      </c>
      <c r="D8122" t="s">
        <v>308</v>
      </c>
      <c r="E8122" t="s">
        <v>310</v>
      </c>
      <c r="F8122">
        <v>1</v>
      </c>
      <c r="G8122" t="s">
        <v>499</v>
      </c>
      <c r="H8122" s="4">
        <v>83748379</v>
      </c>
      <c r="I8122" s="4">
        <v>69464444</v>
      </c>
      <c r="J8122" s="3">
        <v>0.17055774894460943</v>
      </c>
      <c r="K8122" s="3">
        <v>0.20562944403614603</v>
      </c>
      <c r="L8122" t="s">
        <v>54</v>
      </c>
    </row>
    <row r="8123" spans="1:12" x14ac:dyDescent="0.25">
      <c r="A8123" t="s">
        <v>490</v>
      </c>
      <c r="B8123" t="s">
        <v>491</v>
      </c>
      <c r="C8123" t="s">
        <v>492</v>
      </c>
      <c r="D8123" t="s">
        <v>308</v>
      </c>
      <c r="E8123" t="s">
        <v>312</v>
      </c>
      <c r="F8123">
        <v>2</v>
      </c>
      <c r="G8123" t="s">
        <v>488</v>
      </c>
      <c r="H8123" s="4">
        <v>99253933</v>
      </c>
      <c r="I8123" s="4">
        <v>57756877.18800469</v>
      </c>
      <c r="J8123" s="3">
        <v>0.4180897880590315</v>
      </c>
      <c r="K8123" s="3">
        <v>0.7184781766666166</v>
      </c>
      <c r="L8123" t="s">
        <v>54</v>
      </c>
    </row>
    <row r="8124" spans="1:12" x14ac:dyDescent="0.25">
      <c r="A8124" t="s">
        <v>490</v>
      </c>
      <c r="B8124" t="s">
        <v>491</v>
      </c>
      <c r="C8124" t="s">
        <v>492</v>
      </c>
      <c r="D8124" t="s">
        <v>308</v>
      </c>
      <c r="E8124" t="s">
        <v>312</v>
      </c>
      <c r="F8124">
        <v>2</v>
      </c>
      <c r="G8124" t="s">
        <v>498</v>
      </c>
      <c r="H8124" s="4">
        <v>99253933</v>
      </c>
      <c r="I8124" s="4">
        <v>72367208</v>
      </c>
      <c r="J8124" s="3">
        <v>0.2708882578990598</v>
      </c>
      <c r="K8124" s="3">
        <v>0.3715318822304157</v>
      </c>
      <c r="L8124" t="s">
        <v>54</v>
      </c>
    </row>
    <row r="8125" spans="1:12" x14ac:dyDescent="0.25">
      <c r="A8125" t="s">
        <v>490</v>
      </c>
      <c r="B8125" t="s">
        <v>491</v>
      </c>
      <c r="C8125" t="s">
        <v>492</v>
      </c>
      <c r="D8125" t="s">
        <v>308</v>
      </c>
      <c r="E8125" t="s">
        <v>312</v>
      </c>
      <c r="F8125">
        <v>2</v>
      </c>
      <c r="G8125" t="s">
        <v>499</v>
      </c>
      <c r="H8125" s="4">
        <v>99253933</v>
      </c>
      <c r="I8125" s="4">
        <v>69464444</v>
      </c>
      <c r="J8125" s="3">
        <v>0.30013409141177305</v>
      </c>
      <c r="K8125" s="3">
        <v>0.4288451369451687</v>
      </c>
      <c r="L8125" t="s">
        <v>54</v>
      </c>
    </row>
    <row r="8126" spans="1:12" x14ac:dyDescent="0.25">
      <c r="A8126" t="s">
        <v>490</v>
      </c>
      <c r="B8126" t="s">
        <v>491</v>
      </c>
      <c r="C8126" t="s">
        <v>492</v>
      </c>
      <c r="D8126" t="s">
        <v>308</v>
      </c>
      <c r="E8126" t="s">
        <v>314</v>
      </c>
      <c r="F8126">
        <v>3</v>
      </c>
      <c r="G8126" t="s">
        <v>488</v>
      </c>
      <c r="H8126" s="4">
        <v>74226992</v>
      </c>
      <c r="I8126" s="4">
        <v>38557163.90790398</v>
      </c>
      <c r="J8126" s="3">
        <v>0.48055063435813244</v>
      </c>
      <c r="K8126" s="3">
        <v>0.9251154513671046</v>
      </c>
      <c r="L8126" t="s">
        <v>54</v>
      </c>
    </row>
    <row r="8127" spans="1:12" x14ac:dyDescent="0.25">
      <c r="A8127" t="s">
        <v>490</v>
      </c>
      <c r="B8127" t="s">
        <v>491</v>
      </c>
      <c r="C8127" t="s">
        <v>492</v>
      </c>
      <c r="D8127" t="s">
        <v>308</v>
      </c>
      <c r="E8127" t="s">
        <v>314</v>
      </c>
      <c r="F8127">
        <v>3</v>
      </c>
      <c r="G8127" t="s">
        <v>498</v>
      </c>
      <c r="H8127" s="4">
        <v>74226992</v>
      </c>
      <c r="I8127" s="4">
        <v>48310685</v>
      </c>
      <c r="J8127" s="3">
        <v>0.34914936334750035</v>
      </c>
      <c r="K8127" s="3">
        <v>0.5364508286313887</v>
      </c>
      <c r="L8127" t="s">
        <v>54</v>
      </c>
    </row>
    <row r="8128" spans="1:12" x14ac:dyDescent="0.25">
      <c r="A8128" t="s">
        <v>490</v>
      </c>
      <c r="B8128" t="s">
        <v>491</v>
      </c>
      <c r="C8128" t="s">
        <v>492</v>
      </c>
      <c r="D8128" t="s">
        <v>308</v>
      </c>
      <c r="E8128" t="s">
        <v>314</v>
      </c>
      <c r="F8128">
        <v>3</v>
      </c>
      <c r="G8128" t="s">
        <v>499</v>
      </c>
      <c r="H8128" s="4">
        <v>74226992</v>
      </c>
      <c r="I8128" s="4">
        <v>69464444</v>
      </c>
      <c r="J8128" s="3">
        <v>0.06416194259899417</v>
      </c>
      <c r="K8128" s="3">
        <v>0.0685609460863172</v>
      </c>
      <c r="L8128" t="s">
        <v>54</v>
      </c>
    </row>
    <row r="8129" spans="1:12" x14ac:dyDescent="0.25">
      <c r="A8129" t="s">
        <v>490</v>
      </c>
      <c r="B8129" t="s">
        <v>491</v>
      </c>
      <c r="C8129" t="s">
        <v>492</v>
      </c>
      <c r="D8129" t="s">
        <v>310</v>
      </c>
      <c r="E8129" t="s">
        <v>312</v>
      </c>
      <c r="F8129">
        <v>1</v>
      </c>
      <c r="G8129" t="s">
        <v>488</v>
      </c>
      <c r="H8129" s="4">
        <v>99253933</v>
      </c>
      <c r="I8129" s="4">
        <v>56853052.262000464</v>
      </c>
      <c r="J8129" s="3">
        <v>0.4271959755791192</v>
      </c>
      <c r="K8129" s="3">
        <v>0.7457977901098461</v>
      </c>
      <c r="L8129" t="s">
        <v>54</v>
      </c>
    </row>
    <row r="8130" spans="1:12" x14ac:dyDescent="0.25">
      <c r="A8130" t="s">
        <v>490</v>
      </c>
      <c r="B8130" t="s">
        <v>491</v>
      </c>
      <c r="C8130" t="s">
        <v>492</v>
      </c>
      <c r="D8130" t="s">
        <v>310</v>
      </c>
      <c r="E8130" t="s">
        <v>312</v>
      </c>
      <c r="F8130">
        <v>1</v>
      </c>
      <c r="G8130" t="s">
        <v>498</v>
      </c>
      <c r="H8130" s="4">
        <v>99253933</v>
      </c>
      <c r="I8130" s="4">
        <v>72367208</v>
      </c>
      <c r="J8130" s="3">
        <v>0.2708882578990598</v>
      </c>
      <c r="K8130" s="3">
        <v>0.3715318822304157</v>
      </c>
      <c r="L8130" t="s">
        <v>54</v>
      </c>
    </row>
    <row r="8131" spans="1:12" x14ac:dyDescent="0.25">
      <c r="A8131" t="s">
        <v>490</v>
      </c>
      <c r="B8131" t="s">
        <v>491</v>
      </c>
      <c r="C8131" t="s">
        <v>492</v>
      </c>
      <c r="D8131" t="s">
        <v>310</v>
      </c>
      <c r="E8131" t="s">
        <v>312</v>
      </c>
      <c r="F8131">
        <v>1</v>
      </c>
      <c r="G8131" t="s">
        <v>499</v>
      </c>
      <c r="H8131" s="4">
        <v>99253933</v>
      </c>
      <c r="I8131" s="4">
        <v>83748379</v>
      </c>
      <c r="J8131" s="3">
        <v>0.15622105372892378</v>
      </c>
      <c r="K8131" s="3">
        <v>0.18514452679734852</v>
      </c>
      <c r="L8131" t="s">
        <v>54</v>
      </c>
    </row>
    <row r="8132" spans="1:12" x14ac:dyDescent="0.25">
      <c r="A8132" t="s">
        <v>490</v>
      </c>
      <c r="B8132" t="s">
        <v>491</v>
      </c>
      <c r="C8132" t="s">
        <v>492</v>
      </c>
      <c r="D8132" t="s">
        <v>310</v>
      </c>
      <c r="E8132" t="s">
        <v>314</v>
      </c>
      <c r="F8132">
        <v>2</v>
      </c>
      <c r="G8132" t="s">
        <v>488</v>
      </c>
      <c r="H8132" s="4">
        <v>74226992</v>
      </c>
      <c r="I8132" s="4">
        <v>37953791.157979205</v>
      </c>
      <c r="J8132" s="3">
        <v>0.4886793855531798</v>
      </c>
      <c r="K8132" s="3">
        <v>0.9557200937064995</v>
      </c>
      <c r="L8132" t="s">
        <v>54</v>
      </c>
    </row>
    <row r="8133" spans="1:12" x14ac:dyDescent="0.25">
      <c r="A8133" t="s">
        <v>490</v>
      </c>
      <c r="B8133" t="s">
        <v>491</v>
      </c>
      <c r="C8133" t="s">
        <v>492</v>
      </c>
      <c r="D8133" t="s">
        <v>310</v>
      </c>
      <c r="E8133" t="s">
        <v>314</v>
      </c>
      <c r="F8133">
        <v>2</v>
      </c>
      <c r="G8133" t="s">
        <v>498</v>
      </c>
      <c r="H8133" s="4">
        <v>74226992</v>
      </c>
      <c r="I8133" s="4">
        <v>48310685</v>
      </c>
      <c r="J8133" s="3">
        <v>0.34914936334750035</v>
      </c>
      <c r="K8133" s="3">
        <v>0.5364508286313887</v>
      </c>
      <c r="L8133" t="s">
        <v>54</v>
      </c>
    </row>
    <row r="8134" spans="1:12" x14ac:dyDescent="0.25">
      <c r="A8134" t="s">
        <v>490</v>
      </c>
      <c r="B8134" t="s">
        <v>491</v>
      </c>
      <c r="C8134" t="s">
        <v>492</v>
      </c>
      <c r="D8134" t="s">
        <v>310</v>
      </c>
      <c r="E8134" t="s">
        <v>314</v>
      </c>
      <c r="F8134">
        <v>2</v>
      </c>
      <c r="G8134" t="s">
        <v>499</v>
      </c>
      <c r="H8134" s="4">
        <v>74226992</v>
      </c>
      <c r="I8134" s="4">
        <v>83748379</v>
      </c>
      <c r="J8134" s="3">
        <v>0.12827391685224157</v>
      </c>
      <c r="K8134" s="3">
        <v>-0.11369040348828721</v>
      </c>
      <c r="L8134" t="s">
        <v>54</v>
      </c>
    </row>
    <row r="8135" spans="1:12" x14ac:dyDescent="0.25">
      <c r="A8135" t="s">
        <v>490</v>
      </c>
      <c r="B8135" t="s">
        <v>491</v>
      </c>
      <c r="C8135" t="s">
        <v>492</v>
      </c>
      <c r="D8135" t="s">
        <v>310</v>
      </c>
      <c r="E8135" t="s">
        <v>316</v>
      </c>
      <c r="F8135">
        <v>3</v>
      </c>
      <c r="G8135" t="s">
        <v>488</v>
      </c>
      <c r="H8135" s="4">
        <v>66985772</v>
      </c>
      <c r="I8135" s="4">
        <v>26662470.558303926</v>
      </c>
      <c r="J8135" s="3">
        <v>0.6019681529041134</v>
      </c>
      <c r="K8135" s="3">
        <v>1.5123617803353762</v>
      </c>
      <c r="L8135" t="s">
        <v>54</v>
      </c>
    </row>
    <row r="8136" spans="1:12" x14ac:dyDescent="0.25">
      <c r="A8136" t="s">
        <v>490</v>
      </c>
      <c r="B8136" t="s">
        <v>491</v>
      </c>
      <c r="C8136" t="s">
        <v>492</v>
      </c>
      <c r="D8136" t="s">
        <v>310</v>
      </c>
      <c r="E8136" t="s">
        <v>316</v>
      </c>
      <c r="F8136">
        <v>3</v>
      </c>
      <c r="G8136" t="s">
        <v>498</v>
      </c>
      <c r="H8136" s="4">
        <v>66985772</v>
      </c>
      <c r="I8136" s="4">
        <v>33938170</v>
      </c>
      <c r="J8136" s="3">
        <v>0.4933525585104849</v>
      </c>
      <c r="K8136" s="3">
        <v>0.9737591036876767</v>
      </c>
      <c r="L8136" t="s">
        <v>54</v>
      </c>
    </row>
    <row r="8137" spans="1:12" x14ac:dyDescent="0.25">
      <c r="A8137" t="s">
        <v>490</v>
      </c>
      <c r="B8137" t="s">
        <v>491</v>
      </c>
      <c r="C8137" t="s">
        <v>492</v>
      </c>
      <c r="D8137" t="s">
        <v>310</v>
      </c>
      <c r="E8137" t="s">
        <v>316</v>
      </c>
      <c r="F8137">
        <v>3</v>
      </c>
      <c r="G8137" t="s">
        <v>499</v>
      </c>
      <c r="H8137" s="4">
        <v>66985772</v>
      </c>
      <c r="I8137" s="4">
        <v>83748379</v>
      </c>
      <c r="J8137" s="3">
        <v>0.2502413049744355</v>
      </c>
      <c r="K8137" s="3">
        <v>-0.20015440537661033</v>
      </c>
      <c r="L8137" t="s">
        <v>54</v>
      </c>
    </row>
    <row r="8138" spans="1:12" x14ac:dyDescent="0.25">
      <c r="A8138" t="s">
        <v>490</v>
      </c>
      <c r="B8138" t="s">
        <v>491</v>
      </c>
      <c r="C8138" t="s">
        <v>492</v>
      </c>
      <c r="D8138" t="s">
        <v>312</v>
      </c>
      <c r="E8138" t="s">
        <v>314</v>
      </c>
      <c r="F8138">
        <v>1</v>
      </c>
      <c r="G8138" t="s">
        <v>488</v>
      </c>
      <c r="H8138" s="4">
        <v>74226992</v>
      </c>
      <c r="I8138" s="4">
        <v>40257912.8417446</v>
      </c>
      <c r="J8138" s="3">
        <v>0.457637824772091</v>
      </c>
      <c r="K8138" s="3">
        <v>0.8437863952805787</v>
      </c>
      <c r="L8138" t="s">
        <v>54</v>
      </c>
    </row>
    <row r="8139" spans="1:12" x14ac:dyDescent="0.25">
      <c r="A8139" t="s">
        <v>490</v>
      </c>
      <c r="B8139" t="s">
        <v>491</v>
      </c>
      <c r="C8139" t="s">
        <v>492</v>
      </c>
      <c r="D8139" t="s">
        <v>312</v>
      </c>
      <c r="E8139" t="s">
        <v>314</v>
      </c>
      <c r="F8139">
        <v>1</v>
      </c>
      <c r="G8139" t="s">
        <v>498</v>
      </c>
      <c r="H8139" s="4">
        <v>74226992</v>
      </c>
      <c r="I8139" s="4">
        <v>48310685</v>
      </c>
      <c r="J8139" s="3">
        <v>0.34914936334750035</v>
      </c>
      <c r="K8139" s="3">
        <v>0.5364508286313887</v>
      </c>
      <c r="L8139" t="s">
        <v>54</v>
      </c>
    </row>
    <row r="8140" spans="1:12" x14ac:dyDescent="0.25">
      <c r="A8140" t="s">
        <v>490</v>
      </c>
      <c r="B8140" t="s">
        <v>491</v>
      </c>
      <c r="C8140" t="s">
        <v>492</v>
      </c>
      <c r="D8140" t="s">
        <v>312</v>
      </c>
      <c r="E8140" t="s">
        <v>314</v>
      </c>
      <c r="F8140">
        <v>1</v>
      </c>
      <c r="G8140" t="s">
        <v>499</v>
      </c>
      <c r="H8140" s="4">
        <v>74226992</v>
      </c>
      <c r="I8140" s="4">
        <v>99253933</v>
      </c>
      <c r="J8140" s="3">
        <v>0.3371676572856408</v>
      </c>
      <c r="K8140" s="3">
        <v>-0.25215062258540427</v>
      </c>
      <c r="L8140" t="s">
        <v>54</v>
      </c>
    </row>
    <row r="8141" spans="1:12" x14ac:dyDescent="0.25">
      <c r="A8141" t="s">
        <v>490</v>
      </c>
      <c r="B8141" t="s">
        <v>491</v>
      </c>
      <c r="C8141" t="s">
        <v>492</v>
      </c>
      <c r="D8141" t="s">
        <v>312</v>
      </c>
      <c r="E8141" t="s">
        <v>316</v>
      </c>
      <c r="F8141">
        <v>2</v>
      </c>
      <c r="G8141" t="s">
        <v>488</v>
      </c>
      <c r="H8141" s="4">
        <v>66985772</v>
      </c>
      <c r="I8141" s="4">
        <v>28281111.929344647</v>
      </c>
      <c r="J8141" s="3">
        <v>0.5778041950558598</v>
      </c>
      <c r="K8141" s="3">
        <v>1.3685692474663689</v>
      </c>
      <c r="L8141" t="s">
        <v>54</v>
      </c>
    </row>
    <row r="8142" spans="1:12" x14ac:dyDescent="0.25">
      <c r="A8142" t="s">
        <v>490</v>
      </c>
      <c r="B8142" t="s">
        <v>491</v>
      </c>
      <c r="C8142" t="s">
        <v>492</v>
      </c>
      <c r="D8142" t="s">
        <v>312</v>
      </c>
      <c r="E8142" t="s">
        <v>316</v>
      </c>
      <c r="F8142">
        <v>2</v>
      </c>
      <c r="G8142" t="s">
        <v>498</v>
      </c>
      <c r="H8142" s="4">
        <v>66985772</v>
      </c>
      <c r="I8142" s="4">
        <v>33938170</v>
      </c>
      <c r="J8142" s="3">
        <v>0.4933525585104849</v>
      </c>
      <c r="K8142" s="3">
        <v>0.9737591036876767</v>
      </c>
      <c r="L8142" t="s">
        <v>54</v>
      </c>
    </row>
    <row r="8143" spans="1:12" x14ac:dyDescent="0.25">
      <c r="A8143" t="s">
        <v>490</v>
      </c>
      <c r="B8143" t="s">
        <v>491</v>
      </c>
      <c r="C8143" t="s">
        <v>492</v>
      </c>
      <c r="D8143" t="s">
        <v>312</v>
      </c>
      <c r="E8143" t="s">
        <v>316</v>
      </c>
      <c r="F8143">
        <v>2</v>
      </c>
      <c r="G8143" t="s">
        <v>499</v>
      </c>
      <c r="H8143" s="4">
        <v>66985772</v>
      </c>
      <c r="I8143" s="4">
        <v>99253933</v>
      </c>
      <c r="J8143" s="3">
        <v>0.4817166397664268</v>
      </c>
      <c r="K8143" s="3">
        <v>-0.32510712698911387</v>
      </c>
      <c r="L8143" t="s">
        <v>54</v>
      </c>
    </row>
    <row r="8144" spans="1:12" x14ac:dyDescent="0.25">
      <c r="A8144" t="s">
        <v>490</v>
      </c>
      <c r="B8144" t="s">
        <v>491</v>
      </c>
      <c r="C8144" t="s">
        <v>492</v>
      </c>
      <c r="D8144" t="s">
        <v>312</v>
      </c>
      <c r="E8144" t="s">
        <v>318</v>
      </c>
      <c r="F8144">
        <v>3</v>
      </c>
      <c r="G8144" t="s">
        <v>488</v>
      </c>
      <c r="H8144" s="4">
        <v>72737136</v>
      </c>
      <c r="I8144" s="4">
        <v>40864476.23884876</v>
      </c>
      <c r="J8144" s="3">
        <v>0.4381896444362511</v>
      </c>
      <c r="K8144" s="3">
        <v>0.7799600703275564</v>
      </c>
      <c r="L8144" t="s">
        <v>54</v>
      </c>
    </row>
    <row r="8145" spans="1:12" x14ac:dyDescent="0.25">
      <c r="A8145" t="s">
        <v>490</v>
      </c>
      <c r="B8145" t="s">
        <v>491</v>
      </c>
      <c r="C8145" t="s">
        <v>492</v>
      </c>
      <c r="D8145" t="s">
        <v>312</v>
      </c>
      <c r="E8145" t="s">
        <v>318</v>
      </c>
      <c r="F8145">
        <v>3</v>
      </c>
      <c r="G8145" t="s">
        <v>498</v>
      </c>
      <c r="H8145" s="4">
        <v>72737136</v>
      </c>
      <c r="I8145" s="4">
        <v>49038579</v>
      </c>
      <c r="J8145" s="3">
        <v>0.3258109722659413</v>
      </c>
      <c r="K8145" s="3">
        <v>0.4832635342064051</v>
      </c>
      <c r="L8145" t="s">
        <v>54</v>
      </c>
    </row>
    <row r="8146" spans="1:12" x14ac:dyDescent="0.25">
      <c r="A8146" t="s">
        <v>490</v>
      </c>
      <c r="B8146" t="s">
        <v>491</v>
      </c>
      <c r="C8146" t="s">
        <v>492</v>
      </c>
      <c r="D8146" t="s">
        <v>312</v>
      </c>
      <c r="E8146" t="s">
        <v>318</v>
      </c>
      <c r="F8146">
        <v>3</v>
      </c>
      <c r="G8146" t="s">
        <v>499</v>
      </c>
      <c r="H8146" s="4">
        <v>72737136</v>
      </c>
      <c r="I8146" s="4">
        <v>99253933</v>
      </c>
      <c r="J8146" s="3">
        <v>0.36455651759508373</v>
      </c>
      <c r="K8146" s="3">
        <v>-0.26716117133615247</v>
      </c>
      <c r="L8146" t="s">
        <v>54</v>
      </c>
    </row>
    <row r="8147" spans="1:12" x14ac:dyDescent="0.25">
      <c r="A8147" t="s">
        <v>490</v>
      </c>
      <c r="B8147" t="s">
        <v>491</v>
      </c>
      <c r="C8147" t="s">
        <v>492</v>
      </c>
      <c r="D8147" t="s">
        <v>314</v>
      </c>
      <c r="E8147" t="s">
        <v>316</v>
      </c>
      <c r="F8147">
        <v>1</v>
      </c>
      <c r="G8147" t="s">
        <v>488</v>
      </c>
      <c r="H8147" s="4">
        <v>66985772</v>
      </c>
      <c r="I8147" s="4">
        <v>31204464.39021591</v>
      </c>
      <c r="J8147" s="3">
        <v>0.5341628011659564</v>
      </c>
      <c r="K8147" s="3">
        <v>1.146672705621034</v>
      </c>
      <c r="L8147" t="s">
        <v>54</v>
      </c>
    </row>
    <row r="8148" spans="1:12" x14ac:dyDescent="0.25">
      <c r="A8148" t="s">
        <v>490</v>
      </c>
      <c r="B8148" t="s">
        <v>491</v>
      </c>
      <c r="C8148" t="s">
        <v>492</v>
      </c>
      <c r="D8148" t="s">
        <v>314</v>
      </c>
      <c r="E8148" t="s">
        <v>316</v>
      </c>
      <c r="F8148">
        <v>1</v>
      </c>
      <c r="G8148" t="s">
        <v>498</v>
      </c>
      <c r="H8148" s="4">
        <v>66985772</v>
      </c>
      <c r="I8148" s="4">
        <v>33938170</v>
      </c>
      <c r="J8148" s="3">
        <v>0.4933525585104849</v>
      </c>
      <c r="K8148" s="3">
        <v>0.9737591036876767</v>
      </c>
      <c r="L8148" t="s">
        <v>54</v>
      </c>
    </row>
    <row r="8149" spans="1:12" x14ac:dyDescent="0.25">
      <c r="A8149" t="s">
        <v>490</v>
      </c>
      <c r="B8149" t="s">
        <v>491</v>
      </c>
      <c r="C8149" t="s">
        <v>492</v>
      </c>
      <c r="D8149" t="s">
        <v>314</v>
      </c>
      <c r="E8149" t="s">
        <v>316</v>
      </c>
      <c r="F8149">
        <v>1</v>
      </c>
      <c r="G8149" t="s">
        <v>499</v>
      </c>
      <c r="H8149" s="4">
        <v>66985772</v>
      </c>
      <c r="I8149" s="4">
        <v>74226992</v>
      </c>
      <c r="J8149" s="3">
        <v>0.10810086655416914</v>
      </c>
      <c r="K8149" s="3">
        <v>-0.09755507807725794</v>
      </c>
      <c r="L8149" t="s">
        <v>54</v>
      </c>
    </row>
    <row r="8150" spans="1:12" x14ac:dyDescent="0.25">
      <c r="A8150" t="s">
        <v>490</v>
      </c>
      <c r="B8150" t="s">
        <v>491</v>
      </c>
      <c r="C8150" t="s">
        <v>492</v>
      </c>
      <c r="D8150" t="s">
        <v>314</v>
      </c>
      <c r="E8150" t="s">
        <v>318</v>
      </c>
      <c r="F8150">
        <v>2</v>
      </c>
      <c r="G8150" t="s">
        <v>488</v>
      </c>
      <c r="H8150" s="4">
        <v>72737136</v>
      </c>
      <c r="I8150" s="4">
        <v>45088541.66716384</v>
      </c>
      <c r="J8150" s="3">
        <v>0.3801166206604032</v>
      </c>
      <c r="K8150" s="3">
        <v>0.6132066664948604</v>
      </c>
      <c r="L8150" t="s">
        <v>54</v>
      </c>
    </row>
    <row r="8151" spans="1:12" x14ac:dyDescent="0.25">
      <c r="A8151" t="s">
        <v>490</v>
      </c>
      <c r="B8151" t="s">
        <v>491</v>
      </c>
      <c r="C8151" t="s">
        <v>492</v>
      </c>
      <c r="D8151" t="s">
        <v>314</v>
      </c>
      <c r="E8151" t="s">
        <v>318</v>
      </c>
      <c r="F8151">
        <v>2</v>
      </c>
      <c r="G8151" t="s">
        <v>498</v>
      </c>
      <c r="H8151" s="4">
        <v>72737136</v>
      </c>
      <c r="I8151" s="4">
        <v>49038579</v>
      </c>
      <c r="J8151" s="3">
        <v>0.3258109722659413</v>
      </c>
      <c r="K8151" s="3">
        <v>0.4832635342064051</v>
      </c>
      <c r="L8151" t="s">
        <v>54</v>
      </c>
    </row>
    <row r="8152" spans="1:12" x14ac:dyDescent="0.25">
      <c r="A8152" t="s">
        <v>490</v>
      </c>
      <c r="B8152" t="s">
        <v>491</v>
      </c>
      <c r="C8152" t="s">
        <v>492</v>
      </c>
      <c r="D8152" t="s">
        <v>314</v>
      </c>
      <c r="E8152" t="s">
        <v>318</v>
      </c>
      <c r="F8152">
        <v>2</v>
      </c>
      <c r="G8152" t="s">
        <v>499</v>
      </c>
      <c r="H8152" s="4">
        <v>72737136</v>
      </c>
      <c r="I8152" s="4">
        <v>74226992</v>
      </c>
      <c r="J8152" s="3">
        <v>0.02048274213051226</v>
      </c>
      <c r="K8152" s="3">
        <v>-0.020071620307609932</v>
      </c>
      <c r="L8152" t="s">
        <v>54</v>
      </c>
    </row>
    <row r="8153" spans="1:12" x14ac:dyDescent="0.25">
      <c r="A8153" t="s">
        <v>490</v>
      </c>
      <c r="B8153" t="s">
        <v>491</v>
      </c>
      <c r="C8153" t="s">
        <v>492</v>
      </c>
      <c r="D8153" t="s">
        <v>314</v>
      </c>
      <c r="E8153" t="s">
        <v>320</v>
      </c>
      <c r="F8153">
        <v>3</v>
      </c>
      <c r="G8153" t="s">
        <v>488</v>
      </c>
      <c r="H8153" s="4">
        <v>74545424</v>
      </c>
      <c r="I8153" s="4">
        <v>60420484.86354667</v>
      </c>
      <c r="J8153" s="3">
        <v>0.18948096849584398</v>
      </c>
      <c r="K8153" s="3">
        <v>0.23377732185289518</v>
      </c>
      <c r="L8153" t="s">
        <v>54</v>
      </c>
    </row>
    <row r="8154" spans="1:12" x14ac:dyDescent="0.25">
      <c r="A8154" t="s">
        <v>490</v>
      </c>
      <c r="B8154" t="s">
        <v>491</v>
      </c>
      <c r="C8154" t="s">
        <v>492</v>
      </c>
      <c r="D8154" t="s">
        <v>314</v>
      </c>
      <c r="E8154" t="s">
        <v>320</v>
      </c>
      <c r="F8154">
        <v>3</v>
      </c>
      <c r="G8154" t="s">
        <v>498</v>
      </c>
      <c r="H8154" s="4">
        <v>74545424</v>
      </c>
      <c r="I8154" s="4">
        <v>65713696</v>
      </c>
      <c r="J8154" s="3">
        <v>0.11847444854562769</v>
      </c>
      <c r="K8154" s="3">
        <v>0.13439706693715722</v>
      </c>
      <c r="L8154" t="s">
        <v>54</v>
      </c>
    </row>
    <row r="8155" spans="1:12" x14ac:dyDescent="0.25">
      <c r="A8155" t="s">
        <v>490</v>
      </c>
      <c r="B8155" t="s">
        <v>491</v>
      </c>
      <c r="C8155" t="s">
        <v>492</v>
      </c>
      <c r="D8155" t="s">
        <v>314</v>
      </c>
      <c r="E8155" t="s">
        <v>320</v>
      </c>
      <c r="F8155">
        <v>3</v>
      </c>
      <c r="G8155" t="s">
        <v>499</v>
      </c>
      <c r="H8155" s="4">
        <v>74545424</v>
      </c>
      <c r="I8155" s="4">
        <v>74226992</v>
      </c>
      <c r="J8155" s="3">
        <v>0.004271650530822657</v>
      </c>
      <c r="K8155" s="3">
        <v>0.004289975808261232</v>
      </c>
      <c r="L8155" t="s">
        <v>54</v>
      </c>
    </row>
    <row r="8156" spans="1:12" x14ac:dyDescent="0.25">
      <c r="A8156" t="s">
        <v>490</v>
      </c>
      <c r="B8156" t="s">
        <v>491</v>
      </c>
      <c r="C8156" t="s">
        <v>492</v>
      </c>
      <c r="D8156" t="s">
        <v>316</v>
      </c>
      <c r="E8156" t="s">
        <v>318</v>
      </c>
      <c r="F8156">
        <v>1</v>
      </c>
      <c r="G8156" t="s">
        <v>488</v>
      </c>
      <c r="H8156" s="4">
        <v>72737136</v>
      </c>
      <c r="I8156" s="4">
        <v>51392531.74247867</v>
      </c>
      <c r="J8156" s="3">
        <v>0.29344851105384917</v>
      </c>
      <c r="K8156" s="3">
        <v>0.4153250196833342</v>
      </c>
      <c r="L8156" t="s">
        <v>54</v>
      </c>
    </row>
    <row r="8157" spans="1:12" x14ac:dyDescent="0.25">
      <c r="A8157" t="s">
        <v>490</v>
      </c>
      <c r="B8157" t="s">
        <v>491</v>
      </c>
      <c r="C8157" t="s">
        <v>492</v>
      </c>
      <c r="D8157" t="s">
        <v>316</v>
      </c>
      <c r="E8157" t="s">
        <v>318</v>
      </c>
      <c r="F8157">
        <v>1</v>
      </c>
      <c r="G8157" t="s">
        <v>498</v>
      </c>
      <c r="H8157" s="4">
        <v>72737136</v>
      </c>
      <c r="I8157" s="4">
        <v>49038579</v>
      </c>
      <c r="J8157" s="3">
        <v>0.3258109722659413</v>
      </c>
      <c r="K8157" s="3">
        <v>0.4832635342064051</v>
      </c>
      <c r="L8157" t="s">
        <v>54</v>
      </c>
    </row>
    <row r="8158" spans="1:12" x14ac:dyDescent="0.25">
      <c r="A8158" t="s">
        <v>490</v>
      </c>
      <c r="B8158" t="s">
        <v>491</v>
      </c>
      <c r="C8158" t="s">
        <v>492</v>
      </c>
      <c r="D8158" t="s">
        <v>316</v>
      </c>
      <c r="E8158" t="s">
        <v>318</v>
      </c>
      <c r="F8158">
        <v>1</v>
      </c>
      <c r="G8158" t="s">
        <v>499</v>
      </c>
      <c r="H8158" s="4">
        <v>72737136</v>
      </c>
      <c r="I8158" s="4">
        <v>66985772</v>
      </c>
      <c r="J8158" s="3">
        <v>0.07907053145452414</v>
      </c>
      <c r="K8158" s="3">
        <v>0.08585948669816032</v>
      </c>
      <c r="L8158" t="s">
        <v>54</v>
      </c>
    </row>
    <row r="8159" spans="1:12" x14ac:dyDescent="0.25">
      <c r="A8159" t="s">
        <v>490</v>
      </c>
      <c r="B8159" t="s">
        <v>491</v>
      </c>
      <c r="C8159" t="s">
        <v>492</v>
      </c>
      <c r="D8159" t="s">
        <v>316</v>
      </c>
      <c r="E8159" t="s">
        <v>320</v>
      </c>
      <c r="F8159">
        <v>2</v>
      </c>
      <c r="G8159" t="s">
        <v>488</v>
      </c>
      <c r="H8159" s="4">
        <v>74545424</v>
      </c>
      <c r="I8159" s="4">
        <v>68868088.68575889</v>
      </c>
      <c r="J8159" s="3">
        <v>0.07615940737343062</v>
      </c>
      <c r="K8159" s="3">
        <v>0.08243782312801601</v>
      </c>
      <c r="L8159" t="s">
        <v>54</v>
      </c>
    </row>
    <row r="8160" spans="1:12" x14ac:dyDescent="0.25">
      <c r="A8160" t="s">
        <v>490</v>
      </c>
      <c r="B8160" t="s">
        <v>491</v>
      </c>
      <c r="C8160" t="s">
        <v>492</v>
      </c>
      <c r="D8160" t="s">
        <v>316</v>
      </c>
      <c r="E8160" t="s">
        <v>320</v>
      </c>
      <c r="F8160">
        <v>2</v>
      </c>
      <c r="G8160" t="s">
        <v>498</v>
      </c>
      <c r="H8160" s="4">
        <v>74545424</v>
      </c>
      <c r="I8160" s="4">
        <v>65713696</v>
      </c>
      <c r="J8160" s="3">
        <v>0.11847444854562769</v>
      </c>
      <c r="K8160" s="3">
        <v>0.13439706693715722</v>
      </c>
      <c r="L8160" t="s">
        <v>54</v>
      </c>
    </row>
    <row r="8161" spans="1:12" x14ac:dyDescent="0.25">
      <c r="A8161" t="s">
        <v>490</v>
      </c>
      <c r="B8161" t="s">
        <v>491</v>
      </c>
      <c r="C8161" t="s">
        <v>492</v>
      </c>
      <c r="D8161" t="s">
        <v>316</v>
      </c>
      <c r="E8161" t="s">
        <v>320</v>
      </c>
      <c r="F8161">
        <v>2</v>
      </c>
      <c r="G8161" t="s">
        <v>499</v>
      </c>
      <c r="H8161" s="4">
        <v>74545424</v>
      </c>
      <c r="I8161" s="4">
        <v>66985772</v>
      </c>
      <c r="J8161" s="3">
        <v>0.10141000740702742</v>
      </c>
      <c r="K8161" s="3">
        <v>0.11285459246479984</v>
      </c>
      <c r="L8161" t="s">
        <v>54</v>
      </c>
    </row>
    <row r="8162" spans="1:12" x14ac:dyDescent="0.25">
      <c r="A8162" t="s">
        <v>490</v>
      </c>
      <c r="B8162" t="s">
        <v>491</v>
      </c>
      <c r="C8162" t="s">
        <v>492</v>
      </c>
      <c r="D8162" t="s">
        <v>316</v>
      </c>
      <c r="E8162" t="s">
        <v>322</v>
      </c>
      <c r="F8162">
        <v>3</v>
      </c>
      <c r="G8162" t="s">
        <v>488</v>
      </c>
      <c r="H8162" s="4">
        <v>70800392</v>
      </c>
      <c r="I8162" s="4">
        <v>69967610.52555239</v>
      </c>
      <c r="J8162" s="3">
        <v>0.01176238507899233</v>
      </c>
      <c r="K8162" s="3">
        <v>0.011902385520847159</v>
      </c>
      <c r="L8162" t="s">
        <v>54</v>
      </c>
    </row>
    <row r="8163" spans="1:12" x14ac:dyDescent="0.25">
      <c r="A8163" t="s">
        <v>490</v>
      </c>
      <c r="B8163" t="s">
        <v>491</v>
      </c>
      <c r="C8163" t="s">
        <v>492</v>
      </c>
      <c r="D8163" t="s">
        <v>316</v>
      </c>
      <c r="E8163" t="s">
        <v>322</v>
      </c>
      <c r="F8163">
        <v>3</v>
      </c>
      <c r="G8163" t="s">
        <v>498</v>
      </c>
      <c r="H8163" s="4">
        <v>70800392</v>
      </c>
      <c r="I8163" s="4">
        <v>66762856</v>
      </c>
      <c r="J8163" s="3">
        <v>0.05702702888989654</v>
      </c>
      <c r="K8163" s="3">
        <v>0.06047578312108158</v>
      </c>
      <c r="L8163" t="s">
        <v>54</v>
      </c>
    </row>
    <row r="8164" spans="1:12" x14ac:dyDescent="0.25">
      <c r="A8164" t="s">
        <v>490</v>
      </c>
      <c r="B8164" t="s">
        <v>491</v>
      </c>
      <c r="C8164" t="s">
        <v>492</v>
      </c>
      <c r="D8164" t="s">
        <v>316</v>
      </c>
      <c r="E8164" t="s">
        <v>322</v>
      </c>
      <c r="F8164">
        <v>3</v>
      </c>
      <c r="G8164" t="s">
        <v>499</v>
      </c>
      <c r="H8164" s="4">
        <v>70800392</v>
      </c>
      <c r="I8164" s="4">
        <v>66985772</v>
      </c>
      <c r="J8164" s="3">
        <v>0.05387851524889862</v>
      </c>
      <c r="K8164" s="3">
        <v>0.05694671996913016</v>
      </c>
      <c r="L8164" t="s">
        <v>54</v>
      </c>
    </row>
    <row r="8165" spans="1:12" x14ac:dyDescent="0.25">
      <c r="A8165" t="s">
        <v>490</v>
      </c>
      <c r="B8165" t="s">
        <v>491</v>
      </c>
      <c r="C8165" t="s">
        <v>492</v>
      </c>
      <c r="D8165" t="s">
        <v>318</v>
      </c>
      <c r="E8165" t="s">
        <v>320</v>
      </c>
      <c r="F8165">
        <v>1</v>
      </c>
      <c r="G8165" t="s">
        <v>488</v>
      </c>
      <c r="H8165" s="4">
        <v>74545424</v>
      </c>
      <c r="I8165" s="4">
        <v>73904891.23851633</v>
      </c>
      <c r="J8165" s="3">
        <v>0.008592516174885118</v>
      </c>
      <c r="K8165" s="3">
        <v>0.008666987404344474</v>
      </c>
      <c r="L8165" t="s">
        <v>54</v>
      </c>
    </row>
    <row r="8166" spans="1:12" x14ac:dyDescent="0.25">
      <c r="A8166" t="s">
        <v>490</v>
      </c>
      <c r="B8166" t="s">
        <v>491</v>
      </c>
      <c r="C8166" t="s">
        <v>492</v>
      </c>
      <c r="D8166" t="s">
        <v>318</v>
      </c>
      <c r="E8166" t="s">
        <v>320</v>
      </c>
      <c r="F8166">
        <v>1</v>
      </c>
      <c r="G8166" t="s">
        <v>498</v>
      </c>
      <c r="H8166" s="4">
        <v>74545424</v>
      </c>
      <c r="I8166" s="4">
        <v>65713696</v>
      </c>
      <c r="J8166" s="3">
        <v>0.11847444854562769</v>
      </c>
      <c r="K8166" s="3">
        <v>0.13439706693715722</v>
      </c>
      <c r="L8166" t="s">
        <v>54</v>
      </c>
    </row>
    <row r="8167" spans="1:12" x14ac:dyDescent="0.25">
      <c r="A8167" t="s">
        <v>490</v>
      </c>
      <c r="B8167" t="s">
        <v>491</v>
      </c>
      <c r="C8167" t="s">
        <v>492</v>
      </c>
      <c r="D8167" t="s">
        <v>318</v>
      </c>
      <c r="E8167" t="s">
        <v>320</v>
      </c>
      <c r="F8167">
        <v>1</v>
      </c>
      <c r="G8167" t="s">
        <v>499</v>
      </c>
      <c r="H8167" s="4">
        <v>74545424</v>
      </c>
      <c r="I8167" s="4">
        <v>72737136</v>
      </c>
      <c r="J8167" s="3">
        <v>0.024257531890891117</v>
      </c>
      <c r="K8167" s="3">
        <v>0.024860588407000242</v>
      </c>
      <c r="L8167" t="s">
        <v>54</v>
      </c>
    </row>
    <row r="8168" spans="1:12" x14ac:dyDescent="0.25">
      <c r="A8168" t="s">
        <v>490</v>
      </c>
      <c r="B8168" t="s">
        <v>491</v>
      </c>
      <c r="C8168" t="s">
        <v>492</v>
      </c>
      <c r="D8168" t="s">
        <v>318</v>
      </c>
      <c r="E8168" t="s">
        <v>322</v>
      </c>
      <c r="F8168">
        <v>2</v>
      </c>
      <c r="G8168" t="s">
        <v>488</v>
      </c>
      <c r="H8168" s="4">
        <v>70800392</v>
      </c>
      <c r="I8168" s="4">
        <v>75084828.76161352</v>
      </c>
      <c r="J8168" s="3">
        <v>0.06051430847464118</v>
      </c>
      <c r="K8168" s="3">
        <v>-0.05706128431372144</v>
      </c>
      <c r="L8168" t="s">
        <v>54</v>
      </c>
    </row>
    <row r="8169" spans="1:12" x14ac:dyDescent="0.25">
      <c r="A8169" t="s">
        <v>490</v>
      </c>
      <c r="B8169" t="s">
        <v>491</v>
      </c>
      <c r="C8169" t="s">
        <v>492</v>
      </c>
      <c r="D8169" t="s">
        <v>318</v>
      </c>
      <c r="E8169" t="s">
        <v>322</v>
      </c>
      <c r="F8169">
        <v>2</v>
      </c>
      <c r="G8169" t="s">
        <v>498</v>
      </c>
      <c r="H8169" s="4">
        <v>70800392</v>
      </c>
      <c r="I8169" s="4">
        <v>66762856</v>
      </c>
      <c r="J8169" s="3">
        <v>0.05702702888989654</v>
      </c>
      <c r="K8169" s="3">
        <v>0.06047578312108158</v>
      </c>
      <c r="L8169" t="s">
        <v>54</v>
      </c>
    </row>
    <row r="8170" spans="1:12" x14ac:dyDescent="0.25">
      <c r="A8170" t="s">
        <v>490</v>
      </c>
      <c r="B8170" t="s">
        <v>491</v>
      </c>
      <c r="C8170" t="s">
        <v>492</v>
      </c>
      <c r="D8170" t="s">
        <v>318</v>
      </c>
      <c r="E8170" t="s">
        <v>322</v>
      </c>
      <c r="F8170">
        <v>2</v>
      </c>
      <c r="G8170" t="s">
        <v>499</v>
      </c>
      <c r="H8170" s="4">
        <v>70800392</v>
      </c>
      <c r="I8170" s="4">
        <v>72737136</v>
      </c>
      <c r="J8170" s="3">
        <v>0.02735498978593226</v>
      </c>
      <c r="K8170" s="3">
        <v>-0.02662661889794506</v>
      </c>
      <c r="L8170" t="s">
        <v>54</v>
      </c>
    </row>
    <row r="8171" spans="1:12" x14ac:dyDescent="0.25">
      <c r="A8171" t="s">
        <v>490</v>
      </c>
      <c r="B8171" t="s">
        <v>491</v>
      </c>
      <c r="C8171" t="s">
        <v>492</v>
      </c>
      <c r="D8171" t="s">
        <v>318</v>
      </c>
      <c r="E8171" t="s">
        <v>324</v>
      </c>
      <c r="F8171">
        <v>3</v>
      </c>
      <c r="G8171" t="s">
        <v>488</v>
      </c>
      <c r="H8171" s="4">
        <v>67923619</v>
      </c>
      <c r="I8171" s="4">
        <v>74833079.29086289</v>
      </c>
      <c r="J8171" s="3">
        <v>0.10172397161086025</v>
      </c>
      <c r="K8171" s="3">
        <v>-0.09233163136327777</v>
      </c>
      <c r="L8171" t="s">
        <v>54</v>
      </c>
    </row>
    <row r="8172" spans="1:12" x14ac:dyDescent="0.25">
      <c r="A8172" t="s">
        <v>490</v>
      </c>
      <c r="B8172" t="s">
        <v>491</v>
      </c>
      <c r="C8172" t="s">
        <v>492</v>
      </c>
      <c r="D8172" t="s">
        <v>318</v>
      </c>
      <c r="E8172" t="s">
        <v>324</v>
      </c>
      <c r="F8172">
        <v>3</v>
      </c>
      <c r="G8172" t="s">
        <v>498</v>
      </c>
      <c r="H8172" s="4">
        <v>67923619</v>
      </c>
      <c r="I8172" s="4">
        <v>66539009</v>
      </c>
      <c r="J8172" s="3">
        <v>0.020384809001416725</v>
      </c>
      <c r="K8172" s="3">
        <v>0.02080899641892773</v>
      </c>
      <c r="L8172" t="s">
        <v>54</v>
      </c>
    </row>
    <row r="8173" spans="1:12" x14ac:dyDescent="0.25">
      <c r="A8173" t="s">
        <v>490</v>
      </c>
      <c r="B8173" t="s">
        <v>491</v>
      </c>
      <c r="C8173" t="s">
        <v>492</v>
      </c>
      <c r="D8173" t="s">
        <v>318</v>
      </c>
      <c r="E8173" t="s">
        <v>324</v>
      </c>
      <c r="F8173">
        <v>3</v>
      </c>
      <c r="G8173" t="s">
        <v>499</v>
      </c>
      <c r="H8173" s="4">
        <v>67923619</v>
      </c>
      <c r="I8173" s="4">
        <v>72737136</v>
      </c>
      <c r="J8173" s="3">
        <v>0.07086661563189088</v>
      </c>
      <c r="K8173" s="3">
        <v>-0.06617688384101349</v>
      </c>
      <c r="L8173" t="s">
        <v>54</v>
      </c>
    </row>
    <row r="8174" spans="1:12" x14ac:dyDescent="0.25">
      <c r="A8174" t="s">
        <v>490</v>
      </c>
      <c r="B8174" t="s">
        <v>491</v>
      </c>
      <c r="C8174" t="s">
        <v>492</v>
      </c>
      <c r="D8174" t="s">
        <v>320</v>
      </c>
      <c r="E8174" t="s">
        <v>322</v>
      </c>
      <c r="F8174">
        <v>1</v>
      </c>
      <c r="G8174" t="s">
        <v>488</v>
      </c>
      <c r="H8174" s="4">
        <v>70800392</v>
      </c>
      <c r="I8174" s="4">
        <v>77722526.7406181</v>
      </c>
      <c r="J8174" s="3">
        <v>0.09776972337410356</v>
      </c>
      <c r="K8174" s="3">
        <v>-0.08906214235313274</v>
      </c>
      <c r="L8174" t="s">
        <v>54</v>
      </c>
    </row>
    <row r="8175" spans="1:12" x14ac:dyDescent="0.25">
      <c r="A8175" t="s">
        <v>490</v>
      </c>
      <c r="B8175" t="s">
        <v>491</v>
      </c>
      <c r="C8175" t="s">
        <v>492</v>
      </c>
      <c r="D8175" t="s">
        <v>320</v>
      </c>
      <c r="E8175" t="s">
        <v>322</v>
      </c>
      <c r="F8175">
        <v>1</v>
      </c>
      <c r="G8175" t="s">
        <v>498</v>
      </c>
      <c r="H8175" s="4">
        <v>70800392</v>
      </c>
      <c r="I8175" s="4">
        <v>66762856</v>
      </c>
      <c r="J8175" s="3">
        <v>0.05702702888989654</v>
      </c>
      <c r="K8175" s="3">
        <v>0.06047578312108158</v>
      </c>
      <c r="L8175" t="s">
        <v>54</v>
      </c>
    </row>
    <row r="8176" spans="1:12" x14ac:dyDescent="0.25">
      <c r="A8176" t="s">
        <v>490</v>
      </c>
      <c r="B8176" t="s">
        <v>491</v>
      </c>
      <c r="C8176" t="s">
        <v>492</v>
      </c>
      <c r="D8176" t="s">
        <v>320</v>
      </c>
      <c r="E8176" t="s">
        <v>322</v>
      </c>
      <c r="F8176">
        <v>1</v>
      </c>
      <c r="G8176" t="s">
        <v>499</v>
      </c>
      <c r="H8176" s="4">
        <v>70800392</v>
      </c>
      <c r="I8176" s="4">
        <v>74545424</v>
      </c>
      <c r="J8176" s="3">
        <v>0.05289563933487826</v>
      </c>
      <c r="K8176" s="3">
        <v>-0.05023825473177267</v>
      </c>
      <c r="L8176" t="s">
        <v>54</v>
      </c>
    </row>
    <row r="8177" spans="1:12" x14ac:dyDescent="0.25">
      <c r="A8177" t="s">
        <v>490</v>
      </c>
      <c r="B8177" t="s">
        <v>491</v>
      </c>
      <c r="C8177" t="s">
        <v>492</v>
      </c>
      <c r="D8177" t="s">
        <v>320</v>
      </c>
      <c r="E8177" t="s">
        <v>324</v>
      </c>
      <c r="F8177">
        <v>2</v>
      </c>
      <c r="G8177" t="s">
        <v>488</v>
      </c>
      <c r="H8177" s="4">
        <v>67923619</v>
      </c>
      <c r="I8177" s="4">
        <v>77461933.41843747</v>
      </c>
      <c r="J8177" s="3">
        <v>0.1404270643829721</v>
      </c>
      <c r="K8177" s="3">
        <v>-0.12313550666122619</v>
      </c>
      <c r="L8177" t="s">
        <v>54</v>
      </c>
    </row>
    <row r="8178" spans="1:12" x14ac:dyDescent="0.25">
      <c r="A8178" t="s">
        <v>490</v>
      </c>
      <c r="B8178" t="s">
        <v>491</v>
      </c>
      <c r="C8178" t="s">
        <v>492</v>
      </c>
      <c r="D8178" t="s">
        <v>320</v>
      </c>
      <c r="E8178" t="s">
        <v>324</v>
      </c>
      <c r="F8178">
        <v>2</v>
      </c>
      <c r="G8178" t="s">
        <v>498</v>
      </c>
      <c r="H8178" s="4">
        <v>67923619</v>
      </c>
      <c r="I8178" s="4">
        <v>66539009</v>
      </c>
      <c r="J8178" s="3">
        <v>0.020384809001416725</v>
      </c>
      <c r="K8178" s="3">
        <v>0.02080899641892773</v>
      </c>
      <c r="L8178" t="s">
        <v>54</v>
      </c>
    </row>
    <row r="8179" spans="1:12" x14ac:dyDescent="0.25">
      <c r="A8179" t="s">
        <v>490</v>
      </c>
      <c r="B8179" t="s">
        <v>491</v>
      </c>
      <c r="C8179" t="s">
        <v>492</v>
      </c>
      <c r="D8179" t="s">
        <v>320</v>
      </c>
      <c r="E8179" t="s">
        <v>324</v>
      </c>
      <c r="F8179">
        <v>2</v>
      </c>
      <c r="G8179" t="s">
        <v>499</v>
      </c>
      <c r="H8179" s="4">
        <v>67923619</v>
      </c>
      <c r="I8179" s="4">
        <v>74545424</v>
      </c>
      <c r="J8179" s="3">
        <v>0.09748898980191265</v>
      </c>
      <c r="K8179" s="3">
        <v>-0.08882912786169142</v>
      </c>
      <c r="L8179" t="s">
        <v>54</v>
      </c>
    </row>
    <row r="8180" spans="1:12" x14ac:dyDescent="0.25">
      <c r="A8180" t="s">
        <v>490</v>
      </c>
      <c r="B8180" t="s">
        <v>491</v>
      </c>
      <c r="C8180" t="s">
        <v>492</v>
      </c>
      <c r="D8180" t="s">
        <v>320</v>
      </c>
      <c r="E8180" t="s">
        <v>326</v>
      </c>
      <c r="F8180">
        <v>3</v>
      </c>
      <c r="G8180" t="s">
        <v>488</v>
      </c>
      <c r="H8180" s="4">
        <v>66837250</v>
      </c>
      <c r="I8180" s="4">
        <v>62740392.69457931</v>
      </c>
      <c r="J8180" s="3">
        <v>0.06129601839424407</v>
      </c>
      <c r="K8180" s="3">
        <v>0.06529856013755318</v>
      </c>
      <c r="L8180" t="s">
        <v>54</v>
      </c>
    </row>
    <row r="8181" spans="1:12" x14ac:dyDescent="0.25">
      <c r="A8181" t="s">
        <v>490</v>
      </c>
      <c r="B8181" t="s">
        <v>491</v>
      </c>
      <c r="C8181" t="s">
        <v>492</v>
      </c>
      <c r="D8181" t="s">
        <v>320</v>
      </c>
      <c r="E8181" t="s">
        <v>326</v>
      </c>
      <c r="F8181">
        <v>3</v>
      </c>
      <c r="G8181" t="s">
        <v>498</v>
      </c>
      <c r="H8181" s="4">
        <v>66837250</v>
      </c>
      <c r="I8181" s="4">
        <v>53893356</v>
      </c>
      <c r="J8181" s="3">
        <v>0.19366287511829108</v>
      </c>
      <c r="K8181" s="3">
        <v>0.2401760617765203</v>
      </c>
      <c r="L8181" t="s">
        <v>54</v>
      </c>
    </row>
    <row r="8182" spans="1:12" x14ac:dyDescent="0.25">
      <c r="A8182" t="s">
        <v>490</v>
      </c>
      <c r="B8182" t="s">
        <v>491</v>
      </c>
      <c r="C8182" t="s">
        <v>492</v>
      </c>
      <c r="D8182" t="s">
        <v>320</v>
      </c>
      <c r="E8182" t="s">
        <v>326</v>
      </c>
      <c r="F8182">
        <v>3</v>
      </c>
      <c r="G8182" t="s">
        <v>499</v>
      </c>
      <c r="H8182" s="4">
        <v>66837250</v>
      </c>
      <c r="I8182" s="4">
        <v>74545424</v>
      </c>
      <c r="J8182" s="3">
        <v>0.11532751571915362</v>
      </c>
      <c r="K8182" s="3">
        <v>-0.10340237651609574</v>
      </c>
      <c r="L8182" t="s">
        <v>54</v>
      </c>
    </row>
    <row r="8183" spans="1:12" x14ac:dyDescent="0.25">
      <c r="A8183" t="s">
        <v>490</v>
      </c>
      <c r="B8183" t="s">
        <v>491</v>
      </c>
      <c r="C8183" t="s">
        <v>492</v>
      </c>
      <c r="D8183" t="s">
        <v>322</v>
      </c>
      <c r="E8183" t="s">
        <v>324</v>
      </c>
      <c r="F8183">
        <v>1</v>
      </c>
      <c r="G8183" t="s">
        <v>488</v>
      </c>
      <c r="H8183" s="4">
        <v>67923619</v>
      </c>
      <c r="I8183" s="4">
        <v>78439636.95899157</v>
      </c>
      <c r="J8183" s="3">
        <v>0.1548212258683032</v>
      </c>
      <c r="K8183" s="3">
        <v>-0.13406510237278854</v>
      </c>
      <c r="L8183" t="s">
        <v>54</v>
      </c>
    </row>
    <row r="8184" spans="1:12" x14ac:dyDescent="0.25">
      <c r="A8184" t="s">
        <v>490</v>
      </c>
      <c r="B8184" t="s">
        <v>491</v>
      </c>
      <c r="C8184" t="s">
        <v>492</v>
      </c>
      <c r="D8184" t="s">
        <v>322</v>
      </c>
      <c r="E8184" t="s">
        <v>324</v>
      </c>
      <c r="F8184">
        <v>1</v>
      </c>
      <c r="G8184" t="s">
        <v>498</v>
      </c>
      <c r="H8184" s="4">
        <v>67923619</v>
      </c>
      <c r="I8184" s="4">
        <v>66539009</v>
      </c>
      <c r="J8184" s="3">
        <v>0.020384809001416725</v>
      </c>
      <c r="K8184" s="3">
        <v>0.02080899641892773</v>
      </c>
      <c r="L8184" t="s">
        <v>54</v>
      </c>
    </row>
    <row r="8185" spans="1:12" x14ac:dyDescent="0.25">
      <c r="A8185" t="s">
        <v>490</v>
      </c>
      <c r="B8185" t="s">
        <v>491</v>
      </c>
      <c r="C8185" t="s">
        <v>492</v>
      </c>
      <c r="D8185" t="s">
        <v>322</v>
      </c>
      <c r="E8185" t="s">
        <v>324</v>
      </c>
      <c r="F8185">
        <v>1</v>
      </c>
      <c r="G8185" t="s">
        <v>499</v>
      </c>
      <c r="H8185" s="4">
        <v>67923619</v>
      </c>
      <c r="I8185" s="4">
        <v>70800392</v>
      </c>
      <c r="J8185" s="3">
        <v>0.0423530583669283</v>
      </c>
      <c r="K8185" s="3">
        <v>-0.04063216203661697</v>
      </c>
      <c r="L8185" t="s">
        <v>54</v>
      </c>
    </row>
    <row r="8186" spans="1:12" x14ac:dyDescent="0.25">
      <c r="A8186" t="s">
        <v>490</v>
      </c>
      <c r="B8186" t="s">
        <v>491</v>
      </c>
      <c r="C8186" t="s">
        <v>492</v>
      </c>
      <c r="D8186" t="s">
        <v>322</v>
      </c>
      <c r="E8186" t="s">
        <v>326</v>
      </c>
      <c r="F8186">
        <v>2</v>
      </c>
      <c r="G8186" t="s">
        <v>488</v>
      </c>
      <c r="H8186" s="4">
        <v>66837250</v>
      </c>
      <c r="I8186" s="4">
        <v>63532284.935919166</v>
      </c>
      <c r="J8186" s="3">
        <v>0.04944795101654892</v>
      </c>
      <c r="K8186" s="3">
        <v>0.05202024557143404</v>
      </c>
      <c r="L8186" t="s">
        <v>54</v>
      </c>
    </row>
    <row r="8187" spans="1:12" x14ac:dyDescent="0.25">
      <c r="A8187" t="s">
        <v>490</v>
      </c>
      <c r="B8187" t="s">
        <v>491</v>
      </c>
      <c r="C8187" t="s">
        <v>492</v>
      </c>
      <c r="D8187" t="s">
        <v>322</v>
      </c>
      <c r="E8187" t="s">
        <v>326</v>
      </c>
      <c r="F8187">
        <v>2</v>
      </c>
      <c r="G8187" t="s">
        <v>498</v>
      </c>
      <c r="H8187" s="4">
        <v>66837250</v>
      </c>
      <c r="I8187" s="4">
        <v>53893356</v>
      </c>
      <c r="J8187" s="3">
        <v>0.19366287511829108</v>
      </c>
      <c r="K8187" s="3">
        <v>0.2401760617765203</v>
      </c>
      <c r="L8187" t="s">
        <v>54</v>
      </c>
    </row>
    <row r="8188" spans="1:12" x14ac:dyDescent="0.25">
      <c r="A8188" t="s">
        <v>490</v>
      </c>
      <c r="B8188" t="s">
        <v>491</v>
      </c>
      <c r="C8188" t="s">
        <v>492</v>
      </c>
      <c r="D8188" t="s">
        <v>322</v>
      </c>
      <c r="E8188" t="s">
        <v>326</v>
      </c>
      <c r="F8188">
        <v>2</v>
      </c>
      <c r="G8188" t="s">
        <v>499</v>
      </c>
      <c r="H8188" s="4">
        <v>66837250</v>
      </c>
      <c r="I8188" s="4">
        <v>70800392</v>
      </c>
      <c r="J8188" s="3">
        <v>0.05929540787509959</v>
      </c>
      <c r="K8188" s="3">
        <v>-0.05597627199578217</v>
      </c>
      <c r="L8188" t="s">
        <v>54</v>
      </c>
    </row>
    <row r="8189" spans="1:12" x14ac:dyDescent="0.25">
      <c r="A8189" t="s">
        <v>490</v>
      </c>
      <c r="B8189" t="s">
        <v>491</v>
      </c>
      <c r="C8189" t="s">
        <v>492</v>
      </c>
      <c r="D8189" t="s">
        <v>322</v>
      </c>
      <c r="E8189" t="s">
        <v>328</v>
      </c>
      <c r="F8189">
        <v>3</v>
      </c>
      <c r="G8189" t="s">
        <v>488</v>
      </c>
      <c r="H8189" s="4">
        <v>63175541</v>
      </c>
      <c r="I8189" s="4">
        <v>47214404.78953746</v>
      </c>
      <c r="J8189" s="3">
        <v>0.2526474005258228</v>
      </c>
      <c r="K8189" s="3">
        <v>0.3380564952922899</v>
      </c>
      <c r="L8189" t="s">
        <v>54</v>
      </c>
    </row>
    <row r="8190" spans="1:12" x14ac:dyDescent="0.25">
      <c r="A8190" t="s">
        <v>490</v>
      </c>
      <c r="B8190" t="s">
        <v>491</v>
      </c>
      <c r="C8190" t="s">
        <v>492</v>
      </c>
      <c r="D8190" t="s">
        <v>322</v>
      </c>
      <c r="E8190" t="s">
        <v>328</v>
      </c>
      <c r="F8190">
        <v>3</v>
      </c>
      <c r="G8190" t="s">
        <v>498</v>
      </c>
      <c r="H8190" s="4">
        <v>63175541</v>
      </c>
      <c r="I8190" s="4">
        <v>40051176</v>
      </c>
      <c r="J8190" s="3">
        <v>0.3660335097090819</v>
      </c>
      <c r="K8190" s="3">
        <v>0.5773704372625663</v>
      </c>
      <c r="L8190" t="s">
        <v>54</v>
      </c>
    </row>
    <row r="8191" spans="1:12" x14ac:dyDescent="0.25">
      <c r="A8191" t="s">
        <v>490</v>
      </c>
      <c r="B8191" t="s">
        <v>491</v>
      </c>
      <c r="C8191" t="s">
        <v>492</v>
      </c>
      <c r="D8191" t="s">
        <v>322</v>
      </c>
      <c r="E8191" t="s">
        <v>328</v>
      </c>
      <c r="F8191">
        <v>3</v>
      </c>
      <c r="G8191" t="s">
        <v>499</v>
      </c>
      <c r="H8191" s="4">
        <v>63175541</v>
      </c>
      <c r="I8191" s="4">
        <v>70800392</v>
      </c>
      <c r="J8191" s="3">
        <v>0.12069308595236249</v>
      </c>
      <c r="K8191" s="3">
        <v>-0.10769503931560152</v>
      </c>
      <c r="L8191" t="s">
        <v>54</v>
      </c>
    </row>
    <row r="8192" spans="1:12" x14ac:dyDescent="0.25">
      <c r="A8192" t="s">
        <v>490</v>
      </c>
      <c r="B8192" t="s">
        <v>491</v>
      </c>
      <c r="C8192" t="s">
        <v>492</v>
      </c>
      <c r="D8192" t="s">
        <v>324</v>
      </c>
      <c r="E8192" t="s">
        <v>326</v>
      </c>
      <c r="F8192">
        <v>1</v>
      </c>
      <c r="G8192" t="s">
        <v>488</v>
      </c>
      <c r="H8192" s="4">
        <v>66837250</v>
      </c>
      <c r="I8192" s="4">
        <v>62933202.41662791</v>
      </c>
      <c r="J8192" s="3">
        <v>0.05841125395452515</v>
      </c>
      <c r="K8192" s="3">
        <v>0.06203478344430439</v>
      </c>
      <c r="L8192" t="s">
        <v>54</v>
      </c>
    </row>
    <row r="8193" spans="1:12" x14ac:dyDescent="0.25">
      <c r="A8193" t="s">
        <v>490</v>
      </c>
      <c r="B8193" t="s">
        <v>491</v>
      </c>
      <c r="C8193" t="s">
        <v>492</v>
      </c>
      <c r="D8193" t="s">
        <v>324</v>
      </c>
      <c r="E8193" t="s">
        <v>326</v>
      </c>
      <c r="F8193">
        <v>1</v>
      </c>
      <c r="G8193" t="s">
        <v>498</v>
      </c>
      <c r="H8193" s="4">
        <v>66837250</v>
      </c>
      <c r="I8193" s="4">
        <v>53893356</v>
      </c>
      <c r="J8193" s="3">
        <v>0.19366287511829108</v>
      </c>
      <c r="K8193" s="3">
        <v>0.2401760617765203</v>
      </c>
      <c r="L8193" t="s">
        <v>54</v>
      </c>
    </row>
    <row r="8194" spans="1:12" x14ac:dyDescent="0.25">
      <c r="A8194" t="s">
        <v>490</v>
      </c>
      <c r="B8194" t="s">
        <v>491</v>
      </c>
      <c r="C8194" t="s">
        <v>492</v>
      </c>
      <c r="D8194" t="s">
        <v>324</v>
      </c>
      <c r="E8194" t="s">
        <v>326</v>
      </c>
      <c r="F8194">
        <v>1</v>
      </c>
      <c r="G8194" t="s">
        <v>499</v>
      </c>
      <c r="H8194" s="4">
        <v>66837250</v>
      </c>
      <c r="I8194" s="4">
        <v>67923619</v>
      </c>
      <c r="J8194" s="3">
        <v>0.016253945217674277</v>
      </c>
      <c r="K8194" s="3">
        <v>-0.01599397994385429</v>
      </c>
      <c r="L8194" t="s">
        <v>54</v>
      </c>
    </row>
    <row r="8195" spans="1:12" x14ac:dyDescent="0.25">
      <c r="A8195" t="s">
        <v>490</v>
      </c>
      <c r="B8195" t="s">
        <v>491</v>
      </c>
      <c r="C8195" t="s">
        <v>492</v>
      </c>
      <c r="D8195" t="s">
        <v>324</v>
      </c>
      <c r="E8195" t="s">
        <v>328</v>
      </c>
      <c r="F8195">
        <v>2</v>
      </c>
      <c r="G8195" t="s">
        <v>488</v>
      </c>
      <c r="H8195" s="4">
        <v>63175541</v>
      </c>
      <c r="I8195" s="4">
        <v>46769192.96382266</v>
      </c>
      <c r="J8195" s="3">
        <v>0.2596946187793997</v>
      </c>
      <c r="K8195" s="3">
        <v>0.35079390933403803</v>
      </c>
      <c r="L8195" t="s">
        <v>54</v>
      </c>
    </row>
    <row r="8196" spans="1:12" x14ac:dyDescent="0.25">
      <c r="A8196" t="s">
        <v>490</v>
      </c>
      <c r="B8196" t="s">
        <v>491</v>
      </c>
      <c r="C8196" t="s">
        <v>492</v>
      </c>
      <c r="D8196" t="s">
        <v>324</v>
      </c>
      <c r="E8196" t="s">
        <v>328</v>
      </c>
      <c r="F8196">
        <v>2</v>
      </c>
      <c r="G8196" t="s">
        <v>498</v>
      </c>
      <c r="H8196" s="4">
        <v>63175541</v>
      </c>
      <c r="I8196" s="4">
        <v>40051176</v>
      </c>
      <c r="J8196" s="3">
        <v>0.3660335097090819</v>
      </c>
      <c r="K8196" s="3">
        <v>0.5773704372625663</v>
      </c>
      <c r="L8196" t="s">
        <v>54</v>
      </c>
    </row>
    <row r="8197" spans="1:12" x14ac:dyDescent="0.25">
      <c r="A8197" t="s">
        <v>490</v>
      </c>
      <c r="B8197" t="s">
        <v>491</v>
      </c>
      <c r="C8197" t="s">
        <v>492</v>
      </c>
      <c r="D8197" t="s">
        <v>324</v>
      </c>
      <c r="E8197" t="s">
        <v>328</v>
      </c>
      <c r="F8197">
        <v>2</v>
      </c>
      <c r="G8197" t="s">
        <v>499</v>
      </c>
      <c r="H8197" s="4">
        <v>63175541</v>
      </c>
      <c r="I8197" s="4">
        <v>67923619</v>
      </c>
      <c r="J8197" s="3">
        <v>0.07515690289062978</v>
      </c>
      <c r="K8197" s="3">
        <v>-0.06990319523463553</v>
      </c>
      <c r="L8197" t="s">
        <v>54</v>
      </c>
    </row>
    <row r="8198" spans="1:12" x14ac:dyDescent="0.25">
      <c r="A8198" t="s">
        <v>490</v>
      </c>
      <c r="B8198" t="s">
        <v>491</v>
      </c>
      <c r="C8198" t="s">
        <v>492</v>
      </c>
      <c r="D8198" t="s">
        <v>324</v>
      </c>
      <c r="E8198" t="s">
        <v>330</v>
      </c>
      <c r="F8198">
        <v>3</v>
      </c>
      <c r="G8198" t="s">
        <v>488</v>
      </c>
      <c r="H8198" s="4">
        <v>68345916</v>
      </c>
      <c r="I8198" s="4">
        <v>57189919.144787915</v>
      </c>
      <c r="J8198" s="3">
        <v>0.16322843423756417</v>
      </c>
      <c r="K8198" s="3">
        <v>0.19506928881938806</v>
      </c>
      <c r="L8198" t="s">
        <v>54</v>
      </c>
    </row>
    <row r="8199" spans="1:12" x14ac:dyDescent="0.25">
      <c r="A8199" t="s">
        <v>490</v>
      </c>
      <c r="B8199" t="s">
        <v>491</v>
      </c>
      <c r="C8199" t="s">
        <v>492</v>
      </c>
      <c r="D8199" t="s">
        <v>324</v>
      </c>
      <c r="E8199" t="s">
        <v>330</v>
      </c>
      <c r="F8199">
        <v>3</v>
      </c>
      <c r="G8199" t="s">
        <v>498</v>
      </c>
      <c r="H8199" s="4">
        <v>68345916</v>
      </c>
      <c r="I8199" s="4">
        <v>48975049</v>
      </c>
      <c r="J8199" s="3">
        <v>0.2834239137273396</v>
      </c>
      <c r="K8199" s="3">
        <v>0.3955252193826289</v>
      </c>
      <c r="L8199" t="s">
        <v>54</v>
      </c>
    </row>
    <row r="8200" spans="1:12" x14ac:dyDescent="0.25">
      <c r="A8200" t="s">
        <v>490</v>
      </c>
      <c r="B8200" t="s">
        <v>491</v>
      </c>
      <c r="C8200" t="s">
        <v>492</v>
      </c>
      <c r="D8200" t="s">
        <v>324</v>
      </c>
      <c r="E8200" t="s">
        <v>330</v>
      </c>
      <c r="F8200">
        <v>3</v>
      </c>
      <c r="G8200" t="s">
        <v>499</v>
      </c>
      <c r="H8200" s="4">
        <v>68345916</v>
      </c>
      <c r="I8200" s="4">
        <v>67923619</v>
      </c>
      <c r="J8200" s="3">
        <v>0.006178818351048217</v>
      </c>
      <c r="K8200" s="3">
        <v>0.006217233507537341</v>
      </c>
      <c r="L8200" t="s">
        <v>54</v>
      </c>
    </row>
    <row r="8201" spans="1:12" x14ac:dyDescent="0.25">
      <c r="A8201" t="s">
        <v>490</v>
      </c>
      <c r="B8201" t="s">
        <v>491</v>
      </c>
      <c r="C8201" t="s">
        <v>492</v>
      </c>
      <c r="D8201" t="s">
        <v>326</v>
      </c>
      <c r="E8201" t="s">
        <v>328</v>
      </c>
      <c r="F8201">
        <v>1</v>
      </c>
      <c r="G8201" t="s">
        <v>488</v>
      </c>
      <c r="H8201" s="4">
        <v>63175541</v>
      </c>
      <c r="I8201" s="4">
        <v>47286305.13247653</v>
      </c>
      <c r="J8201" s="3">
        <v>0.25150929641462777</v>
      </c>
      <c r="K8201" s="3">
        <v>0.3360219374934973</v>
      </c>
      <c r="L8201" t="s">
        <v>54</v>
      </c>
    </row>
    <row r="8202" spans="1:12" x14ac:dyDescent="0.25">
      <c r="A8202" t="s">
        <v>490</v>
      </c>
      <c r="B8202" t="s">
        <v>491</v>
      </c>
      <c r="C8202" t="s">
        <v>492</v>
      </c>
      <c r="D8202" t="s">
        <v>326</v>
      </c>
      <c r="E8202" t="s">
        <v>328</v>
      </c>
      <c r="F8202">
        <v>1</v>
      </c>
      <c r="G8202" t="s">
        <v>498</v>
      </c>
      <c r="H8202" s="4">
        <v>63175541</v>
      </c>
      <c r="I8202" s="4">
        <v>40051176</v>
      </c>
      <c r="J8202" s="3">
        <v>0.3660335097090819</v>
      </c>
      <c r="K8202" s="3">
        <v>0.5773704372625663</v>
      </c>
      <c r="L8202" t="s">
        <v>54</v>
      </c>
    </row>
    <row r="8203" spans="1:12" x14ac:dyDescent="0.25">
      <c r="A8203" t="s">
        <v>490</v>
      </c>
      <c r="B8203" t="s">
        <v>491</v>
      </c>
      <c r="C8203" t="s">
        <v>492</v>
      </c>
      <c r="D8203" t="s">
        <v>326</v>
      </c>
      <c r="E8203" t="s">
        <v>328</v>
      </c>
      <c r="F8203">
        <v>1</v>
      </c>
      <c r="G8203" t="s">
        <v>499</v>
      </c>
      <c r="H8203" s="4">
        <v>63175541</v>
      </c>
      <c r="I8203" s="4">
        <v>66837250</v>
      </c>
      <c r="J8203" s="3">
        <v>0.057960864949300556</v>
      </c>
      <c r="K8203" s="3">
        <v>-0.05478545272284542</v>
      </c>
      <c r="L8203" t="s">
        <v>54</v>
      </c>
    </row>
    <row r="8204" spans="1:12" x14ac:dyDescent="0.25">
      <c r="A8204" t="s">
        <v>490</v>
      </c>
      <c r="B8204" t="s">
        <v>491</v>
      </c>
      <c r="C8204" t="s">
        <v>492</v>
      </c>
      <c r="D8204" t="s">
        <v>326</v>
      </c>
      <c r="E8204" t="s">
        <v>330</v>
      </c>
      <c r="F8204">
        <v>2</v>
      </c>
      <c r="G8204" t="s">
        <v>488</v>
      </c>
      <c r="H8204" s="4">
        <v>68345916</v>
      </c>
      <c r="I8204" s="4">
        <v>57822249.98566808</v>
      </c>
      <c r="J8204" s="3">
        <v>0.1539765157925738</v>
      </c>
      <c r="K8204" s="3">
        <v>0.1820002856502529</v>
      </c>
      <c r="L8204" t="s">
        <v>54</v>
      </c>
    </row>
    <row r="8205" spans="1:12" x14ac:dyDescent="0.25">
      <c r="A8205" t="s">
        <v>490</v>
      </c>
      <c r="B8205" t="s">
        <v>491</v>
      </c>
      <c r="C8205" t="s">
        <v>492</v>
      </c>
      <c r="D8205" t="s">
        <v>326</v>
      </c>
      <c r="E8205" t="s">
        <v>330</v>
      </c>
      <c r="F8205">
        <v>2</v>
      </c>
      <c r="G8205" t="s">
        <v>498</v>
      </c>
      <c r="H8205" s="4">
        <v>68345916</v>
      </c>
      <c r="I8205" s="4">
        <v>48975049</v>
      </c>
      <c r="J8205" s="3">
        <v>0.2834239137273396</v>
      </c>
      <c r="K8205" s="3">
        <v>0.3955252193826289</v>
      </c>
      <c r="L8205" t="s">
        <v>54</v>
      </c>
    </row>
    <row r="8206" spans="1:12" x14ac:dyDescent="0.25">
      <c r="A8206" t="s">
        <v>490</v>
      </c>
      <c r="B8206" t="s">
        <v>491</v>
      </c>
      <c r="C8206" t="s">
        <v>492</v>
      </c>
      <c r="D8206" t="s">
        <v>326</v>
      </c>
      <c r="E8206" t="s">
        <v>330</v>
      </c>
      <c r="F8206">
        <v>2</v>
      </c>
      <c r="G8206" t="s">
        <v>499</v>
      </c>
      <c r="H8206" s="4">
        <v>68345916</v>
      </c>
      <c r="I8206" s="4">
        <v>66837250</v>
      </c>
      <c r="J8206" s="3">
        <v>0.02207397439811912</v>
      </c>
      <c r="K8206" s="3">
        <v>0.022572233298048618</v>
      </c>
      <c r="L8206" t="s">
        <v>54</v>
      </c>
    </row>
    <row r="8207" spans="1:12" x14ac:dyDescent="0.25">
      <c r="A8207" t="s">
        <v>490</v>
      </c>
      <c r="B8207" t="s">
        <v>491</v>
      </c>
      <c r="C8207" t="s">
        <v>492</v>
      </c>
      <c r="D8207" t="s">
        <v>326</v>
      </c>
      <c r="E8207" t="s">
        <v>332</v>
      </c>
      <c r="F8207">
        <v>3</v>
      </c>
      <c r="G8207" t="s">
        <v>488</v>
      </c>
      <c r="H8207" s="4">
        <v>96358498</v>
      </c>
      <c r="I8207" s="4">
        <v>82012994.94531268</v>
      </c>
      <c r="J8207" s="3">
        <v>0.14887636640711566</v>
      </c>
      <c r="K8207" s="3">
        <v>0.1749174391723298</v>
      </c>
      <c r="L8207" t="s">
        <v>54</v>
      </c>
    </row>
    <row r="8208" spans="1:12" x14ac:dyDescent="0.25">
      <c r="A8208" t="s">
        <v>490</v>
      </c>
      <c r="B8208" t="s">
        <v>491</v>
      </c>
      <c r="C8208" t="s">
        <v>492</v>
      </c>
      <c r="D8208" t="s">
        <v>326</v>
      </c>
      <c r="E8208" t="s">
        <v>332</v>
      </c>
      <c r="F8208">
        <v>3</v>
      </c>
      <c r="G8208" t="s">
        <v>498</v>
      </c>
      <c r="H8208" s="4">
        <v>96358498</v>
      </c>
      <c r="I8208" s="4">
        <v>69464444</v>
      </c>
      <c r="J8208" s="3">
        <v>0.27910412219169295</v>
      </c>
      <c r="K8208" s="3">
        <v>0.38716287716921766</v>
      </c>
      <c r="L8208" t="s">
        <v>54</v>
      </c>
    </row>
    <row r="8209" spans="1:12" x14ac:dyDescent="0.25">
      <c r="A8209" t="s">
        <v>490</v>
      </c>
      <c r="B8209" t="s">
        <v>491</v>
      </c>
      <c r="C8209" t="s">
        <v>492</v>
      </c>
      <c r="D8209" t="s">
        <v>326</v>
      </c>
      <c r="E8209" t="s">
        <v>332</v>
      </c>
      <c r="F8209">
        <v>3</v>
      </c>
      <c r="G8209" t="s">
        <v>499</v>
      </c>
      <c r="H8209" s="4">
        <v>96358498</v>
      </c>
      <c r="I8209" s="4">
        <v>66837250</v>
      </c>
      <c r="J8209" s="3">
        <v>0.3063689099844624</v>
      </c>
      <c r="K8209" s="3">
        <v>0.4416885494241609</v>
      </c>
      <c r="L8209" t="s">
        <v>54</v>
      </c>
    </row>
    <row r="8210" spans="1:12" x14ac:dyDescent="0.25">
      <c r="A8210" t="s">
        <v>490</v>
      </c>
      <c r="B8210" t="s">
        <v>491</v>
      </c>
      <c r="C8210" t="s">
        <v>492</v>
      </c>
      <c r="D8210" t="s">
        <v>328</v>
      </c>
      <c r="E8210" t="s">
        <v>330</v>
      </c>
      <c r="F8210">
        <v>1</v>
      </c>
      <c r="G8210" t="s">
        <v>488</v>
      </c>
      <c r="H8210" s="4">
        <v>68345916</v>
      </c>
      <c r="I8210" s="4">
        <v>61045760.499785475</v>
      </c>
      <c r="J8210" s="3">
        <v>0.10681187593146786</v>
      </c>
      <c r="K8210" s="3">
        <v>0.11958497101924348</v>
      </c>
      <c r="L8210" t="s">
        <v>54</v>
      </c>
    </row>
    <row r="8211" spans="1:12" x14ac:dyDescent="0.25">
      <c r="A8211" t="s">
        <v>490</v>
      </c>
      <c r="B8211" t="s">
        <v>491</v>
      </c>
      <c r="C8211" t="s">
        <v>492</v>
      </c>
      <c r="D8211" t="s">
        <v>328</v>
      </c>
      <c r="E8211" t="s">
        <v>330</v>
      </c>
      <c r="F8211">
        <v>1</v>
      </c>
      <c r="G8211" t="s">
        <v>498</v>
      </c>
      <c r="H8211" s="4">
        <v>68345916</v>
      </c>
      <c r="I8211" s="4">
        <v>48975049</v>
      </c>
      <c r="J8211" s="3">
        <v>0.2834239137273396</v>
      </c>
      <c r="K8211" s="3">
        <v>0.3955252193826289</v>
      </c>
      <c r="L8211" t="s">
        <v>54</v>
      </c>
    </row>
    <row r="8212" spans="1:12" x14ac:dyDescent="0.25">
      <c r="A8212" t="s">
        <v>490</v>
      </c>
      <c r="B8212" t="s">
        <v>491</v>
      </c>
      <c r="C8212" t="s">
        <v>492</v>
      </c>
      <c r="D8212" t="s">
        <v>328</v>
      </c>
      <c r="E8212" t="s">
        <v>330</v>
      </c>
      <c r="F8212">
        <v>1</v>
      </c>
      <c r="G8212" t="s">
        <v>499</v>
      </c>
      <c r="H8212" s="4">
        <v>68345916</v>
      </c>
      <c r="I8212" s="4">
        <v>63175541</v>
      </c>
      <c r="J8212" s="3">
        <v>0.07565009444017108</v>
      </c>
      <c r="K8212" s="3">
        <v>0.08184140441314147</v>
      </c>
      <c r="L8212" t="s">
        <v>54</v>
      </c>
    </row>
    <row r="8213" spans="1:12" x14ac:dyDescent="0.25">
      <c r="A8213" t="s">
        <v>490</v>
      </c>
      <c r="B8213" t="s">
        <v>491</v>
      </c>
      <c r="C8213" t="s">
        <v>492</v>
      </c>
      <c r="D8213" t="s">
        <v>328</v>
      </c>
      <c r="E8213" t="s">
        <v>332</v>
      </c>
      <c r="F8213">
        <v>2</v>
      </c>
      <c r="G8213" t="s">
        <v>488</v>
      </c>
      <c r="H8213" s="4">
        <v>96358498</v>
      </c>
      <c r="I8213" s="4">
        <v>86585106.05420242</v>
      </c>
      <c r="J8213" s="3">
        <v>0.1014274002672559</v>
      </c>
      <c r="K8213" s="3">
        <v>0.11287613298850056</v>
      </c>
      <c r="L8213" t="s">
        <v>54</v>
      </c>
    </row>
    <row r="8214" spans="1:12" x14ac:dyDescent="0.25">
      <c r="A8214" t="s">
        <v>490</v>
      </c>
      <c r="B8214" t="s">
        <v>491</v>
      </c>
      <c r="C8214" t="s">
        <v>492</v>
      </c>
      <c r="D8214" t="s">
        <v>328</v>
      </c>
      <c r="E8214" t="s">
        <v>332</v>
      </c>
      <c r="F8214">
        <v>2</v>
      </c>
      <c r="G8214" t="s">
        <v>498</v>
      </c>
      <c r="H8214" s="4">
        <v>96358498</v>
      </c>
      <c r="I8214" s="4">
        <v>69464444</v>
      </c>
      <c r="J8214" s="3">
        <v>0.27910412219169295</v>
      </c>
      <c r="K8214" s="3">
        <v>0.38716287716921766</v>
      </c>
      <c r="L8214" t="s">
        <v>54</v>
      </c>
    </row>
    <row r="8215" spans="1:12" x14ac:dyDescent="0.25">
      <c r="A8215" t="s">
        <v>490</v>
      </c>
      <c r="B8215" t="s">
        <v>491</v>
      </c>
      <c r="C8215" t="s">
        <v>492</v>
      </c>
      <c r="D8215" t="s">
        <v>328</v>
      </c>
      <c r="E8215" t="s">
        <v>332</v>
      </c>
      <c r="F8215">
        <v>2</v>
      </c>
      <c r="G8215" t="s">
        <v>499</v>
      </c>
      <c r="H8215" s="4">
        <v>96358498</v>
      </c>
      <c r="I8215" s="4">
        <v>63175541</v>
      </c>
      <c r="J8215" s="3">
        <v>0.3443698032736044</v>
      </c>
      <c r="K8215" s="3">
        <v>0.5252500647362878</v>
      </c>
      <c r="L8215" t="s">
        <v>54</v>
      </c>
    </row>
    <row r="8216" spans="1:12" x14ac:dyDescent="0.25">
      <c r="A8216" t="s">
        <v>490</v>
      </c>
      <c r="B8216" t="s">
        <v>491</v>
      </c>
      <c r="C8216" t="s">
        <v>492</v>
      </c>
      <c r="D8216" t="s">
        <v>328</v>
      </c>
      <c r="E8216" t="s">
        <v>334</v>
      </c>
      <c r="F8216">
        <v>3</v>
      </c>
      <c r="G8216" t="s">
        <v>488</v>
      </c>
      <c r="H8216" s="4">
        <v>93790017</v>
      </c>
      <c r="I8216" s="4">
        <v>104389553.2739388</v>
      </c>
      <c r="J8216" s="3">
        <v>0.11301348067714717</v>
      </c>
      <c r="K8216" s="3">
        <v>-0.1015382855995516</v>
      </c>
      <c r="L8216" t="s">
        <v>54</v>
      </c>
    </row>
    <row r="8217" spans="1:12" x14ac:dyDescent="0.25">
      <c r="A8217" t="s">
        <v>490</v>
      </c>
      <c r="B8217" t="s">
        <v>491</v>
      </c>
      <c r="C8217" t="s">
        <v>492</v>
      </c>
      <c r="D8217" t="s">
        <v>328</v>
      </c>
      <c r="E8217" t="s">
        <v>334</v>
      </c>
      <c r="F8217">
        <v>3</v>
      </c>
      <c r="G8217" t="s">
        <v>498</v>
      </c>
      <c r="H8217" s="4">
        <v>93790017</v>
      </c>
      <c r="I8217" s="4">
        <v>83748379</v>
      </c>
      <c r="J8217" s="3">
        <v>0.10706510480747647</v>
      </c>
      <c r="K8217" s="3">
        <v>0.1199024759631467</v>
      </c>
      <c r="L8217" t="s">
        <v>54</v>
      </c>
    </row>
    <row r="8218" spans="1:12" x14ac:dyDescent="0.25">
      <c r="A8218" t="s">
        <v>490</v>
      </c>
      <c r="B8218" t="s">
        <v>491</v>
      </c>
      <c r="C8218" t="s">
        <v>492</v>
      </c>
      <c r="D8218" t="s">
        <v>328</v>
      </c>
      <c r="E8218" t="s">
        <v>334</v>
      </c>
      <c r="F8218">
        <v>3</v>
      </c>
      <c r="G8218" t="s">
        <v>499</v>
      </c>
      <c r="H8218" s="4">
        <v>93790017</v>
      </c>
      <c r="I8218" s="4">
        <v>63175541</v>
      </c>
      <c r="J8218" s="3">
        <v>0.326415081042154</v>
      </c>
      <c r="K8218" s="3">
        <v>0.4845938082271428</v>
      </c>
      <c r="L8218" t="s">
        <v>54</v>
      </c>
    </row>
    <row r="8219" spans="1:12" x14ac:dyDescent="0.25">
      <c r="A8219" t="s">
        <v>490</v>
      </c>
      <c r="B8219" t="s">
        <v>491</v>
      </c>
      <c r="C8219" t="s">
        <v>492</v>
      </c>
      <c r="D8219" t="s">
        <v>330</v>
      </c>
      <c r="E8219" t="s">
        <v>332</v>
      </c>
      <c r="F8219">
        <v>1</v>
      </c>
      <c r="G8219" t="s">
        <v>488</v>
      </c>
      <c r="H8219" s="4">
        <v>96358498</v>
      </c>
      <c r="I8219" s="4">
        <v>89907909.25899772</v>
      </c>
      <c r="J8219" s="3">
        <v>0.06694364145238417</v>
      </c>
      <c r="K8219" s="3">
        <v>0.07174662156162552</v>
      </c>
      <c r="L8219" t="s">
        <v>54</v>
      </c>
    </row>
    <row r="8220" spans="1:12" x14ac:dyDescent="0.25">
      <c r="A8220" t="s">
        <v>490</v>
      </c>
      <c r="B8220" t="s">
        <v>491</v>
      </c>
      <c r="C8220" t="s">
        <v>492</v>
      </c>
      <c r="D8220" t="s">
        <v>330</v>
      </c>
      <c r="E8220" t="s">
        <v>332</v>
      </c>
      <c r="F8220">
        <v>1</v>
      </c>
      <c r="G8220" t="s">
        <v>498</v>
      </c>
      <c r="H8220" s="4">
        <v>96358498</v>
      </c>
      <c r="I8220" s="4">
        <v>69464444</v>
      </c>
      <c r="J8220" s="3">
        <v>0.27910412219169295</v>
      </c>
      <c r="K8220" s="3">
        <v>0.38716287716921766</v>
      </c>
      <c r="L8220" t="s">
        <v>54</v>
      </c>
    </row>
    <row r="8221" spans="1:12" x14ac:dyDescent="0.25">
      <c r="A8221" t="s">
        <v>490</v>
      </c>
      <c r="B8221" t="s">
        <v>491</v>
      </c>
      <c r="C8221" t="s">
        <v>492</v>
      </c>
      <c r="D8221" t="s">
        <v>330</v>
      </c>
      <c r="E8221" t="s">
        <v>332</v>
      </c>
      <c r="F8221">
        <v>1</v>
      </c>
      <c r="G8221" t="s">
        <v>499</v>
      </c>
      <c r="H8221" s="4">
        <v>96358498</v>
      </c>
      <c r="I8221" s="4">
        <v>68345916</v>
      </c>
      <c r="J8221" s="3">
        <v>0.2907121071978519</v>
      </c>
      <c r="K8221" s="3">
        <v>0.4098647532941105</v>
      </c>
      <c r="L8221" t="s">
        <v>54</v>
      </c>
    </row>
    <row r="8222" spans="1:12" x14ac:dyDescent="0.25">
      <c r="A8222" t="s">
        <v>490</v>
      </c>
      <c r="B8222" t="s">
        <v>491</v>
      </c>
      <c r="C8222" t="s">
        <v>492</v>
      </c>
      <c r="D8222" t="s">
        <v>330</v>
      </c>
      <c r="E8222" t="s">
        <v>334</v>
      </c>
      <c r="F8222">
        <v>2</v>
      </c>
      <c r="G8222" t="s">
        <v>488</v>
      </c>
      <c r="H8222" s="4">
        <v>93790017</v>
      </c>
      <c r="I8222" s="4">
        <v>108395622.65437768</v>
      </c>
      <c r="J8222" s="3">
        <v>0.15572665536863783</v>
      </c>
      <c r="K8222" s="3">
        <v>-0.13474350067574264</v>
      </c>
      <c r="L8222" t="s">
        <v>54</v>
      </c>
    </row>
    <row r="8223" spans="1:12" x14ac:dyDescent="0.25">
      <c r="A8223" t="s">
        <v>490</v>
      </c>
      <c r="B8223" t="s">
        <v>491</v>
      </c>
      <c r="C8223" t="s">
        <v>492</v>
      </c>
      <c r="D8223" t="s">
        <v>330</v>
      </c>
      <c r="E8223" t="s">
        <v>334</v>
      </c>
      <c r="F8223">
        <v>2</v>
      </c>
      <c r="G8223" t="s">
        <v>498</v>
      </c>
      <c r="H8223" s="4">
        <v>93790017</v>
      </c>
      <c r="I8223" s="4">
        <v>83748379</v>
      </c>
      <c r="J8223" s="3">
        <v>0.10706510480747647</v>
      </c>
      <c r="K8223" s="3">
        <v>0.1199024759631467</v>
      </c>
      <c r="L8223" t="s">
        <v>54</v>
      </c>
    </row>
    <row r="8224" spans="1:12" x14ac:dyDescent="0.25">
      <c r="A8224" t="s">
        <v>490</v>
      </c>
      <c r="B8224" t="s">
        <v>491</v>
      </c>
      <c r="C8224" t="s">
        <v>492</v>
      </c>
      <c r="D8224" t="s">
        <v>330</v>
      </c>
      <c r="E8224" t="s">
        <v>334</v>
      </c>
      <c r="F8224">
        <v>2</v>
      </c>
      <c r="G8224" t="s">
        <v>499</v>
      </c>
      <c r="H8224" s="4">
        <v>93790017</v>
      </c>
      <c r="I8224" s="4">
        <v>68345916</v>
      </c>
      <c r="J8224" s="3">
        <v>0.27128794528313177</v>
      </c>
      <c r="K8224" s="3">
        <v>0.3722841464294662</v>
      </c>
      <c r="L8224" t="s">
        <v>54</v>
      </c>
    </row>
    <row r="8225" spans="1:12" x14ac:dyDescent="0.25">
      <c r="A8225" t="s">
        <v>490</v>
      </c>
      <c r="B8225" t="s">
        <v>491</v>
      </c>
      <c r="C8225" t="s">
        <v>492</v>
      </c>
      <c r="D8225" t="s">
        <v>330</v>
      </c>
      <c r="E8225" t="s">
        <v>336</v>
      </c>
      <c r="F8225">
        <v>3</v>
      </c>
      <c r="G8225" t="s">
        <v>488</v>
      </c>
      <c r="H8225" s="4">
        <v>113571730</v>
      </c>
      <c r="I8225" s="4">
        <v>128464478.9176264</v>
      </c>
      <c r="J8225" s="3">
        <v>0.13113077451251642</v>
      </c>
      <c r="K8225" s="3">
        <v>-0.11592892481333987</v>
      </c>
      <c r="L8225" t="s">
        <v>54</v>
      </c>
    </row>
    <row r="8226" spans="1:12" x14ac:dyDescent="0.25">
      <c r="A8226" t="s">
        <v>490</v>
      </c>
      <c r="B8226" t="s">
        <v>491</v>
      </c>
      <c r="C8226" t="s">
        <v>492</v>
      </c>
      <c r="D8226" t="s">
        <v>330</v>
      </c>
      <c r="E8226" t="s">
        <v>336</v>
      </c>
      <c r="F8226">
        <v>3</v>
      </c>
      <c r="G8226" t="s">
        <v>498</v>
      </c>
      <c r="H8226" s="4">
        <v>113571730</v>
      </c>
      <c r="I8226" s="4">
        <v>99253933</v>
      </c>
      <c r="J8226" s="3">
        <v>0.12606831823377174</v>
      </c>
      <c r="K8226" s="3">
        <v>0.1442542030047313</v>
      </c>
      <c r="L8226" t="s">
        <v>54</v>
      </c>
    </row>
    <row r="8227" spans="1:12" x14ac:dyDescent="0.25">
      <c r="A8227" t="s">
        <v>490</v>
      </c>
      <c r="B8227" t="s">
        <v>491</v>
      </c>
      <c r="C8227" t="s">
        <v>492</v>
      </c>
      <c r="D8227" t="s">
        <v>330</v>
      </c>
      <c r="E8227" t="s">
        <v>336</v>
      </c>
      <c r="F8227">
        <v>3</v>
      </c>
      <c r="G8227" t="s">
        <v>499</v>
      </c>
      <c r="H8227" s="4">
        <v>113571730</v>
      </c>
      <c r="I8227" s="4">
        <v>68345916</v>
      </c>
      <c r="J8227" s="3">
        <v>0.3982136575712988</v>
      </c>
      <c r="K8227" s="3">
        <v>0.6617193337492178</v>
      </c>
      <c r="L8227" t="s">
        <v>54</v>
      </c>
    </row>
    <row r="8228" spans="1:12" x14ac:dyDescent="0.25">
      <c r="A8228" t="s">
        <v>490</v>
      </c>
      <c r="B8228" t="s">
        <v>491</v>
      </c>
      <c r="C8228" t="s">
        <v>492</v>
      </c>
      <c r="D8228" t="s">
        <v>332</v>
      </c>
      <c r="E8228" t="s">
        <v>334</v>
      </c>
      <c r="F8228">
        <v>1</v>
      </c>
      <c r="G8228" t="s">
        <v>488</v>
      </c>
      <c r="H8228" s="4">
        <v>93790017</v>
      </c>
      <c r="I8228" s="4">
        <v>111949190.48312692</v>
      </c>
      <c r="J8228" s="3">
        <v>0.19361520622314124</v>
      </c>
      <c r="K8228" s="3">
        <v>-0.16220906470836777</v>
      </c>
      <c r="L8228" t="s">
        <v>54</v>
      </c>
    </row>
    <row r="8229" spans="1:12" x14ac:dyDescent="0.25">
      <c r="A8229" t="s">
        <v>490</v>
      </c>
      <c r="B8229" t="s">
        <v>491</v>
      </c>
      <c r="C8229" t="s">
        <v>492</v>
      </c>
      <c r="D8229" t="s">
        <v>332</v>
      </c>
      <c r="E8229" t="s">
        <v>334</v>
      </c>
      <c r="F8229">
        <v>1</v>
      </c>
      <c r="G8229" t="s">
        <v>498</v>
      </c>
      <c r="H8229" s="4">
        <v>93790017</v>
      </c>
      <c r="I8229" s="4">
        <v>83748379</v>
      </c>
      <c r="J8229" s="3">
        <v>0.10706510480747647</v>
      </c>
      <c r="K8229" s="3">
        <v>0.1199024759631467</v>
      </c>
      <c r="L8229" t="s">
        <v>54</v>
      </c>
    </row>
    <row r="8230" spans="1:12" x14ac:dyDescent="0.25">
      <c r="A8230" t="s">
        <v>490</v>
      </c>
      <c r="B8230" t="s">
        <v>491</v>
      </c>
      <c r="C8230" t="s">
        <v>492</v>
      </c>
      <c r="D8230" t="s">
        <v>332</v>
      </c>
      <c r="E8230" t="s">
        <v>334</v>
      </c>
      <c r="F8230">
        <v>1</v>
      </c>
      <c r="G8230" t="s">
        <v>499</v>
      </c>
      <c r="H8230" s="4">
        <v>93790017</v>
      </c>
      <c r="I8230" s="4">
        <v>96358498</v>
      </c>
      <c r="J8230" s="3">
        <v>0.02738544124584176</v>
      </c>
      <c r="K8230" s="3">
        <v>-0.026655469453249467</v>
      </c>
      <c r="L8230" t="s">
        <v>54</v>
      </c>
    </row>
    <row r="8231" spans="1:12" x14ac:dyDescent="0.25">
      <c r="A8231" t="s">
        <v>490</v>
      </c>
      <c r="B8231" t="s">
        <v>491</v>
      </c>
      <c r="C8231" t="s">
        <v>492</v>
      </c>
      <c r="D8231" t="s">
        <v>332</v>
      </c>
      <c r="E8231" t="s">
        <v>336</v>
      </c>
      <c r="F8231">
        <v>2</v>
      </c>
      <c r="G8231" t="s">
        <v>488</v>
      </c>
      <c r="H8231" s="4">
        <v>113571730</v>
      </c>
      <c r="I8231" s="4">
        <v>132675970.38047169</v>
      </c>
      <c r="J8231" s="3">
        <v>0.1682129908602404</v>
      </c>
      <c r="K8231" s="3">
        <v>-0.14399171399076202</v>
      </c>
      <c r="L8231" t="s">
        <v>54</v>
      </c>
    </row>
    <row r="8232" spans="1:12" x14ac:dyDescent="0.25">
      <c r="A8232" t="s">
        <v>490</v>
      </c>
      <c r="B8232" t="s">
        <v>491</v>
      </c>
      <c r="C8232" t="s">
        <v>492</v>
      </c>
      <c r="D8232" t="s">
        <v>332</v>
      </c>
      <c r="E8232" t="s">
        <v>336</v>
      </c>
      <c r="F8232">
        <v>2</v>
      </c>
      <c r="G8232" t="s">
        <v>498</v>
      </c>
      <c r="H8232" s="4">
        <v>113571730</v>
      </c>
      <c r="I8232" s="4">
        <v>99253933</v>
      </c>
      <c r="J8232" s="3">
        <v>0.12606831823377174</v>
      </c>
      <c r="K8232" s="3">
        <v>0.1442542030047313</v>
      </c>
      <c r="L8232" t="s">
        <v>54</v>
      </c>
    </row>
    <row r="8233" spans="1:12" x14ac:dyDescent="0.25">
      <c r="A8233" t="s">
        <v>490</v>
      </c>
      <c r="B8233" t="s">
        <v>491</v>
      </c>
      <c r="C8233" t="s">
        <v>492</v>
      </c>
      <c r="D8233" t="s">
        <v>332</v>
      </c>
      <c r="E8233" t="s">
        <v>336</v>
      </c>
      <c r="F8233">
        <v>2</v>
      </c>
      <c r="G8233" t="s">
        <v>499</v>
      </c>
      <c r="H8233" s="4">
        <v>113571730</v>
      </c>
      <c r="I8233" s="4">
        <v>96358498</v>
      </c>
      <c r="J8233" s="3">
        <v>0.15156264679599404</v>
      </c>
      <c r="K8233" s="3">
        <v>0.17863740466357206</v>
      </c>
      <c r="L8233" t="s">
        <v>54</v>
      </c>
    </row>
    <row r="8234" spans="1:12" x14ac:dyDescent="0.25">
      <c r="A8234" t="s">
        <v>490</v>
      </c>
      <c r="B8234" t="s">
        <v>491</v>
      </c>
      <c r="C8234" t="s">
        <v>492</v>
      </c>
      <c r="D8234" t="s">
        <v>332</v>
      </c>
      <c r="E8234" t="s">
        <v>338</v>
      </c>
      <c r="F8234">
        <v>3</v>
      </c>
      <c r="G8234" t="s">
        <v>488</v>
      </c>
      <c r="H8234" s="4">
        <v>103070679</v>
      </c>
      <c r="I8234" s="4">
        <v>99221641.8469131</v>
      </c>
      <c r="J8234" s="3">
        <v>0.0373436673788372</v>
      </c>
      <c r="K8234" s="3">
        <v>0.038792314674912315</v>
      </c>
      <c r="L8234" t="s">
        <v>54</v>
      </c>
    </row>
    <row r="8235" spans="1:12" x14ac:dyDescent="0.25">
      <c r="A8235" t="s">
        <v>490</v>
      </c>
      <c r="B8235" t="s">
        <v>491</v>
      </c>
      <c r="C8235" t="s">
        <v>492</v>
      </c>
      <c r="D8235" t="s">
        <v>332</v>
      </c>
      <c r="E8235" t="s">
        <v>338</v>
      </c>
      <c r="F8235">
        <v>3</v>
      </c>
      <c r="G8235" t="s">
        <v>498</v>
      </c>
      <c r="H8235" s="4">
        <v>103070679</v>
      </c>
      <c r="I8235" s="4">
        <v>74226992</v>
      </c>
      <c r="J8235" s="3">
        <v>0.27984376623734086</v>
      </c>
      <c r="K8235" s="3">
        <v>0.3885875774138874</v>
      </c>
      <c r="L8235" t="s">
        <v>54</v>
      </c>
    </row>
    <row r="8236" spans="1:12" x14ac:dyDescent="0.25">
      <c r="A8236" t="s">
        <v>490</v>
      </c>
      <c r="B8236" t="s">
        <v>491</v>
      </c>
      <c r="C8236" t="s">
        <v>492</v>
      </c>
      <c r="D8236" t="s">
        <v>332</v>
      </c>
      <c r="E8236" t="s">
        <v>338</v>
      </c>
      <c r="F8236">
        <v>3</v>
      </c>
      <c r="G8236" t="s">
        <v>499</v>
      </c>
      <c r="H8236" s="4">
        <v>103070679</v>
      </c>
      <c r="I8236" s="4">
        <v>96358498</v>
      </c>
      <c r="J8236" s="3">
        <v>0.06512211877443827</v>
      </c>
      <c r="K8236" s="3">
        <v>0.06965842286167641</v>
      </c>
      <c r="L8236" t="s">
        <v>54</v>
      </c>
    </row>
    <row r="8237" spans="1:12" x14ac:dyDescent="0.25">
      <c r="A8237" t="s">
        <v>490</v>
      </c>
      <c r="B8237" t="s">
        <v>491</v>
      </c>
      <c r="C8237" t="s">
        <v>492</v>
      </c>
      <c r="D8237" t="s">
        <v>334</v>
      </c>
      <c r="E8237" t="s">
        <v>336</v>
      </c>
      <c r="F8237">
        <v>1</v>
      </c>
      <c r="G8237" t="s">
        <v>488</v>
      </c>
      <c r="H8237" s="4">
        <v>113571730</v>
      </c>
      <c r="I8237" s="4">
        <v>134826743.30170536</v>
      </c>
      <c r="J8237" s="3">
        <v>0.1871505638040854</v>
      </c>
      <c r="K8237" s="3">
        <v>-0.15764686427337682</v>
      </c>
      <c r="L8237" t="s">
        <v>54</v>
      </c>
    </row>
    <row r="8238" spans="1:12" x14ac:dyDescent="0.25">
      <c r="A8238" t="s">
        <v>490</v>
      </c>
      <c r="B8238" t="s">
        <v>491</v>
      </c>
      <c r="C8238" t="s">
        <v>492</v>
      </c>
      <c r="D8238" t="s">
        <v>334</v>
      </c>
      <c r="E8238" t="s">
        <v>336</v>
      </c>
      <c r="F8238">
        <v>1</v>
      </c>
      <c r="G8238" t="s">
        <v>498</v>
      </c>
      <c r="H8238" s="4">
        <v>113571730</v>
      </c>
      <c r="I8238" s="4">
        <v>99253933</v>
      </c>
      <c r="J8238" s="3">
        <v>0.12606831823377174</v>
      </c>
      <c r="K8238" s="3">
        <v>0.1442542030047313</v>
      </c>
      <c r="L8238" t="s">
        <v>54</v>
      </c>
    </row>
    <row r="8239" spans="1:12" x14ac:dyDescent="0.25">
      <c r="A8239" t="s">
        <v>490</v>
      </c>
      <c r="B8239" t="s">
        <v>491</v>
      </c>
      <c r="C8239" t="s">
        <v>492</v>
      </c>
      <c r="D8239" t="s">
        <v>334</v>
      </c>
      <c r="E8239" t="s">
        <v>336</v>
      </c>
      <c r="F8239">
        <v>1</v>
      </c>
      <c r="G8239" t="s">
        <v>499</v>
      </c>
      <c r="H8239" s="4">
        <v>113571730</v>
      </c>
      <c r="I8239" s="4">
        <v>93790017</v>
      </c>
      <c r="J8239" s="3">
        <v>0.17417814274731924</v>
      </c>
      <c r="K8239" s="3">
        <v>0.21091491005913773</v>
      </c>
      <c r="L8239" t="s">
        <v>54</v>
      </c>
    </row>
    <row r="8240" spans="1:12" x14ac:dyDescent="0.25">
      <c r="A8240" t="s">
        <v>490</v>
      </c>
      <c r="B8240" t="s">
        <v>491</v>
      </c>
      <c r="C8240" t="s">
        <v>492</v>
      </c>
      <c r="D8240" t="s">
        <v>334</v>
      </c>
      <c r="E8240" t="s">
        <v>338</v>
      </c>
      <c r="F8240">
        <v>2</v>
      </c>
      <c r="G8240" t="s">
        <v>488</v>
      </c>
      <c r="H8240" s="4">
        <v>103070679</v>
      </c>
      <c r="I8240" s="4">
        <v>100830096.03701787</v>
      </c>
      <c r="J8240" s="3">
        <v>0.021738315733634907</v>
      </c>
      <c r="K8240" s="3">
        <v>0.022221370910522047</v>
      </c>
      <c r="L8240" t="s">
        <v>54</v>
      </c>
    </row>
    <row r="8241" spans="1:12" x14ac:dyDescent="0.25">
      <c r="A8241" t="s">
        <v>490</v>
      </c>
      <c r="B8241" t="s">
        <v>491</v>
      </c>
      <c r="C8241" t="s">
        <v>492</v>
      </c>
      <c r="D8241" t="s">
        <v>334</v>
      </c>
      <c r="E8241" t="s">
        <v>338</v>
      </c>
      <c r="F8241">
        <v>2</v>
      </c>
      <c r="G8241" t="s">
        <v>498</v>
      </c>
      <c r="H8241" s="4">
        <v>103070679</v>
      </c>
      <c r="I8241" s="4">
        <v>74226992</v>
      </c>
      <c r="J8241" s="3">
        <v>0.27984376623734086</v>
      </c>
      <c r="K8241" s="3">
        <v>0.3885875774138874</v>
      </c>
      <c r="L8241" t="s">
        <v>54</v>
      </c>
    </row>
    <row r="8242" spans="1:12" x14ac:dyDescent="0.25">
      <c r="A8242" t="s">
        <v>490</v>
      </c>
      <c r="B8242" t="s">
        <v>491</v>
      </c>
      <c r="C8242" t="s">
        <v>492</v>
      </c>
      <c r="D8242" t="s">
        <v>334</v>
      </c>
      <c r="E8242" t="s">
        <v>338</v>
      </c>
      <c r="F8242">
        <v>2</v>
      </c>
      <c r="G8242" t="s">
        <v>499</v>
      </c>
      <c r="H8242" s="4">
        <v>103070679</v>
      </c>
      <c r="I8242" s="4">
        <v>93790017</v>
      </c>
      <c r="J8242" s="3">
        <v>0.09004172757996481</v>
      </c>
      <c r="K8242" s="3">
        <v>0.09895149075407461</v>
      </c>
      <c r="L8242" t="s">
        <v>54</v>
      </c>
    </row>
    <row r="8243" spans="1:12" x14ac:dyDescent="0.25">
      <c r="A8243" t="s">
        <v>490</v>
      </c>
      <c r="B8243" t="s">
        <v>491</v>
      </c>
      <c r="C8243" t="s">
        <v>492</v>
      </c>
      <c r="D8243" t="s">
        <v>334</v>
      </c>
      <c r="E8243" t="s">
        <v>340</v>
      </c>
      <c r="F8243">
        <v>3</v>
      </c>
      <c r="G8243" t="s">
        <v>488</v>
      </c>
      <c r="H8243" s="4">
        <v>105341569</v>
      </c>
      <c r="I8243" s="4">
        <v>90993608.14558917</v>
      </c>
      <c r="J8243" s="3">
        <v>0.13620416888237943</v>
      </c>
      <c r="K8243" s="3">
        <v>0.15768097503567707</v>
      </c>
      <c r="L8243" t="s">
        <v>54</v>
      </c>
    </row>
    <row r="8244" spans="1:12" x14ac:dyDescent="0.25">
      <c r="A8244" t="s">
        <v>490</v>
      </c>
      <c r="B8244" t="s">
        <v>491</v>
      </c>
      <c r="C8244" t="s">
        <v>492</v>
      </c>
      <c r="D8244" t="s">
        <v>334</v>
      </c>
      <c r="E8244" t="s">
        <v>340</v>
      </c>
      <c r="F8244">
        <v>3</v>
      </c>
      <c r="G8244" t="s">
        <v>498</v>
      </c>
      <c r="H8244" s="4">
        <v>105341569</v>
      </c>
      <c r="I8244" s="4">
        <v>66985772</v>
      </c>
      <c r="J8244" s="3">
        <v>0.36410884481889577</v>
      </c>
      <c r="K8244" s="3">
        <v>0.5725961775882795</v>
      </c>
      <c r="L8244" t="s">
        <v>54</v>
      </c>
    </row>
    <row r="8245" spans="1:12" x14ac:dyDescent="0.25">
      <c r="A8245" t="s">
        <v>490</v>
      </c>
      <c r="B8245" t="s">
        <v>491</v>
      </c>
      <c r="C8245" t="s">
        <v>492</v>
      </c>
      <c r="D8245" t="s">
        <v>334</v>
      </c>
      <c r="E8245" t="s">
        <v>340</v>
      </c>
      <c r="F8245">
        <v>3</v>
      </c>
      <c r="G8245" t="s">
        <v>499</v>
      </c>
      <c r="H8245" s="4">
        <v>105341569</v>
      </c>
      <c r="I8245" s="4">
        <v>93790017</v>
      </c>
      <c r="J8245" s="3">
        <v>0.10965805910865065</v>
      </c>
      <c r="K8245" s="3">
        <v>0.12316398236712123</v>
      </c>
      <c r="L8245" t="s">
        <v>54</v>
      </c>
    </row>
    <row r="8246" spans="1:12" x14ac:dyDescent="0.25">
      <c r="A8246" t="s">
        <v>490</v>
      </c>
      <c r="B8246" t="s">
        <v>491</v>
      </c>
      <c r="C8246" t="s">
        <v>492</v>
      </c>
      <c r="D8246" t="s">
        <v>336</v>
      </c>
      <c r="E8246" t="s">
        <v>338</v>
      </c>
      <c r="F8246">
        <v>1</v>
      </c>
      <c r="G8246" t="s">
        <v>488</v>
      </c>
      <c r="H8246" s="4">
        <v>103070679</v>
      </c>
      <c r="I8246" s="4">
        <v>99424251.16387923</v>
      </c>
      <c r="J8246" s="3">
        <v>0.03537793552442561</v>
      </c>
      <c r="K8246" s="3">
        <v>0.03667543676150426</v>
      </c>
      <c r="L8246" t="s">
        <v>54</v>
      </c>
    </row>
    <row r="8247" spans="1:12" x14ac:dyDescent="0.25">
      <c r="A8247" t="s">
        <v>490</v>
      </c>
      <c r="B8247" t="s">
        <v>491</v>
      </c>
      <c r="C8247" t="s">
        <v>492</v>
      </c>
      <c r="D8247" t="s">
        <v>336</v>
      </c>
      <c r="E8247" t="s">
        <v>338</v>
      </c>
      <c r="F8247">
        <v>1</v>
      </c>
      <c r="G8247" t="s">
        <v>498</v>
      </c>
      <c r="H8247" s="4">
        <v>103070679</v>
      </c>
      <c r="I8247" s="4">
        <v>74226992</v>
      </c>
      <c r="J8247" s="3">
        <v>0.27984376623734086</v>
      </c>
      <c r="K8247" s="3">
        <v>0.3885875774138874</v>
      </c>
      <c r="L8247" t="s">
        <v>54</v>
      </c>
    </row>
    <row r="8248" spans="1:12" x14ac:dyDescent="0.25">
      <c r="A8248" t="s">
        <v>490</v>
      </c>
      <c r="B8248" t="s">
        <v>491</v>
      </c>
      <c r="C8248" t="s">
        <v>492</v>
      </c>
      <c r="D8248" t="s">
        <v>336</v>
      </c>
      <c r="E8248" t="s">
        <v>338</v>
      </c>
      <c r="F8248">
        <v>1</v>
      </c>
      <c r="G8248" t="s">
        <v>499</v>
      </c>
      <c r="H8248" s="4">
        <v>103070679</v>
      </c>
      <c r="I8248" s="4">
        <v>113571730</v>
      </c>
      <c r="J8248" s="3">
        <v>0.10188203960507528</v>
      </c>
      <c r="K8248" s="3">
        <v>-0.09246183887486789</v>
      </c>
      <c r="L8248" t="s">
        <v>54</v>
      </c>
    </row>
    <row r="8249" spans="1:12" x14ac:dyDescent="0.25">
      <c r="A8249" t="s">
        <v>490</v>
      </c>
      <c r="B8249" t="s">
        <v>491</v>
      </c>
      <c r="C8249" t="s">
        <v>492</v>
      </c>
      <c r="D8249" t="s">
        <v>336</v>
      </c>
      <c r="E8249" t="s">
        <v>340</v>
      </c>
      <c r="F8249">
        <v>2</v>
      </c>
      <c r="G8249" t="s">
        <v>488</v>
      </c>
      <c r="H8249" s="4">
        <v>105341569</v>
      </c>
      <c r="I8249" s="4">
        <v>89724910.57881409</v>
      </c>
      <c r="J8249" s="3">
        <v>0.14824782438152131</v>
      </c>
      <c r="K8249" s="3">
        <v>0.1740504205626183</v>
      </c>
      <c r="L8249" t="s">
        <v>54</v>
      </c>
    </row>
    <row r="8250" spans="1:12" x14ac:dyDescent="0.25">
      <c r="A8250" t="s">
        <v>490</v>
      </c>
      <c r="B8250" t="s">
        <v>491</v>
      </c>
      <c r="C8250" t="s">
        <v>492</v>
      </c>
      <c r="D8250" t="s">
        <v>336</v>
      </c>
      <c r="E8250" t="s">
        <v>340</v>
      </c>
      <c r="F8250">
        <v>2</v>
      </c>
      <c r="G8250" t="s">
        <v>498</v>
      </c>
      <c r="H8250" s="4">
        <v>105341569</v>
      </c>
      <c r="I8250" s="4">
        <v>66985772</v>
      </c>
      <c r="J8250" s="3">
        <v>0.36410884481889577</v>
      </c>
      <c r="K8250" s="3">
        <v>0.5725961775882795</v>
      </c>
      <c r="L8250" t="s">
        <v>54</v>
      </c>
    </row>
    <row r="8251" spans="1:12" x14ac:dyDescent="0.25">
      <c r="A8251" t="s">
        <v>490</v>
      </c>
      <c r="B8251" t="s">
        <v>491</v>
      </c>
      <c r="C8251" t="s">
        <v>492</v>
      </c>
      <c r="D8251" t="s">
        <v>336</v>
      </c>
      <c r="E8251" t="s">
        <v>340</v>
      </c>
      <c r="F8251">
        <v>2</v>
      </c>
      <c r="G8251" t="s">
        <v>499</v>
      </c>
      <c r="H8251" s="4">
        <v>105341569</v>
      </c>
      <c r="I8251" s="4">
        <v>113571730</v>
      </c>
      <c r="J8251" s="3">
        <v>0.07812833127632644</v>
      </c>
      <c r="K8251" s="3">
        <v>-0.07246663408226678</v>
      </c>
      <c r="L8251" t="s">
        <v>54</v>
      </c>
    </row>
    <row r="8252" spans="1:12" x14ac:dyDescent="0.25">
      <c r="A8252" t="s">
        <v>490</v>
      </c>
      <c r="B8252" t="s">
        <v>491</v>
      </c>
      <c r="C8252" t="s">
        <v>492</v>
      </c>
      <c r="D8252" t="s">
        <v>336</v>
      </c>
      <c r="E8252" t="s">
        <v>342</v>
      </c>
      <c r="F8252">
        <v>3</v>
      </c>
      <c r="G8252" t="s">
        <v>488</v>
      </c>
      <c r="H8252" s="4">
        <v>105406849</v>
      </c>
      <c r="I8252" s="4">
        <v>97428645.34514941</v>
      </c>
      <c r="J8252" s="3">
        <v>0.07568961344106384</v>
      </c>
      <c r="K8252" s="3">
        <v>0.08188765867150374</v>
      </c>
      <c r="L8252" t="s">
        <v>54</v>
      </c>
    </row>
    <row r="8253" spans="1:12" x14ac:dyDescent="0.25">
      <c r="A8253" t="s">
        <v>490</v>
      </c>
      <c r="B8253" t="s">
        <v>491</v>
      </c>
      <c r="C8253" t="s">
        <v>492</v>
      </c>
      <c r="D8253" t="s">
        <v>336</v>
      </c>
      <c r="E8253" t="s">
        <v>342</v>
      </c>
      <c r="F8253">
        <v>3</v>
      </c>
      <c r="G8253" t="s">
        <v>498</v>
      </c>
      <c r="H8253" s="4">
        <v>105406849</v>
      </c>
      <c r="I8253" s="4">
        <v>72737136</v>
      </c>
      <c r="J8253" s="3">
        <v>0.3099391862098069</v>
      </c>
      <c r="K8253" s="3">
        <v>0.44914764034701615</v>
      </c>
      <c r="L8253" t="s">
        <v>54</v>
      </c>
    </row>
    <row r="8254" spans="1:12" x14ac:dyDescent="0.25">
      <c r="A8254" t="s">
        <v>490</v>
      </c>
      <c r="B8254" t="s">
        <v>491</v>
      </c>
      <c r="C8254" t="s">
        <v>492</v>
      </c>
      <c r="D8254" t="s">
        <v>336</v>
      </c>
      <c r="E8254" t="s">
        <v>342</v>
      </c>
      <c r="F8254">
        <v>3</v>
      </c>
      <c r="G8254" t="s">
        <v>499</v>
      </c>
      <c r="H8254" s="4">
        <v>105406849</v>
      </c>
      <c r="I8254" s="4">
        <v>113571730</v>
      </c>
      <c r="J8254" s="3">
        <v>0.07746063066547032</v>
      </c>
      <c r="K8254" s="3">
        <v>-0.07189184315498232</v>
      </c>
      <c r="L8254" t="s">
        <v>54</v>
      </c>
    </row>
    <row r="8255" spans="1:12" x14ac:dyDescent="0.25">
      <c r="A8255" t="s">
        <v>490</v>
      </c>
      <c r="B8255" t="s">
        <v>491</v>
      </c>
      <c r="C8255" t="s">
        <v>492</v>
      </c>
      <c r="D8255" t="s">
        <v>338</v>
      </c>
      <c r="E8255" t="s">
        <v>340</v>
      </c>
      <c r="F8255">
        <v>1</v>
      </c>
      <c r="G8255" t="s">
        <v>488</v>
      </c>
      <c r="H8255" s="4">
        <v>105341569</v>
      </c>
      <c r="I8255" s="4">
        <v>88899516.07604459</v>
      </c>
      <c r="J8255" s="3">
        <v>0.156083235516982</v>
      </c>
      <c r="K8255" s="3">
        <v>0.18495098342144956</v>
      </c>
      <c r="L8255" t="s">
        <v>54</v>
      </c>
    </row>
    <row r="8256" spans="1:12" x14ac:dyDescent="0.25">
      <c r="A8256" t="s">
        <v>490</v>
      </c>
      <c r="B8256" t="s">
        <v>491</v>
      </c>
      <c r="C8256" t="s">
        <v>492</v>
      </c>
      <c r="D8256" t="s">
        <v>338</v>
      </c>
      <c r="E8256" t="s">
        <v>340</v>
      </c>
      <c r="F8256">
        <v>1</v>
      </c>
      <c r="G8256" t="s">
        <v>498</v>
      </c>
      <c r="H8256" s="4">
        <v>105341569</v>
      </c>
      <c r="I8256" s="4">
        <v>66985772</v>
      </c>
      <c r="J8256" s="3">
        <v>0.36410884481889577</v>
      </c>
      <c r="K8256" s="3">
        <v>0.5725961775882795</v>
      </c>
      <c r="L8256" t="s">
        <v>54</v>
      </c>
    </row>
    <row r="8257" spans="1:12" x14ac:dyDescent="0.25">
      <c r="A8257" t="s">
        <v>490</v>
      </c>
      <c r="B8257" t="s">
        <v>491</v>
      </c>
      <c r="C8257" t="s">
        <v>492</v>
      </c>
      <c r="D8257" t="s">
        <v>338</v>
      </c>
      <c r="E8257" t="s">
        <v>340</v>
      </c>
      <c r="F8257">
        <v>1</v>
      </c>
      <c r="G8257" t="s">
        <v>499</v>
      </c>
      <c r="H8257" s="4">
        <v>105341569</v>
      </c>
      <c r="I8257" s="4">
        <v>103070679</v>
      </c>
      <c r="J8257" s="3">
        <v>0.021557396776575446</v>
      </c>
      <c r="K8257" s="3">
        <v>0.022032357039192495</v>
      </c>
      <c r="L8257" t="s">
        <v>54</v>
      </c>
    </row>
    <row r="8258" spans="1:12" x14ac:dyDescent="0.25">
      <c r="A8258" t="s">
        <v>490</v>
      </c>
      <c r="B8258" t="s">
        <v>491</v>
      </c>
      <c r="C8258" t="s">
        <v>492</v>
      </c>
      <c r="D8258" t="s">
        <v>338</v>
      </c>
      <c r="E8258" t="s">
        <v>342</v>
      </c>
      <c r="F8258">
        <v>2</v>
      </c>
      <c r="G8258" t="s">
        <v>488</v>
      </c>
      <c r="H8258" s="4">
        <v>105406849</v>
      </c>
      <c r="I8258" s="4">
        <v>96532382.89404862</v>
      </c>
      <c r="J8258" s="3">
        <v>0.08419249972979824</v>
      </c>
      <c r="K8258" s="3">
        <v>0.09193252916683682</v>
      </c>
      <c r="L8258" t="s">
        <v>54</v>
      </c>
    </row>
    <row r="8259" spans="1:12" x14ac:dyDescent="0.25">
      <c r="A8259" t="s">
        <v>490</v>
      </c>
      <c r="B8259" t="s">
        <v>491</v>
      </c>
      <c r="C8259" t="s">
        <v>492</v>
      </c>
      <c r="D8259" t="s">
        <v>338</v>
      </c>
      <c r="E8259" t="s">
        <v>342</v>
      </c>
      <c r="F8259">
        <v>2</v>
      </c>
      <c r="G8259" t="s">
        <v>498</v>
      </c>
      <c r="H8259" s="4">
        <v>105406849</v>
      </c>
      <c r="I8259" s="4">
        <v>72737136</v>
      </c>
      <c r="J8259" s="3">
        <v>0.3099391862098069</v>
      </c>
      <c r="K8259" s="3">
        <v>0.44914764034701615</v>
      </c>
      <c r="L8259" t="s">
        <v>54</v>
      </c>
    </row>
    <row r="8260" spans="1:12" x14ac:dyDescent="0.25">
      <c r="A8260" t="s">
        <v>490</v>
      </c>
      <c r="B8260" t="s">
        <v>491</v>
      </c>
      <c r="C8260" t="s">
        <v>492</v>
      </c>
      <c r="D8260" t="s">
        <v>338</v>
      </c>
      <c r="E8260" t="s">
        <v>342</v>
      </c>
      <c r="F8260">
        <v>2</v>
      </c>
      <c r="G8260" t="s">
        <v>499</v>
      </c>
      <c r="H8260" s="4">
        <v>105406849</v>
      </c>
      <c r="I8260" s="4">
        <v>103070679</v>
      </c>
      <c r="J8260" s="3">
        <v>0.022163360561133934</v>
      </c>
      <c r="K8260" s="3">
        <v>0.022665708838495186</v>
      </c>
      <c r="L8260" t="s">
        <v>54</v>
      </c>
    </row>
    <row r="8261" spans="1:12" x14ac:dyDescent="0.25">
      <c r="A8261" t="s">
        <v>490</v>
      </c>
      <c r="B8261" t="s">
        <v>491</v>
      </c>
      <c r="C8261" t="s">
        <v>492</v>
      </c>
      <c r="D8261" t="s">
        <v>338</v>
      </c>
      <c r="E8261" t="s">
        <v>344</v>
      </c>
      <c r="F8261">
        <v>3</v>
      </c>
      <c r="G8261" t="s">
        <v>488</v>
      </c>
      <c r="H8261" s="4">
        <v>88099309</v>
      </c>
      <c r="I8261" s="4">
        <v>98932234.73312451</v>
      </c>
      <c r="J8261" s="3">
        <v>0.12296266402185413</v>
      </c>
      <c r="K8261" s="3">
        <v>-0.10949844368063615</v>
      </c>
      <c r="L8261" t="s">
        <v>54</v>
      </c>
    </row>
    <row r="8262" spans="1:12" x14ac:dyDescent="0.25">
      <c r="A8262" t="s">
        <v>490</v>
      </c>
      <c r="B8262" t="s">
        <v>491</v>
      </c>
      <c r="C8262" t="s">
        <v>492</v>
      </c>
      <c r="D8262" t="s">
        <v>338</v>
      </c>
      <c r="E8262" t="s">
        <v>344</v>
      </c>
      <c r="F8262">
        <v>3</v>
      </c>
      <c r="G8262" t="s">
        <v>498</v>
      </c>
      <c r="H8262" s="4">
        <v>88099309</v>
      </c>
      <c r="I8262" s="4">
        <v>74545424</v>
      </c>
      <c r="J8262" s="3">
        <v>0.15384780146232474</v>
      </c>
      <c r="K8262" s="3">
        <v>0.18182048303863696</v>
      </c>
      <c r="L8262" t="s">
        <v>54</v>
      </c>
    </row>
    <row r="8263" spans="1:12" x14ac:dyDescent="0.25">
      <c r="A8263" t="s">
        <v>490</v>
      </c>
      <c r="B8263" t="s">
        <v>491</v>
      </c>
      <c r="C8263" t="s">
        <v>492</v>
      </c>
      <c r="D8263" t="s">
        <v>338</v>
      </c>
      <c r="E8263" t="s">
        <v>344</v>
      </c>
      <c r="F8263">
        <v>3</v>
      </c>
      <c r="G8263" t="s">
        <v>499</v>
      </c>
      <c r="H8263" s="4">
        <v>88099309</v>
      </c>
      <c r="I8263" s="4">
        <v>103070679</v>
      </c>
      <c r="J8263" s="3">
        <v>0.1699374282265937</v>
      </c>
      <c r="K8263" s="3">
        <v>-0.14525343332607715</v>
      </c>
      <c r="L8263" t="s">
        <v>54</v>
      </c>
    </row>
    <row r="8264" spans="1:12" x14ac:dyDescent="0.25">
      <c r="A8264" t="s">
        <v>490</v>
      </c>
      <c r="B8264" t="s">
        <v>491</v>
      </c>
      <c r="C8264" t="s">
        <v>492</v>
      </c>
      <c r="D8264" t="s">
        <v>340</v>
      </c>
      <c r="E8264" t="s">
        <v>342</v>
      </c>
      <c r="F8264">
        <v>1</v>
      </c>
      <c r="G8264" t="s">
        <v>488</v>
      </c>
      <c r="H8264" s="4">
        <v>105406849</v>
      </c>
      <c r="I8264" s="4">
        <v>94100762.7012278</v>
      </c>
      <c r="J8264" s="3">
        <v>0.10726140100034867</v>
      </c>
      <c r="K8264" s="3">
        <v>0.12014872116041501</v>
      </c>
      <c r="L8264" t="s">
        <v>54</v>
      </c>
    </row>
    <row r="8265" spans="1:12" x14ac:dyDescent="0.25">
      <c r="A8265" t="s">
        <v>490</v>
      </c>
      <c r="B8265" t="s">
        <v>491</v>
      </c>
      <c r="C8265" t="s">
        <v>492</v>
      </c>
      <c r="D8265" t="s">
        <v>340</v>
      </c>
      <c r="E8265" t="s">
        <v>342</v>
      </c>
      <c r="F8265">
        <v>1</v>
      </c>
      <c r="G8265" t="s">
        <v>498</v>
      </c>
      <c r="H8265" s="4">
        <v>105406849</v>
      </c>
      <c r="I8265" s="4">
        <v>72737136</v>
      </c>
      <c r="J8265" s="3">
        <v>0.3099391862098069</v>
      </c>
      <c r="K8265" s="3">
        <v>0.44914764034701615</v>
      </c>
      <c r="L8265" t="s">
        <v>54</v>
      </c>
    </row>
    <row r="8266" spans="1:12" x14ac:dyDescent="0.25">
      <c r="A8266" t="s">
        <v>490</v>
      </c>
      <c r="B8266" t="s">
        <v>491</v>
      </c>
      <c r="C8266" t="s">
        <v>492</v>
      </c>
      <c r="D8266" t="s">
        <v>340</v>
      </c>
      <c r="E8266" t="s">
        <v>342</v>
      </c>
      <c r="F8266">
        <v>1</v>
      </c>
      <c r="G8266" t="s">
        <v>499</v>
      </c>
      <c r="H8266" s="4">
        <v>105406849</v>
      </c>
      <c r="I8266" s="4">
        <v>105341569</v>
      </c>
      <c r="J8266" s="3">
        <v>0.0006193145950127017</v>
      </c>
      <c r="K8266" s="3">
        <v>0.0006196983832659641</v>
      </c>
      <c r="L8266" t="s">
        <v>54</v>
      </c>
    </row>
    <row r="8267" spans="1:12" x14ac:dyDescent="0.25">
      <c r="A8267" t="s">
        <v>490</v>
      </c>
      <c r="B8267" t="s">
        <v>491</v>
      </c>
      <c r="C8267" t="s">
        <v>492</v>
      </c>
      <c r="D8267" t="s">
        <v>340</v>
      </c>
      <c r="E8267" t="s">
        <v>344</v>
      </c>
      <c r="F8267">
        <v>2</v>
      </c>
      <c r="G8267" t="s">
        <v>488</v>
      </c>
      <c r="H8267" s="4">
        <v>88099309</v>
      </c>
      <c r="I8267" s="4">
        <v>96440163.03152782</v>
      </c>
      <c r="J8267" s="3">
        <v>0.09467558969761973</v>
      </c>
      <c r="K8267" s="3">
        <v>-0.08648734893574433</v>
      </c>
      <c r="L8267" t="s">
        <v>54</v>
      </c>
    </row>
    <row r="8268" spans="1:12" x14ac:dyDescent="0.25">
      <c r="A8268" t="s">
        <v>490</v>
      </c>
      <c r="B8268" t="s">
        <v>491</v>
      </c>
      <c r="C8268" t="s">
        <v>492</v>
      </c>
      <c r="D8268" t="s">
        <v>340</v>
      </c>
      <c r="E8268" t="s">
        <v>344</v>
      </c>
      <c r="F8268">
        <v>2</v>
      </c>
      <c r="G8268" t="s">
        <v>498</v>
      </c>
      <c r="H8268" s="4">
        <v>88099309</v>
      </c>
      <c r="I8268" s="4">
        <v>74545424</v>
      </c>
      <c r="J8268" s="3">
        <v>0.15384780146232474</v>
      </c>
      <c r="K8268" s="3">
        <v>0.18182048303863696</v>
      </c>
      <c r="L8268" t="s">
        <v>54</v>
      </c>
    </row>
    <row r="8269" spans="1:12" x14ac:dyDescent="0.25">
      <c r="A8269" t="s">
        <v>490</v>
      </c>
      <c r="B8269" t="s">
        <v>491</v>
      </c>
      <c r="C8269" t="s">
        <v>492</v>
      </c>
      <c r="D8269" t="s">
        <v>340</v>
      </c>
      <c r="E8269" t="s">
        <v>344</v>
      </c>
      <c r="F8269">
        <v>2</v>
      </c>
      <c r="G8269" t="s">
        <v>499</v>
      </c>
      <c r="H8269" s="4">
        <v>88099309</v>
      </c>
      <c r="I8269" s="4">
        <v>105341569</v>
      </c>
      <c r="J8269" s="3">
        <v>0.19571390735879665</v>
      </c>
      <c r="K8269" s="3">
        <v>-0.1636795442072825</v>
      </c>
      <c r="L8269" t="s">
        <v>54</v>
      </c>
    </row>
    <row r="8270" spans="1:12" x14ac:dyDescent="0.25">
      <c r="A8270" t="s">
        <v>490</v>
      </c>
      <c r="B8270" t="s">
        <v>491</v>
      </c>
      <c r="C8270" t="s">
        <v>492</v>
      </c>
      <c r="D8270" t="s">
        <v>340</v>
      </c>
      <c r="E8270" t="s">
        <v>346</v>
      </c>
      <c r="F8270">
        <v>3</v>
      </c>
      <c r="G8270" t="s">
        <v>488</v>
      </c>
      <c r="H8270" s="4">
        <v>97486582</v>
      </c>
      <c r="I8270" s="4">
        <v>91595177.55477624</v>
      </c>
      <c r="J8270" s="3">
        <v>0.06043297779404928</v>
      </c>
      <c r="K8270" s="3">
        <v>0.06432002865762834</v>
      </c>
      <c r="L8270" t="s">
        <v>54</v>
      </c>
    </row>
    <row r="8271" spans="1:12" x14ac:dyDescent="0.25">
      <c r="A8271" t="s">
        <v>490</v>
      </c>
      <c r="B8271" t="s">
        <v>491</v>
      </c>
      <c r="C8271" t="s">
        <v>492</v>
      </c>
      <c r="D8271" t="s">
        <v>340</v>
      </c>
      <c r="E8271" t="s">
        <v>346</v>
      </c>
      <c r="F8271">
        <v>3</v>
      </c>
      <c r="G8271" t="s">
        <v>498</v>
      </c>
      <c r="H8271" s="4">
        <v>97486582</v>
      </c>
      <c r="I8271" s="4">
        <v>70800392</v>
      </c>
      <c r="J8271" s="3">
        <v>0.27374218536044276</v>
      </c>
      <c r="K8271" s="3">
        <v>0.3769215006606178</v>
      </c>
      <c r="L8271" t="s">
        <v>54</v>
      </c>
    </row>
    <row r="8272" spans="1:12" x14ac:dyDescent="0.25">
      <c r="A8272" t="s">
        <v>490</v>
      </c>
      <c r="B8272" t="s">
        <v>491</v>
      </c>
      <c r="C8272" t="s">
        <v>492</v>
      </c>
      <c r="D8272" t="s">
        <v>340</v>
      </c>
      <c r="E8272" t="s">
        <v>346</v>
      </c>
      <c r="F8272">
        <v>3</v>
      </c>
      <c r="G8272" t="s">
        <v>499</v>
      </c>
      <c r="H8272" s="4">
        <v>97486582</v>
      </c>
      <c r="I8272" s="4">
        <v>105341569</v>
      </c>
      <c r="J8272" s="3">
        <v>0.08057505801157333</v>
      </c>
      <c r="K8272" s="3">
        <v>-0.07456683125727888</v>
      </c>
      <c r="L8272" t="s">
        <v>54</v>
      </c>
    </row>
    <row r="8273" spans="1:12" x14ac:dyDescent="0.25">
      <c r="A8273" t="s">
        <v>490</v>
      </c>
      <c r="B8273" t="s">
        <v>491</v>
      </c>
      <c r="C8273" t="s">
        <v>492</v>
      </c>
      <c r="D8273" t="s">
        <v>342</v>
      </c>
      <c r="E8273" t="s">
        <v>344</v>
      </c>
      <c r="F8273">
        <v>1</v>
      </c>
      <c r="G8273" t="s">
        <v>488</v>
      </c>
      <c r="H8273" s="4">
        <v>88099309</v>
      </c>
      <c r="I8273" s="4">
        <v>96228231.0504539</v>
      </c>
      <c r="J8273" s="3">
        <v>0.09226998648143656</v>
      </c>
      <c r="K8273" s="3">
        <v>-0.0844754388781374</v>
      </c>
      <c r="L8273" t="s">
        <v>54</v>
      </c>
    </row>
    <row r="8274" spans="1:12" x14ac:dyDescent="0.25">
      <c r="A8274" t="s">
        <v>490</v>
      </c>
      <c r="B8274" t="s">
        <v>491</v>
      </c>
      <c r="C8274" t="s">
        <v>492</v>
      </c>
      <c r="D8274" t="s">
        <v>342</v>
      </c>
      <c r="E8274" t="s">
        <v>344</v>
      </c>
      <c r="F8274">
        <v>1</v>
      </c>
      <c r="G8274" t="s">
        <v>498</v>
      </c>
      <c r="H8274" s="4">
        <v>88099309</v>
      </c>
      <c r="I8274" s="4">
        <v>74545424</v>
      </c>
      <c r="J8274" s="3">
        <v>0.15384780146232474</v>
      </c>
      <c r="K8274" s="3">
        <v>0.18182048303863696</v>
      </c>
      <c r="L8274" t="s">
        <v>54</v>
      </c>
    </row>
    <row r="8275" spans="1:12" x14ac:dyDescent="0.25">
      <c r="A8275" t="s">
        <v>490</v>
      </c>
      <c r="B8275" t="s">
        <v>491</v>
      </c>
      <c r="C8275" t="s">
        <v>492</v>
      </c>
      <c r="D8275" t="s">
        <v>342</v>
      </c>
      <c r="E8275" t="s">
        <v>344</v>
      </c>
      <c r="F8275">
        <v>1</v>
      </c>
      <c r="G8275" t="s">
        <v>499</v>
      </c>
      <c r="H8275" s="4">
        <v>88099309</v>
      </c>
      <c r="I8275" s="4">
        <v>105406849</v>
      </c>
      <c r="J8275" s="3">
        <v>0.19645488933403552</v>
      </c>
      <c r="K8275" s="3">
        <v>-0.16419748967166262</v>
      </c>
      <c r="L8275" t="s">
        <v>54</v>
      </c>
    </row>
    <row r="8276" spans="1:12" x14ac:dyDescent="0.25">
      <c r="A8276" t="s">
        <v>490</v>
      </c>
      <c r="B8276" t="s">
        <v>491</v>
      </c>
      <c r="C8276" t="s">
        <v>492</v>
      </c>
      <c r="D8276" t="s">
        <v>342</v>
      </c>
      <c r="E8276" t="s">
        <v>346</v>
      </c>
      <c r="F8276">
        <v>2</v>
      </c>
      <c r="G8276" t="s">
        <v>488</v>
      </c>
      <c r="H8276" s="4">
        <v>97486582</v>
      </c>
      <c r="I8276" s="4">
        <v>91393892.66655332</v>
      </c>
      <c r="J8276" s="3">
        <v>0.06249772233728208</v>
      </c>
      <c r="K8276" s="3">
        <v>0.06666407519893694</v>
      </c>
      <c r="L8276" t="s">
        <v>54</v>
      </c>
    </row>
    <row r="8277" spans="1:12" x14ac:dyDescent="0.25">
      <c r="A8277" t="s">
        <v>490</v>
      </c>
      <c r="B8277" t="s">
        <v>491</v>
      </c>
      <c r="C8277" t="s">
        <v>492</v>
      </c>
      <c r="D8277" t="s">
        <v>342</v>
      </c>
      <c r="E8277" t="s">
        <v>346</v>
      </c>
      <c r="F8277">
        <v>2</v>
      </c>
      <c r="G8277" t="s">
        <v>498</v>
      </c>
      <c r="H8277" s="4">
        <v>97486582</v>
      </c>
      <c r="I8277" s="4">
        <v>70800392</v>
      </c>
      <c r="J8277" s="3">
        <v>0.27374218536044276</v>
      </c>
      <c r="K8277" s="3">
        <v>0.3769215006606178</v>
      </c>
      <c r="L8277" t="s">
        <v>54</v>
      </c>
    </row>
    <row r="8278" spans="1:12" x14ac:dyDescent="0.25">
      <c r="A8278" t="s">
        <v>490</v>
      </c>
      <c r="B8278" t="s">
        <v>491</v>
      </c>
      <c r="C8278" t="s">
        <v>492</v>
      </c>
      <c r="D8278" t="s">
        <v>342</v>
      </c>
      <c r="E8278" t="s">
        <v>346</v>
      </c>
      <c r="F8278">
        <v>2</v>
      </c>
      <c r="G8278" t="s">
        <v>499</v>
      </c>
      <c r="H8278" s="4">
        <v>97486582</v>
      </c>
      <c r="I8278" s="4">
        <v>105406849</v>
      </c>
      <c r="J8278" s="3">
        <v>0.08124468862802062</v>
      </c>
      <c r="K8278" s="3">
        <v>-0.0751399655253901</v>
      </c>
      <c r="L8278" t="s">
        <v>54</v>
      </c>
    </row>
    <row r="8279" spans="1:12" x14ac:dyDescent="0.25">
      <c r="A8279" t="s">
        <v>490</v>
      </c>
      <c r="B8279" t="s">
        <v>491</v>
      </c>
      <c r="C8279" t="s">
        <v>492</v>
      </c>
      <c r="D8279" t="s">
        <v>342</v>
      </c>
      <c r="E8279" t="s">
        <v>348</v>
      </c>
      <c r="F8279">
        <v>3</v>
      </c>
      <c r="G8279" t="s">
        <v>488</v>
      </c>
      <c r="H8279" s="4">
        <v>79829851</v>
      </c>
      <c r="I8279" s="4">
        <v>87680361.21056874</v>
      </c>
      <c r="J8279" s="3">
        <v>0.09834053442701203</v>
      </c>
      <c r="K8279" s="3">
        <v>-0.0895355596416323</v>
      </c>
      <c r="L8279" t="s">
        <v>54</v>
      </c>
    </row>
    <row r="8280" spans="1:12" x14ac:dyDescent="0.25">
      <c r="A8280" t="s">
        <v>490</v>
      </c>
      <c r="B8280" t="s">
        <v>491</v>
      </c>
      <c r="C8280" t="s">
        <v>492</v>
      </c>
      <c r="D8280" t="s">
        <v>342</v>
      </c>
      <c r="E8280" t="s">
        <v>348</v>
      </c>
      <c r="F8280">
        <v>3</v>
      </c>
      <c r="G8280" t="s">
        <v>498</v>
      </c>
      <c r="H8280" s="4">
        <v>79829851</v>
      </c>
      <c r="I8280" s="4">
        <v>67923619</v>
      </c>
      <c r="J8280" s="3">
        <v>0.1491451111439504</v>
      </c>
      <c r="K8280" s="3">
        <v>0.17528853991127888</v>
      </c>
      <c r="L8280" t="s">
        <v>54</v>
      </c>
    </row>
    <row r="8281" spans="1:12" x14ac:dyDescent="0.25">
      <c r="A8281" t="s">
        <v>490</v>
      </c>
      <c r="B8281" t="s">
        <v>491</v>
      </c>
      <c r="C8281" t="s">
        <v>492</v>
      </c>
      <c r="D8281" t="s">
        <v>342</v>
      </c>
      <c r="E8281" t="s">
        <v>348</v>
      </c>
      <c r="F8281">
        <v>3</v>
      </c>
      <c r="G8281" t="s">
        <v>499</v>
      </c>
      <c r="H8281" s="4">
        <v>79829851</v>
      </c>
      <c r="I8281" s="4">
        <v>105406849</v>
      </c>
      <c r="J8281" s="3">
        <v>0.32039390878983354</v>
      </c>
      <c r="K8281" s="3">
        <v>-0.24265024751854597</v>
      </c>
      <c r="L8281" t="s">
        <v>54</v>
      </c>
    </row>
    <row r="8282" spans="1:12" x14ac:dyDescent="0.25">
      <c r="A8282" t="s">
        <v>490</v>
      </c>
      <c r="B8282" t="s">
        <v>491</v>
      </c>
      <c r="C8282" t="s">
        <v>492</v>
      </c>
      <c r="D8282" t="s">
        <v>344</v>
      </c>
      <c r="E8282" t="s">
        <v>346</v>
      </c>
      <c r="F8282">
        <v>1</v>
      </c>
      <c r="G8282" t="s">
        <v>488</v>
      </c>
      <c r="H8282" s="4">
        <v>97486582</v>
      </c>
      <c r="I8282" s="4">
        <v>91673692.37071696</v>
      </c>
      <c r="J8282" s="3">
        <v>0.05962758679223199</v>
      </c>
      <c r="K8282" s="3">
        <v>0.06340848152790052</v>
      </c>
      <c r="L8282" t="s">
        <v>54</v>
      </c>
    </row>
    <row r="8283" spans="1:12" x14ac:dyDescent="0.25">
      <c r="A8283" t="s">
        <v>490</v>
      </c>
      <c r="B8283" t="s">
        <v>491</v>
      </c>
      <c r="C8283" t="s">
        <v>492</v>
      </c>
      <c r="D8283" t="s">
        <v>344</v>
      </c>
      <c r="E8283" t="s">
        <v>346</v>
      </c>
      <c r="F8283">
        <v>1</v>
      </c>
      <c r="G8283" t="s">
        <v>498</v>
      </c>
      <c r="H8283" s="4">
        <v>97486582</v>
      </c>
      <c r="I8283" s="4">
        <v>70800392</v>
      </c>
      <c r="J8283" s="3">
        <v>0.27374218536044276</v>
      </c>
      <c r="K8283" s="3">
        <v>0.3769215006606178</v>
      </c>
      <c r="L8283" t="s">
        <v>54</v>
      </c>
    </row>
    <row r="8284" spans="1:12" x14ac:dyDescent="0.25">
      <c r="A8284" t="s">
        <v>490</v>
      </c>
      <c r="B8284" t="s">
        <v>491</v>
      </c>
      <c r="C8284" t="s">
        <v>492</v>
      </c>
      <c r="D8284" t="s">
        <v>344</v>
      </c>
      <c r="E8284" t="s">
        <v>346</v>
      </c>
      <c r="F8284">
        <v>1</v>
      </c>
      <c r="G8284" t="s">
        <v>499</v>
      </c>
      <c r="H8284" s="4">
        <v>97486582</v>
      </c>
      <c r="I8284" s="4">
        <v>88099309</v>
      </c>
      <c r="J8284" s="3">
        <v>0.09629297496551885</v>
      </c>
      <c r="K8284" s="3">
        <v>0.10655331019679166</v>
      </c>
      <c r="L8284" t="s">
        <v>54</v>
      </c>
    </row>
    <row r="8285" spans="1:12" x14ac:dyDescent="0.25">
      <c r="A8285" t="s">
        <v>490</v>
      </c>
      <c r="B8285" t="s">
        <v>491</v>
      </c>
      <c r="C8285" t="s">
        <v>492</v>
      </c>
      <c r="D8285" t="s">
        <v>344</v>
      </c>
      <c r="E8285" t="s">
        <v>348</v>
      </c>
      <c r="F8285">
        <v>2</v>
      </c>
      <c r="G8285" t="s">
        <v>488</v>
      </c>
      <c r="H8285" s="4">
        <v>79829851</v>
      </c>
      <c r="I8285" s="4">
        <v>87948792.04781501</v>
      </c>
      <c r="J8285" s="3">
        <v>0.10170307154669511</v>
      </c>
      <c r="K8285" s="3">
        <v>-0.09231441227073359</v>
      </c>
      <c r="L8285" t="s">
        <v>54</v>
      </c>
    </row>
    <row r="8286" spans="1:12" x14ac:dyDescent="0.25">
      <c r="A8286" t="s">
        <v>490</v>
      </c>
      <c r="B8286" t="s">
        <v>491</v>
      </c>
      <c r="C8286" t="s">
        <v>492</v>
      </c>
      <c r="D8286" t="s">
        <v>344</v>
      </c>
      <c r="E8286" t="s">
        <v>348</v>
      </c>
      <c r="F8286">
        <v>2</v>
      </c>
      <c r="G8286" t="s">
        <v>498</v>
      </c>
      <c r="H8286" s="4">
        <v>79829851</v>
      </c>
      <c r="I8286" s="4">
        <v>67923619</v>
      </c>
      <c r="J8286" s="3">
        <v>0.1491451111439504</v>
      </c>
      <c r="K8286" s="3">
        <v>0.17528853991127888</v>
      </c>
      <c r="L8286" t="s">
        <v>54</v>
      </c>
    </row>
    <row r="8287" spans="1:12" x14ac:dyDescent="0.25">
      <c r="A8287" t="s">
        <v>490</v>
      </c>
      <c r="B8287" t="s">
        <v>491</v>
      </c>
      <c r="C8287" t="s">
        <v>492</v>
      </c>
      <c r="D8287" t="s">
        <v>344</v>
      </c>
      <c r="E8287" t="s">
        <v>348</v>
      </c>
      <c r="F8287">
        <v>2</v>
      </c>
      <c r="G8287" t="s">
        <v>499</v>
      </c>
      <c r="H8287" s="4">
        <v>79829851</v>
      </c>
      <c r="I8287" s="4">
        <v>88099309</v>
      </c>
      <c r="J8287" s="3">
        <v>0.1035885435887886</v>
      </c>
      <c r="K8287" s="3">
        <v>-0.09386518570764273</v>
      </c>
      <c r="L8287" t="s">
        <v>54</v>
      </c>
    </row>
    <row r="8288" spans="1:12" x14ac:dyDescent="0.25">
      <c r="A8288" t="s">
        <v>490</v>
      </c>
      <c r="B8288" t="s">
        <v>491</v>
      </c>
      <c r="C8288" t="s">
        <v>492</v>
      </c>
      <c r="D8288" t="s">
        <v>344</v>
      </c>
      <c r="E8288" t="s">
        <v>350</v>
      </c>
      <c r="F8288">
        <v>3</v>
      </c>
      <c r="G8288" t="s">
        <v>488</v>
      </c>
      <c r="H8288" s="4">
        <v>72755253</v>
      </c>
      <c r="I8288" s="4">
        <v>86542140.83171605</v>
      </c>
      <c r="J8288" s="3">
        <v>0.18949680281801845</v>
      </c>
      <c r="K8288" s="3">
        <v>-0.1593083750785076</v>
      </c>
      <c r="L8288" t="s">
        <v>54</v>
      </c>
    </row>
    <row r="8289" spans="1:12" x14ac:dyDescent="0.25">
      <c r="A8289" t="s">
        <v>490</v>
      </c>
      <c r="B8289" t="s">
        <v>491</v>
      </c>
      <c r="C8289" t="s">
        <v>492</v>
      </c>
      <c r="D8289" t="s">
        <v>344</v>
      </c>
      <c r="E8289" t="s">
        <v>350</v>
      </c>
      <c r="F8289">
        <v>3</v>
      </c>
      <c r="G8289" t="s">
        <v>498</v>
      </c>
      <c r="H8289" s="4">
        <v>72755253</v>
      </c>
      <c r="I8289" s="4">
        <v>66837250</v>
      </c>
      <c r="J8289" s="3">
        <v>0.08134124693374374</v>
      </c>
      <c r="K8289" s="3">
        <v>0.0885434843593954</v>
      </c>
      <c r="L8289" t="s">
        <v>54</v>
      </c>
    </row>
    <row r="8290" spans="1:12" x14ac:dyDescent="0.25">
      <c r="A8290" t="s">
        <v>490</v>
      </c>
      <c r="B8290" t="s">
        <v>491</v>
      </c>
      <c r="C8290" t="s">
        <v>492</v>
      </c>
      <c r="D8290" t="s">
        <v>344</v>
      </c>
      <c r="E8290" t="s">
        <v>350</v>
      </c>
      <c r="F8290">
        <v>3</v>
      </c>
      <c r="G8290" t="s">
        <v>499</v>
      </c>
      <c r="H8290" s="4">
        <v>72755253</v>
      </c>
      <c r="I8290" s="4">
        <v>88099309</v>
      </c>
      <c r="J8290" s="3">
        <v>0.21089963084864813</v>
      </c>
      <c r="K8290" s="3">
        <v>-0.17416772247328297</v>
      </c>
      <c r="L8290" t="s">
        <v>54</v>
      </c>
    </row>
    <row r="8291" spans="1:12" x14ac:dyDescent="0.25">
      <c r="A8291" t="s">
        <v>490</v>
      </c>
      <c r="B8291" t="s">
        <v>491</v>
      </c>
      <c r="C8291" t="s">
        <v>492</v>
      </c>
      <c r="D8291" t="s">
        <v>346</v>
      </c>
      <c r="E8291" t="s">
        <v>348</v>
      </c>
      <c r="F8291">
        <v>1</v>
      </c>
      <c r="G8291" t="s">
        <v>488</v>
      </c>
      <c r="H8291" s="4">
        <v>79829851</v>
      </c>
      <c r="I8291" s="4">
        <v>89739970.24384311</v>
      </c>
      <c r="J8291" s="3">
        <v>0.1241405203655348</v>
      </c>
      <c r="K8291" s="3">
        <v>-0.11043149687831574</v>
      </c>
      <c r="L8291" t="s">
        <v>54</v>
      </c>
    </row>
    <row r="8292" spans="1:12" x14ac:dyDescent="0.25">
      <c r="A8292" t="s">
        <v>490</v>
      </c>
      <c r="B8292" t="s">
        <v>491</v>
      </c>
      <c r="C8292" t="s">
        <v>492</v>
      </c>
      <c r="D8292" t="s">
        <v>346</v>
      </c>
      <c r="E8292" t="s">
        <v>348</v>
      </c>
      <c r="F8292">
        <v>1</v>
      </c>
      <c r="G8292" t="s">
        <v>498</v>
      </c>
      <c r="H8292" s="4">
        <v>79829851</v>
      </c>
      <c r="I8292" s="4">
        <v>67923619</v>
      </c>
      <c r="J8292" s="3">
        <v>0.1491451111439504</v>
      </c>
      <c r="K8292" s="3">
        <v>0.17528853991127888</v>
      </c>
      <c r="L8292" t="s">
        <v>54</v>
      </c>
    </row>
    <row r="8293" spans="1:12" x14ac:dyDescent="0.25">
      <c r="A8293" t="s">
        <v>490</v>
      </c>
      <c r="B8293" t="s">
        <v>491</v>
      </c>
      <c r="C8293" t="s">
        <v>492</v>
      </c>
      <c r="D8293" t="s">
        <v>346</v>
      </c>
      <c r="E8293" t="s">
        <v>348</v>
      </c>
      <c r="F8293">
        <v>1</v>
      </c>
      <c r="G8293" t="s">
        <v>499</v>
      </c>
      <c r="H8293" s="4">
        <v>79829851</v>
      </c>
      <c r="I8293" s="4">
        <v>97486582</v>
      </c>
      <c r="J8293" s="3">
        <v>0.22117955600343034</v>
      </c>
      <c r="K8293" s="3">
        <v>-0.18111960269568175</v>
      </c>
      <c r="L8293" t="s">
        <v>54</v>
      </c>
    </row>
    <row r="8294" spans="1:12" x14ac:dyDescent="0.25">
      <c r="A8294" t="s">
        <v>490</v>
      </c>
      <c r="B8294" t="s">
        <v>491</v>
      </c>
      <c r="C8294" t="s">
        <v>492</v>
      </c>
      <c r="D8294" t="s">
        <v>346</v>
      </c>
      <c r="E8294" t="s">
        <v>350</v>
      </c>
      <c r="F8294">
        <v>2</v>
      </c>
      <c r="G8294" t="s">
        <v>488</v>
      </c>
      <c r="H8294" s="4">
        <v>72755253</v>
      </c>
      <c r="I8294" s="4">
        <v>88304670.95960101</v>
      </c>
      <c r="J8294" s="3">
        <v>0.213722271842021</v>
      </c>
      <c r="K8294" s="3">
        <v>-0.17608828378642397</v>
      </c>
      <c r="L8294" t="s">
        <v>54</v>
      </c>
    </row>
    <row r="8295" spans="1:12" x14ac:dyDescent="0.25">
      <c r="A8295" t="s">
        <v>490</v>
      </c>
      <c r="B8295" t="s">
        <v>491</v>
      </c>
      <c r="C8295" t="s">
        <v>492</v>
      </c>
      <c r="D8295" t="s">
        <v>346</v>
      </c>
      <c r="E8295" t="s">
        <v>350</v>
      </c>
      <c r="F8295">
        <v>2</v>
      </c>
      <c r="G8295" t="s">
        <v>498</v>
      </c>
      <c r="H8295" s="4">
        <v>72755253</v>
      </c>
      <c r="I8295" s="4">
        <v>66837250</v>
      </c>
      <c r="J8295" s="3">
        <v>0.08134124693374374</v>
      </c>
      <c r="K8295" s="3">
        <v>0.0885434843593954</v>
      </c>
      <c r="L8295" t="s">
        <v>54</v>
      </c>
    </row>
    <row r="8296" spans="1:12" x14ac:dyDescent="0.25">
      <c r="A8296" t="s">
        <v>490</v>
      </c>
      <c r="B8296" t="s">
        <v>491</v>
      </c>
      <c r="C8296" t="s">
        <v>492</v>
      </c>
      <c r="D8296" t="s">
        <v>346</v>
      </c>
      <c r="E8296" t="s">
        <v>350</v>
      </c>
      <c r="F8296">
        <v>2</v>
      </c>
      <c r="G8296" t="s">
        <v>499</v>
      </c>
      <c r="H8296" s="4">
        <v>72755253</v>
      </c>
      <c r="I8296" s="4">
        <v>97486582</v>
      </c>
      <c r="J8296" s="3">
        <v>0.3399249948316447</v>
      </c>
      <c r="K8296" s="3">
        <v>-0.25368956929888054</v>
      </c>
      <c r="L8296" t="s">
        <v>54</v>
      </c>
    </row>
    <row r="8297" spans="1:12" x14ac:dyDescent="0.25">
      <c r="A8297" t="s">
        <v>490</v>
      </c>
      <c r="B8297" t="s">
        <v>491</v>
      </c>
      <c r="C8297" t="s">
        <v>492</v>
      </c>
      <c r="D8297" t="s">
        <v>346</v>
      </c>
      <c r="E8297" t="s">
        <v>352</v>
      </c>
      <c r="F8297">
        <v>3</v>
      </c>
      <c r="G8297" t="s">
        <v>488</v>
      </c>
      <c r="H8297" s="4">
        <v>65768763</v>
      </c>
      <c r="I8297" s="4">
        <v>83466859.58353737</v>
      </c>
      <c r="J8297" s="3">
        <v>0.26909578006716306</v>
      </c>
      <c r="K8297" s="3">
        <v>-0.2120374082820778</v>
      </c>
      <c r="L8297" t="s">
        <v>54</v>
      </c>
    </row>
    <row r="8298" spans="1:12" x14ac:dyDescent="0.25">
      <c r="A8298" t="s">
        <v>490</v>
      </c>
      <c r="B8298" t="s">
        <v>491</v>
      </c>
      <c r="C8298" t="s">
        <v>492</v>
      </c>
      <c r="D8298" t="s">
        <v>346</v>
      </c>
      <c r="E8298" t="s">
        <v>352</v>
      </c>
      <c r="F8298">
        <v>3</v>
      </c>
      <c r="G8298" t="s">
        <v>498</v>
      </c>
      <c r="H8298" s="4">
        <v>65768763</v>
      </c>
      <c r="I8298" s="4">
        <v>63175541</v>
      </c>
      <c r="J8298" s="3">
        <v>0.039429386865615826</v>
      </c>
      <c r="K8298" s="3">
        <v>0.04104787958998246</v>
      </c>
      <c r="L8298" t="s">
        <v>54</v>
      </c>
    </row>
    <row r="8299" spans="1:12" x14ac:dyDescent="0.25">
      <c r="A8299" t="s">
        <v>490</v>
      </c>
      <c r="B8299" t="s">
        <v>491</v>
      </c>
      <c r="C8299" t="s">
        <v>492</v>
      </c>
      <c r="D8299" t="s">
        <v>346</v>
      </c>
      <c r="E8299" t="s">
        <v>352</v>
      </c>
      <c r="F8299">
        <v>3</v>
      </c>
      <c r="G8299" t="s">
        <v>499</v>
      </c>
      <c r="H8299" s="4">
        <v>65768763</v>
      </c>
      <c r="I8299" s="4">
        <v>97486582</v>
      </c>
      <c r="J8299" s="3">
        <v>0.48226266624476427</v>
      </c>
      <c r="K8299" s="3">
        <v>-0.3253557397263143</v>
      </c>
      <c r="L8299" t="s">
        <v>54</v>
      </c>
    </row>
    <row r="8300" spans="1:12" x14ac:dyDescent="0.25">
      <c r="A8300" t="s">
        <v>490</v>
      </c>
      <c r="B8300" t="s">
        <v>491</v>
      </c>
      <c r="C8300" t="s">
        <v>492</v>
      </c>
      <c r="D8300" t="s">
        <v>348</v>
      </c>
      <c r="E8300" t="s">
        <v>350</v>
      </c>
      <c r="F8300">
        <v>1</v>
      </c>
      <c r="G8300" t="s">
        <v>488</v>
      </c>
      <c r="H8300" s="4">
        <v>72755253</v>
      </c>
      <c r="I8300" s="4">
        <v>89165086.61529136</v>
      </c>
      <c r="J8300" s="3">
        <v>0.2255484372419316</v>
      </c>
      <c r="K8300" s="3">
        <v>-0.18403877838522903</v>
      </c>
      <c r="L8300" t="s">
        <v>54</v>
      </c>
    </row>
    <row r="8301" spans="1:12" x14ac:dyDescent="0.25">
      <c r="A8301" t="s">
        <v>490</v>
      </c>
      <c r="B8301" t="s">
        <v>491</v>
      </c>
      <c r="C8301" t="s">
        <v>492</v>
      </c>
      <c r="D8301" t="s">
        <v>348</v>
      </c>
      <c r="E8301" t="s">
        <v>350</v>
      </c>
      <c r="F8301">
        <v>1</v>
      </c>
      <c r="G8301" t="s">
        <v>498</v>
      </c>
      <c r="H8301" s="4">
        <v>72755253</v>
      </c>
      <c r="I8301" s="4">
        <v>66837250</v>
      </c>
      <c r="J8301" s="3">
        <v>0.08134124693374374</v>
      </c>
      <c r="K8301" s="3">
        <v>0.0885434843593954</v>
      </c>
      <c r="L8301" t="s">
        <v>54</v>
      </c>
    </row>
    <row r="8302" spans="1:12" x14ac:dyDescent="0.25">
      <c r="A8302" t="s">
        <v>490</v>
      </c>
      <c r="B8302" t="s">
        <v>491</v>
      </c>
      <c r="C8302" t="s">
        <v>492</v>
      </c>
      <c r="D8302" t="s">
        <v>348</v>
      </c>
      <c r="E8302" t="s">
        <v>350</v>
      </c>
      <c r="F8302">
        <v>1</v>
      </c>
      <c r="G8302" t="s">
        <v>499</v>
      </c>
      <c r="H8302" s="4">
        <v>72755253</v>
      </c>
      <c r="I8302" s="4">
        <v>79829851</v>
      </c>
      <c r="J8302" s="3">
        <v>0.09723831212572376</v>
      </c>
      <c r="K8302" s="3">
        <v>-0.08862095959567806</v>
      </c>
      <c r="L8302" t="s">
        <v>54</v>
      </c>
    </row>
    <row r="8303" spans="1:12" x14ac:dyDescent="0.25">
      <c r="A8303" t="s">
        <v>490</v>
      </c>
      <c r="B8303" t="s">
        <v>491</v>
      </c>
      <c r="C8303" t="s">
        <v>492</v>
      </c>
      <c r="D8303" t="s">
        <v>348</v>
      </c>
      <c r="E8303" t="s">
        <v>352</v>
      </c>
      <c r="F8303">
        <v>2</v>
      </c>
      <c r="G8303" t="s">
        <v>488</v>
      </c>
      <c r="H8303" s="4">
        <v>65768763</v>
      </c>
      <c r="I8303" s="4">
        <v>84280136.9780009</v>
      </c>
      <c r="J8303" s="3">
        <v>0.28146148921792696</v>
      </c>
      <c r="K8303" s="3">
        <v>-0.21964100488864655</v>
      </c>
      <c r="L8303" t="s">
        <v>54</v>
      </c>
    </row>
    <row r="8304" spans="1:12" x14ac:dyDescent="0.25">
      <c r="A8304" t="s">
        <v>490</v>
      </c>
      <c r="B8304" t="s">
        <v>491</v>
      </c>
      <c r="C8304" t="s">
        <v>492</v>
      </c>
      <c r="D8304" t="s">
        <v>348</v>
      </c>
      <c r="E8304" t="s">
        <v>352</v>
      </c>
      <c r="F8304">
        <v>2</v>
      </c>
      <c r="G8304" t="s">
        <v>498</v>
      </c>
      <c r="H8304" s="4">
        <v>65768763</v>
      </c>
      <c r="I8304" s="4">
        <v>63175541</v>
      </c>
      <c r="J8304" s="3">
        <v>0.039429386865615826</v>
      </c>
      <c r="K8304" s="3">
        <v>0.04104787958998246</v>
      </c>
      <c r="L8304" t="s">
        <v>54</v>
      </c>
    </row>
    <row r="8305" spans="1:12" x14ac:dyDescent="0.25">
      <c r="A8305" t="s">
        <v>490</v>
      </c>
      <c r="B8305" t="s">
        <v>491</v>
      </c>
      <c r="C8305" t="s">
        <v>492</v>
      </c>
      <c r="D8305" t="s">
        <v>348</v>
      </c>
      <c r="E8305" t="s">
        <v>352</v>
      </c>
      <c r="F8305">
        <v>2</v>
      </c>
      <c r="G8305" t="s">
        <v>499</v>
      </c>
      <c r="H8305" s="4">
        <v>65768763</v>
      </c>
      <c r="I8305" s="4">
        <v>79829851</v>
      </c>
      <c r="J8305" s="3">
        <v>0.21379584104387062</v>
      </c>
      <c r="K8305" s="3">
        <v>-0.17613822177871785</v>
      </c>
      <c r="L8305" t="s">
        <v>54</v>
      </c>
    </row>
    <row r="8306" spans="1:12" x14ac:dyDescent="0.25">
      <c r="A8306" t="s">
        <v>490</v>
      </c>
      <c r="B8306" t="s">
        <v>491</v>
      </c>
      <c r="C8306" t="s">
        <v>492</v>
      </c>
      <c r="D8306" t="s">
        <v>348</v>
      </c>
      <c r="E8306" t="s">
        <v>354</v>
      </c>
      <c r="F8306">
        <v>3</v>
      </c>
      <c r="G8306" t="s">
        <v>488</v>
      </c>
      <c r="H8306" s="4">
        <v>84359025</v>
      </c>
      <c r="I8306" s="4">
        <v>91177741.75241242</v>
      </c>
      <c r="J8306" s="3">
        <v>0.0808297245305102</v>
      </c>
      <c r="K8306" s="3">
        <v>-0.07478488303568903</v>
      </c>
      <c r="L8306" t="s">
        <v>54</v>
      </c>
    </row>
    <row r="8307" spans="1:12" x14ac:dyDescent="0.25">
      <c r="A8307" t="s">
        <v>490</v>
      </c>
      <c r="B8307" t="s">
        <v>491</v>
      </c>
      <c r="C8307" t="s">
        <v>492</v>
      </c>
      <c r="D8307" t="s">
        <v>348</v>
      </c>
      <c r="E8307" t="s">
        <v>354</v>
      </c>
      <c r="F8307">
        <v>3</v>
      </c>
      <c r="G8307" t="s">
        <v>498</v>
      </c>
      <c r="H8307" s="4">
        <v>84359025</v>
      </c>
      <c r="I8307" s="4">
        <v>68345916</v>
      </c>
      <c r="J8307" s="3">
        <v>0.18982093498591288</v>
      </c>
      <c r="K8307" s="3">
        <v>0.23429503819950265</v>
      </c>
      <c r="L8307" t="s">
        <v>54</v>
      </c>
    </row>
    <row r="8308" spans="1:12" x14ac:dyDescent="0.25">
      <c r="A8308" t="s">
        <v>490</v>
      </c>
      <c r="B8308" t="s">
        <v>491</v>
      </c>
      <c r="C8308" t="s">
        <v>492</v>
      </c>
      <c r="D8308" t="s">
        <v>348</v>
      </c>
      <c r="E8308" t="s">
        <v>354</v>
      </c>
      <c r="F8308">
        <v>3</v>
      </c>
      <c r="G8308" t="s">
        <v>499</v>
      </c>
      <c r="H8308" s="4">
        <v>84359025</v>
      </c>
      <c r="I8308" s="4">
        <v>79829851</v>
      </c>
      <c r="J8308" s="3">
        <v>0.05368926442665737</v>
      </c>
      <c r="K8308" s="3">
        <v>0.05673534327403417</v>
      </c>
      <c r="L8308" t="s">
        <v>54</v>
      </c>
    </row>
    <row r="8309" spans="1:12" x14ac:dyDescent="0.25">
      <c r="A8309" t="s">
        <v>490</v>
      </c>
      <c r="B8309" t="s">
        <v>491</v>
      </c>
      <c r="C8309" t="s">
        <v>492</v>
      </c>
      <c r="D8309" t="s">
        <v>350</v>
      </c>
      <c r="E8309" t="s">
        <v>352</v>
      </c>
      <c r="F8309">
        <v>1</v>
      </c>
      <c r="G8309" t="s">
        <v>488</v>
      </c>
      <c r="H8309" s="4">
        <v>65768763</v>
      </c>
      <c r="I8309" s="4">
        <v>83481847.80203828</v>
      </c>
      <c r="J8309" s="3">
        <v>0.26932367272953395</v>
      </c>
      <c r="K8309" s="3">
        <v>-0.21217887802437696</v>
      </c>
      <c r="L8309" t="s">
        <v>54</v>
      </c>
    </row>
    <row r="8310" spans="1:12" x14ac:dyDescent="0.25">
      <c r="A8310" t="s">
        <v>490</v>
      </c>
      <c r="B8310" t="s">
        <v>491</v>
      </c>
      <c r="C8310" t="s">
        <v>492</v>
      </c>
      <c r="D8310" t="s">
        <v>350</v>
      </c>
      <c r="E8310" t="s">
        <v>352</v>
      </c>
      <c r="F8310">
        <v>1</v>
      </c>
      <c r="G8310" t="s">
        <v>498</v>
      </c>
      <c r="H8310" s="4">
        <v>65768763</v>
      </c>
      <c r="I8310" s="4">
        <v>63175541</v>
      </c>
      <c r="J8310" s="3">
        <v>0.039429386865615826</v>
      </c>
      <c r="K8310" s="3">
        <v>0.04104787958998246</v>
      </c>
      <c r="L8310" t="s">
        <v>54</v>
      </c>
    </row>
    <row r="8311" spans="1:12" x14ac:dyDescent="0.25">
      <c r="A8311" t="s">
        <v>490</v>
      </c>
      <c r="B8311" t="s">
        <v>491</v>
      </c>
      <c r="C8311" t="s">
        <v>492</v>
      </c>
      <c r="D8311" t="s">
        <v>350</v>
      </c>
      <c r="E8311" t="s">
        <v>352</v>
      </c>
      <c r="F8311">
        <v>1</v>
      </c>
      <c r="G8311" t="s">
        <v>499</v>
      </c>
      <c r="H8311" s="4">
        <v>65768763</v>
      </c>
      <c r="I8311" s="4">
        <v>72755253</v>
      </c>
      <c r="J8311" s="3">
        <v>0.1062280888573197</v>
      </c>
      <c r="K8311" s="3">
        <v>-0.096027293039583</v>
      </c>
      <c r="L8311" t="s">
        <v>54</v>
      </c>
    </row>
    <row r="8312" spans="1:12" x14ac:dyDescent="0.25">
      <c r="A8312" t="s">
        <v>490</v>
      </c>
      <c r="B8312" t="s">
        <v>491</v>
      </c>
      <c r="C8312" t="s">
        <v>492</v>
      </c>
      <c r="D8312" t="s">
        <v>350</v>
      </c>
      <c r="E8312" t="s">
        <v>354</v>
      </c>
      <c r="F8312">
        <v>2</v>
      </c>
      <c r="G8312" t="s">
        <v>488</v>
      </c>
      <c r="H8312" s="4">
        <v>84359025</v>
      </c>
      <c r="I8312" s="4">
        <v>90314119.46916123</v>
      </c>
      <c r="J8312" s="3">
        <v>0.07059226288071996</v>
      </c>
      <c r="K8312" s="3">
        <v>-0.06593757990625886</v>
      </c>
      <c r="L8312" t="s">
        <v>54</v>
      </c>
    </row>
    <row r="8313" spans="1:12" x14ac:dyDescent="0.25">
      <c r="A8313" t="s">
        <v>490</v>
      </c>
      <c r="B8313" t="s">
        <v>491</v>
      </c>
      <c r="C8313" t="s">
        <v>492</v>
      </c>
      <c r="D8313" t="s">
        <v>350</v>
      </c>
      <c r="E8313" t="s">
        <v>354</v>
      </c>
      <c r="F8313">
        <v>2</v>
      </c>
      <c r="G8313" t="s">
        <v>498</v>
      </c>
      <c r="H8313" s="4">
        <v>84359025</v>
      </c>
      <c r="I8313" s="4">
        <v>68345916</v>
      </c>
      <c r="J8313" s="3">
        <v>0.18982093498591288</v>
      </c>
      <c r="K8313" s="3">
        <v>0.23429503819950265</v>
      </c>
      <c r="L8313" t="s">
        <v>54</v>
      </c>
    </row>
    <row r="8314" spans="1:12" x14ac:dyDescent="0.25">
      <c r="A8314" t="s">
        <v>490</v>
      </c>
      <c r="B8314" t="s">
        <v>491</v>
      </c>
      <c r="C8314" t="s">
        <v>492</v>
      </c>
      <c r="D8314" t="s">
        <v>350</v>
      </c>
      <c r="E8314" t="s">
        <v>354</v>
      </c>
      <c r="F8314">
        <v>2</v>
      </c>
      <c r="G8314" t="s">
        <v>499</v>
      </c>
      <c r="H8314" s="4">
        <v>84359025</v>
      </c>
      <c r="I8314" s="4">
        <v>72755253</v>
      </c>
      <c r="J8314" s="3">
        <v>0.13755222988885896</v>
      </c>
      <c r="K8314" s="3">
        <v>0.15949050441759854</v>
      </c>
      <c r="L8314" t="s">
        <v>54</v>
      </c>
    </row>
    <row r="8315" spans="1:12" x14ac:dyDescent="0.25">
      <c r="A8315" t="s">
        <v>490</v>
      </c>
      <c r="B8315" t="s">
        <v>491</v>
      </c>
      <c r="C8315" t="s">
        <v>492</v>
      </c>
      <c r="D8315" t="s">
        <v>350</v>
      </c>
      <c r="E8315" t="s">
        <v>356</v>
      </c>
      <c r="F8315">
        <v>3</v>
      </c>
      <c r="G8315" t="s">
        <v>488</v>
      </c>
      <c r="H8315" s="4">
        <v>100572829</v>
      </c>
      <c r="I8315" s="4">
        <v>127330693.76436381</v>
      </c>
      <c r="J8315" s="3">
        <v>0.266054609683534</v>
      </c>
      <c r="K8315" s="3">
        <v>-0.21014465541106292</v>
      </c>
      <c r="L8315" t="s">
        <v>54</v>
      </c>
    </row>
    <row r="8316" spans="1:12" x14ac:dyDescent="0.25">
      <c r="A8316" t="s">
        <v>490</v>
      </c>
      <c r="B8316" t="s">
        <v>491</v>
      </c>
      <c r="C8316" t="s">
        <v>492</v>
      </c>
      <c r="D8316" t="s">
        <v>350</v>
      </c>
      <c r="E8316" t="s">
        <v>356</v>
      </c>
      <c r="F8316">
        <v>3</v>
      </c>
      <c r="G8316" t="s">
        <v>498</v>
      </c>
      <c r="H8316" s="4">
        <v>100572829</v>
      </c>
      <c r="I8316" s="4">
        <v>96358498</v>
      </c>
      <c r="J8316" s="3">
        <v>0.04190327588378766</v>
      </c>
      <c r="K8316" s="3">
        <v>0.04373595570159261</v>
      </c>
      <c r="L8316" t="s">
        <v>54</v>
      </c>
    </row>
    <row r="8317" spans="1:12" x14ac:dyDescent="0.25">
      <c r="A8317" t="s">
        <v>490</v>
      </c>
      <c r="B8317" t="s">
        <v>491</v>
      </c>
      <c r="C8317" t="s">
        <v>492</v>
      </c>
      <c r="D8317" t="s">
        <v>350</v>
      </c>
      <c r="E8317" t="s">
        <v>356</v>
      </c>
      <c r="F8317">
        <v>3</v>
      </c>
      <c r="G8317" t="s">
        <v>499</v>
      </c>
      <c r="H8317" s="4">
        <v>100572829</v>
      </c>
      <c r="I8317" s="4">
        <v>72755253</v>
      </c>
      <c r="J8317" s="3">
        <v>0.276591364452918</v>
      </c>
      <c r="K8317" s="3">
        <v>0.3823445710511102</v>
      </c>
      <c r="L8317" t="s">
        <v>54</v>
      </c>
    </row>
    <row r="8318" spans="1:12" x14ac:dyDescent="0.25">
      <c r="A8318" t="s">
        <v>490</v>
      </c>
      <c r="B8318" t="s">
        <v>491</v>
      </c>
      <c r="C8318" t="s">
        <v>492</v>
      </c>
      <c r="D8318" t="s">
        <v>352</v>
      </c>
      <c r="E8318" t="s">
        <v>354</v>
      </c>
      <c r="F8318">
        <v>1</v>
      </c>
      <c r="G8318" t="s">
        <v>488</v>
      </c>
      <c r="H8318" s="4">
        <v>84359025</v>
      </c>
      <c r="I8318" s="4">
        <v>87259498.09619492</v>
      </c>
      <c r="J8318" s="3">
        <v>0.034382487187291734</v>
      </c>
      <c r="K8318" s="3">
        <v>-0.03323962616651129</v>
      </c>
      <c r="L8318" t="s">
        <v>54</v>
      </c>
    </row>
    <row r="8319" spans="1:12" x14ac:dyDescent="0.25">
      <c r="A8319" t="s">
        <v>490</v>
      </c>
      <c r="B8319" t="s">
        <v>491</v>
      </c>
      <c r="C8319" t="s">
        <v>492</v>
      </c>
      <c r="D8319" t="s">
        <v>352</v>
      </c>
      <c r="E8319" t="s">
        <v>354</v>
      </c>
      <c r="F8319">
        <v>1</v>
      </c>
      <c r="G8319" t="s">
        <v>498</v>
      </c>
      <c r="H8319" s="4">
        <v>84359025</v>
      </c>
      <c r="I8319" s="4">
        <v>68345916</v>
      </c>
      <c r="J8319" s="3">
        <v>0.18982093498591288</v>
      </c>
      <c r="K8319" s="3">
        <v>0.23429503819950265</v>
      </c>
      <c r="L8319" t="s">
        <v>54</v>
      </c>
    </row>
    <row r="8320" spans="1:12" x14ac:dyDescent="0.25">
      <c r="A8320" t="s">
        <v>490</v>
      </c>
      <c r="B8320" t="s">
        <v>491</v>
      </c>
      <c r="C8320" t="s">
        <v>492</v>
      </c>
      <c r="D8320" t="s">
        <v>352</v>
      </c>
      <c r="E8320" t="s">
        <v>354</v>
      </c>
      <c r="F8320">
        <v>1</v>
      </c>
      <c r="G8320" t="s">
        <v>499</v>
      </c>
      <c r="H8320" s="4">
        <v>84359025</v>
      </c>
      <c r="I8320" s="4">
        <v>65768763</v>
      </c>
      <c r="J8320" s="3">
        <v>0.22037075464065642</v>
      </c>
      <c r="K8320" s="3">
        <v>0.2826609647500896</v>
      </c>
      <c r="L8320" t="s">
        <v>54</v>
      </c>
    </row>
    <row r="8321" spans="1:12" x14ac:dyDescent="0.25">
      <c r="A8321" t="s">
        <v>490</v>
      </c>
      <c r="B8321" t="s">
        <v>491</v>
      </c>
      <c r="C8321" t="s">
        <v>492</v>
      </c>
      <c r="D8321" t="s">
        <v>352</v>
      </c>
      <c r="E8321" t="s">
        <v>356</v>
      </c>
      <c r="F8321">
        <v>2</v>
      </c>
      <c r="G8321" t="s">
        <v>488</v>
      </c>
      <c r="H8321" s="4">
        <v>100572829</v>
      </c>
      <c r="I8321" s="4">
        <v>123024090.75595976</v>
      </c>
      <c r="J8321" s="3">
        <v>0.22323386921888977</v>
      </c>
      <c r="K8321" s="3">
        <v>-0.18249483997809704</v>
      </c>
      <c r="L8321" t="s">
        <v>54</v>
      </c>
    </row>
    <row r="8322" spans="1:12" x14ac:dyDescent="0.25">
      <c r="A8322" t="s">
        <v>490</v>
      </c>
      <c r="B8322" t="s">
        <v>491</v>
      </c>
      <c r="C8322" t="s">
        <v>492</v>
      </c>
      <c r="D8322" t="s">
        <v>352</v>
      </c>
      <c r="E8322" t="s">
        <v>356</v>
      </c>
      <c r="F8322">
        <v>2</v>
      </c>
      <c r="G8322" t="s">
        <v>498</v>
      </c>
      <c r="H8322" s="4">
        <v>100572829</v>
      </c>
      <c r="I8322" s="4">
        <v>96358498</v>
      </c>
      <c r="J8322" s="3">
        <v>0.04190327588378766</v>
      </c>
      <c r="K8322" s="3">
        <v>0.04373595570159261</v>
      </c>
      <c r="L8322" t="s">
        <v>54</v>
      </c>
    </row>
    <row r="8323" spans="1:12" x14ac:dyDescent="0.25">
      <c r="A8323" t="s">
        <v>490</v>
      </c>
      <c r="B8323" t="s">
        <v>491</v>
      </c>
      <c r="C8323" t="s">
        <v>492</v>
      </c>
      <c r="D8323" t="s">
        <v>352</v>
      </c>
      <c r="E8323" t="s">
        <v>356</v>
      </c>
      <c r="F8323">
        <v>2</v>
      </c>
      <c r="G8323" t="s">
        <v>499</v>
      </c>
      <c r="H8323" s="4">
        <v>100572829</v>
      </c>
      <c r="I8323" s="4">
        <v>65768763</v>
      </c>
      <c r="J8323" s="3">
        <v>0.34605833748596254</v>
      </c>
      <c r="K8323" s="3">
        <v>0.529188392976161</v>
      </c>
      <c r="L8323" t="s">
        <v>54</v>
      </c>
    </row>
    <row r="8324" spans="1:12" x14ac:dyDescent="0.25">
      <c r="A8324" t="s">
        <v>490</v>
      </c>
      <c r="B8324" t="s">
        <v>491</v>
      </c>
      <c r="C8324" t="s">
        <v>492</v>
      </c>
      <c r="D8324" t="s">
        <v>352</v>
      </c>
      <c r="E8324" t="s">
        <v>358</v>
      </c>
      <c r="F8324">
        <v>3</v>
      </c>
      <c r="G8324" t="s">
        <v>488</v>
      </c>
      <c r="H8324" s="4">
        <v>102719676</v>
      </c>
      <c r="I8324" s="4">
        <v>119744825.8628005</v>
      </c>
      <c r="J8324" s="3">
        <v>0.1657438041646519</v>
      </c>
      <c r="K8324" s="3">
        <v>-0.14217858467060052</v>
      </c>
      <c r="L8324" t="s">
        <v>54</v>
      </c>
    </row>
    <row r="8325" spans="1:12" x14ac:dyDescent="0.25">
      <c r="A8325" t="s">
        <v>490</v>
      </c>
      <c r="B8325" t="s">
        <v>491</v>
      </c>
      <c r="C8325" t="s">
        <v>492</v>
      </c>
      <c r="D8325" t="s">
        <v>352</v>
      </c>
      <c r="E8325" t="s">
        <v>358</v>
      </c>
      <c r="F8325">
        <v>3</v>
      </c>
      <c r="G8325" t="s">
        <v>498</v>
      </c>
      <c r="H8325" s="4">
        <v>102719676</v>
      </c>
      <c r="I8325" s="4">
        <v>93790017</v>
      </c>
      <c r="J8325" s="3">
        <v>0.08693231275379022</v>
      </c>
      <c r="K8325" s="3">
        <v>0.0952090562047771</v>
      </c>
      <c r="L8325" t="s">
        <v>54</v>
      </c>
    </row>
    <row r="8326" spans="1:12" x14ac:dyDescent="0.25">
      <c r="A8326" t="s">
        <v>490</v>
      </c>
      <c r="B8326" t="s">
        <v>491</v>
      </c>
      <c r="C8326" t="s">
        <v>492</v>
      </c>
      <c r="D8326" t="s">
        <v>352</v>
      </c>
      <c r="E8326" t="s">
        <v>358</v>
      </c>
      <c r="F8326">
        <v>3</v>
      </c>
      <c r="G8326" t="s">
        <v>499</v>
      </c>
      <c r="H8326" s="4">
        <v>102719676</v>
      </c>
      <c r="I8326" s="4">
        <v>65768763</v>
      </c>
      <c r="J8326" s="3">
        <v>0.3597257549760963</v>
      </c>
      <c r="K8326" s="3">
        <v>0.561830743266374</v>
      </c>
      <c r="L8326" t="s">
        <v>54</v>
      </c>
    </row>
    <row r="8327" spans="1:12" x14ac:dyDescent="0.25">
      <c r="A8327" t="s">
        <v>490</v>
      </c>
      <c r="B8327" t="s">
        <v>491</v>
      </c>
      <c r="C8327" t="s">
        <v>492</v>
      </c>
      <c r="D8327" t="s">
        <v>354</v>
      </c>
      <c r="E8327" t="s">
        <v>356</v>
      </c>
      <c r="F8327">
        <v>1</v>
      </c>
      <c r="G8327" t="s">
        <v>488</v>
      </c>
      <c r="H8327" s="4">
        <v>100572829</v>
      </c>
      <c r="I8327" s="4">
        <v>121729432.58170362</v>
      </c>
      <c r="J8327" s="3">
        <v>0.2103610268505385</v>
      </c>
      <c r="K8327" s="3">
        <v>-0.17380023165312555</v>
      </c>
      <c r="L8327" t="s">
        <v>54</v>
      </c>
    </row>
    <row r="8328" spans="1:12" x14ac:dyDescent="0.25">
      <c r="A8328" t="s">
        <v>490</v>
      </c>
      <c r="B8328" t="s">
        <v>491</v>
      </c>
      <c r="C8328" t="s">
        <v>492</v>
      </c>
      <c r="D8328" t="s">
        <v>354</v>
      </c>
      <c r="E8328" t="s">
        <v>356</v>
      </c>
      <c r="F8328">
        <v>1</v>
      </c>
      <c r="G8328" t="s">
        <v>498</v>
      </c>
      <c r="H8328" s="4">
        <v>100572829</v>
      </c>
      <c r="I8328" s="4">
        <v>96358498</v>
      </c>
      <c r="J8328" s="3">
        <v>0.04190327588378766</v>
      </c>
      <c r="K8328" s="3">
        <v>0.04373595570159261</v>
      </c>
      <c r="L8328" t="s">
        <v>54</v>
      </c>
    </row>
    <row r="8329" spans="1:12" x14ac:dyDescent="0.25">
      <c r="A8329" t="s">
        <v>490</v>
      </c>
      <c r="B8329" t="s">
        <v>491</v>
      </c>
      <c r="C8329" t="s">
        <v>492</v>
      </c>
      <c r="D8329" t="s">
        <v>354</v>
      </c>
      <c r="E8329" t="s">
        <v>356</v>
      </c>
      <c r="F8329">
        <v>1</v>
      </c>
      <c r="G8329" t="s">
        <v>499</v>
      </c>
      <c r="H8329" s="4">
        <v>100572829</v>
      </c>
      <c r="I8329" s="4">
        <v>84359025</v>
      </c>
      <c r="J8329" s="3">
        <v>0.16121455626946718</v>
      </c>
      <c r="K8329" s="3">
        <v>0.19219999282827177</v>
      </c>
      <c r="L8329" t="s">
        <v>54</v>
      </c>
    </row>
    <row r="8330" spans="1:12" x14ac:dyDescent="0.25">
      <c r="A8330" t="s">
        <v>490</v>
      </c>
      <c r="B8330" t="s">
        <v>491</v>
      </c>
      <c r="C8330" t="s">
        <v>492</v>
      </c>
      <c r="D8330" t="s">
        <v>354</v>
      </c>
      <c r="E8330" t="s">
        <v>358</v>
      </c>
      <c r="F8330">
        <v>2</v>
      </c>
      <c r="G8330" t="s">
        <v>488</v>
      </c>
      <c r="H8330" s="4">
        <v>102719676</v>
      </c>
      <c r="I8330" s="4">
        <v>118484677.40996063</v>
      </c>
      <c r="J8330" s="3">
        <v>0.15347596511072162</v>
      </c>
      <c r="K8330" s="3">
        <v>-0.1330551912245432</v>
      </c>
      <c r="L8330" t="s">
        <v>54</v>
      </c>
    </row>
    <row r="8331" spans="1:12" x14ac:dyDescent="0.25">
      <c r="A8331" t="s">
        <v>490</v>
      </c>
      <c r="B8331" t="s">
        <v>491</v>
      </c>
      <c r="C8331" t="s">
        <v>492</v>
      </c>
      <c r="D8331" t="s">
        <v>354</v>
      </c>
      <c r="E8331" t="s">
        <v>358</v>
      </c>
      <c r="F8331">
        <v>2</v>
      </c>
      <c r="G8331" t="s">
        <v>498</v>
      </c>
      <c r="H8331" s="4">
        <v>102719676</v>
      </c>
      <c r="I8331" s="4">
        <v>93790017</v>
      </c>
      <c r="J8331" s="3">
        <v>0.08693231275379022</v>
      </c>
      <c r="K8331" s="3">
        <v>0.0952090562047771</v>
      </c>
      <c r="L8331" t="s">
        <v>54</v>
      </c>
    </row>
    <row r="8332" spans="1:12" x14ac:dyDescent="0.25">
      <c r="A8332" t="s">
        <v>490</v>
      </c>
      <c r="B8332" t="s">
        <v>491</v>
      </c>
      <c r="C8332" t="s">
        <v>492</v>
      </c>
      <c r="D8332" t="s">
        <v>354</v>
      </c>
      <c r="E8332" t="s">
        <v>358</v>
      </c>
      <c r="F8332">
        <v>2</v>
      </c>
      <c r="G8332" t="s">
        <v>499</v>
      </c>
      <c r="H8332" s="4">
        <v>102719676</v>
      </c>
      <c r="I8332" s="4">
        <v>84359025</v>
      </c>
      <c r="J8332" s="3">
        <v>0.1787452191730044</v>
      </c>
      <c r="K8332" s="3">
        <v>0.2176489237517859</v>
      </c>
      <c r="L8332" t="s">
        <v>54</v>
      </c>
    </row>
    <row r="8333" spans="1:12" x14ac:dyDescent="0.25">
      <c r="A8333" t="s">
        <v>490</v>
      </c>
      <c r="B8333" t="s">
        <v>491</v>
      </c>
      <c r="C8333" t="s">
        <v>492</v>
      </c>
      <c r="D8333" t="s">
        <v>354</v>
      </c>
      <c r="E8333" t="s">
        <v>360</v>
      </c>
      <c r="F8333">
        <v>3</v>
      </c>
      <c r="G8333" t="s">
        <v>488</v>
      </c>
      <c r="H8333" s="4">
        <v>99658771</v>
      </c>
      <c r="I8333" s="4">
        <v>143474862.48926842</v>
      </c>
      <c r="J8333" s="3">
        <v>0.43966116629381696</v>
      </c>
      <c r="K8333" s="3">
        <v>-0.3053921134968557</v>
      </c>
      <c r="L8333" t="s">
        <v>54</v>
      </c>
    </row>
    <row r="8334" spans="1:12" x14ac:dyDescent="0.25">
      <c r="A8334" t="s">
        <v>490</v>
      </c>
      <c r="B8334" t="s">
        <v>491</v>
      </c>
      <c r="C8334" t="s">
        <v>492</v>
      </c>
      <c r="D8334" t="s">
        <v>354</v>
      </c>
      <c r="E8334" t="s">
        <v>360</v>
      </c>
      <c r="F8334">
        <v>3</v>
      </c>
      <c r="G8334" t="s">
        <v>498</v>
      </c>
      <c r="H8334" s="4">
        <v>99658771</v>
      </c>
      <c r="I8334" s="4">
        <v>113571730</v>
      </c>
      <c r="J8334" s="3">
        <v>0.13960596604186498</v>
      </c>
      <c r="K8334" s="3">
        <v>-0.12250371637378421</v>
      </c>
      <c r="L8334" t="s">
        <v>54</v>
      </c>
    </row>
    <row r="8335" spans="1:12" x14ac:dyDescent="0.25">
      <c r="A8335" t="s">
        <v>490</v>
      </c>
      <c r="B8335" t="s">
        <v>491</v>
      </c>
      <c r="C8335" t="s">
        <v>492</v>
      </c>
      <c r="D8335" t="s">
        <v>354</v>
      </c>
      <c r="E8335" t="s">
        <v>360</v>
      </c>
      <c r="F8335">
        <v>3</v>
      </c>
      <c r="G8335" t="s">
        <v>499</v>
      </c>
      <c r="H8335" s="4">
        <v>99658771</v>
      </c>
      <c r="I8335" s="4">
        <v>84359025</v>
      </c>
      <c r="J8335" s="3">
        <v>0.15352131926250626</v>
      </c>
      <c r="K8335" s="3">
        <v>0.18136466133884313</v>
      </c>
      <c r="L8335" t="s">
        <v>54</v>
      </c>
    </row>
    <row r="8336" spans="1:12" x14ac:dyDescent="0.25">
      <c r="A8336" t="s">
        <v>490</v>
      </c>
      <c r="B8336" t="s">
        <v>491</v>
      </c>
      <c r="C8336" t="s">
        <v>492</v>
      </c>
      <c r="D8336" t="s">
        <v>356</v>
      </c>
      <c r="E8336" t="s">
        <v>358</v>
      </c>
      <c r="F8336">
        <v>1</v>
      </c>
      <c r="G8336" t="s">
        <v>488</v>
      </c>
      <c r="H8336" s="4">
        <v>102719676</v>
      </c>
      <c r="I8336" s="4">
        <v>115800509.34306844</v>
      </c>
      <c r="J8336" s="3">
        <v>0.12734496303384402</v>
      </c>
      <c r="K8336" s="3">
        <v>-0.11296006742349814</v>
      </c>
      <c r="L8336" t="s">
        <v>54</v>
      </c>
    </row>
    <row r="8337" spans="1:12" x14ac:dyDescent="0.25">
      <c r="A8337" t="s">
        <v>490</v>
      </c>
      <c r="B8337" t="s">
        <v>491</v>
      </c>
      <c r="C8337" t="s">
        <v>492</v>
      </c>
      <c r="D8337" t="s">
        <v>356</v>
      </c>
      <c r="E8337" t="s">
        <v>358</v>
      </c>
      <c r="F8337">
        <v>1</v>
      </c>
      <c r="G8337" t="s">
        <v>498</v>
      </c>
      <c r="H8337" s="4">
        <v>102719676</v>
      </c>
      <c r="I8337" s="4">
        <v>93790017</v>
      </c>
      <c r="J8337" s="3">
        <v>0.08693231275379022</v>
      </c>
      <c r="K8337" s="3">
        <v>0.0952090562047771</v>
      </c>
      <c r="L8337" t="s">
        <v>54</v>
      </c>
    </row>
    <row r="8338" spans="1:12" x14ac:dyDescent="0.25">
      <c r="A8338" t="s">
        <v>490</v>
      </c>
      <c r="B8338" t="s">
        <v>491</v>
      </c>
      <c r="C8338" t="s">
        <v>492</v>
      </c>
      <c r="D8338" t="s">
        <v>356</v>
      </c>
      <c r="E8338" t="s">
        <v>358</v>
      </c>
      <c r="F8338">
        <v>1</v>
      </c>
      <c r="G8338" t="s">
        <v>499</v>
      </c>
      <c r="H8338" s="4">
        <v>102719676</v>
      </c>
      <c r="I8338" s="4">
        <v>100572829</v>
      </c>
      <c r="J8338" s="3">
        <v>0.020900056187871933</v>
      </c>
      <c r="K8338" s="3">
        <v>0.02134619281714746</v>
      </c>
      <c r="L8338" t="s">
        <v>54</v>
      </c>
    </row>
    <row r="8339" spans="1:12" x14ac:dyDescent="0.25">
      <c r="A8339" t="s">
        <v>490</v>
      </c>
      <c r="B8339" t="s">
        <v>491</v>
      </c>
      <c r="C8339" t="s">
        <v>492</v>
      </c>
      <c r="D8339" t="s">
        <v>356</v>
      </c>
      <c r="E8339" t="s">
        <v>360</v>
      </c>
      <c r="F8339">
        <v>2</v>
      </c>
      <c r="G8339" t="s">
        <v>488</v>
      </c>
      <c r="H8339" s="4">
        <v>99658771</v>
      </c>
      <c r="I8339" s="4">
        <v>140224563.35596403</v>
      </c>
      <c r="J8339" s="3">
        <v>0.4070468855768253</v>
      </c>
      <c r="K8339" s="3">
        <v>-0.2892916289779175</v>
      </c>
      <c r="L8339" t="s">
        <v>54</v>
      </c>
    </row>
    <row r="8340" spans="1:12" x14ac:dyDescent="0.25">
      <c r="A8340" t="s">
        <v>490</v>
      </c>
      <c r="B8340" t="s">
        <v>491</v>
      </c>
      <c r="C8340" t="s">
        <v>492</v>
      </c>
      <c r="D8340" t="s">
        <v>356</v>
      </c>
      <c r="E8340" t="s">
        <v>360</v>
      </c>
      <c r="F8340">
        <v>2</v>
      </c>
      <c r="G8340" t="s">
        <v>498</v>
      </c>
      <c r="H8340" s="4">
        <v>99658771</v>
      </c>
      <c r="I8340" s="4">
        <v>113571730</v>
      </c>
      <c r="J8340" s="3">
        <v>0.13960596604186498</v>
      </c>
      <c r="K8340" s="3">
        <v>-0.12250371637378421</v>
      </c>
      <c r="L8340" t="s">
        <v>54</v>
      </c>
    </row>
    <row r="8341" spans="1:12" x14ac:dyDescent="0.25">
      <c r="A8341" t="s">
        <v>490</v>
      </c>
      <c r="B8341" t="s">
        <v>491</v>
      </c>
      <c r="C8341" t="s">
        <v>492</v>
      </c>
      <c r="D8341" t="s">
        <v>356</v>
      </c>
      <c r="E8341" t="s">
        <v>360</v>
      </c>
      <c r="F8341">
        <v>2</v>
      </c>
      <c r="G8341" t="s">
        <v>499</v>
      </c>
      <c r="H8341" s="4">
        <v>99658771</v>
      </c>
      <c r="I8341" s="4">
        <v>100572829</v>
      </c>
      <c r="J8341" s="3">
        <v>0.009171877104525</v>
      </c>
      <c r="K8341" s="3">
        <v>-0.009088518331327839</v>
      </c>
      <c r="L8341" t="s">
        <v>54</v>
      </c>
    </row>
    <row r="8342" spans="1:12" x14ac:dyDescent="0.25">
      <c r="A8342" t="s">
        <v>490</v>
      </c>
      <c r="B8342" t="s">
        <v>491</v>
      </c>
      <c r="C8342" t="s">
        <v>492</v>
      </c>
      <c r="D8342" t="s">
        <v>356</v>
      </c>
      <c r="E8342" t="s">
        <v>362</v>
      </c>
      <c r="F8342">
        <v>3</v>
      </c>
      <c r="G8342" t="s">
        <v>488</v>
      </c>
      <c r="H8342" s="4">
        <v>91025864</v>
      </c>
      <c r="I8342" s="4">
        <v>127259142.3726462</v>
      </c>
      <c r="J8342" s="3">
        <v>0.3980547591687369</v>
      </c>
      <c r="K8342" s="3">
        <v>-0.28472043498883726</v>
      </c>
      <c r="L8342" t="s">
        <v>54</v>
      </c>
    </row>
    <row r="8343" spans="1:12" x14ac:dyDescent="0.25">
      <c r="A8343" t="s">
        <v>490</v>
      </c>
      <c r="B8343" t="s">
        <v>491</v>
      </c>
      <c r="C8343" t="s">
        <v>492</v>
      </c>
      <c r="D8343" t="s">
        <v>356</v>
      </c>
      <c r="E8343" t="s">
        <v>362</v>
      </c>
      <c r="F8343">
        <v>3</v>
      </c>
      <c r="G8343" t="s">
        <v>498</v>
      </c>
      <c r="H8343" s="4">
        <v>91025864</v>
      </c>
      <c r="I8343" s="4">
        <v>103070679</v>
      </c>
      <c r="J8343" s="3">
        <v>0.1323229955828818</v>
      </c>
      <c r="K8343" s="3">
        <v>-0.11685976183391593</v>
      </c>
      <c r="L8343" t="s">
        <v>54</v>
      </c>
    </row>
    <row r="8344" spans="1:12" x14ac:dyDescent="0.25">
      <c r="A8344" t="s">
        <v>490</v>
      </c>
      <c r="B8344" t="s">
        <v>491</v>
      </c>
      <c r="C8344" t="s">
        <v>492</v>
      </c>
      <c r="D8344" t="s">
        <v>356</v>
      </c>
      <c r="E8344" t="s">
        <v>362</v>
      </c>
      <c r="F8344">
        <v>3</v>
      </c>
      <c r="G8344" t="s">
        <v>499</v>
      </c>
      <c r="H8344" s="4">
        <v>91025864</v>
      </c>
      <c r="I8344" s="4">
        <v>100572829</v>
      </c>
      <c r="J8344" s="3">
        <v>0.10488189378790186</v>
      </c>
      <c r="K8344" s="3">
        <v>-0.09492588699080942</v>
      </c>
      <c r="L8344" t="s">
        <v>54</v>
      </c>
    </row>
    <row r="8345" spans="1:12" x14ac:dyDescent="0.25">
      <c r="A8345" t="s">
        <v>490</v>
      </c>
      <c r="B8345" t="s">
        <v>491</v>
      </c>
      <c r="C8345" t="s">
        <v>492</v>
      </c>
      <c r="D8345" t="s">
        <v>358</v>
      </c>
      <c r="E8345" t="s">
        <v>360</v>
      </c>
      <c r="F8345">
        <v>1</v>
      </c>
      <c r="G8345" t="s">
        <v>488</v>
      </c>
      <c r="H8345" s="4">
        <v>99658771</v>
      </c>
      <c r="I8345" s="4">
        <v>139990857.1558329</v>
      </c>
      <c r="J8345" s="3">
        <v>0.4047018215369412</v>
      </c>
      <c r="K8345" s="3">
        <v>-0.28810514468767506</v>
      </c>
      <c r="L8345" t="s">
        <v>54</v>
      </c>
    </row>
    <row r="8346" spans="1:12" x14ac:dyDescent="0.25">
      <c r="A8346" t="s">
        <v>490</v>
      </c>
      <c r="B8346" t="s">
        <v>491</v>
      </c>
      <c r="C8346" t="s">
        <v>492</v>
      </c>
      <c r="D8346" t="s">
        <v>358</v>
      </c>
      <c r="E8346" t="s">
        <v>360</v>
      </c>
      <c r="F8346">
        <v>1</v>
      </c>
      <c r="G8346" t="s">
        <v>498</v>
      </c>
      <c r="H8346" s="4">
        <v>99658771</v>
      </c>
      <c r="I8346" s="4">
        <v>113571730</v>
      </c>
      <c r="J8346" s="3">
        <v>0.13960596604186498</v>
      </c>
      <c r="K8346" s="3">
        <v>-0.12250371637378421</v>
      </c>
      <c r="L8346" t="s">
        <v>54</v>
      </c>
    </row>
    <row r="8347" spans="1:12" x14ac:dyDescent="0.25">
      <c r="A8347" t="s">
        <v>490</v>
      </c>
      <c r="B8347" t="s">
        <v>491</v>
      </c>
      <c r="C8347" t="s">
        <v>492</v>
      </c>
      <c r="D8347" t="s">
        <v>358</v>
      </c>
      <c r="E8347" t="s">
        <v>360</v>
      </c>
      <c r="F8347">
        <v>1</v>
      </c>
      <c r="G8347" t="s">
        <v>499</v>
      </c>
      <c r="H8347" s="4">
        <v>99658771</v>
      </c>
      <c r="I8347" s="4">
        <v>102719676</v>
      </c>
      <c r="J8347" s="3">
        <v>0.03071385457884083</v>
      </c>
      <c r="K8347" s="3">
        <v>-0.029798623975410516</v>
      </c>
      <c r="L8347" t="s">
        <v>54</v>
      </c>
    </row>
    <row r="8348" spans="1:12" x14ac:dyDescent="0.25">
      <c r="A8348" t="s">
        <v>490</v>
      </c>
      <c r="B8348" t="s">
        <v>491</v>
      </c>
      <c r="C8348" t="s">
        <v>492</v>
      </c>
      <c r="D8348" t="s">
        <v>358</v>
      </c>
      <c r="E8348" t="s">
        <v>362</v>
      </c>
      <c r="F8348">
        <v>2</v>
      </c>
      <c r="G8348" t="s">
        <v>488</v>
      </c>
      <c r="H8348" s="4">
        <v>91025864</v>
      </c>
      <c r="I8348" s="4">
        <v>127047045.07753561</v>
      </c>
      <c r="J8348" s="3">
        <v>0.39572468191607185</v>
      </c>
      <c r="K8348" s="3">
        <v>-0.2835263193689568</v>
      </c>
      <c r="L8348" t="s">
        <v>54</v>
      </c>
    </row>
    <row r="8349" spans="1:12" x14ac:dyDescent="0.25">
      <c r="A8349" t="s">
        <v>490</v>
      </c>
      <c r="B8349" t="s">
        <v>491</v>
      </c>
      <c r="C8349" t="s">
        <v>492</v>
      </c>
      <c r="D8349" t="s">
        <v>358</v>
      </c>
      <c r="E8349" t="s">
        <v>362</v>
      </c>
      <c r="F8349">
        <v>2</v>
      </c>
      <c r="G8349" t="s">
        <v>498</v>
      </c>
      <c r="H8349" s="4">
        <v>91025864</v>
      </c>
      <c r="I8349" s="4">
        <v>103070679</v>
      </c>
      <c r="J8349" s="3">
        <v>0.1323229955828818</v>
      </c>
      <c r="K8349" s="3">
        <v>-0.11685976183391593</v>
      </c>
      <c r="L8349" t="s">
        <v>54</v>
      </c>
    </row>
    <row r="8350" spans="1:12" x14ac:dyDescent="0.25">
      <c r="A8350" t="s">
        <v>490</v>
      </c>
      <c r="B8350" t="s">
        <v>491</v>
      </c>
      <c r="C8350" t="s">
        <v>492</v>
      </c>
      <c r="D8350" t="s">
        <v>358</v>
      </c>
      <c r="E8350" t="s">
        <v>362</v>
      </c>
      <c r="F8350">
        <v>2</v>
      </c>
      <c r="G8350" t="s">
        <v>499</v>
      </c>
      <c r="H8350" s="4">
        <v>91025864</v>
      </c>
      <c r="I8350" s="4">
        <v>102719676</v>
      </c>
      <c r="J8350" s="3">
        <v>0.12846691573287347</v>
      </c>
      <c r="K8350" s="3">
        <v>-0.11384198680688985</v>
      </c>
      <c r="L8350" t="s">
        <v>54</v>
      </c>
    </row>
    <row r="8351" spans="1:12" x14ac:dyDescent="0.25">
      <c r="A8351" t="s">
        <v>490</v>
      </c>
      <c r="B8351" t="s">
        <v>491</v>
      </c>
      <c r="C8351" t="s">
        <v>492</v>
      </c>
      <c r="D8351" t="s">
        <v>358</v>
      </c>
      <c r="E8351" t="s">
        <v>364</v>
      </c>
      <c r="F8351">
        <v>3</v>
      </c>
      <c r="G8351" t="s">
        <v>488</v>
      </c>
      <c r="H8351" s="4">
        <v>91454798</v>
      </c>
      <c r="I8351" s="4">
        <v>129846190.93545826</v>
      </c>
      <c r="J8351" s="3">
        <v>0.4197854434652872</v>
      </c>
      <c r="K8351" s="3">
        <v>-0.2956682260671104</v>
      </c>
      <c r="L8351" t="s">
        <v>54</v>
      </c>
    </row>
    <row r="8352" spans="1:12" x14ac:dyDescent="0.25">
      <c r="A8352" t="s">
        <v>490</v>
      </c>
      <c r="B8352" t="s">
        <v>491</v>
      </c>
      <c r="C8352" t="s">
        <v>492</v>
      </c>
      <c r="D8352" t="s">
        <v>358</v>
      </c>
      <c r="E8352" t="s">
        <v>364</v>
      </c>
      <c r="F8352">
        <v>3</v>
      </c>
      <c r="G8352" t="s">
        <v>498</v>
      </c>
      <c r="H8352" s="4">
        <v>91454798</v>
      </c>
      <c r="I8352" s="4">
        <v>105341569</v>
      </c>
      <c r="J8352" s="3">
        <v>0.15184300117310412</v>
      </c>
      <c r="K8352" s="3">
        <v>-0.13182612649333142</v>
      </c>
      <c r="L8352" t="s">
        <v>54</v>
      </c>
    </row>
    <row r="8353" spans="1:12" x14ac:dyDescent="0.25">
      <c r="A8353" t="s">
        <v>490</v>
      </c>
      <c r="B8353" t="s">
        <v>491</v>
      </c>
      <c r="C8353" t="s">
        <v>492</v>
      </c>
      <c r="D8353" t="s">
        <v>358</v>
      </c>
      <c r="E8353" t="s">
        <v>364</v>
      </c>
      <c r="F8353">
        <v>3</v>
      </c>
      <c r="G8353" t="s">
        <v>499</v>
      </c>
      <c r="H8353" s="4">
        <v>91454798</v>
      </c>
      <c r="I8353" s="4">
        <v>102719676</v>
      </c>
      <c r="J8353" s="3">
        <v>0.12317427020067334</v>
      </c>
      <c r="K8353" s="3">
        <v>-0.10966621428985036</v>
      </c>
      <c r="L8353" t="s">
        <v>54</v>
      </c>
    </row>
    <row r="8354" spans="1:12" x14ac:dyDescent="0.25">
      <c r="A8354" t="s">
        <v>490</v>
      </c>
      <c r="B8354" t="s">
        <v>491</v>
      </c>
      <c r="C8354" t="s">
        <v>492</v>
      </c>
      <c r="D8354" t="s">
        <v>360</v>
      </c>
      <c r="E8354" t="s">
        <v>362</v>
      </c>
      <c r="F8354">
        <v>1</v>
      </c>
      <c r="G8354" t="s">
        <v>488</v>
      </c>
      <c r="H8354" s="4">
        <v>91025864</v>
      </c>
      <c r="I8354" s="4">
        <v>124755801.75428803</v>
      </c>
      <c r="J8354" s="3">
        <v>0.3705533380522269</v>
      </c>
      <c r="K8354" s="3">
        <v>-0.2703676885562453</v>
      </c>
      <c r="L8354" t="s">
        <v>54</v>
      </c>
    </row>
    <row r="8355" spans="1:12" x14ac:dyDescent="0.25">
      <c r="A8355" t="s">
        <v>490</v>
      </c>
      <c r="B8355" t="s">
        <v>491</v>
      </c>
      <c r="C8355" t="s">
        <v>492</v>
      </c>
      <c r="D8355" t="s">
        <v>360</v>
      </c>
      <c r="E8355" t="s">
        <v>362</v>
      </c>
      <c r="F8355">
        <v>1</v>
      </c>
      <c r="G8355" t="s">
        <v>498</v>
      </c>
      <c r="H8355" s="4">
        <v>91025864</v>
      </c>
      <c r="I8355" s="4">
        <v>103070679</v>
      </c>
      <c r="J8355" s="3">
        <v>0.1323229955828818</v>
      </c>
      <c r="K8355" s="3">
        <v>-0.11685976183391593</v>
      </c>
      <c r="L8355" t="s">
        <v>54</v>
      </c>
    </row>
    <row r="8356" spans="1:12" x14ac:dyDescent="0.25">
      <c r="A8356" t="s">
        <v>490</v>
      </c>
      <c r="B8356" t="s">
        <v>491</v>
      </c>
      <c r="C8356" t="s">
        <v>492</v>
      </c>
      <c r="D8356" t="s">
        <v>360</v>
      </c>
      <c r="E8356" t="s">
        <v>362</v>
      </c>
      <c r="F8356">
        <v>1</v>
      </c>
      <c r="G8356" t="s">
        <v>499</v>
      </c>
      <c r="H8356" s="4">
        <v>91025864</v>
      </c>
      <c r="I8356" s="4">
        <v>99658771</v>
      </c>
      <c r="J8356" s="3">
        <v>0.0948401544422583</v>
      </c>
      <c r="K8356" s="3">
        <v>-0.08662465845580215</v>
      </c>
      <c r="L8356" t="s">
        <v>54</v>
      </c>
    </row>
    <row r="8357" spans="1:12" x14ac:dyDescent="0.25">
      <c r="A8357" t="s">
        <v>490</v>
      </c>
      <c r="B8357" t="s">
        <v>491</v>
      </c>
      <c r="C8357" t="s">
        <v>492</v>
      </c>
      <c r="D8357" t="s">
        <v>360</v>
      </c>
      <c r="E8357" t="s">
        <v>364</v>
      </c>
      <c r="F8357">
        <v>2</v>
      </c>
      <c r="G8357" t="s">
        <v>488</v>
      </c>
      <c r="H8357" s="4">
        <v>91454798</v>
      </c>
      <c r="I8357" s="4">
        <v>127504466.12124923</v>
      </c>
      <c r="J8357" s="3">
        <v>0.3941801732616503</v>
      </c>
      <c r="K8357" s="3">
        <v>-0.28273259139776424</v>
      </c>
      <c r="L8357" t="s">
        <v>54</v>
      </c>
    </row>
    <row r="8358" spans="1:12" x14ac:dyDescent="0.25">
      <c r="A8358" t="s">
        <v>490</v>
      </c>
      <c r="B8358" t="s">
        <v>491</v>
      </c>
      <c r="C8358" t="s">
        <v>492</v>
      </c>
      <c r="D8358" t="s">
        <v>360</v>
      </c>
      <c r="E8358" t="s">
        <v>364</v>
      </c>
      <c r="F8358">
        <v>2</v>
      </c>
      <c r="G8358" t="s">
        <v>498</v>
      </c>
      <c r="H8358" s="4">
        <v>91454798</v>
      </c>
      <c r="I8358" s="4">
        <v>105341569</v>
      </c>
      <c r="J8358" s="3">
        <v>0.15184300117310412</v>
      </c>
      <c r="K8358" s="3">
        <v>-0.13182612649333142</v>
      </c>
      <c r="L8358" t="s">
        <v>54</v>
      </c>
    </row>
    <row r="8359" spans="1:12" x14ac:dyDescent="0.25">
      <c r="A8359" t="s">
        <v>490</v>
      </c>
      <c r="B8359" t="s">
        <v>491</v>
      </c>
      <c r="C8359" t="s">
        <v>492</v>
      </c>
      <c r="D8359" t="s">
        <v>360</v>
      </c>
      <c r="E8359" t="s">
        <v>364</v>
      </c>
      <c r="F8359">
        <v>2</v>
      </c>
      <c r="G8359" t="s">
        <v>499</v>
      </c>
      <c r="H8359" s="4">
        <v>91454798</v>
      </c>
      <c r="I8359" s="4">
        <v>99658771</v>
      </c>
      <c r="J8359" s="3">
        <v>0.08970522246410735</v>
      </c>
      <c r="K8359" s="3">
        <v>-0.08232063186892</v>
      </c>
      <c r="L8359" t="s">
        <v>54</v>
      </c>
    </row>
    <row r="8360" spans="1:12" x14ac:dyDescent="0.25">
      <c r="A8360" t="s">
        <v>490</v>
      </c>
      <c r="B8360" t="s">
        <v>491</v>
      </c>
      <c r="C8360" t="s">
        <v>492</v>
      </c>
      <c r="D8360" t="s">
        <v>360</v>
      </c>
      <c r="E8360" t="s">
        <v>366</v>
      </c>
      <c r="F8360">
        <v>3</v>
      </c>
      <c r="G8360" t="s">
        <v>488</v>
      </c>
      <c r="H8360" s="4">
        <v>94543571</v>
      </c>
      <c r="I8360" s="4">
        <v>127583480.43276376</v>
      </c>
      <c r="J8360" s="3">
        <v>0.3494675426715557</v>
      </c>
      <c r="K8360" s="3">
        <v>-0.2589669863268523</v>
      </c>
      <c r="L8360" t="s">
        <v>54</v>
      </c>
    </row>
    <row r="8361" spans="1:12" x14ac:dyDescent="0.25">
      <c r="A8361" t="s">
        <v>490</v>
      </c>
      <c r="B8361" t="s">
        <v>491</v>
      </c>
      <c r="C8361" t="s">
        <v>492</v>
      </c>
      <c r="D8361" t="s">
        <v>360</v>
      </c>
      <c r="E8361" t="s">
        <v>366</v>
      </c>
      <c r="F8361">
        <v>3</v>
      </c>
      <c r="G8361" t="s">
        <v>498</v>
      </c>
      <c r="H8361" s="4">
        <v>94543571</v>
      </c>
      <c r="I8361" s="4">
        <v>105406849</v>
      </c>
      <c r="J8361" s="3">
        <v>0.11490234486700317</v>
      </c>
      <c r="K8361" s="3">
        <v>-0.10306045672610895</v>
      </c>
      <c r="L8361" t="s">
        <v>54</v>
      </c>
    </row>
    <row r="8362" spans="1:12" x14ac:dyDescent="0.25">
      <c r="A8362" t="s">
        <v>490</v>
      </c>
      <c r="B8362" t="s">
        <v>491</v>
      </c>
      <c r="C8362" t="s">
        <v>492</v>
      </c>
      <c r="D8362" t="s">
        <v>360</v>
      </c>
      <c r="E8362" t="s">
        <v>366</v>
      </c>
      <c r="F8362">
        <v>3</v>
      </c>
      <c r="G8362" t="s">
        <v>499</v>
      </c>
      <c r="H8362" s="4">
        <v>94543571</v>
      </c>
      <c r="I8362" s="4">
        <v>99658771</v>
      </c>
      <c r="J8362" s="3">
        <v>0.054104154792291484</v>
      </c>
      <c r="K8362" s="3">
        <v>-0.05132714309711887</v>
      </c>
      <c r="L8362" t="s">
        <v>54</v>
      </c>
    </row>
    <row r="8363" spans="1:12" x14ac:dyDescent="0.25">
      <c r="A8363" t="s">
        <v>490</v>
      </c>
      <c r="B8363" t="s">
        <v>491</v>
      </c>
      <c r="C8363" t="s">
        <v>492</v>
      </c>
      <c r="D8363" t="s">
        <v>362</v>
      </c>
      <c r="E8363" t="s">
        <v>364</v>
      </c>
      <c r="F8363">
        <v>1</v>
      </c>
      <c r="G8363" t="s">
        <v>488</v>
      </c>
      <c r="H8363" s="4">
        <v>91454798</v>
      </c>
      <c r="I8363" s="4">
        <v>123067414.80764599</v>
      </c>
      <c r="J8363" s="3">
        <v>0.34566384158047114</v>
      </c>
      <c r="K8363" s="3">
        <v>-0.25687235615582255</v>
      </c>
      <c r="L8363" t="s">
        <v>54</v>
      </c>
    </row>
    <row r="8364" spans="1:12" x14ac:dyDescent="0.25">
      <c r="A8364" t="s">
        <v>490</v>
      </c>
      <c r="B8364" t="s">
        <v>491</v>
      </c>
      <c r="C8364" t="s">
        <v>492</v>
      </c>
      <c r="D8364" t="s">
        <v>362</v>
      </c>
      <c r="E8364" t="s">
        <v>364</v>
      </c>
      <c r="F8364">
        <v>1</v>
      </c>
      <c r="G8364" t="s">
        <v>498</v>
      </c>
      <c r="H8364" s="4">
        <v>91454798</v>
      </c>
      <c r="I8364" s="4">
        <v>105341569</v>
      </c>
      <c r="J8364" s="3">
        <v>0.15184300117310412</v>
      </c>
      <c r="K8364" s="3">
        <v>-0.13182612649333142</v>
      </c>
      <c r="L8364" t="s">
        <v>54</v>
      </c>
    </row>
    <row r="8365" spans="1:12" x14ac:dyDescent="0.25">
      <c r="A8365" t="s">
        <v>490</v>
      </c>
      <c r="B8365" t="s">
        <v>491</v>
      </c>
      <c r="C8365" t="s">
        <v>492</v>
      </c>
      <c r="D8365" t="s">
        <v>362</v>
      </c>
      <c r="E8365" t="s">
        <v>364</v>
      </c>
      <c r="F8365">
        <v>1</v>
      </c>
      <c r="G8365" t="s">
        <v>499</v>
      </c>
      <c r="H8365" s="4">
        <v>91454798</v>
      </c>
      <c r="I8365" s="4">
        <v>91025864</v>
      </c>
      <c r="J8365" s="3">
        <v>0.004690120249349848</v>
      </c>
      <c r="K8365" s="3">
        <v>0.004712221133105641</v>
      </c>
      <c r="L8365" t="s">
        <v>54</v>
      </c>
    </row>
    <row r="8366" spans="1:12" x14ac:dyDescent="0.25">
      <c r="A8366" t="s">
        <v>490</v>
      </c>
      <c r="B8366" t="s">
        <v>491</v>
      </c>
      <c r="C8366" t="s">
        <v>492</v>
      </c>
      <c r="D8366" t="s">
        <v>362</v>
      </c>
      <c r="E8366" t="s">
        <v>366</v>
      </c>
      <c r="F8366">
        <v>2</v>
      </c>
      <c r="G8366" t="s">
        <v>488</v>
      </c>
      <c r="H8366" s="4">
        <v>94543571</v>
      </c>
      <c r="I8366" s="4">
        <v>123143679.48563501</v>
      </c>
      <c r="J8366" s="3">
        <v>0.30250717402704214</v>
      </c>
      <c r="K8366" s="3">
        <v>-0.23224991006518755</v>
      </c>
      <c r="L8366" t="s">
        <v>54</v>
      </c>
    </row>
    <row r="8367" spans="1:12" x14ac:dyDescent="0.25">
      <c r="A8367" t="s">
        <v>490</v>
      </c>
      <c r="B8367" t="s">
        <v>491</v>
      </c>
      <c r="C8367" t="s">
        <v>492</v>
      </c>
      <c r="D8367" t="s">
        <v>362</v>
      </c>
      <c r="E8367" t="s">
        <v>366</v>
      </c>
      <c r="F8367">
        <v>2</v>
      </c>
      <c r="G8367" t="s">
        <v>498</v>
      </c>
      <c r="H8367" s="4">
        <v>94543571</v>
      </c>
      <c r="I8367" s="4">
        <v>105406849</v>
      </c>
      <c r="J8367" s="3">
        <v>0.11490234486700317</v>
      </c>
      <c r="K8367" s="3">
        <v>-0.10306045672610895</v>
      </c>
      <c r="L8367" t="s">
        <v>54</v>
      </c>
    </row>
    <row r="8368" spans="1:12" x14ac:dyDescent="0.25">
      <c r="A8368" t="s">
        <v>490</v>
      </c>
      <c r="B8368" t="s">
        <v>491</v>
      </c>
      <c r="C8368" t="s">
        <v>492</v>
      </c>
      <c r="D8368" t="s">
        <v>362</v>
      </c>
      <c r="E8368" t="s">
        <v>366</v>
      </c>
      <c r="F8368">
        <v>2</v>
      </c>
      <c r="G8368" t="s">
        <v>499</v>
      </c>
      <c r="H8368" s="4">
        <v>94543571</v>
      </c>
      <c r="I8368" s="4">
        <v>91025864</v>
      </c>
      <c r="J8368" s="3">
        <v>0.03720725759343277</v>
      </c>
      <c r="K8368" s="3">
        <v>0.03864513716672879</v>
      </c>
      <c r="L8368" t="s">
        <v>54</v>
      </c>
    </row>
    <row r="8369" spans="1:12" x14ac:dyDescent="0.25">
      <c r="A8369" t="s">
        <v>490</v>
      </c>
      <c r="B8369" t="s">
        <v>491</v>
      </c>
      <c r="C8369" t="s">
        <v>492</v>
      </c>
      <c r="D8369" t="s">
        <v>362</v>
      </c>
      <c r="E8369" t="s">
        <v>368</v>
      </c>
      <c r="F8369">
        <v>3</v>
      </c>
      <c r="G8369" t="s">
        <v>488</v>
      </c>
      <c r="H8369" s="4">
        <v>90221930</v>
      </c>
      <c r="I8369" s="4">
        <v>102923796.44516192</v>
      </c>
      <c r="J8369" s="3">
        <v>0.14078468998792115</v>
      </c>
      <c r="K8369" s="3">
        <v>-0.12341039568948968</v>
      </c>
      <c r="L8369" t="s">
        <v>54</v>
      </c>
    </row>
    <row r="8370" spans="1:12" x14ac:dyDescent="0.25">
      <c r="A8370" t="s">
        <v>490</v>
      </c>
      <c r="B8370" t="s">
        <v>491</v>
      </c>
      <c r="C8370" t="s">
        <v>492</v>
      </c>
      <c r="D8370" t="s">
        <v>362</v>
      </c>
      <c r="E8370" t="s">
        <v>368</v>
      </c>
      <c r="F8370">
        <v>3</v>
      </c>
      <c r="G8370" t="s">
        <v>498</v>
      </c>
      <c r="H8370" s="4">
        <v>90221930</v>
      </c>
      <c r="I8370" s="4">
        <v>88099309</v>
      </c>
      <c r="J8370" s="3">
        <v>0.02352666363931696</v>
      </c>
      <c r="K8370" s="3">
        <v>0.02409350338945337</v>
      </c>
      <c r="L8370" t="s">
        <v>54</v>
      </c>
    </row>
    <row r="8371" spans="1:12" x14ac:dyDescent="0.25">
      <c r="A8371" t="s">
        <v>490</v>
      </c>
      <c r="B8371" t="s">
        <v>491</v>
      </c>
      <c r="C8371" t="s">
        <v>492</v>
      </c>
      <c r="D8371" t="s">
        <v>362</v>
      </c>
      <c r="E8371" t="s">
        <v>368</v>
      </c>
      <c r="F8371">
        <v>3</v>
      </c>
      <c r="G8371" t="s">
        <v>499</v>
      </c>
      <c r="H8371" s="4">
        <v>90221930</v>
      </c>
      <c r="I8371" s="4">
        <v>91025864</v>
      </c>
      <c r="J8371" s="3">
        <v>0.00891062738294337</v>
      </c>
      <c r="K8371" s="3">
        <v>-0.008831929351420383</v>
      </c>
      <c r="L8371" t="s">
        <v>54</v>
      </c>
    </row>
    <row r="8372" spans="1:12" x14ac:dyDescent="0.25">
      <c r="A8372" t="s">
        <v>490</v>
      </c>
      <c r="B8372" t="s">
        <v>491</v>
      </c>
      <c r="C8372" t="s">
        <v>492</v>
      </c>
      <c r="D8372" t="s">
        <v>364</v>
      </c>
      <c r="E8372" t="s">
        <v>366</v>
      </c>
      <c r="F8372">
        <v>1</v>
      </c>
      <c r="G8372" t="s">
        <v>488</v>
      </c>
      <c r="H8372" s="4">
        <v>94543571</v>
      </c>
      <c r="I8372" s="4">
        <v>116956101.53242147</v>
      </c>
      <c r="J8372" s="3">
        <v>0.23706033414394162</v>
      </c>
      <c r="K8372" s="3">
        <v>-0.1916319904542003</v>
      </c>
      <c r="L8372" t="s">
        <v>54</v>
      </c>
    </row>
    <row r="8373" spans="1:12" x14ac:dyDescent="0.25">
      <c r="A8373" t="s">
        <v>490</v>
      </c>
      <c r="B8373" t="s">
        <v>491</v>
      </c>
      <c r="C8373" t="s">
        <v>492</v>
      </c>
      <c r="D8373" t="s">
        <v>364</v>
      </c>
      <c r="E8373" t="s">
        <v>366</v>
      </c>
      <c r="F8373">
        <v>1</v>
      </c>
      <c r="G8373" t="s">
        <v>498</v>
      </c>
      <c r="H8373" s="4">
        <v>94543571</v>
      </c>
      <c r="I8373" s="4">
        <v>105406849</v>
      </c>
      <c r="J8373" s="3">
        <v>0.11490234486700317</v>
      </c>
      <c r="K8373" s="3">
        <v>-0.10306045672610895</v>
      </c>
      <c r="L8373" t="s">
        <v>54</v>
      </c>
    </row>
    <row r="8374" spans="1:12" x14ac:dyDescent="0.25">
      <c r="A8374" t="s">
        <v>490</v>
      </c>
      <c r="B8374" t="s">
        <v>491</v>
      </c>
      <c r="C8374" t="s">
        <v>492</v>
      </c>
      <c r="D8374" t="s">
        <v>364</v>
      </c>
      <c r="E8374" t="s">
        <v>366</v>
      </c>
      <c r="F8374">
        <v>1</v>
      </c>
      <c r="G8374" t="s">
        <v>499</v>
      </c>
      <c r="H8374" s="4">
        <v>94543571</v>
      </c>
      <c r="I8374" s="4">
        <v>91454798</v>
      </c>
      <c r="J8374" s="3">
        <v>0.032670365285863805</v>
      </c>
      <c r="K8374" s="3">
        <v>0.033773766577014364</v>
      </c>
      <c r="L8374" t="s">
        <v>54</v>
      </c>
    </row>
    <row r="8375" spans="1:12" x14ac:dyDescent="0.25">
      <c r="A8375" t="s">
        <v>490</v>
      </c>
      <c r="B8375" t="s">
        <v>491</v>
      </c>
      <c r="C8375" t="s">
        <v>492</v>
      </c>
      <c r="D8375" t="s">
        <v>364</v>
      </c>
      <c r="E8375" t="s">
        <v>368</v>
      </c>
      <c r="F8375">
        <v>2</v>
      </c>
      <c r="G8375" t="s">
        <v>488</v>
      </c>
      <c r="H8375" s="4">
        <v>90221930</v>
      </c>
      <c r="I8375" s="4">
        <v>97752203.25901377</v>
      </c>
      <c r="J8375" s="3">
        <v>0.08346389019846696</v>
      </c>
      <c r="K8375" s="3">
        <v>-0.07703430723766733</v>
      </c>
      <c r="L8375" t="s">
        <v>54</v>
      </c>
    </row>
    <row r="8376" spans="1:12" x14ac:dyDescent="0.25">
      <c r="A8376" t="s">
        <v>490</v>
      </c>
      <c r="B8376" t="s">
        <v>491</v>
      </c>
      <c r="C8376" t="s">
        <v>492</v>
      </c>
      <c r="D8376" t="s">
        <v>364</v>
      </c>
      <c r="E8376" t="s">
        <v>368</v>
      </c>
      <c r="F8376">
        <v>2</v>
      </c>
      <c r="G8376" t="s">
        <v>498</v>
      </c>
      <c r="H8376" s="4">
        <v>90221930</v>
      </c>
      <c r="I8376" s="4">
        <v>88099309</v>
      </c>
      <c r="J8376" s="3">
        <v>0.02352666363931696</v>
      </c>
      <c r="K8376" s="3">
        <v>0.02409350338945337</v>
      </c>
      <c r="L8376" t="s">
        <v>54</v>
      </c>
    </row>
    <row r="8377" spans="1:12" x14ac:dyDescent="0.25">
      <c r="A8377" t="s">
        <v>490</v>
      </c>
      <c r="B8377" t="s">
        <v>491</v>
      </c>
      <c r="C8377" t="s">
        <v>492</v>
      </c>
      <c r="D8377" t="s">
        <v>364</v>
      </c>
      <c r="E8377" t="s">
        <v>368</v>
      </c>
      <c r="F8377">
        <v>2</v>
      </c>
      <c r="G8377" t="s">
        <v>499</v>
      </c>
      <c r="H8377" s="4">
        <v>90221930</v>
      </c>
      <c r="I8377" s="4">
        <v>91454798</v>
      </c>
      <c r="J8377" s="3">
        <v>0.013664837362712148</v>
      </c>
      <c r="K8377" s="3">
        <v>-0.013480626790078307</v>
      </c>
      <c r="L8377" t="s">
        <v>54</v>
      </c>
    </row>
    <row r="8378" spans="1:12" x14ac:dyDescent="0.25">
      <c r="A8378" t="s">
        <v>490</v>
      </c>
      <c r="B8378" t="s">
        <v>491</v>
      </c>
      <c r="C8378" t="s">
        <v>492</v>
      </c>
      <c r="D8378" t="s">
        <v>364</v>
      </c>
      <c r="E8378" t="s">
        <v>370</v>
      </c>
      <c r="F8378">
        <v>3</v>
      </c>
      <c r="G8378" t="s">
        <v>488</v>
      </c>
      <c r="H8378" s="4">
        <v>87762115</v>
      </c>
      <c r="I8378" s="4">
        <v>108168024.0952913</v>
      </c>
      <c r="J8378" s="3">
        <v>0.23251387110818036</v>
      </c>
      <c r="K8378" s="3">
        <v>-0.18865010492670725</v>
      </c>
      <c r="L8378" t="s">
        <v>54</v>
      </c>
    </row>
    <row r="8379" spans="1:12" x14ac:dyDescent="0.25">
      <c r="A8379" t="s">
        <v>490</v>
      </c>
      <c r="B8379" t="s">
        <v>491</v>
      </c>
      <c r="C8379" t="s">
        <v>492</v>
      </c>
      <c r="D8379" t="s">
        <v>364</v>
      </c>
      <c r="E8379" t="s">
        <v>370</v>
      </c>
      <c r="F8379">
        <v>3</v>
      </c>
      <c r="G8379" t="s">
        <v>498</v>
      </c>
      <c r="H8379" s="4">
        <v>87762115</v>
      </c>
      <c r="I8379" s="4">
        <v>97486582</v>
      </c>
      <c r="J8379" s="3">
        <v>0.11080483873935809</v>
      </c>
      <c r="K8379" s="3">
        <v>-0.09975185097780943</v>
      </c>
      <c r="L8379" t="s">
        <v>54</v>
      </c>
    </row>
    <row r="8380" spans="1:12" x14ac:dyDescent="0.25">
      <c r="A8380" t="s">
        <v>490</v>
      </c>
      <c r="B8380" t="s">
        <v>491</v>
      </c>
      <c r="C8380" t="s">
        <v>492</v>
      </c>
      <c r="D8380" t="s">
        <v>364</v>
      </c>
      <c r="E8380" t="s">
        <v>370</v>
      </c>
      <c r="F8380">
        <v>3</v>
      </c>
      <c r="G8380" t="s">
        <v>499</v>
      </c>
      <c r="H8380" s="4">
        <v>87762115</v>
      </c>
      <c r="I8380" s="4">
        <v>91454798</v>
      </c>
      <c r="J8380" s="3">
        <v>0.042076048417930674</v>
      </c>
      <c r="K8380" s="3">
        <v>-0.04037713800428491</v>
      </c>
      <c r="L8380" t="s">
        <v>54</v>
      </c>
    </row>
    <row r="8381" spans="1:12" x14ac:dyDescent="0.25">
      <c r="A8381" t="s">
        <v>490</v>
      </c>
      <c r="B8381" t="s">
        <v>491</v>
      </c>
      <c r="C8381" t="s">
        <v>492</v>
      </c>
      <c r="D8381" t="s">
        <v>366</v>
      </c>
      <c r="E8381" t="s">
        <v>368</v>
      </c>
      <c r="F8381">
        <v>1</v>
      </c>
      <c r="G8381" t="s">
        <v>488</v>
      </c>
      <c r="H8381" s="4">
        <v>90221930</v>
      </c>
      <c r="I8381" s="4">
        <v>93698107.2776515</v>
      </c>
      <c r="J8381" s="3">
        <v>0.03852918328893545</v>
      </c>
      <c r="K8381" s="3">
        <v>-0.037099759842007266</v>
      </c>
      <c r="L8381" t="s">
        <v>54</v>
      </c>
    </row>
    <row r="8382" spans="1:12" x14ac:dyDescent="0.25">
      <c r="A8382" t="s">
        <v>490</v>
      </c>
      <c r="B8382" t="s">
        <v>491</v>
      </c>
      <c r="C8382" t="s">
        <v>492</v>
      </c>
      <c r="D8382" t="s">
        <v>366</v>
      </c>
      <c r="E8382" t="s">
        <v>368</v>
      </c>
      <c r="F8382">
        <v>1</v>
      </c>
      <c r="G8382" t="s">
        <v>498</v>
      </c>
      <c r="H8382" s="4">
        <v>90221930</v>
      </c>
      <c r="I8382" s="4">
        <v>88099309</v>
      </c>
      <c r="J8382" s="3">
        <v>0.02352666363931696</v>
      </c>
      <c r="K8382" s="3">
        <v>0.02409350338945337</v>
      </c>
      <c r="L8382" t="s">
        <v>54</v>
      </c>
    </row>
    <row r="8383" spans="1:12" x14ac:dyDescent="0.25">
      <c r="A8383" t="s">
        <v>490</v>
      </c>
      <c r="B8383" t="s">
        <v>491</v>
      </c>
      <c r="C8383" t="s">
        <v>492</v>
      </c>
      <c r="D8383" t="s">
        <v>366</v>
      </c>
      <c r="E8383" t="s">
        <v>368</v>
      </c>
      <c r="F8383">
        <v>1</v>
      </c>
      <c r="G8383" t="s">
        <v>499</v>
      </c>
      <c r="H8383" s="4">
        <v>90221930</v>
      </c>
      <c r="I8383" s="4">
        <v>94543571</v>
      </c>
      <c r="J8383" s="3">
        <v>0.047900116967127614</v>
      </c>
      <c r="K8383" s="3">
        <v>-0.045710575074427856</v>
      </c>
      <c r="L8383" t="s">
        <v>54</v>
      </c>
    </row>
    <row r="8384" spans="1:12" x14ac:dyDescent="0.25">
      <c r="A8384" t="s">
        <v>490</v>
      </c>
      <c r="B8384" t="s">
        <v>491</v>
      </c>
      <c r="C8384" t="s">
        <v>492</v>
      </c>
      <c r="D8384" t="s">
        <v>366</v>
      </c>
      <c r="E8384" t="s">
        <v>370</v>
      </c>
      <c r="F8384">
        <v>2</v>
      </c>
      <c r="G8384" t="s">
        <v>488</v>
      </c>
      <c r="H8384" s="4">
        <v>87762115</v>
      </c>
      <c r="I8384" s="4">
        <v>103681950.76725936</v>
      </c>
      <c r="J8384" s="3">
        <v>0.18139758558985686</v>
      </c>
      <c r="K8384" s="3">
        <v>-0.15354490969209772</v>
      </c>
      <c r="L8384" t="s">
        <v>54</v>
      </c>
    </row>
    <row r="8385" spans="1:12" x14ac:dyDescent="0.25">
      <c r="A8385" t="s">
        <v>490</v>
      </c>
      <c r="B8385" t="s">
        <v>491</v>
      </c>
      <c r="C8385" t="s">
        <v>492</v>
      </c>
      <c r="D8385" t="s">
        <v>366</v>
      </c>
      <c r="E8385" t="s">
        <v>370</v>
      </c>
      <c r="F8385">
        <v>2</v>
      </c>
      <c r="G8385" t="s">
        <v>498</v>
      </c>
      <c r="H8385" s="4">
        <v>87762115</v>
      </c>
      <c r="I8385" s="4">
        <v>97486582</v>
      </c>
      <c r="J8385" s="3">
        <v>0.11080483873935809</v>
      </c>
      <c r="K8385" s="3">
        <v>-0.09975185097780943</v>
      </c>
      <c r="L8385" t="s">
        <v>54</v>
      </c>
    </row>
    <row r="8386" spans="1:12" x14ac:dyDescent="0.25">
      <c r="A8386" t="s">
        <v>490</v>
      </c>
      <c r="B8386" t="s">
        <v>491</v>
      </c>
      <c r="C8386" t="s">
        <v>492</v>
      </c>
      <c r="D8386" t="s">
        <v>366</v>
      </c>
      <c r="E8386" t="s">
        <v>370</v>
      </c>
      <c r="F8386">
        <v>2</v>
      </c>
      <c r="G8386" t="s">
        <v>499</v>
      </c>
      <c r="H8386" s="4">
        <v>87762115</v>
      </c>
      <c r="I8386" s="4">
        <v>94543571</v>
      </c>
      <c r="J8386" s="3">
        <v>0.07727088163269538</v>
      </c>
      <c r="K8386" s="3">
        <v>-0.071728367442351</v>
      </c>
      <c r="L8386" t="s">
        <v>54</v>
      </c>
    </row>
    <row r="8387" spans="1:12" x14ac:dyDescent="0.25">
      <c r="A8387" t="s">
        <v>490</v>
      </c>
      <c r="B8387" t="s">
        <v>491</v>
      </c>
      <c r="C8387" t="s">
        <v>492</v>
      </c>
      <c r="D8387" t="s">
        <v>366</v>
      </c>
      <c r="E8387" t="s">
        <v>372</v>
      </c>
      <c r="F8387">
        <v>3</v>
      </c>
      <c r="G8387" t="s">
        <v>488</v>
      </c>
      <c r="H8387" s="4">
        <v>66715542</v>
      </c>
      <c r="I8387" s="4">
        <v>84903117.0375801</v>
      </c>
      <c r="J8387" s="3">
        <v>0.2726137642347281</v>
      </c>
      <c r="K8387" s="3">
        <v>-0.2142156339151819</v>
      </c>
      <c r="L8387" t="s">
        <v>54</v>
      </c>
    </row>
    <row r="8388" spans="1:12" x14ac:dyDescent="0.25">
      <c r="A8388" t="s">
        <v>490</v>
      </c>
      <c r="B8388" t="s">
        <v>491</v>
      </c>
      <c r="C8388" t="s">
        <v>492</v>
      </c>
      <c r="D8388" t="s">
        <v>366</v>
      </c>
      <c r="E8388" t="s">
        <v>372</v>
      </c>
      <c r="F8388">
        <v>3</v>
      </c>
      <c r="G8388" t="s">
        <v>498</v>
      </c>
      <c r="H8388" s="4">
        <v>66715542</v>
      </c>
      <c r="I8388" s="4">
        <v>79829851</v>
      </c>
      <c r="J8388" s="3">
        <v>0.19657052325228805</v>
      </c>
      <c r="K8388" s="3">
        <v>-0.16427825977027063</v>
      </c>
      <c r="L8388" t="s">
        <v>54</v>
      </c>
    </row>
    <row r="8389" spans="1:12" x14ac:dyDescent="0.25">
      <c r="A8389" t="s">
        <v>490</v>
      </c>
      <c r="B8389" t="s">
        <v>491</v>
      </c>
      <c r="C8389" t="s">
        <v>492</v>
      </c>
      <c r="D8389" t="s">
        <v>366</v>
      </c>
      <c r="E8389" t="s">
        <v>372</v>
      </c>
      <c r="F8389">
        <v>3</v>
      </c>
      <c r="G8389" t="s">
        <v>499</v>
      </c>
      <c r="H8389" s="4">
        <v>66715542</v>
      </c>
      <c r="I8389" s="4">
        <v>94543571</v>
      </c>
      <c r="J8389" s="3">
        <v>0.41711463574709473</v>
      </c>
      <c r="K8389" s="3">
        <v>-0.29434078600648583</v>
      </c>
      <c r="L8389" t="s">
        <v>54</v>
      </c>
    </row>
    <row r="8390" spans="1:12" x14ac:dyDescent="0.25">
      <c r="A8390" t="s">
        <v>490</v>
      </c>
      <c r="B8390" t="s">
        <v>491</v>
      </c>
      <c r="C8390" t="s">
        <v>492</v>
      </c>
      <c r="D8390" t="s">
        <v>368</v>
      </c>
      <c r="E8390" t="s">
        <v>370</v>
      </c>
      <c r="F8390">
        <v>1</v>
      </c>
      <c r="G8390" t="s">
        <v>488</v>
      </c>
      <c r="H8390" s="4">
        <v>87762115</v>
      </c>
      <c r="I8390" s="4">
        <v>102400595.42266083</v>
      </c>
      <c r="J8390" s="3">
        <v>0.16679726124035216</v>
      </c>
      <c r="K8390" s="3">
        <v>-0.14295307915193423</v>
      </c>
      <c r="L8390" t="s">
        <v>54</v>
      </c>
    </row>
    <row r="8391" spans="1:12" x14ac:dyDescent="0.25">
      <c r="A8391" t="s">
        <v>490</v>
      </c>
      <c r="B8391" t="s">
        <v>491</v>
      </c>
      <c r="C8391" t="s">
        <v>492</v>
      </c>
      <c r="D8391" t="s">
        <v>368</v>
      </c>
      <c r="E8391" t="s">
        <v>370</v>
      </c>
      <c r="F8391">
        <v>1</v>
      </c>
      <c r="G8391" t="s">
        <v>498</v>
      </c>
      <c r="H8391" s="4">
        <v>87762115</v>
      </c>
      <c r="I8391" s="4">
        <v>97486582</v>
      </c>
      <c r="J8391" s="3">
        <v>0.11080483873935809</v>
      </c>
      <c r="K8391" s="3">
        <v>-0.09975185097780943</v>
      </c>
      <c r="L8391" t="s">
        <v>54</v>
      </c>
    </row>
    <row r="8392" spans="1:12" x14ac:dyDescent="0.25">
      <c r="A8392" t="s">
        <v>490</v>
      </c>
      <c r="B8392" t="s">
        <v>491</v>
      </c>
      <c r="C8392" t="s">
        <v>492</v>
      </c>
      <c r="D8392" t="s">
        <v>368</v>
      </c>
      <c r="E8392" t="s">
        <v>370</v>
      </c>
      <c r="F8392">
        <v>1</v>
      </c>
      <c r="G8392" t="s">
        <v>499</v>
      </c>
      <c r="H8392" s="4">
        <v>87762115</v>
      </c>
      <c r="I8392" s="4">
        <v>90221930</v>
      </c>
      <c r="J8392" s="3">
        <v>0.02802821012232898</v>
      </c>
      <c r="K8392" s="3">
        <v>-0.027264047665573103</v>
      </c>
      <c r="L8392" t="s">
        <v>54</v>
      </c>
    </row>
    <row r="8393" spans="1:12" x14ac:dyDescent="0.25">
      <c r="A8393" t="s">
        <v>490</v>
      </c>
      <c r="B8393" t="s">
        <v>491</v>
      </c>
      <c r="C8393" t="s">
        <v>492</v>
      </c>
      <c r="D8393" t="s">
        <v>368</v>
      </c>
      <c r="E8393" t="s">
        <v>372</v>
      </c>
      <c r="F8393">
        <v>2</v>
      </c>
      <c r="G8393" t="s">
        <v>488</v>
      </c>
      <c r="H8393" s="4">
        <v>66715542</v>
      </c>
      <c r="I8393" s="4">
        <v>83853840.26390725</v>
      </c>
      <c r="J8393" s="3">
        <v>0.2568861430205761</v>
      </c>
      <c r="K8393" s="3">
        <v>-0.20438298603819577</v>
      </c>
      <c r="L8393" t="s">
        <v>54</v>
      </c>
    </row>
    <row r="8394" spans="1:12" x14ac:dyDescent="0.25">
      <c r="A8394" t="s">
        <v>490</v>
      </c>
      <c r="B8394" t="s">
        <v>491</v>
      </c>
      <c r="C8394" t="s">
        <v>492</v>
      </c>
      <c r="D8394" t="s">
        <v>368</v>
      </c>
      <c r="E8394" t="s">
        <v>372</v>
      </c>
      <c r="F8394">
        <v>2</v>
      </c>
      <c r="G8394" t="s">
        <v>498</v>
      </c>
      <c r="H8394" s="4">
        <v>66715542</v>
      </c>
      <c r="I8394" s="4">
        <v>79829851</v>
      </c>
      <c r="J8394" s="3">
        <v>0.19657052325228805</v>
      </c>
      <c r="K8394" s="3">
        <v>-0.16427825977027063</v>
      </c>
      <c r="L8394" t="s">
        <v>54</v>
      </c>
    </row>
    <row r="8395" spans="1:12" x14ac:dyDescent="0.25">
      <c r="A8395" t="s">
        <v>490</v>
      </c>
      <c r="B8395" t="s">
        <v>491</v>
      </c>
      <c r="C8395" t="s">
        <v>492</v>
      </c>
      <c r="D8395" t="s">
        <v>368</v>
      </c>
      <c r="E8395" t="s">
        <v>372</v>
      </c>
      <c r="F8395">
        <v>2</v>
      </c>
      <c r="G8395" t="s">
        <v>499</v>
      </c>
      <c r="H8395" s="4">
        <v>66715542</v>
      </c>
      <c r="I8395" s="4">
        <v>90221930</v>
      </c>
      <c r="J8395" s="3">
        <v>0.3523375108007067</v>
      </c>
      <c r="K8395" s="3">
        <v>-0.2605396271172652</v>
      </c>
      <c r="L8395" t="s">
        <v>54</v>
      </c>
    </row>
    <row r="8396" spans="1:12" x14ac:dyDescent="0.25">
      <c r="A8396" t="s">
        <v>490</v>
      </c>
      <c r="B8396" t="s">
        <v>491</v>
      </c>
      <c r="C8396" t="s">
        <v>492</v>
      </c>
      <c r="D8396" t="s">
        <v>368</v>
      </c>
      <c r="E8396" t="s">
        <v>374</v>
      </c>
      <c r="F8396">
        <v>3</v>
      </c>
      <c r="G8396" t="s">
        <v>488</v>
      </c>
      <c r="H8396" s="4">
        <v>65436185</v>
      </c>
      <c r="I8396" s="4">
        <v>76422632.47393708</v>
      </c>
      <c r="J8396" s="3">
        <v>0.1678955989554874</v>
      </c>
      <c r="K8396" s="3">
        <v>-0.14375908180974872</v>
      </c>
      <c r="L8396" t="s">
        <v>54</v>
      </c>
    </row>
    <row r="8397" spans="1:12" x14ac:dyDescent="0.25">
      <c r="A8397" t="s">
        <v>490</v>
      </c>
      <c r="B8397" t="s">
        <v>491</v>
      </c>
      <c r="C8397" t="s">
        <v>492</v>
      </c>
      <c r="D8397" t="s">
        <v>368</v>
      </c>
      <c r="E8397" t="s">
        <v>374</v>
      </c>
      <c r="F8397">
        <v>3</v>
      </c>
      <c r="G8397" t="s">
        <v>498</v>
      </c>
      <c r="H8397" s="4">
        <v>65436185</v>
      </c>
      <c r="I8397" s="4">
        <v>72755253</v>
      </c>
      <c r="J8397" s="3">
        <v>0.11185046927781624</v>
      </c>
      <c r="K8397" s="3">
        <v>-0.10059848187181755</v>
      </c>
      <c r="L8397" t="s">
        <v>54</v>
      </c>
    </row>
    <row r="8398" spans="1:12" x14ac:dyDescent="0.25">
      <c r="A8398" t="s">
        <v>490</v>
      </c>
      <c r="B8398" t="s">
        <v>491</v>
      </c>
      <c r="C8398" t="s">
        <v>492</v>
      </c>
      <c r="D8398" t="s">
        <v>368</v>
      </c>
      <c r="E8398" t="s">
        <v>374</v>
      </c>
      <c r="F8398">
        <v>3</v>
      </c>
      <c r="G8398" t="s">
        <v>499</v>
      </c>
      <c r="H8398" s="4">
        <v>65436185</v>
      </c>
      <c r="I8398" s="4">
        <v>90221930</v>
      </c>
      <c r="J8398" s="3">
        <v>0.3787773538448184</v>
      </c>
      <c r="K8398" s="3">
        <v>-0.2747197383163938</v>
      </c>
      <c r="L8398" t="s">
        <v>54</v>
      </c>
    </row>
    <row r="8399" spans="1:12" x14ac:dyDescent="0.25">
      <c r="A8399" t="s">
        <v>490</v>
      </c>
      <c r="B8399" t="s">
        <v>491</v>
      </c>
      <c r="C8399" t="s">
        <v>492</v>
      </c>
      <c r="D8399" t="s">
        <v>370</v>
      </c>
      <c r="E8399" t="s">
        <v>372</v>
      </c>
      <c r="F8399">
        <v>1</v>
      </c>
      <c r="G8399" t="s">
        <v>488</v>
      </c>
      <c r="H8399" s="4">
        <v>66715542</v>
      </c>
      <c r="I8399" s="4">
        <v>80682776.71082672</v>
      </c>
      <c r="J8399" s="3">
        <v>0.2093550362047081</v>
      </c>
      <c r="K8399" s="3">
        <v>-0.17311296512372606</v>
      </c>
      <c r="L8399" t="s">
        <v>54</v>
      </c>
    </row>
    <row r="8400" spans="1:12" x14ac:dyDescent="0.25">
      <c r="A8400" t="s">
        <v>490</v>
      </c>
      <c r="B8400" t="s">
        <v>491</v>
      </c>
      <c r="C8400" t="s">
        <v>492</v>
      </c>
      <c r="D8400" t="s">
        <v>370</v>
      </c>
      <c r="E8400" t="s">
        <v>372</v>
      </c>
      <c r="F8400">
        <v>1</v>
      </c>
      <c r="G8400" t="s">
        <v>498</v>
      </c>
      <c r="H8400" s="4">
        <v>66715542</v>
      </c>
      <c r="I8400" s="4">
        <v>79829851</v>
      </c>
      <c r="J8400" s="3">
        <v>0.19657052325228805</v>
      </c>
      <c r="K8400" s="3">
        <v>-0.16427825977027063</v>
      </c>
      <c r="L8400" t="s">
        <v>54</v>
      </c>
    </row>
    <row r="8401" spans="1:12" x14ac:dyDescent="0.25">
      <c r="A8401" t="s">
        <v>490</v>
      </c>
      <c r="B8401" t="s">
        <v>491</v>
      </c>
      <c r="C8401" t="s">
        <v>492</v>
      </c>
      <c r="D8401" t="s">
        <v>370</v>
      </c>
      <c r="E8401" t="s">
        <v>372</v>
      </c>
      <c r="F8401">
        <v>1</v>
      </c>
      <c r="G8401" t="s">
        <v>499</v>
      </c>
      <c r="H8401" s="4">
        <v>66715542</v>
      </c>
      <c r="I8401" s="4">
        <v>87762115</v>
      </c>
      <c r="J8401" s="3">
        <v>0.3154673164462937</v>
      </c>
      <c r="K8401" s="3">
        <v>-0.23981387640897214</v>
      </c>
      <c r="L8401" t="s">
        <v>54</v>
      </c>
    </row>
    <row r="8402" spans="1:12" x14ac:dyDescent="0.25">
      <c r="A8402" t="s">
        <v>490</v>
      </c>
      <c r="B8402" t="s">
        <v>491</v>
      </c>
      <c r="C8402" t="s">
        <v>492</v>
      </c>
      <c r="D8402" t="s">
        <v>370</v>
      </c>
      <c r="E8402" t="s">
        <v>374</v>
      </c>
      <c r="F8402">
        <v>2</v>
      </c>
      <c r="G8402" t="s">
        <v>488</v>
      </c>
      <c r="H8402" s="4">
        <v>65436185</v>
      </c>
      <c r="I8402" s="4">
        <v>73532591.61586943</v>
      </c>
      <c r="J8402" s="3">
        <v>0.12372980814620278</v>
      </c>
      <c r="K8402" s="3">
        <v>-0.11010636831848189</v>
      </c>
      <c r="L8402" t="s">
        <v>54</v>
      </c>
    </row>
    <row r="8403" spans="1:12" x14ac:dyDescent="0.25">
      <c r="A8403" t="s">
        <v>490</v>
      </c>
      <c r="B8403" t="s">
        <v>491</v>
      </c>
      <c r="C8403" t="s">
        <v>492</v>
      </c>
      <c r="D8403" t="s">
        <v>370</v>
      </c>
      <c r="E8403" t="s">
        <v>374</v>
      </c>
      <c r="F8403">
        <v>2</v>
      </c>
      <c r="G8403" t="s">
        <v>498</v>
      </c>
      <c r="H8403" s="4">
        <v>65436185</v>
      </c>
      <c r="I8403" s="4">
        <v>72755253</v>
      </c>
      <c r="J8403" s="3">
        <v>0.11185046927781624</v>
      </c>
      <c r="K8403" s="3">
        <v>-0.10059848187181755</v>
      </c>
      <c r="L8403" t="s">
        <v>54</v>
      </c>
    </row>
    <row r="8404" spans="1:12" x14ac:dyDescent="0.25">
      <c r="A8404" t="s">
        <v>490</v>
      </c>
      <c r="B8404" t="s">
        <v>491</v>
      </c>
      <c r="C8404" t="s">
        <v>492</v>
      </c>
      <c r="D8404" t="s">
        <v>370</v>
      </c>
      <c r="E8404" t="s">
        <v>374</v>
      </c>
      <c r="F8404">
        <v>2</v>
      </c>
      <c r="G8404" t="s">
        <v>499</v>
      </c>
      <c r="H8404" s="4">
        <v>65436185</v>
      </c>
      <c r="I8404" s="4">
        <v>87762115</v>
      </c>
      <c r="J8404" s="3">
        <v>0.3411863023493805</v>
      </c>
      <c r="K8404" s="3">
        <v>-0.25439143074434795</v>
      </c>
      <c r="L8404" t="s">
        <v>54</v>
      </c>
    </row>
    <row r="8405" spans="1:12" x14ac:dyDescent="0.25">
      <c r="A8405" t="s">
        <v>490</v>
      </c>
      <c r="B8405" t="s">
        <v>491</v>
      </c>
      <c r="C8405" t="s">
        <v>492</v>
      </c>
      <c r="D8405" t="s">
        <v>370</v>
      </c>
      <c r="E8405" t="s">
        <v>376</v>
      </c>
      <c r="F8405">
        <v>3</v>
      </c>
      <c r="G8405" t="s">
        <v>488</v>
      </c>
      <c r="H8405" s="4">
        <v>65805768</v>
      </c>
      <c r="I8405" s="4">
        <v>66471455.892812364</v>
      </c>
      <c r="J8405" s="3">
        <v>0.010115950516865996</v>
      </c>
      <c r="K8405" s="3">
        <v>-0.01001464288499728</v>
      </c>
      <c r="L8405" t="s">
        <v>377</v>
      </c>
    </row>
    <row r="8406" spans="1:12" x14ac:dyDescent="0.25">
      <c r="A8406" t="s">
        <v>490</v>
      </c>
      <c r="B8406" t="s">
        <v>491</v>
      </c>
      <c r="C8406" t="s">
        <v>492</v>
      </c>
      <c r="D8406" t="s">
        <v>370</v>
      </c>
      <c r="E8406" t="s">
        <v>376</v>
      </c>
      <c r="F8406">
        <v>3</v>
      </c>
      <c r="G8406" t="s">
        <v>498</v>
      </c>
      <c r="H8406" s="4">
        <v>65805768</v>
      </c>
      <c r="I8406" s="4">
        <v>65768763</v>
      </c>
      <c r="J8406" s="3">
        <v>0.000562336724039145</v>
      </c>
      <c r="K8406" s="3">
        <v>0.0005626531245539771</v>
      </c>
      <c r="L8406" t="s">
        <v>377</v>
      </c>
    </row>
    <row r="8407" spans="1:12" x14ac:dyDescent="0.25">
      <c r="A8407" t="s">
        <v>490</v>
      </c>
      <c r="B8407" t="s">
        <v>491</v>
      </c>
      <c r="C8407" t="s">
        <v>492</v>
      </c>
      <c r="D8407" t="s">
        <v>370</v>
      </c>
      <c r="E8407" t="s">
        <v>376</v>
      </c>
      <c r="F8407">
        <v>3</v>
      </c>
      <c r="G8407" t="s">
        <v>499</v>
      </c>
      <c r="H8407" s="4">
        <v>65805768</v>
      </c>
      <c r="I8407" s="4">
        <v>87762115</v>
      </c>
      <c r="J8407" s="3">
        <v>0.3336538371529985</v>
      </c>
      <c r="K8407" s="3">
        <v>-0.2501802400728378</v>
      </c>
      <c r="L8407" t="s">
        <v>377</v>
      </c>
    </row>
    <row r="8408" spans="1:12" x14ac:dyDescent="0.25">
      <c r="A8408" t="s">
        <v>490</v>
      </c>
      <c r="B8408" t="s">
        <v>491</v>
      </c>
      <c r="C8408" t="s">
        <v>492</v>
      </c>
      <c r="D8408" t="s">
        <v>372</v>
      </c>
      <c r="E8408" t="s">
        <v>374</v>
      </c>
      <c r="F8408">
        <v>1</v>
      </c>
      <c r="G8408" t="s">
        <v>488</v>
      </c>
      <c r="H8408" s="4">
        <v>65436185</v>
      </c>
      <c r="I8408" s="4">
        <v>71473819.24743348</v>
      </c>
      <c r="J8408" s="3">
        <v>0.09226751601477812</v>
      </c>
      <c r="K8408" s="3">
        <v>-0.08447336816480933</v>
      </c>
      <c r="L8408" t="s">
        <v>54</v>
      </c>
    </row>
    <row r="8409" spans="1:12" x14ac:dyDescent="0.25">
      <c r="A8409" t="s">
        <v>490</v>
      </c>
      <c r="B8409" t="s">
        <v>491</v>
      </c>
      <c r="C8409" t="s">
        <v>492</v>
      </c>
      <c r="D8409" t="s">
        <v>372</v>
      </c>
      <c r="E8409" t="s">
        <v>374</v>
      </c>
      <c r="F8409">
        <v>1</v>
      </c>
      <c r="G8409" t="s">
        <v>498</v>
      </c>
      <c r="H8409" s="4">
        <v>65436185</v>
      </c>
      <c r="I8409" s="4">
        <v>72755253</v>
      </c>
      <c r="J8409" s="3">
        <v>0.11185046927781624</v>
      </c>
      <c r="K8409" s="3">
        <v>-0.10059848187181755</v>
      </c>
      <c r="L8409" t="s">
        <v>54</v>
      </c>
    </row>
    <row r="8410" spans="1:12" x14ac:dyDescent="0.25">
      <c r="A8410" t="s">
        <v>490</v>
      </c>
      <c r="B8410" t="s">
        <v>491</v>
      </c>
      <c r="C8410" t="s">
        <v>492</v>
      </c>
      <c r="D8410" t="s">
        <v>372</v>
      </c>
      <c r="E8410" t="s">
        <v>374</v>
      </c>
      <c r="F8410">
        <v>1</v>
      </c>
      <c r="G8410" t="s">
        <v>499</v>
      </c>
      <c r="H8410" s="4">
        <v>65436185</v>
      </c>
      <c r="I8410" s="4">
        <v>66715542</v>
      </c>
      <c r="J8410" s="3">
        <v>0.01955121619635986</v>
      </c>
      <c r="K8410" s="3">
        <v>-0.019176296281906844</v>
      </c>
      <c r="L8410" t="s">
        <v>54</v>
      </c>
    </row>
    <row r="8411" spans="1:12" x14ac:dyDescent="0.25">
      <c r="A8411" t="s">
        <v>490</v>
      </c>
      <c r="B8411" t="s">
        <v>491</v>
      </c>
      <c r="C8411" t="s">
        <v>492</v>
      </c>
      <c r="D8411" t="s">
        <v>372</v>
      </c>
      <c r="E8411" t="s">
        <v>376</v>
      </c>
      <c r="F8411">
        <v>2</v>
      </c>
      <c r="G8411" t="s">
        <v>488</v>
      </c>
      <c r="H8411" s="4">
        <v>65805768</v>
      </c>
      <c r="I8411" s="4">
        <v>64610381.861902</v>
      </c>
      <c r="J8411" s="3">
        <v>0.01816537021645278</v>
      </c>
      <c r="K8411" s="3">
        <v>0.01850145601449958</v>
      </c>
      <c r="L8411" t="s">
        <v>377</v>
      </c>
    </row>
    <row r="8412" spans="1:12" x14ac:dyDescent="0.25">
      <c r="A8412" t="s">
        <v>490</v>
      </c>
      <c r="B8412" t="s">
        <v>491</v>
      </c>
      <c r="C8412" t="s">
        <v>492</v>
      </c>
      <c r="D8412" t="s">
        <v>372</v>
      </c>
      <c r="E8412" t="s">
        <v>376</v>
      </c>
      <c r="F8412">
        <v>2</v>
      </c>
      <c r="G8412" t="s">
        <v>498</v>
      </c>
      <c r="H8412" s="4">
        <v>65805768</v>
      </c>
      <c r="I8412" s="4">
        <v>65768763</v>
      </c>
      <c r="J8412" s="3">
        <v>0.000562336724039145</v>
      </c>
      <c r="K8412" s="3">
        <v>0.0005626531245539771</v>
      </c>
      <c r="L8412" t="s">
        <v>377</v>
      </c>
    </row>
    <row r="8413" spans="1:12" x14ac:dyDescent="0.25">
      <c r="A8413" t="s">
        <v>490</v>
      </c>
      <c r="B8413" t="s">
        <v>491</v>
      </c>
      <c r="C8413" t="s">
        <v>492</v>
      </c>
      <c r="D8413" t="s">
        <v>372</v>
      </c>
      <c r="E8413" t="s">
        <v>376</v>
      </c>
      <c r="F8413">
        <v>2</v>
      </c>
      <c r="G8413" t="s">
        <v>499</v>
      </c>
      <c r="H8413" s="4">
        <v>65805768</v>
      </c>
      <c r="I8413" s="4">
        <v>66715542</v>
      </c>
      <c r="J8413" s="3">
        <v>0.013825140677637862</v>
      </c>
      <c r="K8413" s="3">
        <v>-0.013636612590211738</v>
      </c>
      <c r="L8413" t="s">
        <v>377</v>
      </c>
    </row>
    <row r="8414" spans="1:12" x14ac:dyDescent="0.25">
      <c r="A8414" t="s">
        <v>490</v>
      </c>
      <c r="B8414" t="s">
        <v>491</v>
      </c>
      <c r="C8414" t="s">
        <v>492</v>
      </c>
      <c r="D8414" t="s">
        <v>372</v>
      </c>
      <c r="E8414" t="s">
        <v>379</v>
      </c>
      <c r="F8414">
        <v>3</v>
      </c>
      <c r="G8414" t="s">
        <v>488</v>
      </c>
      <c r="H8414" s="4">
        <v>64006630</v>
      </c>
      <c r="I8414" s="4">
        <v>82873214.73185891</v>
      </c>
      <c r="J8414" s="3">
        <v>0.2947598511569647</v>
      </c>
      <c r="K8414" s="3">
        <v>-0.22765600191693827</v>
      </c>
      <c r="L8414" t="s">
        <v>377</v>
      </c>
    </row>
    <row r="8415" spans="1:12" x14ac:dyDescent="0.25">
      <c r="A8415" t="s">
        <v>490</v>
      </c>
      <c r="B8415" t="s">
        <v>491</v>
      </c>
      <c r="C8415" t="s">
        <v>492</v>
      </c>
      <c r="D8415" t="s">
        <v>372</v>
      </c>
      <c r="E8415" t="s">
        <v>379</v>
      </c>
      <c r="F8415">
        <v>3</v>
      </c>
      <c r="G8415" t="s">
        <v>498</v>
      </c>
      <c r="H8415" s="4">
        <v>64006630</v>
      </c>
      <c r="I8415" s="4">
        <v>84359025</v>
      </c>
      <c r="J8415" s="3">
        <v>0.3179732318355145</v>
      </c>
      <c r="K8415" s="3">
        <v>-0.24125924878814092</v>
      </c>
      <c r="L8415" t="s">
        <v>377</v>
      </c>
    </row>
    <row r="8416" spans="1:12" x14ac:dyDescent="0.25">
      <c r="A8416" t="s">
        <v>490</v>
      </c>
      <c r="B8416" t="s">
        <v>491</v>
      </c>
      <c r="C8416" t="s">
        <v>492</v>
      </c>
      <c r="D8416" t="s">
        <v>372</v>
      </c>
      <c r="E8416" t="s">
        <v>379</v>
      </c>
      <c r="F8416">
        <v>3</v>
      </c>
      <c r="G8416" t="s">
        <v>499</v>
      </c>
      <c r="H8416" s="4">
        <v>64006630</v>
      </c>
      <c r="I8416" s="4">
        <v>66715542</v>
      </c>
      <c r="J8416" s="3">
        <v>0.04232236566743164</v>
      </c>
      <c r="K8416" s="3">
        <v>-0.04060391205395588</v>
      </c>
      <c r="L8416" t="s">
        <v>377</v>
      </c>
    </row>
    <row r="8417" spans="1:12" x14ac:dyDescent="0.25">
      <c r="A8417" t="s">
        <v>490</v>
      </c>
      <c r="B8417" t="s">
        <v>491</v>
      </c>
      <c r="C8417" t="s">
        <v>492</v>
      </c>
      <c r="D8417" t="s">
        <v>374</v>
      </c>
      <c r="E8417" t="s">
        <v>376</v>
      </c>
      <c r="F8417">
        <v>1</v>
      </c>
      <c r="G8417" t="s">
        <v>488</v>
      </c>
      <c r="H8417" s="4">
        <v>65805768</v>
      </c>
      <c r="I8417" s="4">
        <v>63573745.76603411</v>
      </c>
      <c r="J8417" s="3">
        <v>0.03391833727958146</v>
      </c>
      <c r="K8417" s="3">
        <v>0.035109182368775936</v>
      </c>
      <c r="L8417" t="s">
        <v>377</v>
      </c>
    </row>
    <row r="8418" spans="1:12" x14ac:dyDescent="0.25">
      <c r="A8418" t="s">
        <v>490</v>
      </c>
      <c r="B8418" t="s">
        <v>491</v>
      </c>
      <c r="C8418" t="s">
        <v>492</v>
      </c>
      <c r="D8418" t="s">
        <v>374</v>
      </c>
      <c r="E8418" t="s">
        <v>376</v>
      </c>
      <c r="F8418">
        <v>1</v>
      </c>
      <c r="G8418" t="s">
        <v>498</v>
      </c>
      <c r="H8418" s="4">
        <v>65805768</v>
      </c>
      <c r="I8418" s="4">
        <v>65768763</v>
      </c>
      <c r="J8418" s="3">
        <v>0.000562336724039145</v>
      </c>
      <c r="K8418" s="3">
        <v>0.0005626531245539771</v>
      </c>
      <c r="L8418" t="s">
        <v>377</v>
      </c>
    </row>
    <row r="8419" spans="1:12" x14ac:dyDescent="0.25">
      <c r="A8419" t="s">
        <v>490</v>
      </c>
      <c r="B8419" t="s">
        <v>491</v>
      </c>
      <c r="C8419" t="s">
        <v>492</v>
      </c>
      <c r="D8419" t="s">
        <v>374</v>
      </c>
      <c r="E8419" t="s">
        <v>376</v>
      </c>
      <c r="F8419">
        <v>1</v>
      </c>
      <c r="G8419" t="s">
        <v>499</v>
      </c>
      <c r="H8419" s="4">
        <v>65805768</v>
      </c>
      <c r="I8419" s="4">
        <v>65436185</v>
      </c>
      <c r="J8419" s="3">
        <v>0.005616270598042409</v>
      </c>
      <c r="K8419" s="3">
        <v>0.005647991245210888</v>
      </c>
      <c r="L8419" t="s">
        <v>377</v>
      </c>
    </row>
    <row r="8420" spans="1:12" x14ac:dyDescent="0.25">
      <c r="A8420" t="s">
        <v>490</v>
      </c>
      <c r="B8420" t="s">
        <v>491</v>
      </c>
      <c r="C8420" t="s">
        <v>492</v>
      </c>
      <c r="D8420" t="s">
        <v>374</v>
      </c>
      <c r="E8420" t="s">
        <v>379</v>
      </c>
      <c r="F8420">
        <v>2</v>
      </c>
      <c r="G8420" t="s">
        <v>488</v>
      </c>
      <c r="H8420" s="4">
        <v>64006630</v>
      </c>
      <c r="I8420" s="4">
        <v>81543562.07703824</v>
      </c>
      <c r="J8420" s="3">
        <v>0.2739861804478418</v>
      </c>
      <c r="K8420" s="3">
        <v>-0.21506212912884815</v>
      </c>
      <c r="L8420" t="s">
        <v>377</v>
      </c>
    </row>
    <row r="8421" spans="1:12" x14ac:dyDescent="0.25">
      <c r="A8421" t="s">
        <v>490</v>
      </c>
      <c r="B8421" t="s">
        <v>491</v>
      </c>
      <c r="C8421" t="s">
        <v>492</v>
      </c>
      <c r="D8421" t="s">
        <v>374</v>
      </c>
      <c r="E8421" t="s">
        <v>379</v>
      </c>
      <c r="F8421">
        <v>2</v>
      </c>
      <c r="G8421" t="s">
        <v>498</v>
      </c>
      <c r="H8421" s="4">
        <v>64006630</v>
      </c>
      <c r="I8421" s="4">
        <v>84359025</v>
      </c>
      <c r="J8421" s="3">
        <v>0.3179732318355145</v>
      </c>
      <c r="K8421" s="3">
        <v>-0.24125924878814092</v>
      </c>
      <c r="L8421" t="s">
        <v>377</v>
      </c>
    </row>
    <row r="8422" spans="1:12" x14ac:dyDescent="0.25">
      <c r="A8422" t="s">
        <v>490</v>
      </c>
      <c r="B8422" t="s">
        <v>491</v>
      </c>
      <c r="C8422" t="s">
        <v>492</v>
      </c>
      <c r="D8422" t="s">
        <v>374</v>
      </c>
      <c r="E8422" t="s">
        <v>379</v>
      </c>
      <c r="F8422">
        <v>2</v>
      </c>
      <c r="G8422" t="s">
        <v>499</v>
      </c>
      <c r="H8422" s="4">
        <v>64006630</v>
      </c>
      <c r="I8422" s="4">
        <v>65436185</v>
      </c>
      <c r="J8422" s="3">
        <v>0.022334483162134922</v>
      </c>
      <c r="K8422" s="3">
        <v>-0.0218465517205809</v>
      </c>
      <c r="L8422" t="s">
        <v>377</v>
      </c>
    </row>
    <row r="8423" spans="1:12" x14ac:dyDescent="0.25">
      <c r="A8423" t="s">
        <v>490</v>
      </c>
      <c r="B8423" t="s">
        <v>491</v>
      </c>
      <c r="C8423" t="s">
        <v>492</v>
      </c>
      <c r="D8423" t="s">
        <v>374</v>
      </c>
      <c r="E8423" t="s">
        <v>381</v>
      </c>
      <c r="F8423">
        <v>3</v>
      </c>
      <c r="G8423" t="s">
        <v>488</v>
      </c>
      <c r="H8423" s="4">
        <v>76286627</v>
      </c>
      <c r="I8423" s="4">
        <v>97216234.12343672</v>
      </c>
      <c r="J8423" s="3">
        <v>0.274354863316171</v>
      </c>
      <c r="K8423" s="3">
        <v>-0.2152892190502064</v>
      </c>
      <c r="L8423" t="s">
        <v>377</v>
      </c>
    </row>
    <row r="8424" spans="1:12" x14ac:dyDescent="0.25">
      <c r="A8424" t="s">
        <v>490</v>
      </c>
      <c r="B8424" t="s">
        <v>491</v>
      </c>
      <c r="C8424" t="s">
        <v>492</v>
      </c>
      <c r="D8424" t="s">
        <v>374</v>
      </c>
      <c r="E8424" t="s">
        <v>381</v>
      </c>
      <c r="F8424">
        <v>3</v>
      </c>
      <c r="G8424" t="s">
        <v>498</v>
      </c>
      <c r="H8424" s="4">
        <v>76286627</v>
      </c>
      <c r="I8424" s="4">
        <v>100572829</v>
      </c>
      <c r="J8424" s="3">
        <v>0.3183546442550147</v>
      </c>
      <c r="K8424" s="3">
        <v>-0.2414787596359649</v>
      </c>
      <c r="L8424" t="s">
        <v>377</v>
      </c>
    </row>
    <row r="8425" spans="1:12" x14ac:dyDescent="0.25">
      <c r="A8425" t="s">
        <v>490</v>
      </c>
      <c r="B8425" t="s">
        <v>491</v>
      </c>
      <c r="C8425" t="s">
        <v>492</v>
      </c>
      <c r="D8425" t="s">
        <v>374</v>
      </c>
      <c r="E8425" t="s">
        <v>381</v>
      </c>
      <c r="F8425">
        <v>3</v>
      </c>
      <c r="G8425" t="s">
        <v>499</v>
      </c>
      <c r="H8425" s="4">
        <v>76286627</v>
      </c>
      <c r="I8425" s="4">
        <v>65436185</v>
      </c>
      <c r="J8425" s="3">
        <v>0.14223255669699486</v>
      </c>
      <c r="K8425" s="3">
        <v>0.16581715453002036</v>
      </c>
      <c r="L8425" t="s">
        <v>377</v>
      </c>
    </row>
    <row r="8426" spans="1:12" x14ac:dyDescent="0.25">
      <c r="A8426" t="s">
        <v>490</v>
      </c>
      <c r="B8426" t="s">
        <v>491</v>
      </c>
      <c r="C8426" t="s">
        <v>492</v>
      </c>
      <c r="D8426" t="s">
        <v>376</v>
      </c>
      <c r="E8426" t="s">
        <v>379</v>
      </c>
      <c r="F8426">
        <v>1</v>
      </c>
      <c r="G8426" t="s">
        <v>488</v>
      </c>
      <c r="H8426" s="4">
        <v>64006630</v>
      </c>
      <c r="I8426" s="4">
        <v>81258954.22441092</v>
      </c>
      <c r="J8426" s="3">
        <v>0.26953964338398884</v>
      </c>
      <c r="K8426" s="3">
        <v>-0.2123129000253386</v>
      </c>
      <c r="L8426" t="s">
        <v>377</v>
      </c>
    </row>
    <row r="8427" spans="1:12" x14ac:dyDescent="0.25">
      <c r="A8427" t="s">
        <v>490</v>
      </c>
      <c r="B8427" t="s">
        <v>491</v>
      </c>
      <c r="C8427" t="s">
        <v>492</v>
      </c>
      <c r="D8427" t="s">
        <v>376</v>
      </c>
      <c r="E8427" t="s">
        <v>379</v>
      </c>
      <c r="F8427">
        <v>1</v>
      </c>
      <c r="G8427" t="s">
        <v>498</v>
      </c>
      <c r="H8427" s="4">
        <v>64006630</v>
      </c>
      <c r="I8427" s="4">
        <v>84359025</v>
      </c>
      <c r="J8427" s="3">
        <v>0.3179732318355145</v>
      </c>
      <c r="K8427" s="3">
        <v>-0.24125924878814092</v>
      </c>
      <c r="L8427" t="s">
        <v>377</v>
      </c>
    </row>
    <row r="8428" spans="1:12" x14ac:dyDescent="0.25">
      <c r="A8428" t="s">
        <v>490</v>
      </c>
      <c r="B8428" t="s">
        <v>491</v>
      </c>
      <c r="C8428" t="s">
        <v>492</v>
      </c>
      <c r="D8428" t="s">
        <v>376</v>
      </c>
      <c r="E8428" t="s">
        <v>379</v>
      </c>
      <c r="F8428">
        <v>1</v>
      </c>
      <c r="G8428" t="s">
        <v>499</v>
      </c>
      <c r="H8428" s="4">
        <v>64006630</v>
      </c>
      <c r="I8428" s="4">
        <v>65805768</v>
      </c>
      <c r="J8428" s="3">
        <v>0.02810861937271186</v>
      </c>
      <c r="K8428" s="3">
        <v>-0.027340126172526395</v>
      </c>
      <c r="L8428" t="s">
        <v>377</v>
      </c>
    </row>
    <row r="8429" spans="1:12" x14ac:dyDescent="0.25">
      <c r="A8429" t="s">
        <v>490</v>
      </c>
      <c r="B8429" t="s">
        <v>491</v>
      </c>
      <c r="C8429" t="s">
        <v>492</v>
      </c>
      <c r="D8429" t="s">
        <v>376</v>
      </c>
      <c r="E8429" t="s">
        <v>381</v>
      </c>
      <c r="F8429">
        <v>2</v>
      </c>
      <c r="G8429" t="s">
        <v>488</v>
      </c>
      <c r="H8429" s="4">
        <v>76286627</v>
      </c>
      <c r="I8429" s="4">
        <v>96876924.64357558</v>
      </c>
      <c r="J8429" s="3">
        <v>0.26990703945496997</v>
      </c>
      <c r="K8429" s="3">
        <v>-0.21254078532457862</v>
      </c>
      <c r="L8429" t="s">
        <v>377</v>
      </c>
    </row>
    <row r="8430" spans="1:12" x14ac:dyDescent="0.25">
      <c r="A8430" t="s">
        <v>490</v>
      </c>
      <c r="B8430" t="s">
        <v>491</v>
      </c>
      <c r="C8430" t="s">
        <v>492</v>
      </c>
      <c r="D8430" t="s">
        <v>376</v>
      </c>
      <c r="E8430" t="s">
        <v>381</v>
      </c>
      <c r="F8430">
        <v>2</v>
      </c>
      <c r="G8430" t="s">
        <v>498</v>
      </c>
      <c r="H8430" s="4">
        <v>76286627</v>
      </c>
      <c r="I8430" s="4">
        <v>100572829</v>
      </c>
      <c r="J8430" s="3">
        <v>0.3183546442550147</v>
      </c>
      <c r="K8430" s="3">
        <v>-0.2414787596359649</v>
      </c>
      <c r="L8430" t="s">
        <v>377</v>
      </c>
    </row>
    <row r="8431" spans="1:12" x14ac:dyDescent="0.25">
      <c r="A8431" t="s">
        <v>490</v>
      </c>
      <c r="B8431" t="s">
        <v>491</v>
      </c>
      <c r="C8431" t="s">
        <v>492</v>
      </c>
      <c r="D8431" t="s">
        <v>376</v>
      </c>
      <c r="E8431" t="s">
        <v>381</v>
      </c>
      <c r="F8431">
        <v>2</v>
      </c>
      <c r="G8431" t="s">
        <v>499</v>
      </c>
      <c r="H8431" s="4">
        <v>76286627</v>
      </c>
      <c r="I8431" s="4">
        <v>65805768</v>
      </c>
      <c r="J8431" s="3">
        <v>0.13738789368679258</v>
      </c>
      <c r="K8431" s="3">
        <v>0.15926960992233993</v>
      </c>
      <c r="L8431" t="s">
        <v>377</v>
      </c>
    </row>
    <row r="8432" spans="1:12" x14ac:dyDescent="0.25">
      <c r="A8432" t="s">
        <v>490</v>
      </c>
      <c r="B8432" t="s">
        <v>491</v>
      </c>
      <c r="C8432" t="s">
        <v>492</v>
      </c>
      <c r="D8432" t="s">
        <v>376</v>
      </c>
      <c r="E8432" t="s">
        <v>383</v>
      </c>
      <c r="F8432">
        <v>3</v>
      </c>
      <c r="G8432" t="s">
        <v>488</v>
      </c>
      <c r="H8432" s="4">
        <v>102132827</v>
      </c>
      <c r="I8432" s="4">
        <v>98944878.1565496</v>
      </c>
      <c r="J8432" s="3">
        <v>0.031213753081077423</v>
      </c>
      <c r="K8432" s="3">
        <v>0.03221944281346687</v>
      </c>
      <c r="L8432" t="s">
        <v>377</v>
      </c>
    </row>
    <row r="8433" spans="1:12" x14ac:dyDescent="0.25">
      <c r="A8433" t="s">
        <v>490</v>
      </c>
      <c r="B8433" t="s">
        <v>491</v>
      </c>
      <c r="C8433" t="s">
        <v>492</v>
      </c>
      <c r="D8433" t="s">
        <v>376</v>
      </c>
      <c r="E8433" t="s">
        <v>383</v>
      </c>
      <c r="F8433">
        <v>3</v>
      </c>
      <c r="G8433" t="s">
        <v>498</v>
      </c>
      <c r="H8433" s="4">
        <v>102132827</v>
      </c>
      <c r="I8433" s="4">
        <v>102719676</v>
      </c>
      <c r="J8433" s="3">
        <v>0.005745939060317991</v>
      </c>
      <c r="K8433" s="3">
        <v>-0.005713111867681514</v>
      </c>
      <c r="L8433" t="s">
        <v>377</v>
      </c>
    </row>
    <row r="8434" spans="1:12" x14ac:dyDescent="0.25">
      <c r="A8434" t="s">
        <v>490</v>
      </c>
      <c r="B8434" t="s">
        <v>491</v>
      </c>
      <c r="C8434" t="s">
        <v>492</v>
      </c>
      <c r="D8434" t="s">
        <v>376</v>
      </c>
      <c r="E8434" t="s">
        <v>383</v>
      </c>
      <c r="F8434">
        <v>3</v>
      </c>
      <c r="G8434" t="s">
        <v>499</v>
      </c>
      <c r="H8434" s="4">
        <v>102132827</v>
      </c>
      <c r="I8434" s="4">
        <v>65805768</v>
      </c>
      <c r="J8434" s="3">
        <v>0.3556844558899755</v>
      </c>
      <c r="K8434" s="3">
        <v>0.5520345724101268</v>
      </c>
      <c r="L8434" t="s">
        <v>377</v>
      </c>
    </row>
    <row r="8435" spans="1:12" x14ac:dyDescent="0.25">
      <c r="A8435" t="s">
        <v>490</v>
      </c>
      <c r="B8435" t="s">
        <v>491</v>
      </c>
      <c r="C8435" t="s">
        <v>492</v>
      </c>
      <c r="D8435" t="s">
        <v>379</v>
      </c>
      <c r="E8435" t="s">
        <v>381</v>
      </c>
      <c r="F8435">
        <v>1</v>
      </c>
      <c r="G8435" t="s">
        <v>488</v>
      </c>
      <c r="H8435" s="4">
        <v>76286627</v>
      </c>
      <c r="I8435" s="4">
        <v>92891271.31145681</v>
      </c>
      <c r="J8435" s="3">
        <v>0.21766127255117484</v>
      </c>
      <c r="K8435" s="3">
        <v>-0.17875354785255124</v>
      </c>
      <c r="L8435" t="s">
        <v>377</v>
      </c>
    </row>
    <row r="8436" spans="1:12" x14ac:dyDescent="0.25">
      <c r="A8436" t="s">
        <v>490</v>
      </c>
      <c r="B8436" t="s">
        <v>491</v>
      </c>
      <c r="C8436" t="s">
        <v>492</v>
      </c>
      <c r="D8436" t="s">
        <v>379</v>
      </c>
      <c r="E8436" t="s">
        <v>381</v>
      </c>
      <c r="F8436">
        <v>1</v>
      </c>
      <c r="G8436" t="s">
        <v>498</v>
      </c>
      <c r="H8436" s="4">
        <v>76286627</v>
      </c>
      <c r="I8436" s="4">
        <v>100572829</v>
      </c>
      <c r="J8436" s="3">
        <v>0.3183546442550147</v>
      </c>
      <c r="K8436" s="3">
        <v>-0.2414787596359649</v>
      </c>
      <c r="L8436" t="s">
        <v>377</v>
      </c>
    </row>
    <row r="8437" spans="1:12" x14ac:dyDescent="0.25">
      <c r="A8437" t="s">
        <v>490</v>
      </c>
      <c r="B8437" t="s">
        <v>491</v>
      </c>
      <c r="C8437" t="s">
        <v>492</v>
      </c>
      <c r="D8437" t="s">
        <v>379</v>
      </c>
      <c r="E8437" t="s">
        <v>381</v>
      </c>
      <c r="F8437">
        <v>1</v>
      </c>
      <c r="G8437" t="s">
        <v>499</v>
      </c>
      <c r="H8437" s="4">
        <v>76286627</v>
      </c>
      <c r="I8437" s="4">
        <v>64006630</v>
      </c>
      <c r="J8437" s="3">
        <v>0.16097181751134443</v>
      </c>
      <c r="K8437" s="3">
        <v>0.19185507813799915</v>
      </c>
      <c r="L8437" t="s">
        <v>377</v>
      </c>
    </row>
    <row r="8438" spans="1:12" x14ac:dyDescent="0.25">
      <c r="A8438" t="s">
        <v>490</v>
      </c>
      <c r="B8438" t="s">
        <v>491</v>
      </c>
      <c r="C8438" t="s">
        <v>492</v>
      </c>
      <c r="D8438" t="s">
        <v>379</v>
      </c>
      <c r="E8438" t="s">
        <v>383</v>
      </c>
      <c r="F8438">
        <v>2</v>
      </c>
      <c r="G8438" t="s">
        <v>488</v>
      </c>
      <c r="H8438" s="4">
        <v>102132827</v>
      </c>
      <c r="I8438" s="4">
        <v>94874146.29990113</v>
      </c>
      <c r="J8438" s="3">
        <v>0.07107098582612299</v>
      </c>
      <c r="K8438" s="3">
        <v>0.07650852190178219</v>
      </c>
      <c r="L8438" t="s">
        <v>377</v>
      </c>
    </row>
    <row r="8439" spans="1:12" x14ac:dyDescent="0.25">
      <c r="A8439" t="s">
        <v>490</v>
      </c>
      <c r="B8439" t="s">
        <v>491</v>
      </c>
      <c r="C8439" t="s">
        <v>492</v>
      </c>
      <c r="D8439" t="s">
        <v>379</v>
      </c>
      <c r="E8439" t="s">
        <v>383</v>
      </c>
      <c r="F8439">
        <v>2</v>
      </c>
      <c r="G8439" t="s">
        <v>498</v>
      </c>
      <c r="H8439" s="4">
        <v>102132827</v>
      </c>
      <c r="I8439" s="4">
        <v>102719676</v>
      </c>
      <c r="J8439" s="3">
        <v>0.005745939060317991</v>
      </c>
      <c r="K8439" s="3">
        <v>-0.005713111867681514</v>
      </c>
      <c r="L8439" t="s">
        <v>377</v>
      </c>
    </row>
    <row r="8440" spans="1:12" x14ac:dyDescent="0.25">
      <c r="A8440" t="s">
        <v>490</v>
      </c>
      <c r="B8440" t="s">
        <v>491</v>
      </c>
      <c r="C8440" t="s">
        <v>492</v>
      </c>
      <c r="D8440" t="s">
        <v>379</v>
      </c>
      <c r="E8440" t="s">
        <v>383</v>
      </c>
      <c r="F8440">
        <v>2</v>
      </c>
      <c r="G8440" t="s">
        <v>499</v>
      </c>
      <c r="H8440" s="4">
        <v>102132827</v>
      </c>
      <c r="I8440" s="4">
        <v>64006630</v>
      </c>
      <c r="J8440" s="3">
        <v>0.37330012416086356</v>
      </c>
      <c r="K8440" s="3">
        <v>0.5956601214592926</v>
      </c>
      <c r="L8440" t="s">
        <v>377</v>
      </c>
    </row>
    <row r="8441" spans="1:12" x14ac:dyDescent="0.25">
      <c r="A8441" t="s">
        <v>490</v>
      </c>
      <c r="B8441" t="s">
        <v>491</v>
      </c>
      <c r="C8441" t="s">
        <v>492</v>
      </c>
      <c r="D8441" t="s">
        <v>379</v>
      </c>
      <c r="E8441" t="s">
        <v>385</v>
      </c>
      <c r="F8441">
        <v>3</v>
      </c>
      <c r="G8441" t="s">
        <v>488</v>
      </c>
      <c r="H8441" s="4">
        <v>106509195</v>
      </c>
      <c r="I8441" s="4">
        <v>92047027.28932229</v>
      </c>
      <c r="J8441" s="3">
        <v>0.1357832787176517</v>
      </c>
      <c r="K8441" s="3">
        <v>0.15711716213517918</v>
      </c>
      <c r="L8441" t="s">
        <v>377</v>
      </c>
    </row>
    <row r="8442" spans="1:12" x14ac:dyDescent="0.25">
      <c r="A8442" t="s">
        <v>490</v>
      </c>
      <c r="B8442" t="s">
        <v>491</v>
      </c>
      <c r="C8442" t="s">
        <v>492</v>
      </c>
      <c r="D8442" t="s">
        <v>379</v>
      </c>
      <c r="E8442" t="s">
        <v>385</v>
      </c>
      <c r="F8442">
        <v>3</v>
      </c>
      <c r="G8442" t="s">
        <v>498</v>
      </c>
      <c r="H8442" s="4">
        <v>106509195</v>
      </c>
      <c r="I8442" s="4">
        <v>99658771</v>
      </c>
      <c r="J8442" s="3">
        <v>0.06431767698554101</v>
      </c>
      <c r="K8442" s="3">
        <v>0.06873879670862086</v>
      </c>
      <c r="L8442" t="s">
        <v>377</v>
      </c>
    </row>
    <row r="8443" spans="1:12" x14ac:dyDescent="0.25">
      <c r="A8443" t="s">
        <v>490</v>
      </c>
      <c r="B8443" t="s">
        <v>491</v>
      </c>
      <c r="C8443" t="s">
        <v>492</v>
      </c>
      <c r="D8443" t="s">
        <v>379</v>
      </c>
      <c r="E8443" t="s">
        <v>385</v>
      </c>
      <c r="F8443">
        <v>3</v>
      </c>
      <c r="G8443" t="s">
        <v>499</v>
      </c>
      <c r="H8443" s="4">
        <v>106509195</v>
      </c>
      <c r="I8443" s="4">
        <v>64006630</v>
      </c>
      <c r="J8443" s="3">
        <v>0.39905066412341206</v>
      </c>
      <c r="K8443" s="3">
        <v>0.6640337883747356</v>
      </c>
      <c r="L8443" t="s">
        <v>377</v>
      </c>
    </row>
    <row r="8444" spans="1:12" x14ac:dyDescent="0.25">
      <c r="A8444" t="s">
        <v>490</v>
      </c>
      <c r="B8444" t="s">
        <v>491</v>
      </c>
      <c r="C8444" t="s">
        <v>492</v>
      </c>
      <c r="D8444" t="s">
        <v>381</v>
      </c>
      <c r="E8444" t="s">
        <v>383</v>
      </c>
      <c r="F8444">
        <v>1</v>
      </c>
      <c r="G8444" t="s">
        <v>488</v>
      </c>
      <c r="H8444" s="4">
        <v>102132827</v>
      </c>
      <c r="I8444" s="4">
        <v>92432716.03740895</v>
      </c>
      <c r="J8444" s="3">
        <v>0.09497544763537244</v>
      </c>
      <c r="K8444" s="3">
        <v>0.10494239895174418</v>
      </c>
      <c r="L8444" t="s">
        <v>377</v>
      </c>
    </row>
    <row r="8445" spans="1:12" x14ac:dyDescent="0.25">
      <c r="A8445" t="s">
        <v>490</v>
      </c>
      <c r="B8445" t="s">
        <v>491</v>
      </c>
      <c r="C8445" t="s">
        <v>492</v>
      </c>
      <c r="D8445" t="s">
        <v>381</v>
      </c>
      <c r="E8445" t="s">
        <v>383</v>
      </c>
      <c r="F8445">
        <v>1</v>
      </c>
      <c r="G8445" t="s">
        <v>498</v>
      </c>
      <c r="H8445" s="4">
        <v>102132827</v>
      </c>
      <c r="I8445" s="4">
        <v>102719676</v>
      </c>
      <c r="J8445" s="3">
        <v>0.005745939060317991</v>
      </c>
      <c r="K8445" s="3">
        <v>-0.005713111867681514</v>
      </c>
      <c r="L8445" t="s">
        <v>377</v>
      </c>
    </row>
    <row r="8446" spans="1:12" x14ac:dyDescent="0.25">
      <c r="A8446" t="s">
        <v>490</v>
      </c>
      <c r="B8446" t="s">
        <v>491</v>
      </c>
      <c r="C8446" t="s">
        <v>492</v>
      </c>
      <c r="D8446" t="s">
        <v>381</v>
      </c>
      <c r="E8446" t="s">
        <v>383</v>
      </c>
      <c r="F8446">
        <v>1</v>
      </c>
      <c r="G8446" t="s">
        <v>499</v>
      </c>
      <c r="H8446" s="4">
        <v>102132827</v>
      </c>
      <c r="I8446" s="4">
        <v>76286627</v>
      </c>
      <c r="J8446" s="3">
        <v>0.2530645705126717</v>
      </c>
      <c r="K8446" s="3">
        <v>0.3388038115776177</v>
      </c>
      <c r="L8446" t="s">
        <v>377</v>
      </c>
    </row>
    <row r="8447" spans="1:12" x14ac:dyDescent="0.25">
      <c r="A8447" t="s">
        <v>490</v>
      </c>
      <c r="B8447" t="s">
        <v>491</v>
      </c>
      <c r="C8447" t="s">
        <v>492</v>
      </c>
      <c r="D8447" t="s">
        <v>381</v>
      </c>
      <c r="E8447" t="s">
        <v>385</v>
      </c>
      <c r="F8447">
        <v>2</v>
      </c>
      <c r="G8447" t="s">
        <v>488</v>
      </c>
      <c r="H8447" s="4">
        <v>106509195</v>
      </c>
      <c r="I8447" s="4">
        <v>89678348.2891843</v>
      </c>
      <c r="J8447" s="3">
        <v>0.1580224760013978</v>
      </c>
      <c r="K8447" s="3">
        <v>0.18768015950228634</v>
      </c>
      <c r="L8447" t="s">
        <v>377</v>
      </c>
    </row>
    <row r="8448" spans="1:12" x14ac:dyDescent="0.25">
      <c r="A8448" t="s">
        <v>490</v>
      </c>
      <c r="B8448" t="s">
        <v>491</v>
      </c>
      <c r="C8448" t="s">
        <v>492</v>
      </c>
      <c r="D8448" t="s">
        <v>381</v>
      </c>
      <c r="E8448" t="s">
        <v>385</v>
      </c>
      <c r="F8448">
        <v>2</v>
      </c>
      <c r="G8448" t="s">
        <v>498</v>
      </c>
      <c r="H8448" s="4">
        <v>106509195</v>
      </c>
      <c r="I8448" s="4">
        <v>99658771</v>
      </c>
      <c r="J8448" s="3">
        <v>0.06431767698554101</v>
      </c>
      <c r="K8448" s="3">
        <v>0.06873879670862086</v>
      </c>
      <c r="L8448" t="s">
        <v>377</v>
      </c>
    </row>
    <row r="8449" spans="1:12" x14ac:dyDescent="0.25">
      <c r="A8449" t="s">
        <v>490</v>
      </c>
      <c r="B8449" t="s">
        <v>491</v>
      </c>
      <c r="C8449" t="s">
        <v>492</v>
      </c>
      <c r="D8449" t="s">
        <v>381</v>
      </c>
      <c r="E8449" t="s">
        <v>385</v>
      </c>
      <c r="F8449">
        <v>2</v>
      </c>
      <c r="G8449" t="s">
        <v>499</v>
      </c>
      <c r="H8449" s="4">
        <v>106509195</v>
      </c>
      <c r="I8449" s="4">
        <v>76286627</v>
      </c>
      <c r="J8449" s="3">
        <v>0.2837554823318306</v>
      </c>
      <c r="K8449" s="3">
        <v>0.39617124505976653</v>
      </c>
      <c r="L8449" t="s">
        <v>377</v>
      </c>
    </row>
    <row r="8450" spans="1:12" x14ac:dyDescent="0.25">
      <c r="A8450" t="s">
        <v>490</v>
      </c>
      <c r="B8450" t="s">
        <v>491</v>
      </c>
      <c r="C8450" t="s">
        <v>492</v>
      </c>
      <c r="D8450" t="s">
        <v>381</v>
      </c>
      <c r="E8450" t="s">
        <v>387</v>
      </c>
      <c r="F8450">
        <v>3</v>
      </c>
      <c r="G8450" t="s">
        <v>488</v>
      </c>
      <c r="H8450" s="4">
        <v>96081878</v>
      </c>
      <c r="I8450" s="4">
        <v>81909991.99775323</v>
      </c>
      <c r="J8450" s="3">
        <v>0.14749801208347288</v>
      </c>
      <c r="K8450" s="3">
        <v>0.17301779253788108</v>
      </c>
      <c r="L8450" t="s">
        <v>377</v>
      </c>
    </row>
    <row r="8451" spans="1:12" x14ac:dyDescent="0.25">
      <c r="A8451" t="s">
        <v>490</v>
      </c>
      <c r="B8451" t="s">
        <v>491</v>
      </c>
      <c r="C8451" t="s">
        <v>492</v>
      </c>
      <c r="D8451" t="s">
        <v>381</v>
      </c>
      <c r="E8451" t="s">
        <v>387</v>
      </c>
      <c r="F8451">
        <v>3</v>
      </c>
      <c r="G8451" t="s">
        <v>498</v>
      </c>
      <c r="H8451" s="4">
        <v>96081878</v>
      </c>
      <c r="I8451" s="4">
        <v>91025864</v>
      </c>
      <c r="J8451" s="3">
        <v>0.052621931473903955</v>
      </c>
      <c r="K8451" s="3">
        <v>0.05554480647390504</v>
      </c>
      <c r="L8451" t="s">
        <v>377</v>
      </c>
    </row>
    <row r="8452" spans="1:12" x14ac:dyDescent="0.25">
      <c r="A8452" t="s">
        <v>490</v>
      </c>
      <c r="B8452" t="s">
        <v>491</v>
      </c>
      <c r="C8452" t="s">
        <v>492</v>
      </c>
      <c r="D8452" t="s">
        <v>381</v>
      </c>
      <c r="E8452" t="s">
        <v>387</v>
      </c>
      <c r="F8452">
        <v>3</v>
      </c>
      <c r="G8452" t="s">
        <v>499</v>
      </c>
      <c r="H8452" s="4">
        <v>96081878</v>
      </c>
      <c r="I8452" s="4">
        <v>76286627</v>
      </c>
      <c r="J8452" s="3">
        <v>0.2060248135449642</v>
      </c>
      <c r="K8452" s="3">
        <v>0.2594852043989309</v>
      </c>
      <c r="L8452" t="s">
        <v>377</v>
      </c>
    </row>
    <row r="8453" spans="1:12" x14ac:dyDescent="0.25">
      <c r="A8453" t="s">
        <v>490</v>
      </c>
      <c r="B8453" t="s">
        <v>491</v>
      </c>
      <c r="C8453" t="s">
        <v>492</v>
      </c>
      <c r="D8453" t="s">
        <v>383</v>
      </c>
      <c r="E8453" t="s">
        <v>385</v>
      </c>
      <c r="F8453">
        <v>1</v>
      </c>
      <c r="G8453" t="s">
        <v>488</v>
      </c>
      <c r="H8453" s="4">
        <v>106509195</v>
      </c>
      <c r="I8453" s="4">
        <v>88840200.01945458</v>
      </c>
      <c r="J8453" s="3">
        <v>0.16589173339020558</v>
      </c>
      <c r="K8453" s="3">
        <v>0.1988851328191088</v>
      </c>
      <c r="L8453" t="s">
        <v>377</v>
      </c>
    </row>
    <row r="8454" spans="1:12" x14ac:dyDescent="0.25">
      <c r="A8454" t="s">
        <v>490</v>
      </c>
      <c r="B8454" t="s">
        <v>491</v>
      </c>
      <c r="C8454" t="s">
        <v>492</v>
      </c>
      <c r="D8454" t="s">
        <v>383</v>
      </c>
      <c r="E8454" t="s">
        <v>385</v>
      </c>
      <c r="F8454">
        <v>1</v>
      </c>
      <c r="G8454" t="s">
        <v>498</v>
      </c>
      <c r="H8454" s="4">
        <v>106509195</v>
      </c>
      <c r="I8454" s="4">
        <v>99658771</v>
      </c>
      <c r="J8454" s="3">
        <v>0.06431767698554101</v>
      </c>
      <c r="K8454" s="3">
        <v>0.06873879670862086</v>
      </c>
      <c r="L8454" t="s">
        <v>377</v>
      </c>
    </row>
    <row r="8455" spans="1:12" x14ac:dyDescent="0.25">
      <c r="A8455" t="s">
        <v>490</v>
      </c>
      <c r="B8455" t="s">
        <v>491</v>
      </c>
      <c r="C8455" t="s">
        <v>492</v>
      </c>
      <c r="D8455" t="s">
        <v>383</v>
      </c>
      <c r="E8455" t="s">
        <v>385</v>
      </c>
      <c r="F8455">
        <v>1</v>
      </c>
      <c r="G8455" t="s">
        <v>499</v>
      </c>
      <c r="H8455" s="4">
        <v>106509195</v>
      </c>
      <c r="I8455" s="4">
        <v>102132827</v>
      </c>
      <c r="J8455" s="3">
        <v>0.041089109724282494</v>
      </c>
      <c r="K8455" s="3">
        <v>0.04284976856657458</v>
      </c>
      <c r="L8455" t="s">
        <v>377</v>
      </c>
    </row>
    <row r="8456" spans="1:12" x14ac:dyDescent="0.25">
      <c r="A8456" t="s">
        <v>490</v>
      </c>
      <c r="B8456" t="s">
        <v>491</v>
      </c>
      <c r="C8456" t="s">
        <v>492</v>
      </c>
      <c r="D8456" t="s">
        <v>383</v>
      </c>
      <c r="E8456" t="s">
        <v>387</v>
      </c>
      <c r="F8456">
        <v>2</v>
      </c>
      <c r="G8456" t="s">
        <v>488</v>
      </c>
      <c r="H8456" s="4">
        <v>96081878</v>
      </c>
      <c r="I8456" s="4">
        <v>81144448.03562418</v>
      </c>
      <c r="J8456" s="3">
        <v>0.15546563280513548</v>
      </c>
      <c r="K8456" s="3">
        <v>0.1840844361627547</v>
      </c>
      <c r="L8456" t="s">
        <v>377</v>
      </c>
    </row>
    <row r="8457" spans="1:12" x14ac:dyDescent="0.25">
      <c r="A8457" t="s">
        <v>490</v>
      </c>
      <c r="B8457" t="s">
        <v>491</v>
      </c>
      <c r="C8457" t="s">
        <v>492</v>
      </c>
      <c r="D8457" t="s">
        <v>383</v>
      </c>
      <c r="E8457" t="s">
        <v>387</v>
      </c>
      <c r="F8457">
        <v>2</v>
      </c>
      <c r="G8457" t="s">
        <v>498</v>
      </c>
      <c r="H8457" s="4">
        <v>96081878</v>
      </c>
      <c r="I8457" s="4">
        <v>91025864</v>
      </c>
      <c r="J8457" s="3">
        <v>0.052621931473903955</v>
      </c>
      <c r="K8457" s="3">
        <v>0.05554480647390504</v>
      </c>
      <c r="L8457" t="s">
        <v>377</v>
      </c>
    </row>
    <row r="8458" spans="1:12" x14ac:dyDescent="0.25">
      <c r="A8458" t="s">
        <v>490</v>
      </c>
      <c r="B8458" t="s">
        <v>491</v>
      </c>
      <c r="C8458" t="s">
        <v>492</v>
      </c>
      <c r="D8458" t="s">
        <v>383</v>
      </c>
      <c r="E8458" t="s">
        <v>387</v>
      </c>
      <c r="F8458">
        <v>2</v>
      </c>
      <c r="G8458" t="s">
        <v>499</v>
      </c>
      <c r="H8458" s="4">
        <v>96081878</v>
      </c>
      <c r="I8458" s="4">
        <v>102132827</v>
      </c>
      <c r="J8458" s="3">
        <v>0.06297700592405157</v>
      </c>
      <c r="K8458" s="3">
        <v>-0.059245877919349085</v>
      </c>
      <c r="L8458" t="s">
        <v>377</v>
      </c>
    </row>
    <row r="8459" spans="1:12" x14ac:dyDescent="0.25">
      <c r="A8459" t="s">
        <v>490</v>
      </c>
      <c r="B8459" t="s">
        <v>491</v>
      </c>
      <c r="C8459" t="s">
        <v>492</v>
      </c>
      <c r="D8459" t="s">
        <v>383</v>
      </c>
      <c r="E8459" t="s">
        <v>389</v>
      </c>
      <c r="F8459">
        <v>3</v>
      </c>
      <c r="G8459" t="s">
        <v>488</v>
      </c>
      <c r="H8459" s="4">
        <v>97425988</v>
      </c>
      <c r="I8459" s="4">
        <v>81526818.61849184</v>
      </c>
      <c r="J8459" s="3">
        <v>0.16319228275630274</v>
      </c>
      <c r="K8459" s="3">
        <v>0.1950176598440445</v>
      </c>
      <c r="L8459" t="s">
        <v>377</v>
      </c>
    </row>
    <row r="8460" spans="1:12" x14ac:dyDescent="0.25">
      <c r="A8460" t="s">
        <v>490</v>
      </c>
      <c r="B8460" t="s">
        <v>491</v>
      </c>
      <c r="C8460" t="s">
        <v>492</v>
      </c>
      <c r="D8460" t="s">
        <v>383</v>
      </c>
      <c r="E8460" t="s">
        <v>389</v>
      </c>
      <c r="F8460">
        <v>3</v>
      </c>
      <c r="G8460" t="s">
        <v>498</v>
      </c>
      <c r="H8460" s="4">
        <v>97425988</v>
      </c>
      <c r="I8460" s="4">
        <v>91454798</v>
      </c>
      <c r="J8460" s="3">
        <v>0.061289499060558666</v>
      </c>
      <c r="K8460" s="3">
        <v>0.06529116165124546</v>
      </c>
      <c r="L8460" t="s">
        <v>377</v>
      </c>
    </row>
    <row r="8461" spans="1:12" x14ac:dyDescent="0.25">
      <c r="A8461" t="s">
        <v>490</v>
      </c>
      <c r="B8461" t="s">
        <v>491</v>
      </c>
      <c r="C8461" t="s">
        <v>492</v>
      </c>
      <c r="D8461" t="s">
        <v>383</v>
      </c>
      <c r="E8461" t="s">
        <v>389</v>
      </c>
      <c r="F8461">
        <v>3</v>
      </c>
      <c r="G8461" t="s">
        <v>499</v>
      </c>
      <c r="H8461" s="4">
        <v>97425988</v>
      </c>
      <c r="I8461" s="4">
        <v>102132827</v>
      </c>
      <c r="J8461" s="3">
        <v>0.048311945268648446</v>
      </c>
      <c r="K8461" s="3">
        <v>-0.046085466722663025</v>
      </c>
      <c r="L8461" t="s">
        <v>377</v>
      </c>
    </row>
    <row r="8462" spans="1:12" x14ac:dyDescent="0.25">
      <c r="A8462" t="s">
        <v>490</v>
      </c>
      <c r="B8462" t="s">
        <v>491</v>
      </c>
      <c r="C8462" t="s">
        <v>492</v>
      </c>
      <c r="D8462" t="s">
        <v>385</v>
      </c>
      <c r="E8462" t="s">
        <v>387</v>
      </c>
      <c r="F8462">
        <v>1</v>
      </c>
      <c r="G8462" t="s">
        <v>488</v>
      </c>
      <c r="H8462" s="4">
        <v>96081878</v>
      </c>
      <c r="I8462" s="4">
        <v>82595115.95119561</v>
      </c>
      <c r="J8462" s="3">
        <v>0.14036738591646167</v>
      </c>
      <c r="K8462" s="3">
        <v>0.16328764592779965</v>
      </c>
      <c r="L8462" t="s">
        <v>377</v>
      </c>
    </row>
    <row r="8463" spans="1:12" x14ac:dyDescent="0.25">
      <c r="A8463" t="s">
        <v>490</v>
      </c>
      <c r="B8463" t="s">
        <v>491</v>
      </c>
      <c r="C8463" t="s">
        <v>492</v>
      </c>
      <c r="D8463" t="s">
        <v>385</v>
      </c>
      <c r="E8463" t="s">
        <v>387</v>
      </c>
      <c r="F8463">
        <v>1</v>
      </c>
      <c r="G8463" t="s">
        <v>498</v>
      </c>
      <c r="H8463" s="4">
        <v>96081878</v>
      </c>
      <c r="I8463" s="4">
        <v>91025864</v>
      </c>
      <c r="J8463" s="3">
        <v>0.052621931473903955</v>
      </c>
      <c r="K8463" s="3">
        <v>0.05554480647390504</v>
      </c>
      <c r="L8463" t="s">
        <v>377</v>
      </c>
    </row>
    <row r="8464" spans="1:12" x14ac:dyDescent="0.25">
      <c r="A8464" t="s">
        <v>490</v>
      </c>
      <c r="B8464" t="s">
        <v>491</v>
      </c>
      <c r="C8464" t="s">
        <v>492</v>
      </c>
      <c r="D8464" t="s">
        <v>385</v>
      </c>
      <c r="E8464" t="s">
        <v>387</v>
      </c>
      <c r="F8464">
        <v>1</v>
      </c>
      <c r="G8464" t="s">
        <v>499</v>
      </c>
      <c r="H8464" s="4">
        <v>96081878</v>
      </c>
      <c r="I8464" s="4">
        <v>106509195</v>
      </c>
      <c r="J8464" s="3">
        <v>0.10852532461948756</v>
      </c>
      <c r="K8464" s="3">
        <v>-0.097900627265092</v>
      </c>
      <c r="L8464" t="s">
        <v>377</v>
      </c>
    </row>
    <row r="8465" spans="1:12" x14ac:dyDescent="0.25">
      <c r="A8465" t="s">
        <v>490</v>
      </c>
      <c r="B8465" t="s">
        <v>491</v>
      </c>
      <c r="C8465" t="s">
        <v>492</v>
      </c>
      <c r="D8465" t="s">
        <v>385</v>
      </c>
      <c r="E8465" t="s">
        <v>389</v>
      </c>
      <c r="F8465">
        <v>2</v>
      </c>
      <c r="G8465" t="s">
        <v>488</v>
      </c>
      <c r="H8465" s="4">
        <v>97425988</v>
      </c>
      <c r="I8465" s="4">
        <v>82984322.40207215</v>
      </c>
      <c r="J8465" s="3">
        <v>0.14823216981826096</v>
      </c>
      <c r="K8465" s="3">
        <v>0.174028842797025</v>
      </c>
      <c r="L8465" t="s">
        <v>377</v>
      </c>
    </row>
    <row r="8466" spans="1:12" x14ac:dyDescent="0.25">
      <c r="A8466" t="s">
        <v>490</v>
      </c>
      <c r="B8466" t="s">
        <v>491</v>
      </c>
      <c r="C8466" t="s">
        <v>492</v>
      </c>
      <c r="D8466" t="s">
        <v>385</v>
      </c>
      <c r="E8466" t="s">
        <v>389</v>
      </c>
      <c r="F8466">
        <v>2</v>
      </c>
      <c r="G8466" t="s">
        <v>498</v>
      </c>
      <c r="H8466" s="4">
        <v>97425988</v>
      </c>
      <c r="I8466" s="4">
        <v>91454798</v>
      </c>
      <c r="J8466" s="3">
        <v>0.061289499060558666</v>
      </c>
      <c r="K8466" s="3">
        <v>0.06529116165124546</v>
      </c>
      <c r="L8466" t="s">
        <v>377</v>
      </c>
    </row>
    <row r="8467" spans="1:12" x14ac:dyDescent="0.25">
      <c r="A8467" t="s">
        <v>490</v>
      </c>
      <c r="B8467" t="s">
        <v>491</v>
      </c>
      <c r="C8467" t="s">
        <v>492</v>
      </c>
      <c r="D8467" t="s">
        <v>385</v>
      </c>
      <c r="E8467" t="s">
        <v>389</v>
      </c>
      <c r="F8467">
        <v>2</v>
      </c>
      <c r="G8467" t="s">
        <v>499</v>
      </c>
      <c r="H8467" s="4">
        <v>97425988</v>
      </c>
      <c r="I8467" s="4">
        <v>106509195</v>
      </c>
      <c r="J8467" s="3">
        <v>0.09323186950898563</v>
      </c>
      <c r="K8467" s="3">
        <v>-0.08528096564808325</v>
      </c>
      <c r="L8467" t="s">
        <v>377</v>
      </c>
    </row>
    <row r="8468" spans="1:12" x14ac:dyDescent="0.25">
      <c r="A8468" t="s">
        <v>490</v>
      </c>
      <c r="B8468" t="s">
        <v>491</v>
      </c>
      <c r="C8468" t="s">
        <v>492</v>
      </c>
      <c r="D8468" t="s">
        <v>385</v>
      </c>
      <c r="E8468" t="s">
        <v>391</v>
      </c>
      <c r="F8468">
        <v>3</v>
      </c>
      <c r="G8468" t="s">
        <v>488</v>
      </c>
      <c r="H8468" s="4">
        <v>82728676</v>
      </c>
      <c r="I8468" s="4">
        <v>85787015.53643145</v>
      </c>
      <c r="J8468" s="3">
        <v>0.03696831237129247</v>
      </c>
      <c r="K8468" s="3">
        <v>-0.03565037805905081</v>
      </c>
      <c r="L8468" t="s">
        <v>377</v>
      </c>
    </row>
    <row r="8469" spans="1:12" x14ac:dyDescent="0.25">
      <c r="A8469" t="s">
        <v>490</v>
      </c>
      <c r="B8469" t="s">
        <v>491</v>
      </c>
      <c r="C8469" t="s">
        <v>492</v>
      </c>
      <c r="D8469" t="s">
        <v>385</v>
      </c>
      <c r="E8469" t="s">
        <v>391</v>
      </c>
      <c r="F8469">
        <v>3</v>
      </c>
      <c r="G8469" t="s">
        <v>498</v>
      </c>
      <c r="H8469" s="4">
        <v>82728676</v>
      </c>
      <c r="I8469" s="4">
        <v>94543571</v>
      </c>
      <c r="J8469" s="3">
        <v>0.14281498956903407</v>
      </c>
      <c r="K8469" s="3">
        <v>-0.12496772519836383</v>
      </c>
      <c r="L8469" t="s">
        <v>377</v>
      </c>
    </row>
    <row r="8470" spans="1:12" x14ac:dyDescent="0.25">
      <c r="A8470" t="s">
        <v>490</v>
      </c>
      <c r="B8470" t="s">
        <v>491</v>
      </c>
      <c r="C8470" t="s">
        <v>492</v>
      </c>
      <c r="D8470" t="s">
        <v>385</v>
      </c>
      <c r="E8470" t="s">
        <v>391</v>
      </c>
      <c r="F8470">
        <v>3</v>
      </c>
      <c r="G8470" t="s">
        <v>499</v>
      </c>
      <c r="H8470" s="4">
        <v>82728676</v>
      </c>
      <c r="I8470" s="4">
        <v>106509195</v>
      </c>
      <c r="J8470" s="3">
        <v>0.28745194713378464</v>
      </c>
      <c r="K8470" s="3">
        <v>-0.223271981353347</v>
      </c>
      <c r="L8470" t="s">
        <v>377</v>
      </c>
    </row>
    <row r="8471" spans="1:12" x14ac:dyDescent="0.25">
      <c r="A8471" t="s">
        <v>490</v>
      </c>
      <c r="B8471" t="s">
        <v>491</v>
      </c>
      <c r="C8471" t="s">
        <v>492</v>
      </c>
      <c r="D8471" t="s">
        <v>387</v>
      </c>
      <c r="E8471" t="s">
        <v>389</v>
      </c>
      <c r="F8471">
        <v>1</v>
      </c>
      <c r="G8471" t="s">
        <v>488</v>
      </c>
      <c r="H8471" s="4">
        <v>97425988</v>
      </c>
      <c r="I8471" s="4">
        <v>84298257.81614456</v>
      </c>
      <c r="J8471" s="3">
        <v>0.13474567159488743</v>
      </c>
      <c r="K8471" s="3">
        <v>0.15572955508151984</v>
      </c>
      <c r="L8471" t="s">
        <v>377</v>
      </c>
    </row>
    <row r="8472" spans="1:12" x14ac:dyDescent="0.25">
      <c r="A8472" t="s">
        <v>490</v>
      </c>
      <c r="B8472" t="s">
        <v>491</v>
      </c>
      <c r="C8472" t="s">
        <v>492</v>
      </c>
      <c r="D8472" t="s">
        <v>387</v>
      </c>
      <c r="E8472" t="s">
        <v>389</v>
      </c>
      <c r="F8472">
        <v>1</v>
      </c>
      <c r="G8472" t="s">
        <v>498</v>
      </c>
      <c r="H8472" s="4">
        <v>97425988</v>
      </c>
      <c r="I8472" s="4">
        <v>91454798</v>
      </c>
      <c r="J8472" s="3">
        <v>0.061289499060558666</v>
      </c>
      <c r="K8472" s="3">
        <v>0.06529116165124546</v>
      </c>
      <c r="L8472" t="s">
        <v>377</v>
      </c>
    </row>
    <row r="8473" spans="1:12" x14ac:dyDescent="0.25">
      <c r="A8473" t="s">
        <v>490</v>
      </c>
      <c r="B8473" t="s">
        <v>491</v>
      </c>
      <c r="C8473" t="s">
        <v>492</v>
      </c>
      <c r="D8473" t="s">
        <v>387</v>
      </c>
      <c r="E8473" t="s">
        <v>389</v>
      </c>
      <c r="F8473">
        <v>1</v>
      </c>
      <c r="G8473" t="s">
        <v>499</v>
      </c>
      <c r="H8473" s="4">
        <v>97425988</v>
      </c>
      <c r="I8473" s="4">
        <v>96081878</v>
      </c>
      <c r="J8473" s="3">
        <v>0.013796216262133261</v>
      </c>
      <c r="K8473" s="3">
        <v>0.01398921449058271</v>
      </c>
      <c r="L8473" t="s">
        <v>377</v>
      </c>
    </row>
    <row r="8474" spans="1:12" x14ac:dyDescent="0.25">
      <c r="A8474" t="s">
        <v>490</v>
      </c>
      <c r="B8474" t="s">
        <v>491</v>
      </c>
      <c r="C8474" t="s">
        <v>492</v>
      </c>
      <c r="D8474" t="s">
        <v>387</v>
      </c>
      <c r="E8474" t="s">
        <v>391</v>
      </c>
      <c r="F8474">
        <v>2</v>
      </c>
      <c r="G8474" t="s">
        <v>488</v>
      </c>
      <c r="H8474" s="4">
        <v>82728676</v>
      </c>
      <c r="I8474" s="4">
        <v>87145327.498476</v>
      </c>
      <c r="J8474" s="3">
        <v>0.053387189448988626</v>
      </c>
      <c r="K8474" s="3">
        <v>-0.0506814493129679</v>
      </c>
      <c r="L8474" t="s">
        <v>377</v>
      </c>
    </row>
    <row r="8475" spans="1:12" x14ac:dyDescent="0.25">
      <c r="A8475" t="s">
        <v>490</v>
      </c>
      <c r="B8475" t="s">
        <v>491</v>
      </c>
      <c r="C8475" t="s">
        <v>492</v>
      </c>
      <c r="D8475" t="s">
        <v>387</v>
      </c>
      <c r="E8475" t="s">
        <v>391</v>
      </c>
      <c r="F8475">
        <v>2</v>
      </c>
      <c r="G8475" t="s">
        <v>498</v>
      </c>
      <c r="H8475" s="4">
        <v>82728676</v>
      </c>
      <c r="I8475" s="4">
        <v>94543571</v>
      </c>
      <c r="J8475" s="3">
        <v>0.14281498956903407</v>
      </c>
      <c r="K8475" s="3">
        <v>-0.12496772519836383</v>
      </c>
      <c r="L8475" t="s">
        <v>377</v>
      </c>
    </row>
    <row r="8476" spans="1:12" x14ac:dyDescent="0.25">
      <c r="A8476" t="s">
        <v>490</v>
      </c>
      <c r="B8476" t="s">
        <v>491</v>
      </c>
      <c r="C8476" t="s">
        <v>492</v>
      </c>
      <c r="D8476" t="s">
        <v>387</v>
      </c>
      <c r="E8476" t="s">
        <v>391</v>
      </c>
      <c r="F8476">
        <v>2</v>
      </c>
      <c r="G8476" t="s">
        <v>499</v>
      </c>
      <c r="H8476" s="4">
        <v>82728676</v>
      </c>
      <c r="I8476" s="4">
        <v>96081878</v>
      </c>
      <c r="J8476" s="3">
        <v>0.16140959393572307</v>
      </c>
      <c r="K8476" s="3">
        <v>-0.1389773209886676</v>
      </c>
      <c r="L8476" t="s">
        <v>377</v>
      </c>
    </row>
    <row r="8477" spans="1:12" x14ac:dyDescent="0.25">
      <c r="A8477" t="s">
        <v>490</v>
      </c>
      <c r="B8477" t="s">
        <v>491</v>
      </c>
      <c r="C8477" t="s">
        <v>492</v>
      </c>
      <c r="D8477" t="s">
        <v>387</v>
      </c>
      <c r="E8477" t="s">
        <v>393</v>
      </c>
      <c r="F8477">
        <v>3</v>
      </c>
      <c r="G8477" t="s">
        <v>488</v>
      </c>
      <c r="H8477" s="4">
        <v>97100903</v>
      </c>
      <c r="I8477" s="4">
        <v>83161864.46347131</v>
      </c>
      <c r="J8477" s="3">
        <v>0.1435520999895201</v>
      </c>
      <c r="K8477" s="3">
        <v>0.16761334809480358</v>
      </c>
      <c r="L8477" t="s">
        <v>377</v>
      </c>
    </row>
    <row r="8478" spans="1:12" x14ac:dyDescent="0.25">
      <c r="A8478" t="s">
        <v>490</v>
      </c>
      <c r="B8478" t="s">
        <v>491</v>
      </c>
      <c r="C8478" t="s">
        <v>492</v>
      </c>
      <c r="D8478" t="s">
        <v>387</v>
      </c>
      <c r="E8478" t="s">
        <v>393</v>
      </c>
      <c r="F8478">
        <v>3</v>
      </c>
      <c r="G8478" t="s">
        <v>498</v>
      </c>
      <c r="H8478" s="4">
        <v>97100903</v>
      </c>
      <c r="I8478" s="4">
        <v>90221930</v>
      </c>
      <c r="J8478" s="3">
        <v>0.07084355332926204</v>
      </c>
      <c r="K8478" s="3">
        <v>0.07624502158178173</v>
      </c>
      <c r="L8478" t="s">
        <v>377</v>
      </c>
    </row>
    <row r="8479" spans="1:12" x14ac:dyDescent="0.25">
      <c r="A8479" t="s">
        <v>490</v>
      </c>
      <c r="B8479" t="s">
        <v>491</v>
      </c>
      <c r="C8479" t="s">
        <v>492</v>
      </c>
      <c r="D8479" t="s">
        <v>387</v>
      </c>
      <c r="E8479" t="s">
        <v>393</v>
      </c>
      <c r="F8479">
        <v>3</v>
      </c>
      <c r="G8479" t="s">
        <v>499</v>
      </c>
      <c r="H8479" s="4">
        <v>97100903</v>
      </c>
      <c r="I8479" s="4">
        <v>96081878</v>
      </c>
      <c r="J8479" s="3">
        <v>0.010494495607316854</v>
      </c>
      <c r="K8479" s="3">
        <v>0.010605798108983674</v>
      </c>
      <c r="L8479" t="s">
        <v>377</v>
      </c>
    </row>
    <row r="8480" spans="1:12" x14ac:dyDescent="0.25">
      <c r="A8480" t="s">
        <v>490</v>
      </c>
      <c r="B8480" t="s">
        <v>491</v>
      </c>
      <c r="C8480" t="s">
        <v>492</v>
      </c>
      <c r="D8480" t="s">
        <v>389</v>
      </c>
      <c r="E8480" t="s">
        <v>391</v>
      </c>
      <c r="F8480">
        <v>1</v>
      </c>
      <c r="G8480" t="s">
        <v>488</v>
      </c>
      <c r="H8480" s="4">
        <v>82728676</v>
      </c>
      <c r="I8480" s="4">
        <v>88698341.85906136</v>
      </c>
      <c r="J8480" s="3">
        <v>0.07215957208189044</v>
      </c>
      <c r="K8480" s="3">
        <v>-0.06730301529815468</v>
      </c>
      <c r="L8480" t="s">
        <v>377</v>
      </c>
    </row>
    <row r="8481" spans="1:12" x14ac:dyDescent="0.25">
      <c r="A8481" t="s">
        <v>490</v>
      </c>
      <c r="B8481" t="s">
        <v>491</v>
      </c>
      <c r="C8481" t="s">
        <v>492</v>
      </c>
      <c r="D8481" t="s">
        <v>389</v>
      </c>
      <c r="E8481" t="s">
        <v>391</v>
      </c>
      <c r="F8481">
        <v>1</v>
      </c>
      <c r="G8481" t="s">
        <v>498</v>
      </c>
      <c r="H8481" s="4">
        <v>82728676</v>
      </c>
      <c r="I8481" s="4">
        <v>94543571</v>
      </c>
      <c r="J8481" s="3">
        <v>0.14281498956903407</v>
      </c>
      <c r="K8481" s="3">
        <v>-0.12496772519836383</v>
      </c>
      <c r="L8481" t="s">
        <v>377</v>
      </c>
    </row>
    <row r="8482" spans="1:12" x14ac:dyDescent="0.25">
      <c r="A8482" t="s">
        <v>490</v>
      </c>
      <c r="B8482" t="s">
        <v>491</v>
      </c>
      <c r="C8482" t="s">
        <v>492</v>
      </c>
      <c r="D8482" t="s">
        <v>389</v>
      </c>
      <c r="E8482" t="s">
        <v>391</v>
      </c>
      <c r="F8482">
        <v>1</v>
      </c>
      <c r="G8482" t="s">
        <v>499</v>
      </c>
      <c r="H8482" s="4">
        <v>82728676</v>
      </c>
      <c r="I8482" s="4">
        <v>97425988</v>
      </c>
      <c r="J8482" s="3">
        <v>0.17765680185671048</v>
      </c>
      <c r="K8482" s="3">
        <v>-0.15085617607490928</v>
      </c>
      <c r="L8482" t="s">
        <v>377</v>
      </c>
    </row>
    <row r="8483" spans="1:12" x14ac:dyDescent="0.25">
      <c r="A8483" t="s">
        <v>490</v>
      </c>
      <c r="B8483" t="s">
        <v>491</v>
      </c>
      <c r="C8483" t="s">
        <v>492</v>
      </c>
      <c r="D8483" t="s">
        <v>389</v>
      </c>
      <c r="E8483" t="s">
        <v>393</v>
      </c>
      <c r="F8483">
        <v>2</v>
      </c>
      <c r="G8483" t="s">
        <v>488</v>
      </c>
      <c r="H8483" s="4">
        <v>97100903</v>
      </c>
      <c r="I8483" s="4">
        <v>84643889.64453547</v>
      </c>
      <c r="J8483" s="3">
        <v>0.12828936673703778</v>
      </c>
      <c r="K8483" s="3">
        <v>0.14716967057844496</v>
      </c>
      <c r="L8483" t="s">
        <v>377</v>
      </c>
    </row>
    <row r="8484" spans="1:12" x14ac:dyDescent="0.25">
      <c r="A8484" t="s">
        <v>490</v>
      </c>
      <c r="B8484" t="s">
        <v>491</v>
      </c>
      <c r="C8484" t="s">
        <v>492</v>
      </c>
      <c r="D8484" t="s">
        <v>389</v>
      </c>
      <c r="E8484" t="s">
        <v>393</v>
      </c>
      <c r="F8484">
        <v>2</v>
      </c>
      <c r="G8484" t="s">
        <v>498</v>
      </c>
      <c r="H8484" s="4">
        <v>97100903</v>
      </c>
      <c r="I8484" s="4">
        <v>90221930</v>
      </c>
      <c r="J8484" s="3">
        <v>0.07084355332926204</v>
      </c>
      <c r="K8484" s="3">
        <v>0.07624502158178173</v>
      </c>
      <c r="L8484" t="s">
        <v>377</v>
      </c>
    </row>
    <row r="8485" spans="1:12" x14ac:dyDescent="0.25">
      <c r="A8485" t="s">
        <v>490</v>
      </c>
      <c r="B8485" t="s">
        <v>491</v>
      </c>
      <c r="C8485" t="s">
        <v>492</v>
      </c>
      <c r="D8485" t="s">
        <v>389</v>
      </c>
      <c r="E8485" t="s">
        <v>393</v>
      </c>
      <c r="F8485">
        <v>2</v>
      </c>
      <c r="G8485" t="s">
        <v>499</v>
      </c>
      <c r="H8485" s="4">
        <v>97100903</v>
      </c>
      <c r="I8485" s="4">
        <v>97425988</v>
      </c>
      <c r="J8485" s="3">
        <v>0.0033479091332446207</v>
      </c>
      <c r="K8485" s="3">
        <v>-0.003336738037493651</v>
      </c>
      <c r="L8485" t="s">
        <v>377</v>
      </c>
    </row>
    <row r="8486" spans="1:12" x14ac:dyDescent="0.25">
      <c r="A8486" t="s">
        <v>490</v>
      </c>
      <c r="B8486" t="s">
        <v>491</v>
      </c>
      <c r="C8486" t="s">
        <v>492</v>
      </c>
      <c r="D8486" t="s">
        <v>389</v>
      </c>
      <c r="E8486" t="s">
        <v>395</v>
      </c>
      <c r="F8486">
        <v>3</v>
      </c>
      <c r="G8486" t="s">
        <v>488</v>
      </c>
      <c r="H8486" s="4">
        <v>77691260</v>
      </c>
      <c r="I8486" s="4">
        <v>82336154.60266735</v>
      </c>
      <c r="J8486" s="3">
        <v>0.05978657834442828</v>
      </c>
      <c r="K8486" s="3">
        <v>-0.056413790819869934</v>
      </c>
      <c r="L8486" t="s">
        <v>377</v>
      </c>
    </row>
    <row r="8487" spans="1:12" x14ac:dyDescent="0.25">
      <c r="A8487" t="s">
        <v>490</v>
      </c>
      <c r="B8487" t="s">
        <v>491</v>
      </c>
      <c r="C8487" t="s">
        <v>492</v>
      </c>
      <c r="D8487" t="s">
        <v>389</v>
      </c>
      <c r="E8487" t="s">
        <v>395</v>
      </c>
      <c r="F8487">
        <v>3</v>
      </c>
      <c r="G8487" t="s">
        <v>498</v>
      </c>
      <c r="H8487" s="4">
        <v>77691260</v>
      </c>
      <c r="I8487" s="4">
        <v>87762115</v>
      </c>
      <c r="J8487" s="3">
        <v>0.12962661437077994</v>
      </c>
      <c r="K8487" s="3">
        <v>-0.11475173541567452</v>
      </c>
      <c r="L8487" t="s">
        <v>377</v>
      </c>
    </row>
    <row r="8488" spans="1:12" x14ac:dyDescent="0.25">
      <c r="A8488" t="s">
        <v>490</v>
      </c>
      <c r="B8488" t="s">
        <v>491</v>
      </c>
      <c r="C8488" t="s">
        <v>492</v>
      </c>
      <c r="D8488" t="s">
        <v>389</v>
      </c>
      <c r="E8488" t="s">
        <v>395</v>
      </c>
      <c r="F8488">
        <v>3</v>
      </c>
      <c r="G8488" t="s">
        <v>499</v>
      </c>
      <c r="H8488" s="4">
        <v>77691260</v>
      </c>
      <c r="I8488" s="4">
        <v>97425988</v>
      </c>
      <c r="J8488" s="3">
        <v>0.25401477592202776</v>
      </c>
      <c r="K8488" s="3">
        <v>-0.20256123037725826</v>
      </c>
      <c r="L8488" t="s">
        <v>377</v>
      </c>
    </row>
    <row r="8489" spans="1:12" x14ac:dyDescent="0.25">
      <c r="A8489" t="s">
        <v>490</v>
      </c>
      <c r="B8489" t="s">
        <v>491</v>
      </c>
      <c r="C8489" t="s">
        <v>492</v>
      </c>
      <c r="D8489" t="s">
        <v>391</v>
      </c>
      <c r="E8489" t="s">
        <v>393</v>
      </c>
      <c r="F8489">
        <v>1</v>
      </c>
      <c r="G8489" t="s">
        <v>488</v>
      </c>
      <c r="H8489" s="4">
        <v>97100903</v>
      </c>
      <c r="I8489" s="4">
        <v>84479179.97431922</v>
      </c>
      <c r="J8489" s="3">
        <v>0.1299856400478663</v>
      </c>
      <c r="K8489" s="3">
        <v>0.14940631560956974</v>
      </c>
      <c r="L8489" t="s">
        <v>377</v>
      </c>
    </row>
    <row r="8490" spans="1:12" x14ac:dyDescent="0.25">
      <c r="A8490" t="s">
        <v>490</v>
      </c>
      <c r="B8490" t="s">
        <v>491</v>
      </c>
      <c r="C8490" t="s">
        <v>492</v>
      </c>
      <c r="D8490" t="s">
        <v>391</v>
      </c>
      <c r="E8490" t="s">
        <v>393</v>
      </c>
      <c r="F8490">
        <v>1</v>
      </c>
      <c r="G8490" t="s">
        <v>498</v>
      </c>
      <c r="H8490" s="4">
        <v>97100903</v>
      </c>
      <c r="I8490" s="4">
        <v>90221930</v>
      </c>
      <c r="J8490" s="3">
        <v>0.07084355332926204</v>
      </c>
      <c r="K8490" s="3">
        <v>0.07624502158178173</v>
      </c>
      <c r="L8490" t="s">
        <v>377</v>
      </c>
    </row>
    <row r="8491" spans="1:12" x14ac:dyDescent="0.25">
      <c r="A8491" t="s">
        <v>490</v>
      </c>
      <c r="B8491" t="s">
        <v>491</v>
      </c>
      <c r="C8491" t="s">
        <v>492</v>
      </c>
      <c r="D8491" t="s">
        <v>391</v>
      </c>
      <c r="E8491" t="s">
        <v>393</v>
      </c>
      <c r="F8491">
        <v>1</v>
      </c>
      <c r="G8491" t="s">
        <v>499</v>
      </c>
      <c r="H8491" s="4">
        <v>97100903</v>
      </c>
      <c r="I8491" s="4">
        <v>82728676</v>
      </c>
      <c r="J8491" s="3">
        <v>0.14801331971135223</v>
      </c>
      <c r="K8491" s="3">
        <v>0.17372726961084206</v>
      </c>
      <c r="L8491" t="s">
        <v>377</v>
      </c>
    </row>
    <row r="8492" spans="1:12" x14ac:dyDescent="0.25">
      <c r="A8492" t="s">
        <v>490</v>
      </c>
      <c r="B8492" t="s">
        <v>491</v>
      </c>
      <c r="C8492" t="s">
        <v>492</v>
      </c>
      <c r="D8492" t="s">
        <v>391</v>
      </c>
      <c r="E8492" t="s">
        <v>395</v>
      </c>
      <c r="F8492">
        <v>2</v>
      </c>
      <c r="G8492" t="s">
        <v>488</v>
      </c>
      <c r="H8492" s="4">
        <v>77691260</v>
      </c>
      <c r="I8492" s="4">
        <v>82175935.58475086</v>
      </c>
      <c r="J8492" s="3">
        <v>0.05772432555155961</v>
      </c>
      <c r="K8492" s="3">
        <v>-0.05457407394073002</v>
      </c>
      <c r="L8492" t="s">
        <v>377</v>
      </c>
    </row>
    <row r="8493" spans="1:12" x14ac:dyDescent="0.25">
      <c r="A8493" t="s">
        <v>490</v>
      </c>
      <c r="B8493" t="s">
        <v>491</v>
      </c>
      <c r="C8493" t="s">
        <v>492</v>
      </c>
      <c r="D8493" t="s">
        <v>391</v>
      </c>
      <c r="E8493" t="s">
        <v>395</v>
      </c>
      <c r="F8493">
        <v>2</v>
      </c>
      <c r="G8493" t="s">
        <v>498</v>
      </c>
      <c r="H8493" s="4">
        <v>77691260</v>
      </c>
      <c r="I8493" s="4">
        <v>87762115</v>
      </c>
      <c r="J8493" s="3">
        <v>0.12962661437077994</v>
      </c>
      <c r="K8493" s="3">
        <v>-0.11475173541567452</v>
      </c>
      <c r="L8493" t="s">
        <v>377</v>
      </c>
    </row>
    <row r="8494" spans="1:12" x14ac:dyDescent="0.25">
      <c r="A8494" t="s">
        <v>490</v>
      </c>
      <c r="B8494" t="s">
        <v>491</v>
      </c>
      <c r="C8494" t="s">
        <v>492</v>
      </c>
      <c r="D8494" t="s">
        <v>391</v>
      </c>
      <c r="E8494" t="s">
        <v>395</v>
      </c>
      <c r="F8494">
        <v>2</v>
      </c>
      <c r="G8494" t="s">
        <v>499</v>
      </c>
      <c r="H8494" s="4">
        <v>77691260</v>
      </c>
      <c r="I8494" s="4">
        <v>82728676</v>
      </c>
      <c r="J8494" s="3">
        <v>0.06483890208499643</v>
      </c>
      <c r="K8494" s="3">
        <v>-0.06089080888953185</v>
      </c>
      <c r="L8494" t="s">
        <v>377</v>
      </c>
    </row>
    <row r="8495" spans="1:12" x14ac:dyDescent="0.25">
      <c r="A8495" t="s">
        <v>490</v>
      </c>
      <c r="B8495" t="s">
        <v>491</v>
      </c>
      <c r="C8495" t="s">
        <v>492</v>
      </c>
      <c r="D8495" t="s">
        <v>391</v>
      </c>
      <c r="E8495" t="s">
        <v>397</v>
      </c>
      <c r="F8495">
        <v>3</v>
      </c>
      <c r="G8495" t="s">
        <v>488</v>
      </c>
      <c r="H8495" s="4">
        <v>71270391</v>
      </c>
      <c r="I8495" s="4">
        <v>62469005.92463776</v>
      </c>
      <c r="J8495" s="3">
        <v>0.12349286922478428</v>
      </c>
      <c r="K8495" s="3">
        <v>0.14089203029707537</v>
      </c>
      <c r="L8495" t="s">
        <v>377</v>
      </c>
    </row>
    <row r="8496" spans="1:12" x14ac:dyDescent="0.25">
      <c r="A8496" t="s">
        <v>490</v>
      </c>
      <c r="B8496" t="s">
        <v>491</v>
      </c>
      <c r="C8496" t="s">
        <v>492</v>
      </c>
      <c r="D8496" t="s">
        <v>391</v>
      </c>
      <c r="E8496" t="s">
        <v>397</v>
      </c>
      <c r="F8496">
        <v>3</v>
      </c>
      <c r="G8496" t="s">
        <v>498</v>
      </c>
      <c r="H8496" s="4">
        <v>71270391</v>
      </c>
      <c r="I8496" s="4">
        <v>66715542</v>
      </c>
      <c r="J8496" s="3">
        <v>0.06390941506129803</v>
      </c>
      <c r="K8496" s="3">
        <v>0.06827268224846318</v>
      </c>
      <c r="L8496" t="s">
        <v>377</v>
      </c>
    </row>
    <row r="8497" spans="1:12" x14ac:dyDescent="0.25">
      <c r="A8497" t="s">
        <v>490</v>
      </c>
      <c r="B8497" t="s">
        <v>491</v>
      </c>
      <c r="C8497" t="s">
        <v>492</v>
      </c>
      <c r="D8497" t="s">
        <v>391</v>
      </c>
      <c r="E8497" t="s">
        <v>397</v>
      </c>
      <c r="F8497">
        <v>3</v>
      </c>
      <c r="G8497" t="s">
        <v>499</v>
      </c>
      <c r="H8497" s="4">
        <v>71270391</v>
      </c>
      <c r="I8497" s="4">
        <v>82728676</v>
      </c>
      <c r="J8497" s="3">
        <v>0.16077202382683714</v>
      </c>
      <c r="K8497" s="3">
        <v>-0.13850439235846104</v>
      </c>
      <c r="L8497" t="s">
        <v>377</v>
      </c>
    </row>
    <row r="8498" spans="1:12" x14ac:dyDescent="0.25">
      <c r="A8498" t="s">
        <v>490</v>
      </c>
      <c r="B8498" t="s">
        <v>491</v>
      </c>
      <c r="C8498" t="s">
        <v>492</v>
      </c>
      <c r="D8498" t="s">
        <v>393</v>
      </c>
      <c r="E8498" t="s">
        <v>395</v>
      </c>
      <c r="F8498">
        <v>1</v>
      </c>
      <c r="G8498" t="s">
        <v>488</v>
      </c>
      <c r="H8498" s="4">
        <v>77691260</v>
      </c>
      <c r="I8498" s="4">
        <v>82557346.21283583</v>
      </c>
      <c r="J8498" s="3">
        <v>0.06263363746238423</v>
      </c>
      <c r="K8498" s="3">
        <v>-0.058941892345847534</v>
      </c>
      <c r="L8498" t="s">
        <v>377</v>
      </c>
    </row>
    <row r="8499" spans="1:12" x14ac:dyDescent="0.25">
      <c r="A8499" t="s">
        <v>490</v>
      </c>
      <c r="B8499" t="s">
        <v>491</v>
      </c>
      <c r="C8499" t="s">
        <v>492</v>
      </c>
      <c r="D8499" t="s">
        <v>393</v>
      </c>
      <c r="E8499" t="s">
        <v>395</v>
      </c>
      <c r="F8499">
        <v>1</v>
      </c>
      <c r="G8499" t="s">
        <v>498</v>
      </c>
      <c r="H8499" s="4">
        <v>77691260</v>
      </c>
      <c r="I8499" s="4">
        <v>87762115</v>
      </c>
      <c r="J8499" s="3">
        <v>0.12962661437077994</v>
      </c>
      <c r="K8499" s="3">
        <v>-0.11475173541567452</v>
      </c>
      <c r="L8499" t="s">
        <v>377</v>
      </c>
    </row>
    <row r="8500" spans="1:12" x14ac:dyDescent="0.25">
      <c r="A8500" t="s">
        <v>490</v>
      </c>
      <c r="B8500" t="s">
        <v>491</v>
      </c>
      <c r="C8500" t="s">
        <v>492</v>
      </c>
      <c r="D8500" t="s">
        <v>393</v>
      </c>
      <c r="E8500" t="s">
        <v>395</v>
      </c>
      <c r="F8500">
        <v>1</v>
      </c>
      <c r="G8500" t="s">
        <v>499</v>
      </c>
      <c r="H8500" s="4">
        <v>77691260</v>
      </c>
      <c r="I8500" s="4">
        <v>97100903</v>
      </c>
      <c r="J8500" s="3">
        <v>0.24983045711962967</v>
      </c>
      <c r="K8500" s="3">
        <v>-0.19989147783723493</v>
      </c>
      <c r="L8500" t="s">
        <v>377</v>
      </c>
    </row>
    <row r="8501" spans="1:12" x14ac:dyDescent="0.25">
      <c r="A8501" t="s">
        <v>490</v>
      </c>
      <c r="B8501" t="s">
        <v>491</v>
      </c>
      <c r="C8501" t="s">
        <v>492</v>
      </c>
      <c r="D8501" t="s">
        <v>393</v>
      </c>
      <c r="E8501" t="s">
        <v>397</v>
      </c>
      <c r="F8501">
        <v>2</v>
      </c>
      <c r="G8501" t="s">
        <v>488</v>
      </c>
      <c r="H8501" s="4">
        <v>71270391</v>
      </c>
      <c r="I8501" s="4">
        <v>62758948.9914981</v>
      </c>
      <c r="J8501" s="3">
        <v>0.11942465712727607</v>
      </c>
      <c r="K8501" s="3">
        <v>0.13562116869826707</v>
      </c>
      <c r="L8501" t="s">
        <v>377</v>
      </c>
    </row>
    <row r="8502" spans="1:12" x14ac:dyDescent="0.25">
      <c r="A8502" t="s">
        <v>490</v>
      </c>
      <c r="B8502" t="s">
        <v>491</v>
      </c>
      <c r="C8502" t="s">
        <v>492</v>
      </c>
      <c r="D8502" t="s">
        <v>393</v>
      </c>
      <c r="E8502" t="s">
        <v>397</v>
      </c>
      <c r="F8502">
        <v>2</v>
      </c>
      <c r="G8502" t="s">
        <v>498</v>
      </c>
      <c r="H8502" s="4">
        <v>71270391</v>
      </c>
      <c r="I8502" s="4">
        <v>66715542</v>
      </c>
      <c r="J8502" s="3">
        <v>0.06390941506129803</v>
      </c>
      <c r="K8502" s="3">
        <v>0.06827268224846318</v>
      </c>
      <c r="L8502" t="s">
        <v>377</v>
      </c>
    </row>
    <row r="8503" spans="1:12" x14ac:dyDescent="0.25">
      <c r="A8503" t="s">
        <v>490</v>
      </c>
      <c r="B8503" t="s">
        <v>491</v>
      </c>
      <c r="C8503" t="s">
        <v>492</v>
      </c>
      <c r="D8503" t="s">
        <v>393</v>
      </c>
      <c r="E8503" t="s">
        <v>397</v>
      </c>
      <c r="F8503">
        <v>2</v>
      </c>
      <c r="G8503" t="s">
        <v>499</v>
      </c>
      <c r="H8503" s="4">
        <v>71270391</v>
      </c>
      <c r="I8503" s="4">
        <v>97100903</v>
      </c>
      <c r="J8503" s="3">
        <v>0.3624297781669249</v>
      </c>
      <c r="K8503" s="3">
        <v>-0.2660172171622338</v>
      </c>
      <c r="L8503" t="s">
        <v>377</v>
      </c>
    </row>
    <row r="8504" spans="1:12" x14ac:dyDescent="0.25">
      <c r="A8504" t="s">
        <v>490</v>
      </c>
      <c r="B8504" t="s">
        <v>491</v>
      </c>
      <c r="C8504" t="s">
        <v>492</v>
      </c>
      <c r="D8504" t="s">
        <v>393</v>
      </c>
      <c r="E8504" t="s">
        <v>399</v>
      </c>
      <c r="F8504">
        <v>3</v>
      </c>
      <c r="G8504" t="s">
        <v>488</v>
      </c>
      <c r="H8504" s="4">
        <v>70031504</v>
      </c>
      <c r="I8504" s="4">
        <v>61555464.79129605</v>
      </c>
      <c r="J8504" s="3">
        <v>0.12103180318252126</v>
      </c>
      <c r="K8504" s="3">
        <v>0.13769759090345562</v>
      </c>
      <c r="L8504" t="s">
        <v>377</v>
      </c>
    </row>
    <row r="8505" spans="1:12" x14ac:dyDescent="0.25">
      <c r="A8505" t="s">
        <v>490</v>
      </c>
      <c r="B8505" t="s">
        <v>491</v>
      </c>
      <c r="C8505" t="s">
        <v>492</v>
      </c>
      <c r="D8505" t="s">
        <v>393</v>
      </c>
      <c r="E8505" t="s">
        <v>399</v>
      </c>
      <c r="F8505">
        <v>3</v>
      </c>
      <c r="G8505" t="s">
        <v>498</v>
      </c>
      <c r="H8505" s="4">
        <v>70031504</v>
      </c>
      <c r="I8505" s="4">
        <v>65436185</v>
      </c>
      <c r="J8505" s="3">
        <v>0.06561788248900095</v>
      </c>
      <c r="K8505" s="3">
        <v>0.07022596136984453</v>
      </c>
      <c r="L8505" t="s">
        <v>377</v>
      </c>
    </row>
    <row r="8506" spans="1:12" x14ac:dyDescent="0.25">
      <c r="A8506" t="s">
        <v>490</v>
      </c>
      <c r="B8506" t="s">
        <v>491</v>
      </c>
      <c r="C8506" t="s">
        <v>492</v>
      </c>
      <c r="D8506" t="s">
        <v>393</v>
      </c>
      <c r="E8506" t="s">
        <v>399</v>
      </c>
      <c r="F8506">
        <v>3</v>
      </c>
      <c r="G8506" t="s">
        <v>499</v>
      </c>
      <c r="H8506" s="4">
        <v>70031504</v>
      </c>
      <c r="I8506" s="4">
        <v>97100903</v>
      </c>
      <c r="J8506" s="3">
        <v>0.38653173863008855</v>
      </c>
      <c r="K8506" s="3">
        <v>-0.278775975955651</v>
      </c>
      <c r="L8506" t="s">
        <v>377</v>
      </c>
    </row>
    <row r="8507" spans="1:12" x14ac:dyDescent="0.25">
      <c r="A8507" t="s">
        <v>490</v>
      </c>
      <c r="B8507" t="s">
        <v>491</v>
      </c>
      <c r="C8507" t="s">
        <v>492</v>
      </c>
      <c r="D8507" t="s">
        <v>395</v>
      </c>
      <c r="E8507" t="s">
        <v>397</v>
      </c>
      <c r="F8507">
        <v>1</v>
      </c>
      <c r="G8507" t="s">
        <v>488</v>
      </c>
      <c r="H8507" s="4">
        <v>71270391</v>
      </c>
      <c r="I8507" s="4">
        <v>62675555.20648064</v>
      </c>
      <c r="J8507" s="3">
        <v>0.12059476134373057</v>
      </c>
      <c r="K8507" s="3">
        <v>0.13713218439316927</v>
      </c>
      <c r="L8507" t="s">
        <v>377</v>
      </c>
    </row>
    <row r="8508" spans="1:12" x14ac:dyDescent="0.25">
      <c r="A8508" t="s">
        <v>490</v>
      </c>
      <c r="B8508" t="s">
        <v>491</v>
      </c>
      <c r="C8508" t="s">
        <v>492</v>
      </c>
      <c r="D8508" t="s">
        <v>395</v>
      </c>
      <c r="E8508" t="s">
        <v>397</v>
      </c>
      <c r="F8508">
        <v>1</v>
      </c>
      <c r="G8508" t="s">
        <v>498</v>
      </c>
      <c r="H8508" s="4">
        <v>71270391</v>
      </c>
      <c r="I8508" s="4">
        <v>66715542</v>
      </c>
      <c r="J8508" s="3">
        <v>0.06390941506129803</v>
      </c>
      <c r="K8508" s="3">
        <v>0.06827268224846318</v>
      </c>
      <c r="L8508" t="s">
        <v>377</v>
      </c>
    </row>
    <row r="8509" spans="1:12" x14ac:dyDescent="0.25">
      <c r="A8509" t="s">
        <v>490</v>
      </c>
      <c r="B8509" t="s">
        <v>491</v>
      </c>
      <c r="C8509" t="s">
        <v>492</v>
      </c>
      <c r="D8509" t="s">
        <v>395</v>
      </c>
      <c r="E8509" t="s">
        <v>397</v>
      </c>
      <c r="F8509">
        <v>1</v>
      </c>
      <c r="G8509" t="s">
        <v>499</v>
      </c>
      <c r="H8509" s="4">
        <v>71270391</v>
      </c>
      <c r="I8509" s="4">
        <v>77691260</v>
      </c>
      <c r="J8509" s="3">
        <v>0.0900916763596821</v>
      </c>
      <c r="K8509" s="3">
        <v>-0.0826459630079368</v>
      </c>
      <c r="L8509" t="s">
        <v>377</v>
      </c>
    </row>
    <row r="8510" spans="1:12" x14ac:dyDescent="0.25">
      <c r="A8510" t="s">
        <v>490</v>
      </c>
      <c r="B8510" t="s">
        <v>491</v>
      </c>
      <c r="C8510" t="s">
        <v>492</v>
      </c>
      <c r="D8510" t="s">
        <v>395</v>
      </c>
      <c r="E8510" t="s">
        <v>399</v>
      </c>
      <c r="F8510">
        <v>2</v>
      </c>
      <c r="G8510" t="s">
        <v>488</v>
      </c>
      <c r="H8510" s="4">
        <v>70031504</v>
      </c>
      <c r="I8510" s="4">
        <v>61473670.19020815</v>
      </c>
      <c r="J8510" s="3">
        <v>0.122199771831144</v>
      </c>
      <c r="K8510" s="3">
        <v>0.1392113694092562</v>
      </c>
      <c r="L8510" t="s">
        <v>377</v>
      </c>
    </row>
    <row r="8511" spans="1:12" x14ac:dyDescent="0.25">
      <c r="A8511" t="s">
        <v>490</v>
      </c>
      <c r="B8511" t="s">
        <v>491</v>
      </c>
      <c r="C8511" t="s">
        <v>492</v>
      </c>
      <c r="D8511" t="s">
        <v>395</v>
      </c>
      <c r="E8511" t="s">
        <v>399</v>
      </c>
      <c r="F8511">
        <v>2</v>
      </c>
      <c r="G8511" t="s">
        <v>498</v>
      </c>
      <c r="H8511" s="4">
        <v>70031504</v>
      </c>
      <c r="I8511" s="4">
        <v>65436185</v>
      </c>
      <c r="J8511" s="3">
        <v>0.06561788248900095</v>
      </c>
      <c r="K8511" s="3">
        <v>0.07022596136984453</v>
      </c>
      <c r="L8511" t="s">
        <v>377</v>
      </c>
    </row>
    <row r="8512" spans="1:12" x14ac:dyDescent="0.25">
      <c r="A8512" t="s">
        <v>490</v>
      </c>
      <c r="B8512" t="s">
        <v>491</v>
      </c>
      <c r="C8512" t="s">
        <v>492</v>
      </c>
      <c r="D8512" t="s">
        <v>395</v>
      </c>
      <c r="E8512" t="s">
        <v>399</v>
      </c>
      <c r="F8512">
        <v>2</v>
      </c>
      <c r="G8512" t="s">
        <v>499</v>
      </c>
      <c r="H8512" s="4">
        <v>70031504</v>
      </c>
      <c r="I8512" s="4">
        <v>77691260</v>
      </c>
      <c r="J8512" s="3">
        <v>0.10937586032708936</v>
      </c>
      <c r="K8512" s="3">
        <v>-0.0985922483429925</v>
      </c>
      <c r="L8512" t="s">
        <v>377</v>
      </c>
    </row>
    <row r="8513" spans="1:12" x14ac:dyDescent="0.25">
      <c r="A8513" t="s">
        <v>490</v>
      </c>
      <c r="B8513" t="s">
        <v>491</v>
      </c>
      <c r="C8513" t="s">
        <v>492</v>
      </c>
      <c r="D8513" t="s">
        <v>395</v>
      </c>
      <c r="E8513" t="s">
        <v>401</v>
      </c>
      <c r="F8513">
        <v>3</v>
      </c>
      <c r="G8513" t="s">
        <v>488</v>
      </c>
      <c r="H8513" s="4">
        <v>67820338</v>
      </c>
      <c r="I8513" s="4">
        <v>61820872.94125343</v>
      </c>
      <c r="J8513" s="3">
        <v>0.08846114949687466</v>
      </c>
      <c r="K8513" s="3">
        <v>0.09704594537912277</v>
      </c>
      <c r="L8513" t="s">
        <v>377</v>
      </c>
    </row>
    <row r="8514" spans="1:12" x14ac:dyDescent="0.25">
      <c r="A8514" t="s">
        <v>490</v>
      </c>
      <c r="B8514" t="s">
        <v>491</v>
      </c>
      <c r="C8514" t="s">
        <v>492</v>
      </c>
      <c r="D8514" t="s">
        <v>395</v>
      </c>
      <c r="E8514" t="s">
        <v>401</v>
      </c>
      <c r="F8514">
        <v>3</v>
      </c>
      <c r="G8514" t="s">
        <v>498</v>
      </c>
      <c r="H8514" s="4">
        <v>67820338</v>
      </c>
      <c r="I8514" s="4">
        <v>65805768</v>
      </c>
      <c r="J8514" s="3">
        <v>0.029704511351742305</v>
      </c>
      <c r="K8514" s="3">
        <v>0.030613881749697078</v>
      </c>
      <c r="L8514" t="s">
        <v>377</v>
      </c>
    </row>
    <row r="8515" spans="1:12" x14ac:dyDescent="0.25">
      <c r="A8515" t="s">
        <v>490</v>
      </c>
      <c r="B8515" t="s">
        <v>491</v>
      </c>
      <c r="C8515" t="s">
        <v>492</v>
      </c>
      <c r="D8515" t="s">
        <v>395</v>
      </c>
      <c r="E8515" t="s">
        <v>401</v>
      </c>
      <c r="F8515">
        <v>3</v>
      </c>
      <c r="G8515" t="s">
        <v>499</v>
      </c>
      <c r="H8515" s="4">
        <v>67820338</v>
      </c>
      <c r="I8515" s="4">
        <v>77691260</v>
      </c>
      <c r="J8515" s="3">
        <v>0.14554516080412339</v>
      </c>
      <c r="K8515" s="3">
        <v>-0.12705318461819257</v>
      </c>
      <c r="L8515" t="s">
        <v>377</v>
      </c>
    </row>
    <row r="8516" spans="1:12" x14ac:dyDescent="0.25">
      <c r="A8516" t="s">
        <v>490</v>
      </c>
      <c r="B8516" t="s">
        <v>491</v>
      </c>
      <c r="C8516" t="s">
        <v>492</v>
      </c>
      <c r="D8516" t="s">
        <v>397</v>
      </c>
      <c r="E8516" t="s">
        <v>399</v>
      </c>
      <c r="F8516">
        <v>1</v>
      </c>
      <c r="G8516" t="s">
        <v>488</v>
      </c>
      <c r="H8516" s="4">
        <v>70031504</v>
      </c>
      <c r="I8516" s="4">
        <v>62741774.06219666</v>
      </c>
      <c r="J8516" s="3">
        <v>0.10409215169509058</v>
      </c>
      <c r="K8516" s="3">
        <v>0.11618622595173908</v>
      </c>
      <c r="L8516" t="s">
        <v>377</v>
      </c>
    </row>
    <row r="8517" spans="1:12" x14ac:dyDescent="0.25">
      <c r="A8517" t="s">
        <v>490</v>
      </c>
      <c r="B8517" t="s">
        <v>491</v>
      </c>
      <c r="C8517" t="s">
        <v>492</v>
      </c>
      <c r="D8517" t="s">
        <v>397</v>
      </c>
      <c r="E8517" t="s">
        <v>399</v>
      </c>
      <c r="F8517">
        <v>1</v>
      </c>
      <c r="G8517" t="s">
        <v>498</v>
      </c>
      <c r="H8517" s="4">
        <v>70031504</v>
      </c>
      <c r="I8517" s="4">
        <v>65436185</v>
      </c>
      <c r="J8517" s="3">
        <v>0.06561788248900095</v>
      </c>
      <c r="K8517" s="3">
        <v>0.07022596136984453</v>
      </c>
      <c r="L8517" t="s">
        <v>377</v>
      </c>
    </row>
    <row r="8518" spans="1:12" x14ac:dyDescent="0.25">
      <c r="A8518" t="s">
        <v>490</v>
      </c>
      <c r="B8518" t="s">
        <v>491</v>
      </c>
      <c r="C8518" t="s">
        <v>492</v>
      </c>
      <c r="D8518" t="s">
        <v>397</v>
      </c>
      <c r="E8518" t="s">
        <v>399</v>
      </c>
      <c r="F8518">
        <v>1</v>
      </c>
      <c r="G8518" t="s">
        <v>499</v>
      </c>
      <c r="H8518" s="4">
        <v>70031504</v>
      </c>
      <c r="I8518" s="4">
        <v>71270391</v>
      </c>
      <c r="J8518" s="3">
        <v>0.017690424012598672</v>
      </c>
      <c r="K8518" s="3">
        <v>-0.01738291291260069</v>
      </c>
      <c r="L8518" t="s">
        <v>377</v>
      </c>
    </row>
    <row r="8519" spans="1:12" x14ac:dyDescent="0.25">
      <c r="A8519" t="s">
        <v>490</v>
      </c>
      <c r="B8519" t="s">
        <v>491</v>
      </c>
      <c r="C8519" t="s">
        <v>492</v>
      </c>
      <c r="D8519" t="s">
        <v>397</v>
      </c>
      <c r="E8519" t="s">
        <v>401</v>
      </c>
      <c r="F8519">
        <v>2</v>
      </c>
      <c r="G8519" t="s">
        <v>488</v>
      </c>
      <c r="H8519" s="4">
        <v>67820338</v>
      </c>
      <c r="I8519" s="4">
        <v>63096139.05280895</v>
      </c>
      <c r="J8519" s="3">
        <v>0.06965755533673472</v>
      </c>
      <c r="K8519" s="3">
        <v>0.07487302738503676</v>
      </c>
      <c r="L8519" t="s">
        <v>377</v>
      </c>
    </row>
    <row r="8520" spans="1:12" x14ac:dyDescent="0.25">
      <c r="A8520" t="s">
        <v>490</v>
      </c>
      <c r="B8520" t="s">
        <v>491</v>
      </c>
      <c r="C8520" t="s">
        <v>492</v>
      </c>
      <c r="D8520" t="s">
        <v>397</v>
      </c>
      <c r="E8520" t="s">
        <v>401</v>
      </c>
      <c r="F8520">
        <v>2</v>
      </c>
      <c r="G8520" t="s">
        <v>498</v>
      </c>
      <c r="H8520" s="4">
        <v>67820338</v>
      </c>
      <c r="I8520" s="4">
        <v>65805768</v>
      </c>
      <c r="J8520" s="3">
        <v>0.029704511351742305</v>
      </c>
      <c r="K8520" s="3">
        <v>0.030613881749697078</v>
      </c>
      <c r="L8520" t="s">
        <v>377</v>
      </c>
    </row>
    <row r="8521" spans="1:12" x14ac:dyDescent="0.25">
      <c r="A8521" t="s">
        <v>490</v>
      </c>
      <c r="B8521" t="s">
        <v>491</v>
      </c>
      <c r="C8521" t="s">
        <v>492</v>
      </c>
      <c r="D8521" t="s">
        <v>397</v>
      </c>
      <c r="E8521" t="s">
        <v>401</v>
      </c>
      <c r="F8521">
        <v>2</v>
      </c>
      <c r="G8521" t="s">
        <v>499</v>
      </c>
      <c r="H8521" s="4">
        <v>67820338</v>
      </c>
      <c r="I8521" s="4">
        <v>71270391</v>
      </c>
      <c r="J8521" s="3">
        <v>0.05087047782038479</v>
      </c>
      <c r="K8521" s="3">
        <v>-0.048407942647599615</v>
      </c>
      <c r="L8521" t="s">
        <v>377</v>
      </c>
    </row>
    <row r="8522" spans="1:12" x14ac:dyDescent="0.25">
      <c r="A8522" t="s">
        <v>490</v>
      </c>
      <c r="B8522" t="s">
        <v>491</v>
      </c>
      <c r="C8522" t="s">
        <v>492</v>
      </c>
      <c r="D8522" t="s">
        <v>397</v>
      </c>
      <c r="E8522" t="s">
        <v>403</v>
      </c>
      <c r="F8522">
        <v>3</v>
      </c>
      <c r="G8522" t="s">
        <v>488</v>
      </c>
      <c r="H8522" s="4">
        <v>67337516</v>
      </c>
      <c r="I8522" s="4">
        <v>61371082.65010588</v>
      </c>
      <c r="J8522" s="3">
        <v>0.08860489225492252</v>
      </c>
      <c r="K8522" s="3">
        <v>0.0972189684824442</v>
      </c>
      <c r="L8522" t="s">
        <v>377</v>
      </c>
    </row>
    <row r="8523" spans="1:12" x14ac:dyDescent="0.25">
      <c r="A8523" t="s">
        <v>490</v>
      </c>
      <c r="B8523" t="s">
        <v>491</v>
      </c>
      <c r="C8523" t="s">
        <v>492</v>
      </c>
      <c r="D8523" t="s">
        <v>397</v>
      </c>
      <c r="E8523" t="s">
        <v>403</v>
      </c>
      <c r="F8523">
        <v>3</v>
      </c>
      <c r="G8523" t="s">
        <v>498</v>
      </c>
      <c r="H8523" s="4">
        <v>67337516</v>
      </c>
      <c r="I8523" s="4">
        <v>64006630</v>
      </c>
      <c r="J8523" s="3">
        <v>0.04946553122036756</v>
      </c>
      <c r="K8523" s="3">
        <v>0.05203970276204199</v>
      </c>
      <c r="L8523" t="s">
        <v>377</v>
      </c>
    </row>
    <row r="8524" spans="1:12" x14ac:dyDescent="0.25">
      <c r="A8524" t="s">
        <v>490</v>
      </c>
      <c r="B8524" t="s">
        <v>491</v>
      </c>
      <c r="C8524" t="s">
        <v>492</v>
      </c>
      <c r="D8524" t="s">
        <v>397</v>
      </c>
      <c r="E8524" t="s">
        <v>403</v>
      </c>
      <c r="F8524">
        <v>3</v>
      </c>
      <c r="G8524" t="s">
        <v>499</v>
      </c>
      <c r="H8524" s="4">
        <v>67337516</v>
      </c>
      <c r="I8524" s="4">
        <v>71270391</v>
      </c>
      <c r="J8524" s="3">
        <v>0.05840540657900122</v>
      </c>
      <c r="K8524" s="3">
        <v>-0.055182452976861036</v>
      </c>
      <c r="L8524" t="s">
        <v>377</v>
      </c>
    </row>
    <row r="8525" spans="1:12" x14ac:dyDescent="0.25">
      <c r="A8525" t="s">
        <v>490</v>
      </c>
      <c r="B8525" t="s">
        <v>491</v>
      </c>
      <c r="C8525" t="s">
        <v>492</v>
      </c>
      <c r="D8525" t="s">
        <v>399</v>
      </c>
      <c r="E8525" t="s">
        <v>401</v>
      </c>
      <c r="F8525">
        <v>1</v>
      </c>
      <c r="G8525" t="s">
        <v>488</v>
      </c>
      <c r="H8525" s="4">
        <v>67820338</v>
      </c>
      <c r="I8525" s="4">
        <v>64032908.52619978</v>
      </c>
      <c r="J8525" s="3">
        <v>0.05584503978438178</v>
      </c>
      <c r="K8525" s="3">
        <v>0.05914817179123685</v>
      </c>
      <c r="L8525" t="s">
        <v>377</v>
      </c>
    </row>
    <row r="8526" spans="1:12" x14ac:dyDescent="0.25">
      <c r="A8526" t="s">
        <v>490</v>
      </c>
      <c r="B8526" t="s">
        <v>491</v>
      </c>
      <c r="C8526" t="s">
        <v>492</v>
      </c>
      <c r="D8526" t="s">
        <v>399</v>
      </c>
      <c r="E8526" t="s">
        <v>401</v>
      </c>
      <c r="F8526">
        <v>1</v>
      </c>
      <c r="G8526" t="s">
        <v>498</v>
      </c>
      <c r="H8526" s="4">
        <v>67820338</v>
      </c>
      <c r="I8526" s="4">
        <v>65805768</v>
      </c>
      <c r="J8526" s="3">
        <v>0.029704511351742305</v>
      </c>
      <c r="K8526" s="3">
        <v>0.030613881749697078</v>
      </c>
      <c r="L8526" t="s">
        <v>377</v>
      </c>
    </row>
    <row r="8527" spans="1:12" x14ac:dyDescent="0.25">
      <c r="A8527" t="s">
        <v>490</v>
      </c>
      <c r="B8527" t="s">
        <v>491</v>
      </c>
      <c r="C8527" t="s">
        <v>492</v>
      </c>
      <c r="D8527" t="s">
        <v>399</v>
      </c>
      <c r="E8527" t="s">
        <v>401</v>
      </c>
      <c r="F8527">
        <v>1</v>
      </c>
      <c r="G8527" t="s">
        <v>499</v>
      </c>
      <c r="H8527" s="4">
        <v>67820338</v>
      </c>
      <c r="I8527" s="4">
        <v>70031504</v>
      </c>
      <c r="J8527" s="3">
        <v>0.03260328782200997</v>
      </c>
      <c r="K8527" s="3">
        <v>-0.03157387566601454</v>
      </c>
      <c r="L8527" t="s">
        <v>377</v>
      </c>
    </row>
    <row r="8528" spans="1:12" x14ac:dyDescent="0.25">
      <c r="A8528" t="s">
        <v>490</v>
      </c>
      <c r="B8528" t="s">
        <v>491</v>
      </c>
      <c r="C8528" t="s">
        <v>492</v>
      </c>
      <c r="D8528" t="s">
        <v>399</v>
      </c>
      <c r="E8528" t="s">
        <v>403</v>
      </c>
      <c r="F8528">
        <v>2</v>
      </c>
      <c r="G8528" t="s">
        <v>488</v>
      </c>
      <c r="H8528" s="4">
        <v>67337516</v>
      </c>
      <c r="I8528" s="4">
        <v>62282240.72789963</v>
      </c>
      <c r="J8528" s="3">
        <v>0.07507368213731505</v>
      </c>
      <c r="K8528" s="3">
        <v>0.08116720293006144</v>
      </c>
      <c r="L8528" t="s">
        <v>377</v>
      </c>
    </row>
    <row r="8529" spans="1:12" x14ac:dyDescent="0.25">
      <c r="A8529" t="s">
        <v>490</v>
      </c>
      <c r="B8529" t="s">
        <v>491</v>
      </c>
      <c r="C8529" t="s">
        <v>492</v>
      </c>
      <c r="D8529" t="s">
        <v>399</v>
      </c>
      <c r="E8529" t="s">
        <v>403</v>
      </c>
      <c r="F8529">
        <v>2</v>
      </c>
      <c r="G8529" t="s">
        <v>498</v>
      </c>
      <c r="H8529" s="4">
        <v>67337516</v>
      </c>
      <c r="I8529" s="4">
        <v>64006630</v>
      </c>
      <c r="J8529" s="3">
        <v>0.04946553122036756</v>
      </c>
      <c r="K8529" s="3">
        <v>0.05203970276204199</v>
      </c>
      <c r="L8529" t="s">
        <v>377</v>
      </c>
    </row>
    <row r="8530" spans="1:12" x14ac:dyDescent="0.25">
      <c r="A8530" t="s">
        <v>490</v>
      </c>
      <c r="B8530" t="s">
        <v>491</v>
      </c>
      <c r="C8530" t="s">
        <v>492</v>
      </c>
      <c r="D8530" t="s">
        <v>399</v>
      </c>
      <c r="E8530" t="s">
        <v>403</v>
      </c>
      <c r="F8530">
        <v>2</v>
      </c>
      <c r="G8530" t="s">
        <v>499</v>
      </c>
      <c r="H8530" s="4">
        <v>67337516</v>
      </c>
      <c r="I8530" s="4">
        <v>70031504</v>
      </c>
      <c r="J8530" s="3">
        <v>0.04000723757021272</v>
      </c>
      <c r="K8530" s="3">
        <v>-0.03846822995547832</v>
      </c>
      <c r="L8530" t="s">
        <v>377</v>
      </c>
    </row>
    <row r="8531" spans="1:12" x14ac:dyDescent="0.25">
      <c r="A8531" t="s">
        <v>490</v>
      </c>
      <c r="B8531" t="s">
        <v>491</v>
      </c>
      <c r="C8531" t="s">
        <v>492</v>
      </c>
      <c r="D8531" t="s">
        <v>399</v>
      </c>
      <c r="E8531" t="s">
        <v>405</v>
      </c>
      <c r="F8531">
        <v>3</v>
      </c>
      <c r="G8531" t="s">
        <v>488</v>
      </c>
      <c r="H8531" s="4">
        <v>93688210</v>
      </c>
      <c r="I8531" s="4">
        <v>74231404.88936049</v>
      </c>
      <c r="J8531" s="3">
        <v>0.20767613246789016</v>
      </c>
      <c r="K8531" s="3">
        <v>0.2621101559325093</v>
      </c>
      <c r="L8531" t="s">
        <v>377</v>
      </c>
    </row>
    <row r="8532" spans="1:12" x14ac:dyDescent="0.25">
      <c r="A8532" t="s">
        <v>490</v>
      </c>
      <c r="B8532" t="s">
        <v>491</v>
      </c>
      <c r="C8532" t="s">
        <v>492</v>
      </c>
      <c r="D8532" t="s">
        <v>399</v>
      </c>
      <c r="E8532" t="s">
        <v>405</v>
      </c>
      <c r="F8532">
        <v>3</v>
      </c>
      <c r="G8532" t="s">
        <v>498</v>
      </c>
      <c r="H8532" s="4">
        <v>93688210</v>
      </c>
      <c r="I8532" s="4">
        <v>76286627</v>
      </c>
      <c r="J8532" s="3">
        <v>0.18573930487091173</v>
      </c>
      <c r="K8532" s="3">
        <v>0.22810790939806527</v>
      </c>
      <c r="L8532" t="s">
        <v>377</v>
      </c>
    </row>
    <row r="8533" spans="1:12" x14ac:dyDescent="0.25">
      <c r="A8533" t="s">
        <v>490</v>
      </c>
      <c r="B8533" t="s">
        <v>491</v>
      </c>
      <c r="C8533" t="s">
        <v>492</v>
      </c>
      <c r="D8533" t="s">
        <v>399</v>
      </c>
      <c r="E8533" t="s">
        <v>405</v>
      </c>
      <c r="F8533">
        <v>3</v>
      </c>
      <c r="G8533" t="s">
        <v>499</v>
      </c>
      <c r="H8533" s="4">
        <v>93688210</v>
      </c>
      <c r="I8533" s="4">
        <v>70031504</v>
      </c>
      <c r="J8533" s="3">
        <v>0.25250462144596425</v>
      </c>
      <c r="K8533" s="3">
        <v>0.33780091314331906</v>
      </c>
      <c r="L8533" t="s">
        <v>377</v>
      </c>
    </row>
    <row r="8534" spans="1:12" x14ac:dyDescent="0.25">
      <c r="A8534" t="s">
        <v>490</v>
      </c>
      <c r="B8534" t="s">
        <v>491</v>
      </c>
      <c r="C8534" t="s">
        <v>492</v>
      </c>
      <c r="D8534" t="s">
        <v>401</v>
      </c>
      <c r="E8534" t="s">
        <v>403</v>
      </c>
      <c r="F8534">
        <v>1</v>
      </c>
      <c r="G8534" t="s">
        <v>488</v>
      </c>
      <c r="H8534" s="4">
        <v>67337516</v>
      </c>
      <c r="I8534" s="4">
        <v>62442530.55053755</v>
      </c>
      <c r="J8534" s="3">
        <v>0.07269328808420036</v>
      </c>
      <c r="K8534" s="3">
        <v>0.07839184937421328</v>
      </c>
      <c r="L8534" t="s">
        <v>377</v>
      </c>
    </row>
    <row r="8535" spans="1:12" x14ac:dyDescent="0.25">
      <c r="A8535" t="s">
        <v>490</v>
      </c>
      <c r="B8535" t="s">
        <v>491</v>
      </c>
      <c r="C8535" t="s">
        <v>492</v>
      </c>
      <c r="D8535" t="s">
        <v>401</v>
      </c>
      <c r="E8535" t="s">
        <v>403</v>
      </c>
      <c r="F8535">
        <v>1</v>
      </c>
      <c r="G8535" t="s">
        <v>498</v>
      </c>
      <c r="H8535" s="4">
        <v>67337516</v>
      </c>
      <c r="I8535" s="4">
        <v>64006630</v>
      </c>
      <c r="J8535" s="3">
        <v>0.04946553122036756</v>
      </c>
      <c r="K8535" s="3">
        <v>0.05203970276204199</v>
      </c>
      <c r="L8535" t="s">
        <v>377</v>
      </c>
    </row>
    <row r="8536" spans="1:12" x14ac:dyDescent="0.25">
      <c r="A8536" t="s">
        <v>490</v>
      </c>
      <c r="B8536" t="s">
        <v>491</v>
      </c>
      <c r="C8536" t="s">
        <v>492</v>
      </c>
      <c r="D8536" t="s">
        <v>401</v>
      </c>
      <c r="E8536" t="s">
        <v>403</v>
      </c>
      <c r="F8536">
        <v>1</v>
      </c>
      <c r="G8536" t="s">
        <v>499</v>
      </c>
      <c r="H8536" s="4">
        <v>67337516</v>
      </c>
      <c r="I8536" s="4">
        <v>67820338</v>
      </c>
      <c r="J8536" s="3">
        <v>0.007170178359415575</v>
      </c>
      <c r="K8536" s="3">
        <v>-0.007119132906710079</v>
      </c>
      <c r="L8536" t="s">
        <v>377</v>
      </c>
    </row>
    <row r="8537" spans="1:12" x14ac:dyDescent="0.25">
      <c r="A8537" t="s">
        <v>490</v>
      </c>
      <c r="B8537" t="s">
        <v>491</v>
      </c>
      <c r="C8537" t="s">
        <v>492</v>
      </c>
      <c r="D8537" t="s">
        <v>401</v>
      </c>
      <c r="E8537" t="s">
        <v>405</v>
      </c>
      <c r="F8537">
        <v>2</v>
      </c>
      <c r="G8537" t="s">
        <v>488</v>
      </c>
      <c r="H8537" s="4">
        <v>93688210</v>
      </c>
      <c r="I8537" s="4">
        <v>74422447.12844533</v>
      </c>
      <c r="J8537" s="3">
        <v>0.20563700460874076</v>
      </c>
      <c r="K8537" s="3">
        <v>0.2588703222604867</v>
      </c>
      <c r="L8537" t="s">
        <v>377</v>
      </c>
    </row>
    <row r="8538" spans="1:12" x14ac:dyDescent="0.25">
      <c r="A8538" t="s">
        <v>490</v>
      </c>
      <c r="B8538" t="s">
        <v>491</v>
      </c>
      <c r="C8538" t="s">
        <v>492</v>
      </c>
      <c r="D8538" t="s">
        <v>401</v>
      </c>
      <c r="E8538" t="s">
        <v>405</v>
      </c>
      <c r="F8538">
        <v>2</v>
      </c>
      <c r="G8538" t="s">
        <v>498</v>
      </c>
      <c r="H8538" s="4">
        <v>93688210</v>
      </c>
      <c r="I8538" s="4">
        <v>76286627</v>
      </c>
      <c r="J8538" s="3">
        <v>0.18573930487091173</v>
      </c>
      <c r="K8538" s="3">
        <v>0.22810790939806527</v>
      </c>
      <c r="L8538" t="s">
        <v>377</v>
      </c>
    </row>
    <row r="8539" spans="1:12" x14ac:dyDescent="0.25">
      <c r="A8539" t="s">
        <v>490</v>
      </c>
      <c r="B8539" t="s">
        <v>491</v>
      </c>
      <c r="C8539" t="s">
        <v>492</v>
      </c>
      <c r="D8539" t="s">
        <v>401</v>
      </c>
      <c r="E8539" t="s">
        <v>405</v>
      </c>
      <c r="F8539">
        <v>2</v>
      </c>
      <c r="G8539" t="s">
        <v>499</v>
      </c>
      <c r="H8539" s="4">
        <v>93688210</v>
      </c>
      <c r="I8539" s="4">
        <v>67820338</v>
      </c>
      <c r="J8539" s="3">
        <v>0.2761059475893498</v>
      </c>
      <c r="K8539" s="3">
        <v>0.38141762136307844</v>
      </c>
      <c r="L8539" t="s">
        <v>377</v>
      </c>
    </row>
    <row r="8540" spans="1:12" x14ac:dyDescent="0.25">
      <c r="A8540" t="s">
        <v>490</v>
      </c>
      <c r="B8540" t="s">
        <v>491</v>
      </c>
      <c r="C8540" t="s">
        <v>492</v>
      </c>
      <c r="D8540" t="s">
        <v>401</v>
      </c>
      <c r="E8540" t="s">
        <v>407</v>
      </c>
      <c r="F8540">
        <v>3</v>
      </c>
      <c r="G8540" t="s">
        <v>488</v>
      </c>
      <c r="H8540" s="4">
        <v>104186917</v>
      </c>
      <c r="I8540" s="4">
        <v>99637055.88249633</v>
      </c>
      <c r="J8540" s="3">
        <v>0.04367017710586131</v>
      </c>
      <c r="K8540" s="3">
        <v>0.045664347237130344</v>
      </c>
      <c r="L8540" t="s">
        <v>377</v>
      </c>
    </row>
    <row r="8541" spans="1:12" x14ac:dyDescent="0.25">
      <c r="A8541" t="s">
        <v>490</v>
      </c>
      <c r="B8541" t="s">
        <v>491</v>
      </c>
      <c r="C8541" t="s">
        <v>492</v>
      </c>
      <c r="D8541" t="s">
        <v>401</v>
      </c>
      <c r="E8541" t="s">
        <v>407</v>
      </c>
      <c r="F8541">
        <v>3</v>
      </c>
      <c r="G8541" t="s">
        <v>498</v>
      </c>
      <c r="H8541" s="4">
        <v>104186917</v>
      </c>
      <c r="I8541" s="4">
        <v>102132827</v>
      </c>
      <c r="J8541" s="3">
        <v>0.019715431257074246</v>
      </c>
      <c r="K8541" s="3">
        <v>0.02011194696490679</v>
      </c>
      <c r="L8541" t="s">
        <v>377</v>
      </c>
    </row>
    <row r="8542" spans="1:12" x14ac:dyDescent="0.25">
      <c r="A8542" t="s">
        <v>490</v>
      </c>
      <c r="B8542" t="s">
        <v>491</v>
      </c>
      <c r="C8542" t="s">
        <v>492</v>
      </c>
      <c r="D8542" t="s">
        <v>401</v>
      </c>
      <c r="E8542" t="s">
        <v>407</v>
      </c>
      <c r="F8542">
        <v>3</v>
      </c>
      <c r="G8542" t="s">
        <v>499</v>
      </c>
      <c r="H8542" s="4">
        <v>104186917</v>
      </c>
      <c r="I8542" s="4">
        <v>67820338</v>
      </c>
      <c r="J8542" s="3">
        <v>0.34905130170998344</v>
      </c>
      <c r="K8542" s="3">
        <v>0.5362193712452451</v>
      </c>
      <c r="L8542" t="s">
        <v>377</v>
      </c>
    </row>
    <row r="8543" spans="1:12" x14ac:dyDescent="0.25">
      <c r="A8543" t="s">
        <v>490</v>
      </c>
      <c r="B8543" t="s">
        <v>491</v>
      </c>
      <c r="C8543" t="s">
        <v>492</v>
      </c>
      <c r="D8543" t="s">
        <v>403</v>
      </c>
      <c r="E8543" t="s">
        <v>405</v>
      </c>
      <c r="F8543">
        <v>1</v>
      </c>
      <c r="G8543" t="s">
        <v>488</v>
      </c>
      <c r="H8543" s="4">
        <v>93688210</v>
      </c>
      <c r="I8543" s="4">
        <v>76287012.77147865</v>
      </c>
      <c r="J8543" s="3">
        <v>0.18573518726125035</v>
      </c>
      <c r="K8543" s="3">
        <v>0.22810169904866318</v>
      </c>
      <c r="L8543" t="s">
        <v>377</v>
      </c>
    </row>
    <row r="8544" spans="1:12" x14ac:dyDescent="0.25">
      <c r="A8544" t="s">
        <v>490</v>
      </c>
      <c r="B8544" t="s">
        <v>491</v>
      </c>
      <c r="C8544" t="s">
        <v>492</v>
      </c>
      <c r="D8544" t="s">
        <v>403</v>
      </c>
      <c r="E8544" t="s">
        <v>405</v>
      </c>
      <c r="F8544">
        <v>1</v>
      </c>
      <c r="G8544" t="s">
        <v>498</v>
      </c>
      <c r="H8544" s="4">
        <v>93688210</v>
      </c>
      <c r="I8544" s="4">
        <v>76286627</v>
      </c>
      <c r="J8544" s="3">
        <v>0.18573930487091173</v>
      </c>
      <c r="K8544" s="3">
        <v>0.22810790939806527</v>
      </c>
      <c r="L8544" t="s">
        <v>377</v>
      </c>
    </row>
    <row r="8545" spans="1:12" x14ac:dyDescent="0.25">
      <c r="A8545" t="s">
        <v>490</v>
      </c>
      <c r="B8545" t="s">
        <v>491</v>
      </c>
      <c r="C8545" t="s">
        <v>492</v>
      </c>
      <c r="D8545" t="s">
        <v>403</v>
      </c>
      <c r="E8545" t="s">
        <v>405</v>
      </c>
      <c r="F8545">
        <v>1</v>
      </c>
      <c r="G8545" t="s">
        <v>499</v>
      </c>
      <c r="H8545" s="4">
        <v>93688210</v>
      </c>
      <c r="I8545" s="4">
        <v>67337516</v>
      </c>
      <c r="J8545" s="3">
        <v>0.2812594455588382</v>
      </c>
      <c r="K8545" s="3">
        <v>0.39132263209709134</v>
      </c>
      <c r="L8545" t="s">
        <v>377</v>
      </c>
    </row>
    <row r="8546" spans="1:12" x14ac:dyDescent="0.25">
      <c r="A8546" t="s">
        <v>490</v>
      </c>
      <c r="B8546" t="s">
        <v>491</v>
      </c>
      <c r="C8546" t="s">
        <v>492</v>
      </c>
      <c r="D8546" t="s">
        <v>403</v>
      </c>
      <c r="E8546" t="s">
        <v>407</v>
      </c>
      <c r="F8546">
        <v>2</v>
      </c>
      <c r="G8546" t="s">
        <v>488</v>
      </c>
      <c r="H8546" s="4">
        <v>104186917</v>
      </c>
      <c r="I8546" s="4">
        <v>102133343.47232601</v>
      </c>
      <c r="J8546" s="3">
        <v>0.01971047408643438</v>
      </c>
      <c r="K8546" s="3">
        <v>0.02010678841851902</v>
      </c>
      <c r="L8546" t="s">
        <v>377</v>
      </c>
    </row>
    <row r="8547" spans="1:12" x14ac:dyDescent="0.25">
      <c r="A8547" t="s">
        <v>490</v>
      </c>
      <c r="B8547" t="s">
        <v>491</v>
      </c>
      <c r="C8547" t="s">
        <v>492</v>
      </c>
      <c r="D8547" t="s">
        <v>403</v>
      </c>
      <c r="E8547" t="s">
        <v>407</v>
      </c>
      <c r="F8547">
        <v>2</v>
      </c>
      <c r="G8547" t="s">
        <v>498</v>
      </c>
      <c r="H8547" s="4">
        <v>104186917</v>
      </c>
      <c r="I8547" s="4">
        <v>102132827</v>
      </c>
      <c r="J8547" s="3">
        <v>0.019715431257074246</v>
      </c>
      <c r="K8547" s="3">
        <v>0.02011194696490679</v>
      </c>
      <c r="L8547" t="s">
        <v>377</v>
      </c>
    </row>
    <row r="8548" spans="1:12" x14ac:dyDescent="0.25">
      <c r="A8548" t="s">
        <v>490</v>
      </c>
      <c r="B8548" t="s">
        <v>491</v>
      </c>
      <c r="C8548" t="s">
        <v>492</v>
      </c>
      <c r="D8548" t="s">
        <v>403</v>
      </c>
      <c r="E8548" t="s">
        <v>407</v>
      </c>
      <c r="F8548">
        <v>2</v>
      </c>
      <c r="G8548" t="s">
        <v>499</v>
      </c>
      <c r="H8548" s="4">
        <v>104186917</v>
      </c>
      <c r="I8548" s="4">
        <v>67337516</v>
      </c>
      <c r="J8548" s="3">
        <v>0.35368549200856</v>
      </c>
      <c r="K8548" s="3">
        <v>0.5472343381362627</v>
      </c>
      <c r="L8548" t="s">
        <v>377</v>
      </c>
    </row>
    <row r="8549" spans="1:12" x14ac:dyDescent="0.25">
      <c r="A8549" t="s">
        <v>490</v>
      </c>
      <c r="B8549" t="s">
        <v>491</v>
      </c>
      <c r="C8549" t="s">
        <v>492</v>
      </c>
      <c r="D8549" t="s">
        <v>403</v>
      </c>
      <c r="E8549" t="s">
        <v>409</v>
      </c>
      <c r="F8549">
        <v>3</v>
      </c>
      <c r="G8549" t="s">
        <v>488</v>
      </c>
      <c r="H8549" s="4">
        <v>122141886</v>
      </c>
      <c r="I8549" s="4">
        <v>106509733.60304566</v>
      </c>
      <c r="J8549" s="3">
        <v>0.12798355182557392</v>
      </c>
      <c r="K8549" s="3">
        <v>0.14676735982848557</v>
      </c>
      <c r="L8549" t="s">
        <v>377</v>
      </c>
    </row>
    <row r="8550" spans="1:12" x14ac:dyDescent="0.25">
      <c r="A8550" t="s">
        <v>490</v>
      </c>
      <c r="B8550" t="s">
        <v>491</v>
      </c>
      <c r="C8550" t="s">
        <v>492</v>
      </c>
      <c r="D8550" t="s">
        <v>403</v>
      </c>
      <c r="E8550" t="s">
        <v>409</v>
      </c>
      <c r="F8550">
        <v>3</v>
      </c>
      <c r="G8550" t="s">
        <v>498</v>
      </c>
      <c r="H8550" s="4">
        <v>122141886</v>
      </c>
      <c r="I8550" s="4">
        <v>106509195</v>
      </c>
      <c r="J8550" s="3">
        <v>0.127987961476213</v>
      </c>
      <c r="K8550" s="3">
        <v>0.1467731588807896</v>
      </c>
      <c r="L8550" t="s">
        <v>377</v>
      </c>
    </row>
    <row r="8551" spans="1:12" x14ac:dyDescent="0.25">
      <c r="A8551" t="s">
        <v>490</v>
      </c>
      <c r="B8551" t="s">
        <v>491</v>
      </c>
      <c r="C8551" t="s">
        <v>492</v>
      </c>
      <c r="D8551" t="s">
        <v>403</v>
      </c>
      <c r="E8551" t="s">
        <v>409</v>
      </c>
      <c r="F8551">
        <v>3</v>
      </c>
      <c r="G8551" t="s">
        <v>499</v>
      </c>
      <c r="H8551" s="4">
        <v>122141886</v>
      </c>
      <c r="I8551" s="4">
        <v>67337516</v>
      </c>
      <c r="J8551" s="3">
        <v>0.4486943160514158</v>
      </c>
      <c r="K8551" s="3">
        <v>0.813875730135338</v>
      </c>
      <c r="L8551" t="s">
        <v>377</v>
      </c>
    </row>
    <row r="8552" spans="1:12" x14ac:dyDescent="0.25">
      <c r="A8552" t="s">
        <v>490</v>
      </c>
      <c r="B8552" t="s">
        <v>491</v>
      </c>
      <c r="C8552" t="s">
        <v>492</v>
      </c>
      <c r="D8552" t="s">
        <v>405</v>
      </c>
      <c r="E8552" t="s">
        <v>407</v>
      </c>
      <c r="F8552">
        <v>1</v>
      </c>
      <c r="G8552" t="s">
        <v>488</v>
      </c>
      <c r="H8552" s="4">
        <v>104186917</v>
      </c>
      <c r="I8552" s="4">
        <v>106130027.97482258</v>
      </c>
      <c r="J8552" s="3">
        <v>0.01865023969201988</v>
      </c>
      <c r="K8552" s="3">
        <v>-0.01830877661959675</v>
      </c>
      <c r="L8552" t="s">
        <v>377</v>
      </c>
    </row>
    <row r="8553" spans="1:12" x14ac:dyDescent="0.25">
      <c r="A8553" t="s">
        <v>490</v>
      </c>
      <c r="B8553" t="s">
        <v>491</v>
      </c>
      <c r="C8553" t="s">
        <v>492</v>
      </c>
      <c r="D8553" t="s">
        <v>405</v>
      </c>
      <c r="E8553" t="s">
        <v>407</v>
      </c>
      <c r="F8553">
        <v>1</v>
      </c>
      <c r="G8553" t="s">
        <v>498</v>
      </c>
      <c r="H8553" s="4">
        <v>104186917</v>
      </c>
      <c r="I8553" s="4">
        <v>102132827</v>
      </c>
      <c r="J8553" s="3">
        <v>0.019715431257074246</v>
      </c>
      <c r="K8553" s="3">
        <v>0.02011194696490679</v>
      </c>
      <c r="L8553" t="s">
        <v>377</v>
      </c>
    </row>
    <row r="8554" spans="1:12" x14ac:dyDescent="0.25">
      <c r="A8554" t="s">
        <v>490</v>
      </c>
      <c r="B8554" t="s">
        <v>491</v>
      </c>
      <c r="C8554" t="s">
        <v>492</v>
      </c>
      <c r="D8554" t="s">
        <v>405</v>
      </c>
      <c r="E8554" t="s">
        <v>407</v>
      </c>
      <c r="F8554">
        <v>1</v>
      </c>
      <c r="G8554" t="s">
        <v>499</v>
      </c>
      <c r="H8554" s="4">
        <v>104186917</v>
      </c>
      <c r="I8554" s="4">
        <v>93688210</v>
      </c>
      <c r="J8554" s="3">
        <v>0.10076799757881309</v>
      </c>
      <c r="K8554" s="3">
        <v>0.11206006604246148</v>
      </c>
      <c r="L8554" t="s">
        <v>377</v>
      </c>
    </row>
    <row r="8555" spans="1:12" x14ac:dyDescent="0.25">
      <c r="A8555" t="s">
        <v>490</v>
      </c>
      <c r="B8555" t="s">
        <v>491</v>
      </c>
      <c r="C8555" t="s">
        <v>492</v>
      </c>
      <c r="D8555" t="s">
        <v>405</v>
      </c>
      <c r="E8555" t="s">
        <v>409</v>
      </c>
      <c r="F8555">
        <v>2</v>
      </c>
      <c r="G8555" t="s">
        <v>488</v>
      </c>
      <c r="H8555" s="4">
        <v>122141886</v>
      </c>
      <c r="I8555" s="4">
        <v>110677675.11150782</v>
      </c>
      <c r="J8555" s="3">
        <v>0.09385978278157733</v>
      </c>
      <c r="K8555" s="3">
        <v>0.1035819633629093</v>
      </c>
      <c r="L8555" t="s">
        <v>377</v>
      </c>
    </row>
    <row r="8556" spans="1:12" x14ac:dyDescent="0.25">
      <c r="A8556" t="s">
        <v>490</v>
      </c>
      <c r="B8556" t="s">
        <v>491</v>
      </c>
      <c r="C8556" t="s">
        <v>492</v>
      </c>
      <c r="D8556" t="s">
        <v>405</v>
      </c>
      <c r="E8556" t="s">
        <v>409</v>
      </c>
      <c r="F8556">
        <v>2</v>
      </c>
      <c r="G8556" t="s">
        <v>498</v>
      </c>
      <c r="H8556" s="4">
        <v>122141886</v>
      </c>
      <c r="I8556" s="4">
        <v>106509195</v>
      </c>
      <c r="J8556" s="3">
        <v>0.127987961476213</v>
      </c>
      <c r="K8556" s="3">
        <v>0.1467731588807896</v>
      </c>
      <c r="L8556" t="s">
        <v>377</v>
      </c>
    </row>
    <row r="8557" spans="1:12" x14ac:dyDescent="0.25">
      <c r="A8557" t="s">
        <v>490</v>
      </c>
      <c r="B8557" t="s">
        <v>491</v>
      </c>
      <c r="C8557" t="s">
        <v>492</v>
      </c>
      <c r="D8557" t="s">
        <v>405</v>
      </c>
      <c r="E8557" t="s">
        <v>409</v>
      </c>
      <c r="F8557">
        <v>2</v>
      </c>
      <c r="G8557" t="s">
        <v>499</v>
      </c>
      <c r="H8557" s="4">
        <v>122141886</v>
      </c>
      <c r="I8557" s="4">
        <v>93688210</v>
      </c>
      <c r="J8557" s="3">
        <v>0.23295592471856869</v>
      </c>
      <c r="K8557" s="3">
        <v>0.30370604796483996</v>
      </c>
      <c r="L8557" t="s">
        <v>377</v>
      </c>
    </row>
    <row r="8558" spans="1:12" x14ac:dyDescent="0.25">
      <c r="A8558" t="s">
        <v>490</v>
      </c>
      <c r="B8558" t="s">
        <v>491</v>
      </c>
      <c r="C8558" t="s">
        <v>492</v>
      </c>
      <c r="D8558" t="s">
        <v>405</v>
      </c>
      <c r="E8558" t="s">
        <v>411</v>
      </c>
      <c r="F8558">
        <v>3</v>
      </c>
      <c r="G8558" t="s">
        <v>488</v>
      </c>
      <c r="H8558" s="4">
        <v>115179014</v>
      </c>
      <c r="I8558" s="4">
        <v>99842261.29384914</v>
      </c>
      <c r="J8558" s="3">
        <v>0.13315579091648466</v>
      </c>
      <c r="K8558" s="3">
        <v>0.1536098292186386</v>
      </c>
      <c r="L8558" t="s">
        <v>377</v>
      </c>
    </row>
    <row r="8559" spans="1:12" x14ac:dyDescent="0.25">
      <c r="A8559" t="s">
        <v>490</v>
      </c>
      <c r="B8559" t="s">
        <v>491</v>
      </c>
      <c r="C8559" t="s">
        <v>492</v>
      </c>
      <c r="D8559" t="s">
        <v>405</v>
      </c>
      <c r="E8559" t="s">
        <v>411</v>
      </c>
      <c r="F8559">
        <v>3</v>
      </c>
      <c r="G8559" t="s">
        <v>498</v>
      </c>
      <c r="H8559" s="4">
        <v>115179014</v>
      </c>
      <c r="I8559" s="4">
        <v>96081878</v>
      </c>
      <c r="J8559" s="3">
        <v>0.16580395452942495</v>
      </c>
      <c r="K8559" s="3">
        <v>0.19875897929472194</v>
      </c>
      <c r="L8559" t="s">
        <v>377</v>
      </c>
    </row>
    <row r="8560" spans="1:12" x14ac:dyDescent="0.25">
      <c r="A8560" t="s">
        <v>490</v>
      </c>
      <c r="B8560" t="s">
        <v>491</v>
      </c>
      <c r="C8560" t="s">
        <v>492</v>
      </c>
      <c r="D8560" t="s">
        <v>405</v>
      </c>
      <c r="E8560" t="s">
        <v>411</v>
      </c>
      <c r="F8560">
        <v>3</v>
      </c>
      <c r="G8560" t="s">
        <v>499</v>
      </c>
      <c r="H8560" s="4">
        <v>115179014</v>
      </c>
      <c r="I8560" s="4">
        <v>93688210</v>
      </c>
      <c r="J8560" s="3">
        <v>0.1865861084728508</v>
      </c>
      <c r="K8560" s="3">
        <v>0.22938642973326098</v>
      </c>
      <c r="L8560" t="s">
        <v>377</v>
      </c>
    </row>
    <row r="8561" spans="1:12" x14ac:dyDescent="0.25">
      <c r="A8561" t="s">
        <v>490</v>
      </c>
      <c r="B8561" t="s">
        <v>491</v>
      </c>
      <c r="C8561" t="s">
        <v>492</v>
      </c>
      <c r="D8561" t="s">
        <v>407</v>
      </c>
      <c r="E8561" t="s">
        <v>409</v>
      </c>
      <c r="F8561">
        <v>1</v>
      </c>
      <c r="G8561" t="s">
        <v>488</v>
      </c>
      <c r="H8561" s="4">
        <v>122141886</v>
      </c>
      <c r="I8561" s="4">
        <v>110906892.29709837</v>
      </c>
      <c r="J8561" s="3">
        <v>0.09198313593177718</v>
      </c>
      <c r="K8561" s="3">
        <v>0.10130113169887793</v>
      </c>
      <c r="L8561" t="s">
        <v>377</v>
      </c>
    </row>
    <row r="8562" spans="1:12" x14ac:dyDescent="0.25">
      <c r="A8562" t="s">
        <v>490</v>
      </c>
      <c r="B8562" t="s">
        <v>491</v>
      </c>
      <c r="C8562" t="s">
        <v>492</v>
      </c>
      <c r="D8562" t="s">
        <v>407</v>
      </c>
      <c r="E8562" t="s">
        <v>409</v>
      </c>
      <c r="F8562">
        <v>1</v>
      </c>
      <c r="G8562" t="s">
        <v>498</v>
      </c>
      <c r="H8562" s="4">
        <v>122141886</v>
      </c>
      <c r="I8562" s="4">
        <v>106509195</v>
      </c>
      <c r="J8562" s="3">
        <v>0.127987961476213</v>
      </c>
      <c r="K8562" s="3">
        <v>0.1467731588807896</v>
      </c>
      <c r="L8562" t="s">
        <v>377</v>
      </c>
    </row>
    <row r="8563" spans="1:12" x14ac:dyDescent="0.25">
      <c r="A8563" t="s">
        <v>490</v>
      </c>
      <c r="B8563" t="s">
        <v>491</v>
      </c>
      <c r="C8563" t="s">
        <v>492</v>
      </c>
      <c r="D8563" t="s">
        <v>407</v>
      </c>
      <c r="E8563" t="s">
        <v>409</v>
      </c>
      <c r="F8563">
        <v>1</v>
      </c>
      <c r="G8563" t="s">
        <v>499</v>
      </c>
      <c r="H8563" s="4">
        <v>122141886</v>
      </c>
      <c r="I8563" s="4">
        <v>104186917</v>
      </c>
      <c r="J8563" s="3">
        <v>0.14700091498505272</v>
      </c>
      <c r="K8563" s="3">
        <v>0.172334200080035</v>
      </c>
      <c r="L8563" t="s">
        <v>377</v>
      </c>
    </row>
    <row r="8564" spans="1:12" x14ac:dyDescent="0.25">
      <c r="A8564" t="s">
        <v>490</v>
      </c>
      <c r="B8564" t="s">
        <v>491</v>
      </c>
      <c r="C8564" t="s">
        <v>492</v>
      </c>
      <c r="D8564" t="s">
        <v>407</v>
      </c>
      <c r="E8564" t="s">
        <v>411</v>
      </c>
      <c r="F8564">
        <v>2</v>
      </c>
      <c r="G8564" t="s">
        <v>488</v>
      </c>
      <c r="H8564" s="4">
        <v>115179014</v>
      </c>
      <c r="I8564" s="4">
        <v>100049037.97319044</v>
      </c>
      <c r="J8564" s="3">
        <v>0.13136052742046878</v>
      </c>
      <c r="K8564" s="3">
        <v>0.1512256022977837</v>
      </c>
      <c r="L8564" t="s">
        <v>377</v>
      </c>
    </row>
    <row r="8565" spans="1:12" x14ac:dyDescent="0.25">
      <c r="A8565" t="s">
        <v>490</v>
      </c>
      <c r="B8565" t="s">
        <v>491</v>
      </c>
      <c r="C8565" t="s">
        <v>492</v>
      </c>
      <c r="D8565" t="s">
        <v>407</v>
      </c>
      <c r="E8565" t="s">
        <v>411</v>
      </c>
      <c r="F8565">
        <v>2</v>
      </c>
      <c r="G8565" t="s">
        <v>498</v>
      </c>
      <c r="H8565" s="4">
        <v>115179014</v>
      </c>
      <c r="I8565" s="4">
        <v>96081878</v>
      </c>
      <c r="J8565" s="3">
        <v>0.16580395452942495</v>
      </c>
      <c r="K8565" s="3">
        <v>0.19875897929472194</v>
      </c>
      <c r="L8565" t="s">
        <v>377</v>
      </c>
    </row>
    <row r="8566" spans="1:12" x14ac:dyDescent="0.25">
      <c r="A8566" t="s">
        <v>490</v>
      </c>
      <c r="B8566" t="s">
        <v>491</v>
      </c>
      <c r="C8566" t="s">
        <v>492</v>
      </c>
      <c r="D8566" t="s">
        <v>407</v>
      </c>
      <c r="E8566" t="s">
        <v>411</v>
      </c>
      <c r="F8566">
        <v>2</v>
      </c>
      <c r="G8566" t="s">
        <v>499</v>
      </c>
      <c r="H8566" s="4">
        <v>115179014</v>
      </c>
      <c r="I8566" s="4">
        <v>104186917</v>
      </c>
      <c r="J8566" s="3">
        <v>0.09543489406846285</v>
      </c>
      <c r="K8566" s="3">
        <v>0.10550362095847408</v>
      </c>
      <c r="L8566" t="s">
        <v>377</v>
      </c>
    </row>
    <row r="8567" spans="1:12" x14ac:dyDescent="0.25">
      <c r="A8567" t="s">
        <v>490</v>
      </c>
      <c r="B8567" t="s">
        <v>491</v>
      </c>
      <c r="C8567" t="s">
        <v>492</v>
      </c>
      <c r="D8567" t="s">
        <v>407</v>
      </c>
      <c r="E8567" t="s">
        <v>413</v>
      </c>
      <c r="F8567">
        <v>3</v>
      </c>
      <c r="G8567" t="s">
        <v>488</v>
      </c>
      <c r="H8567" s="4">
        <v>103127514</v>
      </c>
      <c r="I8567" s="4">
        <v>101448645.42497386</v>
      </c>
      <c r="J8567" s="3">
        <v>0.01627954083161686</v>
      </c>
      <c r="K8567" s="3">
        <v>0.016548950141160274</v>
      </c>
      <c r="L8567" t="s">
        <v>377</v>
      </c>
    </row>
    <row r="8568" spans="1:12" x14ac:dyDescent="0.25">
      <c r="A8568" t="s">
        <v>490</v>
      </c>
      <c r="B8568" t="s">
        <v>491</v>
      </c>
      <c r="C8568" t="s">
        <v>492</v>
      </c>
      <c r="D8568" t="s">
        <v>407</v>
      </c>
      <c r="E8568" t="s">
        <v>413</v>
      </c>
      <c r="F8568">
        <v>3</v>
      </c>
      <c r="G8568" t="s">
        <v>498</v>
      </c>
      <c r="H8568" s="4">
        <v>103127514</v>
      </c>
      <c r="I8568" s="4">
        <v>97425988</v>
      </c>
      <c r="J8568" s="3">
        <v>0.055286177072008155</v>
      </c>
      <c r="K8568" s="3">
        <v>0.058521613350228485</v>
      </c>
      <c r="L8568" t="s">
        <v>377</v>
      </c>
    </row>
    <row r="8569" spans="1:12" x14ac:dyDescent="0.25">
      <c r="A8569" t="s">
        <v>490</v>
      </c>
      <c r="B8569" t="s">
        <v>491</v>
      </c>
      <c r="C8569" t="s">
        <v>492</v>
      </c>
      <c r="D8569" t="s">
        <v>407</v>
      </c>
      <c r="E8569" t="s">
        <v>413</v>
      </c>
      <c r="F8569">
        <v>3</v>
      </c>
      <c r="G8569" t="s">
        <v>499</v>
      </c>
      <c r="H8569" s="4">
        <v>103127514</v>
      </c>
      <c r="I8569" s="4">
        <v>104186917</v>
      </c>
      <c r="J8569" s="3">
        <v>0.010272748356951569</v>
      </c>
      <c r="K8569" s="3">
        <v>-0.010168292051486656</v>
      </c>
      <c r="L8569" t="s">
        <v>377</v>
      </c>
    </row>
    <row r="8570" spans="1:12" x14ac:dyDescent="0.25">
      <c r="A8570" t="s">
        <v>490</v>
      </c>
      <c r="B8570" t="s">
        <v>491</v>
      </c>
      <c r="C8570" t="s">
        <v>492</v>
      </c>
      <c r="D8570" t="s">
        <v>409</v>
      </c>
      <c r="E8570" t="s">
        <v>411</v>
      </c>
      <c r="F8570">
        <v>1</v>
      </c>
      <c r="G8570" t="s">
        <v>488</v>
      </c>
      <c r="H8570" s="4">
        <v>115179014</v>
      </c>
      <c r="I8570" s="4">
        <v>100673845.31202662</v>
      </c>
      <c r="J8570" s="3">
        <v>0.1259358643925653</v>
      </c>
      <c r="K8570" s="3">
        <v>0.1440808051288429</v>
      </c>
      <c r="L8570" t="s">
        <v>377</v>
      </c>
    </row>
    <row r="8571" spans="1:12" x14ac:dyDescent="0.25">
      <c r="A8571" t="s">
        <v>490</v>
      </c>
      <c r="B8571" t="s">
        <v>491</v>
      </c>
      <c r="C8571" t="s">
        <v>492</v>
      </c>
      <c r="D8571" t="s">
        <v>409</v>
      </c>
      <c r="E8571" t="s">
        <v>411</v>
      </c>
      <c r="F8571">
        <v>1</v>
      </c>
      <c r="G8571" t="s">
        <v>498</v>
      </c>
      <c r="H8571" s="4">
        <v>115179014</v>
      </c>
      <c r="I8571" s="4">
        <v>96081878</v>
      </c>
      <c r="J8571" s="3">
        <v>0.16580395452942495</v>
      </c>
      <c r="K8571" s="3">
        <v>0.19875897929472194</v>
      </c>
      <c r="L8571" t="s">
        <v>377</v>
      </c>
    </row>
    <row r="8572" spans="1:12" x14ac:dyDescent="0.25">
      <c r="A8572" t="s">
        <v>490</v>
      </c>
      <c r="B8572" t="s">
        <v>491</v>
      </c>
      <c r="C8572" t="s">
        <v>492</v>
      </c>
      <c r="D8572" t="s">
        <v>409</v>
      </c>
      <c r="E8572" t="s">
        <v>411</v>
      </c>
      <c r="F8572">
        <v>1</v>
      </c>
      <c r="G8572" t="s">
        <v>499</v>
      </c>
      <c r="H8572" s="4">
        <v>115179014</v>
      </c>
      <c r="I8572" s="4">
        <v>122141886</v>
      </c>
      <c r="J8572" s="3">
        <v>0.06045260988256072</v>
      </c>
      <c r="K8572" s="3">
        <v>-0.0570064228417105</v>
      </c>
      <c r="L8572" t="s">
        <v>377</v>
      </c>
    </row>
    <row r="8573" spans="1:12" x14ac:dyDescent="0.25">
      <c r="A8573" t="s">
        <v>490</v>
      </c>
      <c r="B8573" t="s">
        <v>491</v>
      </c>
      <c r="C8573" t="s">
        <v>492</v>
      </c>
      <c r="D8573" t="s">
        <v>409</v>
      </c>
      <c r="E8573" t="s">
        <v>413</v>
      </c>
      <c r="F8573">
        <v>2</v>
      </c>
      <c r="G8573" t="s">
        <v>488</v>
      </c>
      <c r="H8573" s="4">
        <v>103127514</v>
      </c>
      <c r="I8573" s="4">
        <v>102082193.3276883</v>
      </c>
      <c r="J8573" s="3">
        <v>0.010136195780998787</v>
      </c>
      <c r="K8573" s="3">
        <v>0.010239990327756462</v>
      </c>
      <c r="L8573" t="s">
        <v>377</v>
      </c>
    </row>
    <row r="8574" spans="1:12" x14ac:dyDescent="0.25">
      <c r="A8574" t="s">
        <v>490</v>
      </c>
      <c r="B8574" t="s">
        <v>491</v>
      </c>
      <c r="C8574" t="s">
        <v>492</v>
      </c>
      <c r="D8574" t="s">
        <v>409</v>
      </c>
      <c r="E8574" t="s">
        <v>413</v>
      </c>
      <c r="F8574">
        <v>2</v>
      </c>
      <c r="G8574" t="s">
        <v>498</v>
      </c>
      <c r="H8574" s="4">
        <v>103127514</v>
      </c>
      <c r="I8574" s="4">
        <v>97425988</v>
      </c>
      <c r="J8574" s="3">
        <v>0.055286177072008155</v>
      </c>
      <c r="K8574" s="3">
        <v>0.058521613350228485</v>
      </c>
      <c r="L8574" t="s">
        <v>377</v>
      </c>
    </row>
    <row r="8575" spans="1:12" x14ac:dyDescent="0.25">
      <c r="A8575" t="s">
        <v>490</v>
      </c>
      <c r="B8575" t="s">
        <v>491</v>
      </c>
      <c r="C8575" t="s">
        <v>492</v>
      </c>
      <c r="D8575" t="s">
        <v>409</v>
      </c>
      <c r="E8575" t="s">
        <v>413</v>
      </c>
      <c r="F8575">
        <v>2</v>
      </c>
      <c r="G8575" t="s">
        <v>499</v>
      </c>
      <c r="H8575" s="4">
        <v>103127514</v>
      </c>
      <c r="I8575" s="4">
        <v>122141886</v>
      </c>
      <c r="J8575" s="3">
        <v>0.1843772943077053</v>
      </c>
      <c r="K8575" s="3">
        <v>-0.1556744588011356</v>
      </c>
      <c r="L8575" t="s">
        <v>377</v>
      </c>
    </row>
    <row r="8576" spans="1:12" x14ac:dyDescent="0.25">
      <c r="A8576" t="s">
        <v>490</v>
      </c>
      <c r="B8576" t="s">
        <v>491</v>
      </c>
      <c r="C8576" t="s">
        <v>492</v>
      </c>
      <c r="D8576" t="s">
        <v>409</v>
      </c>
      <c r="E8576" t="s">
        <v>415</v>
      </c>
      <c r="F8576">
        <v>3</v>
      </c>
      <c r="G8576" t="s">
        <v>488</v>
      </c>
      <c r="H8576" s="4">
        <v>82275551</v>
      </c>
      <c r="I8576" s="4">
        <v>86682463.99693362</v>
      </c>
      <c r="J8576" s="3">
        <v>0.05356285000064751</v>
      </c>
      <c r="K8576" s="3">
        <v>-0.05083972921085305</v>
      </c>
      <c r="L8576" t="s">
        <v>377</v>
      </c>
    </row>
    <row r="8577" spans="1:12" x14ac:dyDescent="0.25">
      <c r="A8577" t="s">
        <v>490</v>
      </c>
      <c r="B8577" t="s">
        <v>491</v>
      </c>
      <c r="C8577" t="s">
        <v>492</v>
      </c>
      <c r="D8577" t="s">
        <v>409</v>
      </c>
      <c r="E8577" t="s">
        <v>415</v>
      </c>
      <c r="F8577">
        <v>3</v>
      </c>
      <c r="G8577" t="s">
        <v>498</v>
      </c>
      <c r="H8577" s="4">
        <v>82275551</v>
      </c>
      <c r="I8577" s="4">
        <v>82728676</v>
      </c>
      <c r="J8577" s="3">
        <v>0.005507407662332155</v>
      </c>
      <c r="K8577" s="3">
        <v>-0.005477242256361023</v>
      </c>
      <c r="L8577" t="s">
        <v>377</v>
      </c>
    </row>
    <row r="8578" spans="1:12" x14ac:dyDescent="0.25">
      <c r="A8578" t="s">
        <v>490</v>
      </c>
      <c r="B8578" t="s">
        <v>491</v>
      </c>
      <c r="C8578" t="s">
        <v>492</v>
      </c>
      <c r="D8578" t="s">
        <v>409</v>
      </c>
      <c r="E8578" t="s">
        <v>415</v>
      </c>
      <c r="F8578">
        <v>3</v>
      </c>
      <c r="G8578" t="s">
        <v>499</v>
      </c>
      <c r="H8578" s="4">
        <v>82275551</v>
      </c>
      <c r="I8578" s="4">
        <v>122141886</v>
      </c>
      <c r="J8578" s="3">
        <v>0.4845465574578771</v>
      </c>
      <c r="K8578" s="3">
        <v>-0.326393641899389</v>
      </c>
      <c r="L8578" t="s">
        <v>377</v>
      </c>
    </row>
    <row r="8579" spans="1:12" x14ac:dyDescent="0.25">
      <c r="A8579" t="s">
        <v>490</v>
      </c>
      <c r="B8579" t="s">
        <v>491</v>
      </c>
      <c r="C8579" t="s">
        <v>492</v>
      </c>
      <c r="D8579" t="s">
        <v>411</v>
      </c>
      <c r="E8579" t="s">
        <v>413</v>
      </c>
      <c r="F8579">
        <v>1</v>
      </c>
      <c r="G8579" t="s">
        <v>488</v>
      </c>
      <c r="H8579" s="4">
        <v>103127514</v>
      </c>
      <c r="I8579" s="4">
        <v>103244925.18457755</v>
      </c>
      <c r="J8579" s="3">
        <v>0.0011385049442533296</v>
      </c>
      <c r="K8579" s="3">
        <v>-0.001137210224789751</v>
      </c>
      <c r="L8579" t="s">
        <v>377</v>
      </c>
    </row>
    <row r="8580" spans="1:12" x14ac:dyDescent="0.25">
      <c r="A8580" t="s">
        <v>490</v>
      </c>
      <c r="B8580" t="s">
        <v>491</v>
      </c>
      <c r="C8580" t="s">
        <v>492</v>
      </c>
      <c r="D8580" t="s">
        <v>411</v>
      </c>
      <c r="E8580" t="s">
        <v>413</v>
      </c>
      <c r="F8580">
        <v>1</v>
      </c>
      <c r="G8580" t="s">
        <v>498</v>
      </c>
      <c r="H8580" s="4">
        <v>103127514</v>
      </c>
      <c r="I8580" s="4">
        <v>97425988</v>
      </c>
      <c r="J8580" s="3">
        <v>0.055286177072008155</v>
      </c>
      <c r="K8580" s="3">
        <v>0.058521613350228485</v>
      </c>
      <c r="L8580" t="s">
        <v>377</v>
      </c>
    </row>
    <row r="8581" spans="1:12" x14ac:dyDescent="0.25">
      <c r="A8581" t="s">
        <v>490</v>
      </c>
      <c r="B8581" t="s">
        <v>491</v>
      </c>
      <c r="C8581" t="s">
        <v>492</v>
      </c>
      <c r="D8581" t="s">
        <v>411</v>
      </c>
      <c r="E8581" t="s">
        <v>413</v>
      </c>
      <c r="F8581">
        <v>1</v>
      </c>
      <c r="G8581" t="s">
        <v>499</v>
      </c>
      <c r="H8581" s="4">
        <v>103127514</v>
      </c>
      <c r="I8581" s="4">
        <v>115179014</v>
      </c>
      <c r="J8581" s="3">
        <v>0.11686018146427926</v>
      </c>
      <c r="K8581" s="3">
        <v>-0.10463277624515868</v>
      </c>
      <c r="L8581" t="s">
        <v>377</v>
      </c>
    </row>
    <row r="8582" spans="1:12" x14ac:dyDescent="0.25">
      <c r="A8582" t="s">
        <v>490</v>
      </c>
      <c r="B8582" t="s">
        <v>491</v>
      </c>
      <c r="C8582" t="s">
        <v>492</v>
      </c>
      <c r="D8582" t="s">
        <v>411</v>
      </c>
      <c r="E8582" t="s">
        <v>415</v>
      </c>
      <c r="F8582">
        <v>2</v>
      </c>
      <c r="G8582" t="s">
        <v>488</v>
      </c>
      <c r="H8582" s="4">
        <v>82275551</v>
      </c>
      <c r="I8582" s="4">
        <v>87669790.57209209</v>
      </c>
      <c r="J8582" s="3">
        <v>0.06556309263844476</v>
      </c>
      <c r="K8582" s="3">
        <v>-0.06152905735136128</v>
      </c>
      <c r="L8582" t="s">
        <v>377</v>
      </c>
    </row>
    <row r="8583" spans="1:12" x14ac:dyDescent="0.25">
      <c r="A8583" t="s">
        <v>490</v>
      </c>
      <c r="B8583" t="s">
        <v>491</v>
      </c>
      <c r="C8583" t="s">
        <v>492</v>
      </c>
      <c r="D8583" t="s">
        <v>411</v>
      </c>
      <c r="E8583" t="s">
        <v>415</v>
      </c>
      <c r="F8583">
        <v>2</v>
      </c>
      <c r="G8583" t="s">
        <v>498</v>
      </c>
      <c r="H8583" s="4">
        <v>82275551</v>
      </c>
      <c r="I8583" s="4">
        <v>82728676</v>
      </c>
      <c r="J8583" s="3">
        <v>0.005507407662332155</v>
      </c>
      <c r="K8583" s="3">
        <v>-0.005477242256361023</v>
      </c>
      <c r="L8583" t="s">
        <v>377</v>
      </c>
    </row>
    <row r="8584" spans="1:12" x14ac:dyDescent="0.25">
      <c r="A8584" t="s">
        <v>490</v>
      </c>
      <c r="B8584" t="s">
        <v>491</v>
      </c>
      <c r="C8584" t="s">
        <v>492</v>
      </c>
      <c r="D8584" t="s">
        <v>411</v>
      </c>
      <c r="E8584" t="s">
        <v>415</v>
      </c>
      <c r="F8584">
        <v>2</v>
      </c>
      <c r="G8584" t="s">
        <v>499</v>
      </c>
      <c r="H8584" s="4">
        <v>82275551</v>
      </c>
      <c r="I8584" s="4">
        <v>115179014</v>
      </c>
      <c r="J8584" s="3">
        <v>0.3999178686752277</v>
      </c>
      <c r="K8584" s="3">
        <v>-0.2856723795187203</v>
      </c>
      <c r="L8584" t="s">
        <v>377</v>
      </c>
    </row>
    <row r="8585" spans="1:12" x14ac:dyDescent="0.25">
      <c r="A8585" t="s">
        <v>490</v>
      </c>
      <c r="B8585" t="s">
        <v>491</v>
      </c>
      <c r="C8585" t="s">
        <v>492</v>
      </c>
      <c r="D8585" t="s">
        <v>411</v>
      </c>
      <c r="E8585" t="s">
        <v>417</v>
      </c>
      <c r="F8585">
        <v>3</v>
      </c>
      <c r="G8585" t="s">
        <v>488</v>
      </c>
      <c r="H8585" s="4">
        <v>99623382</v>
      </c>
      <c r="I8585" s="4">
        <v>102900423.91553599</v>
      </c>
      <c r="J8585" s="3">
        <v>0.03289430502907426</v>
      </c>
      <c r="K8585" s="3">
        <v>-0.03184672901081427</v>
      </c>
      <c r="L8585" t="s">
        <v>377</v>
      </c>
    </row>
    <row r="8586" spans="1:12" x14ac:dyDescent="0.25">
      <c r="A8586" t="s">
        <v>490</v>
      </c>
      <c r="B8586" t="s">
        <v>491</v>
      </c>
      <c r="C8586" t="s">
        <v>492</v>
      </c>
      <c r="D8586" t="s">
        <v>411</v>
      </c>
      <c r="E8586" t="s">
        <v>417</v>
      </c>
      <c r="F8586">
        <v>3</v>
      </c>
      <c r="G8586" t="s">
        <v>498</v>
      </c>
      <c r="H8586" s="4">
        <v>99623382</v>
      </c>
      <c r="I8586" s="4">
        <v>97100903</v>
      </c>
      <c r="J8586" s="3">
        <v>0.025320150243443855</v>
      </c>
      <c r="K8586" s="3">
        <v>0.025977914953066915</v>
      </c>
      <c r="L8586" t="s">
        <v>377</v>
      </c>
    </row>
    <row r="8587" spans="1:12" x14ac:dyDescent="0.25">
      <c r="A8587" t="s">
        <v>490</v>
      </c>
      <c r="B8587" t="s">
        <v>491</v>
      </c>
      <c r="C8587" t="s">
        <v>492</v>
      </c>
      <c r="D8587" t="s">
        <v>411</v>
      </c>
      <c r="E8587" t="s">
        <v>417</v>
      </c>
      <c r="F8587">
        <v>3</v>
      </c>
      <c r="G8587" t="s">
        <v>499</v>
      </c>
      <c r="H8587" s="4">
        <v>99623382</v>
      </c>
      <c r="I8587" s="4">
        <v>115179014</v>
      </c>
      <c r="J8587" s="3">
        <v>0.15614438787071092</v>
      </c>
      <c r="K8587" s="3">
        <v>-0.13505613097191474</v>
      </c>
      <c r="L8587" t="s">
        <v>377</v>
      </c>
    </row>
    <row r="8588" spans="1:12" x14ac:dyDescent="0.25">
      <c r="A8588" t="s">
        <v>490</v>
      </c>
      <c r="B8588" t="s">
        <v>491</v>
      </c>
      <c r="C8588" t="s">
        <v>492</v>
      </c>
      <c r="D8588" t="s">
        <v>413</v>
      </c>
      <c r="E8588" t="s">
        <v>415</v>
      </c>
      <c r="F8588">
        <v>1</v>
      </c>
      <c r="G8588" t="s">
        <v>488</v>
      </c>
      <c r="H8588" s="4">
        <v>82275551</v>
      </c>
      <c r="I8588" s="4">
        <v>87623120.92475365</v>
      </c>
      <c r="J8588" s="3">
        <v>0.06499585672484468</v>
      </c>
      <c r="K8588" s="3">
        <v>-0.06102921087855198</v>
      </c>
      <c r="L8588" t="s">
        <v>377</v>
      </c>
    </row>
    <row r="8589" spans="1:12" x14ac:dyDescent="0.25">
      <c r="A8589" t="s">
        <v>490</v>
      </c>
      <c r="B8589" t="s">
        <v>491</v>
      </c>
      <c r="C8589" t="s">
        <v>492</v>
      </c>
      <c r="D8589" t="s">
        <v>413</v>
      </c>
      <c r="E8589" t="s">
        <v>415</v>
      </c>
      <c r="F8589">
        <v>1</v>
      </c>
      <c r="G8589" t="s">
        <v>498</v>
      </c>
      <c r="H8589" s="4">
        <v>82275551</v>
      </c>
      <c r="I8589" s="4">
        <v>82728676</v>
      </c>
      <c r="J8589" s="3">
        <v>0.005507407662332155</v>
      </c>
      <c r="K8589" s="3">
        <v>-0.005477242256361023</v>
      </c>
      <c r="L8589" t="s">
        <v>377</v>
      </c>
    </row>
    <row r="8590" spans="1:12" x14ac:dyDescent="0.25">
      <c r="A8590" t="s">
        <v>490</v>
      </c>
      <c r="B8590" t="s">
        <v>491</v>
      </c>
      <c r="C8590" t="s">
        <v>492</v>
      </c>
      <c r="D8590" t="s">
        <v>413</v>
      </c>
      <c r="E8590" t="s">
        <v>415</v>
      </c>
      <c r="F8590">
        <v>1</v>
      </c>
      <c r="G8590" t="s">
        <v>499</v>
      </c>
      <c r="H8590" s="4">
        <v>82275551</v>
      </c>
      <c r="I8590" s="4">
        <v>103127514</v>
      </c>
      <c r="J8590" s="3">
        <v>0.2534405755605332</v>
      </c>
      <c r="K8590" s="3">
        <v>-0.20219592416433116</v>
      </c>
      <c r="L8590" t="s">
        <v>377</v>
      </c>
    </row>
    <row r="8591" spans="1:12" x14ac:dyDescent="0.25">
      <c r="A8591" t="s">
        <v>490</v>
      </c>
      <c r="B8591" t="s">
        <v>491</v>
      </c>
      <c r="C8591" t="s">
        <v>492</v>
      </c>
      <c r="D8591" t="s">
        <v>413</v>
      </c>
      <c r="E8591" t="s">
        <v>417</v>
      </c>
      <c r="F8591">
        <v>2</v>
      </c>
      <c r="G8591" t="s">
        <v>488</v>
      </c>
      <c r="H8591" s="4">
        <v>99623382</v>
      </c>
      <c r="I8591" s="4">
        <v>102845646.47779174</v>
      </c>
      <c r="J8591" s="3">
        <v>0.03234445983566129</v>
      </c>
      <c r="K8591" s="3">
        <v>-0.03133107319703173</v>
      </c>
      <c r="L8591" t="s">
        <v>377</v>
      </c>
    </row>
    <row r="8592" spans="1:12" x14ac:dyDescent="0.25">
      <c r="A8592" t="s">
        <v>490</v>
      </c>
      <c r="B8592" t="s">
        <v>491</v>
      </c>
      <c r="C8592" t="s">
        <v>492</v>
      </c>
      <c r="D8592" t="s">
        <v>413</v>
      </c>
      <c r="E8592" t="s">
        <v>417</v>
      </c>
      <c r="F8592">
        <v>2</v>
      </c>
      <c r="G8592" t="s">
        <v>498</v>
      </c>
      <c r="H8592" s="4">
        <v>99623382</v>
      </c>
      <c r="I8592" s="4">
        <v>97100903</v>
      </c>
      <c r="J8592" s="3">
        <v>0.025320150243443855</v>
      </c>
      <c r="K8592" s="3">
        <v>0.025977914953066915</v>
      </c>
      <c r="L8592" t="s">
        <v>377</v>
      </c>
    </row>
    <row r="8593" spans="1:12" x14ac:dyDescent="0.25">
      <c r="A8593" t="s">
        <v>490</v>
      </c>
      <c r="B8593" t="s">
        <v>491</v>
      </c>
      <c r="C8593" t="s">
        <v>492</v>
      </c>
      <c r="D8593" t="s">
        <v>413</v>
      </c>
      <c r="E8593" t="s">
        <v>417</v>
      </c>
      <c r="F8593">
        <v>2</v>
      </c>
      <c r="G8593" t="s">
        <v>499</v>
      </c>
      <c r="H8593" s="4">
        <v>99623382</v>
      </c>
      <c r="I8593" s="4">
        <v>103127514</v>
      </c>
      <c r="J8593" s="3">
        <v>0.03517379082753886</v>
      </c>
      <c r="K8593" s="3">
        <v>-0.03397863348087689</v>
      </c>
      <c r="L8593" t="s">
        <v>377</v>
      </c>
    </row>
    <row r="8594" spans="1:12" x14ac:dyDescent="0.25">
      <c r="A8594" t="s">
        <v>490</v>
      </c>
      <c r="B8594" t="s">
        <v>491</v>
      </c>
      <c r="C8594" t="s">
        <v>492</v>
      </c>
      <c r="D8594" t="s">
        <v>413</v>
      </c>
      <c r="E8594" t="s">
        <v>419</v>
      </c>
      <c r="F8594">
        <v>3</v>
      </c>
      <c r="G8594" t="s">
        <v>488</v>
      </c>
      <c r="H8594" s="4">
        <v>79588247</v>
      </c>
      <c r="I8594" s="4">
        <v>82287678.21422014</v>
      </c>
      <c r="J8594" s="3">
        <v>0.03391746037854228</v>
      </c>
      <c r="K8594" s="3">
        <v>-0.032804804714415284</v>
      </c>
      <c r="L8594" t="s">
        <v>377</v>
      </c>
    </row>
    <row r="8595" spans="1:12" x14ac:dyDescent="0.25">
      <c r="A8595" t="s">
        <v>490</v>
      </c>
      <c r="B8595" t="s">
        <v>491</v>
      </c>
      <c r="C8595" t="s">
        <v>492</v>
      </c>
      <c r="D8595" t="s">
        <v>413</v>
      </c>
      <c r="E8595" t="s">
        <v>419</v>
      </c>
      <c r="F8595">
        <v>3</v>
      </c>
      <c r="G8595" t="s">
        <v>498</v>
      </c>
      <c r="H8595" s="4">
        <v>79588247</v>
      </c>
      <c r="I8595" s="4">
        <v>77691260</v>
      </c>
      <c r="J8595" s="3">
        <v>0.02383501423269192</v>
      </c>
      <c r="K8595" s="3">
        <v>0.024416993623220938</v>
      </c>
      <c r="L8595" t="s">
        <v>377</v>
      </c>
    </row>
    <row r="8596" spans="1:12" x14ac:dyDescent="0.25">
      <c r="A8596" t="s">
        <v>490</v>
      </c>
      <c r="B8596" t="s">
        <v>491</v>
      </c>
      <c r="C8596" t="s">
        <v>492</v>
      </c>
      <c r="D8596" t="s">
        <v>413</v>
      </c>
      <c r="E8596" t="s">
        <v>419</v>
      </c>
      <c r="F8596">
        <v>3</v>
      </c>
      <c r="G8596" t="s">
        <v>499</v>
      </c>
      <c r="H8596" s="4">
        <v>79588247</v>
      </c>
      <c r="I8596" s="4">
        <v>103127514</v>
      </c>
      <c r="J8596" s="3">
        <v>0.2957631043186565</v>
      </c>
      <c r="K8596" s="3">
        <v>-0.2282539943705033</v>
      </c>
      <c r="L8596" t="s">
        <v>377</v>
      </c>
    </row>
    <row r="8597" spans="1:12" x14ac:dyDescent="0.25">
      <c r="A8597" t="s">
        <v>490</v>
      </c>
      <c r="B8597" t="s">
        <v>491</v>
      </c>
      <c r="C8597" t="s">
        <v>492</v>
      </c>
      <c r="D8597" t="s">
        <v>415</v>
      </c>
      <c r="E8597" t="s">
        <v>417</v>
      </c>
      <c r="F8597">
        <v>1</v>
      </c>
      <c r="G8597" t="s">
        <v>488</v>
      </c>
      <c r="H8597" s="4">
        <v>99623382</v>
      </c>
      <c r="I8597" s="4">
        <v>103812532.62725627</v>
      </c>
      <c r="J8597" s="3">
        <v>0.04204987366576527</v>
      </c>
      <c r="K8597" s="3">
        <v>-0.04035303369678509</v>
      </c>
      <c r="L8597" t="s">
        <v>377</v>
      </c>
    </row>
    <row r="8598" spans="1:12" x14ac:dyDescent="0.25">
      <c r="A8598" t="s">
        <v>490</v>
      </c>
      <c r="B8598" t="s">
        <v>491</v>
      </c>
      <c r="C8598" t="s">
        <v>492</v>
      </c>
      <c r="D8598" t="s">
        <v>415</v>
      </c>
      <c r="E8598" t="s">
        <v>417</v>
      </c>
      <c r="F8598">
        <v>1</v>
      </c>
      <c r="G8598" t="s">
        <v>498</v>
      </c>
      <c r="H8598" s="4">
        <v>99623382</v>
      </c>
      <c r="I8598" s="4">
        <v>97100903</v>
      </c>
      <c r="J8598" s="3">
        <v>0.025320150243443855</v>
      </c>
      <c r="K8598" s="3">
        <v>0.025977914953066915</v>
      </c>
      <c r="L8598" t="s">
        <v>377</v>
      </c>
    </row>
    <row r="8599" spans="1:12" x14ac:dyDescent="0.25">
      <c r="A8599" t="s">
        <v>490</v>
      </c>
      <c r="B8599" t="s">
        <v>491</v>
      </c>
      <c r="C8599" t="s">
        <v>492</v>
      </c>
      <c r="D8599" t="s">
        <v>415</v>
      </c>
      <c r="E8599" t="s">
        <v>417</v>
      </c>
      <c r="F8599">
        <v>1</v>
      </c>
      <c r="G8599" t="s">
        <v>499</v>
      </c>
      <c r="H8599" s="4">
        <v>99623382</v>
      </c>
      <c r="I8599" s="4">
        <v>82275551</v>
      </c>
      <c r="J8599" s="3">
        <v>0.1741341304795294</v>
      </c>
      <c r="K8599" s="3">
        <v>0.21085037765350242</v>
      </c>
      <c r="L8599" t="s">
        <v>377</v>
      </c>
    </row>
    <row r="8600" spans="1:12" x14ac:dyDescent="0.25">
      <c r="A8600" t="s">
        <v>490</v>
      </c>
      <c r="B8600" t="s">
        <v>491</v>
      </c>
      <c r="C8600" t="s">
        <v>492</v>
      </c>
      <c r="D8600" t="s">
        <v>415</v>
      </c>
      <c r="E8600" t="s">
        <v>419</v>
      </c>
      <c r="F8600">
        <v>2</v>
      </c>
      <c r="G8600" t="s">
        <v>488</v>
      </c>
      <c r="H8600" s="4">
        <v>79588247</v>
      </c>
      <c r="I8600" s="4">
        <v>83061292.06236786</v>
      </c>
      <c r="J8600" s="3">
        <v>0.04363766251024296</v>
      </c>
      <c r="K8600" s="3">
        <v>-0.041813039216390555</v>
      </c>
      <c r="L8600" t="s">
        <v>377</v>
      </c>
    </row>
    <row r="8601" spans="1:12" x14ac:dyDescent="0.25">
      <c r="A8601" t="s">
        <v>490</v>
      </c>
      <c r="B8601" t="s">
        <v>491</v>
      </c>
      <c r="C8601" t="s">
        <v>492</v>
      </c>
      <c r="D8601" t="s">
        <v>415</v>
      </c>
      <c r="E8601" t="s">
        <v>419</v>
      </c>
      <c r="F8601">
        <v>2</v>
      </c>
      <c r="G8601" t="s">
        <v>498</v>
      </c>
      <c r="H8601" s="4">
        <v>79588247</v>
      </c>
      <c r="I8601" s="4">
        <v>77691260</v>
      </c>
      <c r="J8601" s="3">
        <v>0.02383501423269192</v>
      </c>
      <c r="K8601" s="3">
        <v>0.024416993623220938</v>
      </c>
      <c r="L8601" t="s">
        <v>377</v>
      </c>
    </row>
    <row r="8602" spans="1:12" x14ac:dyDescent="0.25">
      <c r="A8602" t="s">
        <v>490</v>
      </c>
      <c r="B8602" t="s">
        <v>491</v>
      </c>
      <c r="C8602" t="s">
        <v>492</v>
      </c>
      <c r="D8602" t="s">
        <v>415</v>
      </c>
      <c r="E8602" t="s">
        <v>419</v>
      </c>
      <c r="F8602">
        <v>2</v>
      </c>
      <c r="G8602" t="s">
        <v>499</v>
      </c>
      <c r="H8602" s="4">
        <v>79588247</v>
      </c>
      <c r="I8602" s="4">
        <v>82275551</v>
      </c>
      <c r="J8602" s="3">
        <v>0.0337650859429031</v>
      </c>
      <c r="K8602" s="3">
        <v>-0.032662242517221184</v>
      </c>
      <c r="L8602" t="s">
        <v>377</v>
      </c>
    </row>
    <row r="8603" spans="1:12" x14ac:dyDescent="0.25">
      <c r="A8603" t="s">
        <v>490</v>
      </c>
      <c r="B8603" t="s">
        <v>491</v>
      </c>
      <c r="C8603" t="s">
        <v>492</v>
      </c>
      <c r="D8603" t="s">
        <v>415</v>
      </c>
      <c r="E8603" t="s">
        <v>421</v>
      </c>
      <c r="F8603">
        <v>3</v>
      </c>
      <c r="G8603" t="s">
        <v>488</v>
      </c>
      <c r="H8603" s="4">
        <v>72092785</v>
      </c>
      <c r="I8603" s="4">
        <v>76196611.59118997</v>
      </c>
      <c r="J8603" s="3">
        <v>0.0569242343903064</v>
      </c>
      <c r="K8603" s="3">
        <v>-0.053858386947805696</v>
      </c>
      <c r="L8603" t="s">
        <v>377</v>
      </c>
    </row>
    <row r="8604" spans="1:12" x14ac:dyDescent="0.25">
      <c r="A8604" t="s">
        <v>490</v>
      </c>
      <c r="B8604" t="s">
        <v>491</v>
      </c>
      <c r="C8604" t="s">
        <v>492</v>
      </c>
      <c r="D8604" t="s">
        <v>415</v>
      </c>
      <c r="E8604" t="s">
        <v>421</v>
      </c>
      <c r="F8604">
        <v>3</v>
      </c>
      <c r="G8604" t="s">
        <v>498</v>
      </c>
      <c r="H8604" s="4">
        <v>72092785</v>
      </c>
      <c r="I8604" s="4">
        <v>71270391</v>
      </c>
      <c r="J8604" s="3">
        <v>0.01140743834490511</v>
      </c>
      <c r="K8604" s="3">
        <v>0.01153906956957764</v>
      </c>
      <c r="L8604" t="s">
        <v>377</v>
      </c>
    </row>
    <row r="8605" spans="1:12" x14ac:dyDescent="0.25">
      <c r="A8605" t="s">
        <v>490</v>
      </c>
      <c r="B8605" t="s">
        <v>491</v>
      </c>
      <c r="C8605" t="s">
        <v>492</v>
      </c>
      <c r="D8605" t="s">
        <v>415</v>
      </c>
      <c r="E8605" t="s">
        <v>421</v>
      </c>
      <c r="F8605">
        <v>3</v>
      </c>
      <c r="G8605" t="s">
        <v>499</v>
      </c>
      <c r="H8605" s="4">
        <v>72092785</v>
      </c>
      <c r="I8605" s="4">
        <v>82275551</v>
      </c>
      <c r="J8605" s="3">
        <v>0.14124528550256452</v>
      </c>
      <c r="K8605" s="3">
        <v>-0.12376417874126422</v>
      </c>
      <c r="L8605" t="s">
        <v>377</v>
      </c>
    </row>
    <row r="8606" spans="1:12" x14ac:dyDescent="0.25">
      <c r="A8606" t="s">
        <v>490</v>
      </c>
      <c r="B8606" t="s">
        <v>491</v>
      </c>
      <c r="C8606" t="s">
        <v>492</v>
      </c>
      <c r="D8606" t="s">
        <v>417</v>
      </c>
      <c r="E8606" t="s">
        <v>419</v>
      </c>
      <c r="F8606">
        <v>1</v>
      </c>
      <c r="G8606" t="s">
        <v>488</v>
      </c>
      <c r="H8606" s="4">
        <v>79588247</v>
      </c>
      <c r="I8606" s="4">
        <v>82735849.15815626</v>
      </c>
      <c r="J8606" s="3">
        <v>0.03954858005801109</v>
      </c>
      <c r="K8606" s="3">
        <v>-0.03804399411117864</v>
      </c>
      <c r="L8606" t="s">
        <v>377</v>
      </c>
    </row>
    <row r="8607" spans="1:12" x14ac:dyDescent="0.25">
      <c r="A8607" t="s">
        <v>490</v>
      </c>
      <c r="B8607" t="s">
        <v>491</v>
      </c>
      <c r="C8607" t="s">
        <v>492</v>
      </c>
      <c r="D8607" t="s">
        <v>417</v>
      </c>
      <c r="E8607" t="s">
        <v>419</v>
      </c>
      <c r="F8607">
        <v>1</v>
      </c>
      <c r="G8607" t="s">
        <v>498</v>
      </c>
      <c r="H8607" s="4">
        <v>79588247</v>
      </c>
      <c r="I8607" s="4">
        <v>77691260</v>
      </c>
      <c r="J8607" s="3">
        <v>0.02383501423269192</v>
      </c>
      <c r="K8607" s="3">
        <v>0.024416993623220938</v>
      </c>
      <c r="L8607" t="s">
        <v>377</v>
      </c>
    </row>
    <row r="8608" spans="1:12" x14ac:dyDescent="0.25">
      <c r="A8608" t="s">
        <v>490</v>
      </c>
      <c r="B8608" t="s">
        <v>491</v>
      </c>
      <c r="C8608" t="s">
        <v>492</v>
      </c>
      <c r="D8608" t="s">
        <v>417</v>
      </c>
      <c r="E8608" t="s">
        <v>419</v>
      </c>
      <c r="F8608">
        <v>1</v>
      </c>
      <c r="G8608" t="s">
        <v>499</v>
      </c>
      <c r="H8608" s="4">
        <v>79588247</v>
      </c>
      <c r="I8608" s="4">
        <v>99623382</v>
      </c>
      <c r="J8608" s="3">
        <v>0.2517348447189696</v>
      </c>
      <c r="K8608" s="3">
        <v>-0.20110876179650275</v>
      </c>
      <c r="L8608" t="s">
        <v>377</v>
      </c>
    </row>
    <row r="8609" spans="1:12" x14ac:dyDescent="0.25">
      <c r="A8609" t="s">
        <v>490</v>
      </c>
      <c r="B8609" t="s">
        <v>491</v>
      </c>
      <c r="C8609" t="s">
        <v>492</v>
      </c>
      <c r="D8609" t="s">
        <v>417</v>
      </c>
      <c r="E8609" t="s">
        <v>421</v>
      </c>
      <c r="F8609">
        <v>2</v>
      </c>
      <c r="G8609" t="s">
        <v>488</v>
      </c>
      <c r="H8609" s="4">
        <v>72092785</v>
      </c>
      <c r="I8609" s="4">
        <v>75898065.22920103</v>
      </c>
      <c r="J8609" s="3">
        <v>0.052783093747883834</v>
      </c>
      <c r="K8609" s="3">
        <v>-0.050136722427767365</v>
      </c>
      <c r="L8609" t="s">
        <v>377</v>
      </c>
    </row>
    <row r="8610" spans="1:12" x14ac:dyDescent="0.25">
      <c r="A8610" t="s">
        <v>490</v>
      </c>
      <c r="B8610" t="s">
        <v>491</v>
      </c>
      <c r="C8610" t="s">
        <v>492</v>
      </c>
      <c r="D8610" t="s">
        <v>417</v>
      </c>
      <c r="E8610" t="s">
        <v>421</v>
      </c>
      <c r="F8610">
        <v>2</v>
      </c>
      <c r="G8610" t="s">
        <v>498</v>
      </c>
      <c r="H8610" s="4">
        <v>72092785</v>
      </c>
      <c r="I8610" s="4">
        <v>71270391</v>
      </c>
      <c r="J8610" s="3">
        <v>0.01140743834490511</v>
      </c>
      <c r="K8610" s="3">
        <v>0.01153906956957764</v>
      </c>
      <c r="L8610" t="s">
        <v>377</v>
      </c>
    </row>
    <row r="8611" spans="1:12" x14ac:dyDescent="0.25">
      <c r="A8611" t="s">
        <v>490</v>
      </c>
      <c r="B8611" t="s">
        <v>491</v>
      </c>
      <c r="C8611" t="s">
        <v>492</v>
      </c>
      <c r="D8611" t="s">
        <v>417</v>
      </c>
      <c r="E8611" t="s">
        <v>421</v>
      </c>
      <c r="F8611">
        <v>2</v>
      </c>
      <c r="G8611" t="s">
        <v>499</v>
      </c>
      <c r="H8611" s="4">
        <v>72092785</v>
      </c>
      <c r="I8611" s="4">
        <v>99623382</v>
      </c>
      <c r="J8611" s="3">
        <v>0.38187728494605944</v>
      </c>
      <c r="K8611" s="3">
        <v>-0.2763467415711705</v>
      </c>
      <c r="L8611" t="s">
        <v>377</v>
      </c>
    </row>
    <row r="8612" spans="1:12" x14ac:dyDescent="0.25">
      <c r="A8612" t="s">
        <v>490</v>
      </c>
      <c r="B8612" t="s">
        <v>491</v>
      </c>
      <c r="C8612" t="s">
        <v>492</v>
      </c>
      <c r="D8612" t="s">
        <v>417</v>
      </c>
      <c r="E8612" t="s">
        <v>423</v>
      </c>
      <c r="F8612">
        <v>3</v>
      </c>
      <c r="G8612" t="s">
        <v>488</v>
      </c>
      <c r="H8612" s="4">
        <v>60636602</v>
      </c>
      <c r="I8612" s="4">
        <v>74578735.77108695</v>
      </c>
      <c r="J8612" s="3">
        <v>0.22992933824172646</v>
      </c>
      <c r="K8612" s="3">
        <v>-0.18694516106951897</v>
      </c>
      <c r="L8612" t="s">
        <v>377</v>
      </c>
    </row>
    <row r="8613" spans="1:12" x14ac:dyDescent="0.25">
      <c r="A8613" t="s">
        <v>490</v>
      </c>
      <c r="B8613" t="s">
        <v>491</v>
      </c>
      <c r="C8613" t="s">
        <v>492</v>
      </c>
      <c r="D8613" t="s">
        <v>417</v>
      </c>
      <c r="E8613" t="s">
        <v>423</v>
      </c>
      <c r="F8613">
        <v>3</v>
      </c>
      <c r="G8613" t="s">
        <v>498</v>
      </c>
      <c r="H8613" s="4">
        <v>60636602</v>
      </c>
      <c r="I8613" s="4">
        <v>70031504</v>
      </c>
      <c r="J8613" s="3">
        <v>0.15493780472725038</v>
      </c>
      <c r="K8613" s="3">
        <v>-0.1341525094191894</v>
      </c>
      <c r="L8613" t="s">
        <v>377</v>
      </c>
    </row>
    <row r="8614" spans="1:12" x14ac:dyDescent="0.25">
      <c r="A8614" t="s">
        <v>490</v>
      </c>
      <c r="B8614" t="s">
        <v>491</v>
      </c>
      <c r="C8614" t="s">
        <v>492</v>
      </c>
      <c r="D8614" t="s">
        <v>417</v>
      </c>
      <c r="E8614" t="s">
        <v>423</v>
      </c>
      <c r="F8614">
        <v>3</v>
      </c>
      <c r="G8614" t="s">
        <v>499</v>
      </c>
      <c r="H8614" s="4">
        <v>60636602</v>
      </c>
      <c r="I8614" s="4">
        <v>99623382</v>
      </c>
      <c r="J8614" s="3">
        <v>0.6429578623155697</v>
      </c>
      <c r="K8614" s="3">
        <v>-0.3913416631449031</v>
      </c>
      <c r="L8614" t="s">
        <v>377</v>
      </c>
    </row>
    <row r="8615" spans="1:12" x14ac:dyDescent="0.25">
      <c r="A8615" t="s">
        <v>490</v>
      </c>
      <c r="B8615" t="s">
        <v>491</v>
      </c>
      <c r="C8615" t="s">
        <v>492</v>
      </c>
      <c r="D8615" t="s">
        <v>419</v>
      </c>
      <c r="E8615" t="s">
        <v>421</v>
      </c>
      <c r="F8615">
        <v>1</v>
      </c>
      <c r="G8615" t="s">
        <v>488</v>
      </c>
      <c r="H8615" s="4">
        <v>72092785</v>
      </c>
      <c r="I8615" s="4">
        <v>76724616.04033229</v>
      </c>
      <c r="J8615" s="3">
        <v>0.06424819127645419</v>
      </c>
      <c r="K8615" s="3">
        <v>-0.06036955646539104</v>
      </c>
      <c r="L8615" t="s">
        <v>377</v>
      </c>
    </row>
    <row r="8616" spans="1:12" x14ac:dyDescent="0.25">
      <c r="A8616" t="s">
        <v>490</v>
      </c>
      <c r="B8616" t="s">
        <v>491</v>
      </c>
      <c r="C8616" t="s">
        <v>492</v>
      </c>
      <c r="D8616" t="s">
        <v>419</v>
      </c>
      <c r="E8616" t="s">
        <v>421</v>
      </c>
      <c r="F8616">
        <v>1</v>
      </c>
      <c r="G8616" t="s">
        <v>498</v>
      </c>
      <c r="H8616" s="4">
        <v>72092785</v>
      </c>
      <c r="I8616" s="4">
        <v>71270391</v>
      </c>
      <c r="J8616" s="3">
        <v>0.01140743834490511</v>
      </c>
      <c r="K8616" s="3">
        <v>0.01153906956957764</v>
      </c>
      <c r="L8616" t="s">
        <v>377</v>
      </c>
    </row>
    <row r="8617" spans="1:12" x14ac:dyDescent="0.25">
      <c r="A8617" t="s">
        <v>490</v>
      </c>
      <c r="B8617" t="s">
        <v>491</v>
      </c>
      <c r="C8617" t="s">
        <v>492</v>
      </c>
      <c r="D8617" t="s">
        <v>419</v>
      </c>
      <c r="E8617" t="s">
        <v>421</v>
      </c>
      <c r="F8617">
        <v>1</v>
      </c>
      <c r="G8617" t="s">
        <v>499</v>
      </c>
      <c r="H8617" s="4">
        <v>72092785</v>
      </c>
      <c r="I8617" s="4">
        <v>79588247</v>
      </c>
      <c r="J8617" s="3">
        <v>0.10396965521584442</v>
      </c>
      <c r="K8617" s="3">
        <v>-0.09417800093021272</v>
      </c>
      <c r="L8617" t="s">
        <v>377</v>
      </c>
    </row>
    <row r="8618" spans="1:12" x14ac:dyDescent="0.25">
      <c r="A8618" t="s">
        <v>490</v>
      </c>
      <c r="B8618" t="s">
        <v>491</v>
      </c>
      <c r="C8618" t="s">
        <v>492</v>
      </c>
      <c r="D8618" t="s">
        <v>419</v>
      </c>
      <c r="E8618" t="s">
        <v>423</v>
      </c>
      <c r="F8618">
        <v>2</v>
      </c>
      <c r="G8618" t="s">
        <v>488</v>
      </c>
      <c r="H8618" s="4">
        <v>60636602</v>
      </c>
      <c r="I8618" s="4">
        <v>75390918.72145048</v>
      </c>
      <c r="J8618" s="3">
        <v>0.24332360710863182</v>
      </c>
      <c r="K8618" s="3">
        <v>-0.19570416399836935</v>
      </c>
      <c r="L8618" t="s">
        <v>377</v>
      </c>
    </row>
    <row r="8619" spans="1:12" x14ac:dyDescent="0.25">
      <c r="A8619" t="s">
        <v>490</v>
      </c>
      <c r="B8619" t="s">
        <v>491</v>
      </c>
      <c r="C8619" t="s">
        <v>492</v>
      </c>
      <c r="D8619" t="s">
        <v>419</v>
      </c>
      <c r="E8619" t="s">
        <v>423</v>
      </c>
      <c r="F8619">
        <v>2</v>
      </c>
      <c r="G8619" t="s">
        <v>498</v>
      </c>
      <c r="H8619" s="4">
        <v>60636602</v>
      </c>
      <c r="I8619" s="4">
        <v>70031504</v>
      </c>
      <c r="J8619" s="3">
        <v>0.15493780472725038</v>
      </c>
      <c r="K8619" s="3">
        <v>-0.1341525094191894</v>
      </c>
      <c r="L8619" t="s">
        <v>377</v>
      </c>
    </row>
    <row r="8620" spans="1:12" x14ac:dyDescent="0.25">
      <c r="A8620" t="s">
        <v>490</v>
      </c>
      <c r="B8620" t="s">
        <v>491</v>
      </c>
      <c r="C8620" t="s">
        <v>492</v>
      </c>
      <c r="D8620" t="s">
        <v>419</v>
      </c>
      <c r="E8620" t="s">
        <v>423</v>
      </c>
      <c r="F8620">
        <v>2</v>
      </c>
      <c r="G8620" t="s">
        <v>499</v>
      </c>
      <c r="H8620" s="4">
        <v>60636602</v>
      </c>
      <c r="I8620" s="4">
        <v>79588247</v>
      </c>
      <c r="J8620" s="3">
        <v>0.31254464094145645</v>
      </c>
      <c r="K8620" s="3">
        <v>-0.23812115122977895</v>
      </c>
      <c r="L8620" t="s">
        <v>377</v>
      </c>
    </row>
    <row r="8621" spans="1:12" x14ac:dyDescent="0.25">
      <c r="A8621" t="s">
        <v>490</v>
      </c>
      <c r="B8621" t="s">
        <v>491</v>
      </c>
      <c r="C8621" t="s">
        <v>492</v>
      </c>
      <c r="D8621" t="s">
        <v>419</v>
      </c>
      <c r="E8621" t="s">
        <v>425</v>
      </c>
      <c r="F8621">
        <v>3</v>
      </c>
      <c r="G8621" t="s">
        <v>488</v>
      </c>
      <c r="H8621" s="4">
        <v>61162912</v>
      </c>
      <c r="I8621" s="4">
        <v>73010535.2273928</v>
      </c>
      <c r="J8621" s="3">
        <v>0.19370600319672146</v>
      </c>
      <c r="K8621" s="3">
        <v>-0.1622727896801897</v>
      </c>
      <c r="L8621" t="s">
        <v>377</v>
      </c>
    </row>
    <row r="8622" spans="1:12" x14ac:dyDescent="0.25">
      <c r="A8622" t="s">
        <v>490</v>
      </c>
      <c r="B8622" t="s">
        <v>491</v>
      </c>
      <c r="C8622" t="s">
        <v>492</v>
      </c>
      <c r="D8622" t="s">
        <v>419</v>
      </c>
      <c r="E8622" t="s">
        <v>425</v>
      </c>
      <c r="F8622">
        <v>3</v>
      </c>
      <c r="G8622" t="s">
        <v>498</v>
      </c>
      <c r="H8622" s="4">
        <v>61162912</v>
      </c>
      <c r="I8622" s="4">
        <v>67820338</v>
      </c>
      <c r="J8622" s="3">
        <v>0.10884743355581239</v>
      </c>
      <c r="K8622" s="3">
        <v>-0.0981626779860637</v>
      </c>
      <c r="L8622" t="s">
        <v>377</v>
      </c>
    </row>
    <row r="8623" spans="1:12" x14ac:dyDescent="0.25">
      <c r="A8623" t="s">
        <v>490</v>
      </c>
      <c r="B8623" t="s">
        <v>491</v>
      </c>
      <c r="C8623" t="s">
        <v>492</v>
      </c>
      <c r="D8623" t="s">
        <v>419</v>
      </c>
      <c r="E8623" t="s">
        <v>425</v>
      </c>
      <c r="F8623">
        <v>3</v>
      </c>
      <c r="G8623" t="s">
        <v>499</v>
      </c>
      <c r="H8623" s="4">
        <v>61162912</v>
      </c>
      <c r="I8623" s="4">
        <v>79588247</v>
      </c>
      <c r="J8623" s="3">
        <v>0.3012501268742731</v>
      </c>
      <c r="K8623" s="3">
        <v>-0.23150824015510732</v>
      </c>
      <c r="L8623" t="s">
        <v>377</v>
      </c>
    </row>
    <row r="8624" spans="1:12" x14ac:dyDescent="0.25">
      <c r="A8624" t="s">
        <v>490</v>
      </c>
      <c r="B8624" t="s">
        <v>491</v>
      </c>
      <c r="C8624" t="s">
        <v>492</v>
      </c>
      <c r="D8624" t="s">
        <v>421</v>
      </c>
      <c r="E8624" t="s">
        <v>423</v>
      </c>
      <c r="F8624">
        <v>1</v>
      </c>
      <c r="G8624" t="s">
        <v>488</v>
      </c>
      <c r="H8624" s="4">
        <v>60636602</v>
      </c>
      <c r="I8624" s="4">
        <v>75059823.70284583</v>
      </c>
      <c r="J8624" s="3">
        <v>0.2378632909351653</v>
      </c>
      <c r="K8624" s="3">
        <v>-0.19215634931339418</v>
      </c>
      <c r="L8624" t="s">
        <v>377</v>
      </c>
    </row>
    <row r="8625" spans="1:12" x14ac:dyDescent="0.25">
      <c r="A8625" t="s">
        <v>490</v>
      </c>
      <c r="B8625" t="s">
        <v>491</v>
      </c>
      <c r="C8625" t="s">
        <v>492</v>
      </c>
      <c r="D8625" t="s">
        <v>421</v>
      </c>
      <c r="E8625" t="s">
        <v>423</v>
      </c>
      <c r="F8625">
        <v>1</v>
      </c>
      <c r="G8625" t="s">
        <v>498</v>
      </c>
      <c r="H8625" s="4">
        <v>60636602</v>
      </c>
      <c r="I8625" s="4">
        <v>70031504</v>
      </c>
      <c r="J8625" s="3">
        <v>0.15493780472725038</v>
      </c>
      <c r="K8625" s="3">
        <v>-0.1341525094191894</v>
      </c>
      <c r="L8625" t="s">
        <v>377</v>
      </c>
    </row>
    <row r="8626" spans="1:12" x14ac:dyDescent="0.25">
      <c r="A8626" t="s">
        <v>490</v>
      </c>
      <c r="B8626" t="s">
        <v>491</v>
      </c>
      <c r="C8626" t="s">
        <v>492</v>
      </c>
      <c r="D8626" t="s">
        <v>421</v>
      </c>
      <c r="E8626" t="s">
        <v>423</v>
      </c>
      <c r="F8626">
        <v>1</v>
      </c>
      <c r="G8626" t="s">
        <v>499</v>
      </c>
      <c r="H8626" s="4">
        <v>60636602</v>
      </c>
      <c r="I8626" s="4">
        <v>72092785</v>
      </c>
      <c r="J8626" s="3">
        <v>0.18893181052592622</v>
      </c>
      <c r="K8626" s="3">
        <v>-0.15890887000689458</v>
      </c>
      <c r="L8626" t="s">
        <v>377</v>
      </c>
    </row>
    <row r="8627" spans="1:12" x14ac:dyDescent="0.25">
      <c r="A8627" t="s">
        <v>490</v>
      </c>
      <c r="B8627" t="s">
        <v>491</v>
      </c>
      <c r="C8627" t="s">
        <v>492</v>
      </c>
      <c r="D8627" t="s">
        <v>421</v>
      </c>
      <c r="E8627" t="s">
        <v>425</v>
      </c>
      <c r="F8627">
        <v>2</v>
      </c>
      <c r="G8627" t="s">
        <v>488</v>
      </c>
      <c r="H8627" s="4">
        <v>61162912</v>
      </c>
      <c r="I8627" s="4">
        <v>72689894.1617392</v>
      </c>
      <c r="J8627" s="3">
        <v>0.18846359312877714</v>
      </c>
      <c r="K8627" s="3">
        <v>-0.15857750647003285</v>
      </c>
      <c r="L8627" t="s">
        <v>377</v>
      </c>
    </row>
    <row r="8628" spans="1:12" x14ac:dyDescent="0.25">
      <c r="A8628" t="s">
        <v>490</v>
      </c>
      <c r="B8628" t="s">
        <v>491</v>
      </c>
      <c r="C8628" t="s">
        <v>492</v>
      </c>
      <c r="D8628" t="s">
        <v>421</v>
      </c>
      <c r="E8628" t="s">
        <v>425</v>
      </c>
      <c r="F8628">
        <v>2</v>
      </c>
      <c r="G8628" t="s">
        <v>498</v>
      </c>
      <c r="H8628" s="4">
        <v>61162912</v>
      </c>
      <c r="I8628" s="4">
        <v>67820338</v>
      </c>
      <c r="J8628" s="3">
        <v>0.10884743355581239</v>
      </c>
      <c r="K8628" s="3">
        <v>-0.0981626779860637</v>
      </c>
      <c r="L8628" t="s">
        <v>377</v>
      </c>
    </row>
    <row r="8629" spans="1:12" x14ac:dyDescent="0.25">
      <c r="A8629" t="s">
        <v>490</v>
      </c>
      <c r="B8629" t="s">
        <v>491</v>
      </c>
      <c r="C8629" t="s">
        <v>492</v>
      </c>
      <c r="D8629" t="s">
        <v>421</v>
      </c>
      <c r="E8629" t="s">
        <v>425</v>
      </c>
      <c r="F8629">
        <v>2</v>
      </c>
      <c r="G8629" t="s">
        <v>499</v>
      </c>
      <c r="H8629" s="4">
        <v>61162912</v>
      </c>
      <c r="I8629" s="4">
        <v>72092785</v>
      </c>
      <c r="J8629" s="3">
        <v>0.17870099121506838</v>
      </c>
      <c r="K8629" s="3">
        <v>-0.1516084168478163</v>
      </c>
      <c r="L8629" t="s">
        <v>377</v>
      </c>
    </row>
    <row r="8630" spans="1:12" x14ac:dyDescent="0.25">
      <c r="A8630" t="s">
        <v>490</v>
      </c>
      <c r="B8630" t="s">
        <v>491</v>
      </c>
      <c r="C8630" t="s">
        <v>492</v>
      </c>
      <c r="D8630" t="s">
        <v>421</v>
      </c>
      <c r="E8630" t="s">
        <v>427</v>
      </c>
      <c r="F8630">
        <v>3</v>
      </c>
      <c r="G8630" t="s">
        <v>488</v>
      </c>
      <c r="H8630" s="4">
        <v>65789034</v>
      </c>
      <c r="I8630" s="4">
        <v>72172405.14422709</v>
      </c>
      <c r="J8630" s="3">
        <v>0.09702788984904517</v>
      </c>
      <c r="K8630" s="3">
        <v>-0.08844614685447655</v>
      </c>
      <c r="L8630" t="s">
        <v>377</v>
      </c>
    </row>
    <row r="8631" spans="1:12" x14ac:dyDescent="0.25">
      <c r="A8631" t="s">
        <v>490</v>
      </c>
      <c r="B8631" t="s">
        <v>491</v>
      </c>
      <c r="C8631" t="s">
        <v>492</v>
      </c>
      <c r="D8631" t="s">
        <v>421</v>
      </c>
      <c r="E8631" t="s">
        <v>427</v>
      </c>
      <c r="F8631">
        <v>3</v>
      </c>
      <c r="G8631" t="s">
        <v>498</v>
      </c>
      <c r="H8631" s="4">
        <v>65789034</v>
      </c>
      <c r="I8631" s="4">
        <v>67337516</v>
      </c>
      <c r="J8631" s="3">
        <v>0.023537083703037805</v>
      </c>
      <c r="K8631" s="3">
        <v>-0.022995828952169842</v>
      </c>
      <c r="L8631" t="s">
        <v>377</v>
      </c>
    </row>
    <row r="8632" spans="1:12" x14ac:dyDescent="0.25">
      <c r="A8632" t="s">
        <v>490</v>
      </c>
      <c r="B8632" t="s">
        <v>491</v>
      </c>
      <c r="C8632" t="s">
        <v>492</v>
      </c>
      <c r="D8632" t="s">
        <v>421</v>
      </c>
      <c r="E8632" t="s">
        <v>427</v>
      </c>
      <c r="F8632">
        <v>3</v>
      </c>
      <c r="G8632" t="s">
        <v>499</v>
      </c>
      <c r="H8632" s="4">
        <v>65789034</v>
      </c>
      <c r="I8632" s="4">
        <v>72092785</v>
      </c>
      <c r="J8632" s="3">
        <v>0.09581765556855569</v>
      </c>
      <c r="K8632" s="3">
        <v>-0.08743941574735946</v>
      </c>
      <c r="L8632" t="s">
        <v>377</v>
      </c>
    </row>
    <row r="8633" spans="1:12" x14ac:dyDescent="0.25">
      <c r="A8633" t="s">
        <v>490</v>
      </c>
      <c r="B8633" t="s">
        <v>491</v>
      </c>
      <c r="C8633" t="s">
        <v>492</v>
      </c>
      <c r="D8633" t="s">
        <v>423</v>
      </c>
      <c r="E8633" t="s">
        <v>425</v>
      </c>
      <c r="F8633">
        <v>1</v>
      </c>
      <c r="G8633" t="s">
        <v>488</v>
      </c>
      <c r="H8633" s="4">
        <v>61162912</v>
      </c>
      <c r="I8633" s="4">
        <v>71534809.41433625</v>
      </c>
      <c r="J8633" s="3">
        <v>0.16957821456140362</v>
      </c>
      <c r="K8633" s="3">
        <v>-0.14499091420319943</v>
      </c>
      <c r="L8633" t="s">
        <v>377</v>
      </c>
    </row>
    <row r="8634" spans="1:12" x14ac:dyDescent="0.25">
      <c r="A8634" t="s">
        <v>490</v>
      </c>
      <c r="B8634" t="s">
        <v>491</v>
      </c>
      <c r="C8634" t="s">
        <v>492</v>
      </c>
      <c r="D8634" t="s">
        <v>423</v>
      </c>
      <c r="E8634" t="s">
        <v>425</v>
      </c>
      <c r="F8634">
        <v>1</v>
      </c>
      <c r="G8634" t="s">
        <v>498</v>
      </c>
      <c r="H8634" s="4">
        <v>61162912</v>
      </c>
      <c r="I8634" s="4">
        <v>67820338</v>
      </c>
      <c r="J8634" s="3">
        <v>0.10884743355581239</v>
      </c>
      <c r="K8634" s="3">
        <v>-0.0981626779860637</v>
      </c>
      <c r="L8634" t="s">
        <v>377</v>
      </c>
    </row>
    <row r="8635" spans="1:12" x14ac:dyDescent="0.25">
      <c r="A8635" t="s">
        <v>490</v>
      </c>
      <c r="B8635" t="s">
        <v>491</v>
      </c>
      <c r="C8635" t="s">
        <v>492</v>
      </c>
      <c r="D8635" t="s">
        <v>423</v>
      </c>
      <c r="E8635" t="s">
        <v>425</v>
      </c>
      <c r="F8635">
        <v>1</v>
      </c>
      <c r="G8635" t="s">
        <v>499</v>
      </c>
      <c r="H8635" s="4">
        <v>61162912</v>
      </c>
      <c r="I8635" s="4">
        <v>60636602</v>
      </c>
      <c r="J8635" s="3">
        <v>0.008605051374924726</v>
      </c>
      <c r="K8635" s="3">
        <v>0.008679740992082637</v>
      </c>
      <c r="L8635" t="s">
        <v>377</v>
      </c>
    </row>
    <row r="8636" spans="1:12" x14ac:dyDescent="0.25">
      <c r="A8636" t="s">
        <v>490</v>
      </c>
      <c r="B8636" t="s">
        <v>491</v>
      </c>
      <c r="C8636" t="s">
        <v>492</v>
      </c>
      <c r="D8636" t="s">
        <v>423</v>
      </c>
      <c r="E8636" t="s">
        <v>427</v>
      </c>
      <c r="F8636">
        <v>2</v>
      </c>
      <c r="G8636" t="s">
        <v>488</v>
      </c>
      <c r="H8636" s="4">
        <v>65789034</v>
      </c>
      <c r="I8636" s="4">
        <v>71025543.59865941</v>
      </c>
      <c r="J8636" s="3">
        <v>0.07959547785212064</v>
      </c>
      <c r="K8636" s="3">
        <v>-0.07372713158309778</v>
      </c>
      <c r="L8636" t="s">
        <v>377</v>
      </c>
    </row>
    <row r="8637" spans="1:12" x14ac:dyDescent="0.25">
      <c r="A8637" t="s">
        <v>490</v>
      </c>
      <c r="B8637" t="s">
        <v>491</v>
      </c>
      <c r="C8637" t="s">
        <v>492</v>
      </c>
      <c r="D8637" t="s">
        <v>423</v>
      </c>
      <c r="E8637" t="s">
        <v>427</v>
      </c>
      <c r="F8637">
        <v>2</v>
      </c>
      <c r="G8637" t="s">
        <v>498</v>
      </c>
      <c r="H8637" s="4">
        <v>65789034</v>
      </c>
      <c r="I8637" s="4">
        <v>67337516</v>
      </c>
      <c r="J8637" s="3">
        <v>0.023537083703037805</v>
      </c>
      <c r="K8637" s="3">
        <v>-0.022995828952169842</v>
      </c>
      <c r="L8637" t="s">
        <v>377</v>
      </c>
    </row>
    <row r="8638" spans="1:12" x14ac:dyDescent="0.25">
      <c r="A8638" t="s">
        <v>490</v>
      </c>
      <c r="B8638" t="s">
        <v>491</v>
      </c>
      <c r="C8638" t="s">
        <v>492</v>
      </c>
      <c r="D8638" t="s">
        <v>423</v>
      </c>
      <c r="E8638" t="s">
        <v>427</v>
      </c>
      <c r="F8638">
        <v>2</v>
      </c>
      <c r="G8638" t="s">
        <v>499</v>
      </c>
      <c r="H8638" s="4">
        <v>65789034</v>
      </c>
      <c r="I8638" s="4">
        <v>60636602</v>
      </c>
      <c r="J8638" s="3">
        <v>0.07831748981144791</v>
      </c>
      <c r="K8638" s="3">
        <v>0.08497230765008897</v>
      </c>
      <c r="L8638" t="s">
        <v>377</v>
      </c>
    </row>
    <row r="8639" spans="1:12" x14ac:dyDescent="0.25">
      <c r="A8639" t="s">
        <v>490</v>
      </c>
      <c r="B8639" t="s">
        <v>491</v>
      </c>
      <c r="C8639" t="s">
        <v>492</v>
      </c>
      <c r="D8639" t="s">
        <v>423</v>
      </c>
      <c r="E8639" t="s">
        <v>429</v>
      </c>
      <c r="F8639">
        <v>3</v>
      </c>
      <c r="G8639" t="s">
        <v>488</v>
      </c>
      <c r="H8639" s="4">
        <v>88684796</v>
      </c>
      <c r="I8639" s="4">
        <v>98819446.26581353</v>
      </c>
      <c r="J8639" s="3">
        <v>0.11427720108657102</v>
      </c>
      <c r="K8639" s="3">
        <v>-0.10255724605612974</v>
      </c>
      <c r="L8639" t="s">
        <v>377</v>
      </c>
    </row>
    <row r="8640" spans="1:12" x14ac:dyDescent="0.25">
      <c r="A8640" t="s">
        <v>490</v>
      </c>
      <c r="B8640" t="s">
        <v>491</v>
      </c>
      <c r="C8640" t="s">
        <v>492</v>
      </c>
      <c r="D8640" t="s">
        <v>423</v>
      </c>
      <c r="E8640" t="s">
        <v>429</v>
      </c>
      <c r="F8640">
        <v>3</v>
      </c>
      <c r="G8640" t="s">
        <v>498</v>
      </c>
      <c r="H8640" s="4">
        <v>88684796</v>
      </c>
      <c r="I8640" s="4">
        <v>93688210</v>
      </c>
      <c r="J8640" s="3">
        <v>0.05641794564200159</v>
      </c>
      <c r="K8640" s="3">
        <v>-0.05340494817864489</v>
      </c>
      <c r="L8640" t="s">
        <v>377</v>
      </c>
    </row>
    <row r="8641" spans="1:12" x14ac:dyDescent="0.25">
      <c r="A8641" t="s">
        <v>490</v>
      </c>
      <c r="B8641" t="s">
        <v>491</v>
      </c>
      <c r="C8641" t="s">
        <v>492</v>
      </c>
      <c r="D8641" t="s">
        <v>423</v>
      </c>
      <c r="E8641" t="s">
        <v>429</v>
      </c>
      <c r="F8641">
        <v>3</v>
      </c>
      <c r="G8641" t="s">
        <v>499</v>
      </c>
      <c r="H8641" s="4">
        <v>88684796</v>
      </c>
      <c r="I8641" s="4">
        <v>60636602</v>
      </c>
      <c r="J8641" s="3">
        <v>0.3162683488610607</v>
      </c>
      <c r="K8641" s="3">
        <v>0.46256210069291154</v>
      </c>
      <c r="L8641" t="s">
        <v>377</v>
      </c>
    </row>
    <row r="8642" spans="1:12" x14ac:dyDescent="0.25">
      <c r="A8642" t="s">
        <v>490</v>
      </c>
      <c r="B8642" t="s">
        <v>491</v>
      </c>
      <c r="C8642" t="s">
        <v>492</v>
      </c>
      <c r="D8642" t="s">
        <v>425</v>
      </c>
      <c r="E8642" t="s">
        <v>427</v>
      </c>
      <c r="F8642">
        <v>1</v>
      </c>
      <c r="G8642" t="s">
        <v>488</v>
      </c>
      <c r="H8642" s="4">
        <v>65789034</v>
      </c>
      <c r="I8642" s="4">
        <v>70302919.1276901</v>
      </c>
      <c r="J8642" s="3">
        <v>0.06861151248534986</v>
      </c>
      <c r="K8642" s="3">
        <v>-0.0642062261951258</v>
      </c>
      <c r="L8642" t="s">
        <v>377</v>
      </c>
    </row>
    <row r="8643" spans="1:12" x14ac:dyDescent="0.25">
      <c r="A8643" t="s">
        <v>490</v>
      </c>
      <c r="B8643" t="s">
        <v>491</v>
      </c>
      <c r="C8643" t="s">
        <v>492</v>
      </c>
      <c r="D8643" t="s">
        <v>425</v>
      </c>
      <c r="E8643" t="s">
        <v>427</v>
      </c>
      <c r="F8643">
        <v>1</v>
      </c>
      <c r="G8643" t="s">
        <v>498</v>
      </c>
      <c r="H8643" s="4">
        <v>65789034</v>
      </c>
      <c r="I8643" s="4">
        <v>67337516</v>
      </c>
      <c r="J8643" s="3">
        <v>0.023537083703037805</v>
      </c>
      <c r="K8643" s="3">
        <v>-0.022995828952169842</v>
      </c>
      <c r="L8643" t="s">
        <v>377</v>
      </c>
    </row>
    <row r="8644" spans="1:12" x14ac:dyDescent="0.25">
      <c r="A8644" t="s">
        <v>490</v>
      </c>
      <c r="B8644" t="s">
        <v>491</v>
      </c>
      <c r="C8644" t="s">
        <v>492</v>
      </c>
      <c r="D8644" t="s">
        <v>425</v>
      </c>
      <c r="E8644" t="s">
        <v>427</v>
      </c>
      <c r="F8644">
        <v>1</v>
      </c>
      <c r="G8644" t="s">
        <v>499</v>
      </c>
      <c r="H8644" s="4">
        <v>65789034</v>
      </c>
      <c r="I8644" s="4">
        <v>61162912</v>
      </c>
      <c r="J8644" s="3">
        <v>0.07031752434607871</v>
      </c>
      <c r="K8644" s="3">
        <v>0.07563606520238932</v>
      </c>
      <c r="L8644" t="s">
        <v>377</v>
      </c>
    </row>
    <row r="8645" spans="1:12" x14ac:dyDescent="0.25">
      <c r="A8645" t="s">
        <v>490</v>
      </c>
      <c r="B8645" t="s">
        <v>491</v>
      </c>
      <c r="C8645" t="s">
        <v>492</v>
      </c>
      <c r="D8645" t="s">
        <v>425</v>
      </c>
      <c r="E8645" t="s">
        <v>429</v>
      </c>
      <c r="F8645">
        <v>2</v>
      </c>
      <c r="G8645" t="s">
        <v>488</v>
      </c>
      <c r="H8645" s="4">
        <v>88684796</v>
      </c>
      <c r="I8645" s="4">
        <v>97814042.48484674</v>
      </c>
      <c r="J8645" s="3">
        <v>0.10294037869632965</v>
      </c>
      <c r="K8645" s="3">
        <v>-0.09333267752696178</v>
      </c>
      <c r="L8645" t="s">
        <v>377</v>
      </c>
    </row>
    <row r="8646" spans="1:12" x14ac:dyDescent="0.25">
      <c r="A8646" t="s">
        <v>490</v>
      </c>
      <c r="B8646" t="s">
        <v>491</v>
      </c>
      <c r="C8646" t="s">
        <v>492</v>
      </c>
      <c r="D8646" t="s">
        <v>425</v>
      </c>
      <c r="E8646" t="s">
        <v>429</v>
      </c>
      <c r="F8646">
        <v>2</v>
      </c>
      <c r="G8646" t="s">
        <v>498</v>
      </c>
      <c r="H8646" s="4">
        <v>88684796</v>
      </c>
      <c r="I8646" s="4">
        <v>93688210</v>
      </c>
      <c r="J8646" s="3">
        <v>0.05641794564200159</v>
      </c>
      <c r="K8646" s="3">
        <v>-0.05340494817864489</v>
      </c>
      <c r="L8646" t="s">
        <v>377</v>
      </c>
    </row>
    <row r="8647" spans="1:12" x14ac:dyDescent="0.25">
      <c r="A8647" t="s">
        <v>490</v>
      </c>
      <c r="B8647" t="s">
        <v>491</v>
      </c>
      <c r="C8647" t="s">
        <v>492</v>
      </c>
      <c r="D8647" t="s">
        <v>425</v>
      </c>
      <c r="E8647" t="s">
        <v>429</v>
      </c>
      <c r="F8647">
        <v>2</v>
      </c>
      <c r="G8647" t="s">
        <v>499</v>
      </c>
      <c r="H8647" s="4">
        <v>88684796</v>
      </c>
      <c r="I8647" s="4">
        <v>61162912</v>
      </c>
      <c r="J8647" s="3">
        <v>0.3103337352210857</v>
      </c>
      <c r="K8647" s="3">
        <v>0.4499766786774312</v>
      </c>
      <c r="L8647" t="s">
        <v>377</v>
      </c>
    </row>
    <row r="8648" spans="1:12" x14ac:dyDescent="0.25">
      <c r="A8648" t="s">
        <v>490</v>
      </c>
      <c r="B8648" t="s">
        <v>491</v>
      </c>
      <c r="C8648" t="s">
        <v>492</v>
      </c>
      <c r="D8648" t="s">
        <v>425</v>
      </c>
      <c r="E8648" t="s">
        <v>431</v>
      </c>
      <c r="F8648">
        <v>3</v>
      </c>
      <c r="G8648" t="s">
        <v>488</v>
      </c>
      <c r="H8648" s="4">
        <v>99058008</v>
      </c>
      <c r="I8648" s="4">
        <v>108775090.5455788</v>
      </c>
      <c r="J8648" s="3">
        <v>0.0980948712958047</v>
      </c>
      <c r="K8648" s="3">
        <v>-0.08933187273705052</v>
      </c>
      <c r="L8648" t="s">
        <v>377</v>
      </c>
    </row>
    <row r="8649" spans="1:12" x14ac:dyDescent="0.25">
      <c r="A8649" t="s">
        <v>490</v>
      </c>
      <c r="B8649" t="s">
        <v>491</v>
      </c>
      <c r="C8649" t="s">
        <v>492</v>
      </c>
      <c r="D8649" t="s">
        <v>425</v>
      </c>
      <c r="E8649" t="s">
        <v>431</v>
      </c>
      <c r="F8649">
        <v>3</v>
      </c>
      <c r="G8649" t="s">
        <v>498</v>
      </c>
      <c r="H8649" s="4">
        <v>99058008</v>
      </c>
      <c r="I8649" s="4">
        <v>104186917</v>
      </c>
      <c r="J8649" s="3">
        <v>0.05177682353555908</v>
      </c>
      <c r="K8649" s="3">
        <v>-0.049227956327760426</v>
      </c>
      <c r="L8649" t="s">
        <v>377</v>
      </c>
    </row>
    <row r="8650" spans="1:12" x14ac:dyDescent="0.25">
      <c r="A8650" t="s">
        <v>490</v>
      </c>
      <c r="B8650" t="s">
        <v>491</v>
      </c>
      <c r="C8650" t="s">
        <v>492</v>
      </c>
      <c r="D8650" t="s">
        <v>425</v>
      </c>
      <c r="E8650" t="s">
        <v>431</v>
      </c>
      <c r="F8650">
        <v>3</v>
      </c>
      <c r="G8650" t="s">
        <v>499</v>
      </c>
      <c r="H8650" s="4">
        <v>99058008</v>
      </c>
      <c r="I8650" s="4">
        <v>61162912</v>
      </c>
      <c r="J8650" s="3">
        <v>0.38255459366798494</v>
      </c>
      <c r="K8650" s="3">
        <v>0.6195763864218892</v>
      </c>
      <c r="L8650" t="s">
        <v>377</v>
      </c>
    </row>
    <row r="8651" spans="1:12" x14ac:dyDescent="0.25">
      <c r="A8651" t="s">
        <v>490</v>
      </c>
      <c r="B8651" t="s">
        <v>491</v>
      </c>
      <c r="C8651" t="s">
        <v>492</v>
      </c>
      <c r="D8651" t="s">
        <v>427</v>
      </c>
      <c r="E8651" t="s">
        <v>429</v>
      </c>
      <c r="F8651">
        <v>1</v>
      </c>
      <c r="G8651" t="s">
        <v>488</v>
      </c>
      <c r="H8651" s="4">
        <v>88684796</v>
      </c>
      <c r="I8651" s="4">
        <v>97228213.76378818</v>
      </c>
      <c r="J8651" s="3">
        <v>0.09633463850768939</v>
      </c>
      <c r="K8651" s="3">
        <v>-0.08786973896840324</v>
      </c>
      <c r="L8651" t="s">
        <v>377</v>
      </c>
    </row>
    <row r="8652" spans="1:12" x14ac:dyDescent="0.25">
      <c r="A8652" t="s">
        <v>490</v>
      </c>
      <c r="B8652" t="s">
        <v>491</v>
      </c>
      <c r="C8652" t="s">
        <v>492</v>
      </c>
      <c r="D8652" t="s">
        <v>427</v>
      </c>
      <c r="E8652" t="s">
        <v>429</v>
      </c>
      <c r="F8652">
        <v>1</v>
      </c>
      <c r="G8652" t="s">
        <v>498</v>
      </c>
      <c r="H8652" s="4">
        <v>88684796</v>
      </c>
      <c r="I8652" s="4">
        <v>93688210</v>
      </c>
      <c r="J8652" s="3">
        <v>0.05641794564200159</v>
      </c>
      <c r="K8652" s="3">
        <v>-0.05340494817864489</v>
      </c>
      <c r="L8652" t="s">
        <v>377</v>
      </c>
    </row>
    <row r="8653" spans="1:12" x14ac:dyDescent="0.25">
      <c r="A8653" t="s">
        <v>490</v>
      </c>
      <c r="B8653" t="s">
        <v>491</v>
      </c>
      <c r="C8653" t="s">
        <v>492</v>
      </c>
      <c r="D8653" t="s">
        <v>427</v>
      </c>
      <c r="E8653" t="s">
        <v>429</v>
      </c>
      <c r="F8653">
        <v>1</v>
      </c>
      <c r="G8653" t="s">
        <v>499</v>
      </c>
      <c r="H8653" s="4">
        <v>88684796</v>
      </c>
      <c r="I8653" s="4">
        <v>65789034</v>
      </c>
      <c r="J8653" s="3">
        <v>0.25817009265037943</v>
      </c>
      <c r="K8653" s="3">
        <v>0.34801790827328455</v>
      </c>
      <c r="L8653" t="s">
        <v>377</v>
      </c>
    </row>
    <row r="8654" spans="1:12" x14ac:dyDescent="0.25">
      <c r="A8654" t="s">
        <v>490</v>
      </c>
      <c r="B8654" t="s">
        <v>491</v>
      </c>
      <c r="C8654" t="s">
        <v>492</v>
      </c>
      <c r="D8654" t="s">
        <v>427</v>
      </c>
      <c r="E8654" t="s">
        <v>431</v>
      </c>
      <c r="F8654">
        <v>2</v>
      </c>
      <c r="G8654" t="s">
        <v>488</v>
      </c>
      <c r="H8654" s="4">
        <v>99058008</v>
      </c>
      <c r="I8654" s="4">
        <v>108123613.81934884</v>
      </c>
      <c r="J8654" s="3">
        <v>0.09151815186258179</v>
      </c>
      <c r="K8654" s="3">
        <v>-0.08384482814730469</v>
      </c>
      <c r="L8654" t="s">
        <v>377</v>
      </c>
    </row>
    <row r="8655" spans="1:12" x14ac:dyDescent="0.25">
      <c r="A8655" t="s">
        <v>490</v>
      </c>
      <c r="B8655" t="s">
        <v>491</v>
      </c>
      <c r="C8655" t="s">
        <v>492</v>
      </c>
      <c r="D8655" t="s">
        <v>427</v>
      </c>
      <c r="E8655" t="s">
        <v>431</v>
      </c>
      <c r="F8655">
        <v>2</v>
      </c>
      <c r="G8655" t="s">
        <v>498</v>
      </c>
      <c r="H8655" s="4">
        <v>99058008</v>
      </c>
      <c r="I8655" s="4">
        <v>104186917</v>
      </c>
      <c r="J8655" s="3">
        <v>0.05177682353555908</v>
      </c>
      <c r="K8655" s="3">
        <v>-0.049227956327760426</v>
      </c>
      <c r="L8655" t="s">
        <v>377</v>
      </c>
    </row>
    <row r="8656" spans="1:12" x14ac:dyDescent="0.25">
      <c r="A8656" t="s">
        <v>490</v>
      </c>
      <c r="B8656" t="s">
        <v>491</v>
      </c>
      <c r="C8656" t="s">
        <v>492</v>
      </c>
      <c r="D8656" t="s">
        <v>427</v>
      </c>
      <c r="E8656" t="s">
        <v>431</v>
      </c>
      <c r="F8656">
        <v>2</v>
      </c>
      <c r="G8656" t="s">
        <v>499</v>
      </c>
      <c r="H8656" s="4">
        <v>99058008</v>
      </c>
      <c r="I8656" s="4">
        <v>65789034</v>
      </c>
      <c r="J8656" s="3">
        <v>0.33585345265574085</v>
      </c>
      <c r="K8656" s="3">
        <v>0.5056917844393337</v>
      </c>
      <c r="L8656" t="s">
        <v>377</v>
      </c>
    </row>
    <row r="8657" spans="1:12" x14ac:dyDescent="0.25">
      <c r="A8657" t="s">
        <v>490</v>
      </c>
      <c r="B8657" t="s">
        <v>491</v>
      </c>
      <c r="C8657" t="s">
        <v>492</v>
      </c>
      <c r="D8657" t="s">
        <v>427</v>
      </c>
      <c r="E8657" t="s">
        <v>433</v>
      </c>
      <c r="F8657">
        <v>3</v>
      </c>
      <c r="G8657" t="s">
        <v>488</v>
      </c>
      <c r="H8657" s="4">
        <v>107596875</v>
      </c>
      <c r="I8657" s="4">
        <v>126757010.31666894</v>
      </c>
      <c r="J8657" s="3">
        <v>0.17807334382777326</v>
      </c>
      <c r="K8657" s="3">
        <v>-0.1511564154818925</v>
      </c>
      <c r="L8657" t="s">
        <v>377</v>
      </c>
    </row>
    <row r="8658" spans="1:12" x14ac:dyDescent="0.25">
      <c r="A8658" t="s">
        <v>490</v>
      </c>
      <c r="B8658" t="s">
        <v>491</v>
      </c>
      <c r="C8658" t="s">
        <v>492</v>
      </c>
      <c r="D8658" t="s">
        <v>427</v>
      </c>
      <c r="E8658" t="s">
        <v>433</v>
      </c>
      <c r="F8658">
        <v>3</v>
      </c>
      <c r="G8658" t="s">
        <v>498</v>
      </c>
      <c r="H8658" s="4">
        <v>107596875</v>
      </c>
      <c r="I8658" s="4">
        <v>122141886</v>
      </c>
      <c r="J8658" s="3">
        <v>0.13518060817286748</v>
      </c>
      <c r="K8658" s="3">
        <v>-0.1190829082170878</v>
      </c>
      <c r="L8658" t="s">
        <v>377</v>
      </c>
    </row>
    <row r="8659" spans="1:12" x14ac:dyDescent="0.25">
      <c r="A8659" t="s">
        <v>490</v>
      </c>
      <c r="B8659" t="s">
        <v>491</v>
      </c>
      <c r="C8659" t="s">
        <v>492</v>
      </c>
      <c r="D8659" t="s">
        <v>427</v>
      </c>
      <c r="E8659" t="s">
        <v>433</v>
      </c>
      <c r="F8659">
        <v>3</v>
      </c>
      <c r="G8659" t="s">
        <v>499</v>
      </c>
      <c r="H8659" s="4">
        <v>107596875</v>
      </c>
      <c r="I8659" s="4">
        <v>65789034</v>
      </c>
      <c r="J8659" s="3">
        <v>0.3885599930295373</v>
      </c>
      <c r="K8659" s="3">
        <v>0.6354834302628611</v>
      </c>
      <c r="L8659" t="s">
        <v>377</v>
      </c>
    </row>
    <row r="8660" spans="1:12" x14ac:dyDescent="0.25">
      <c r="A8660" t="s">
        <v>490</v>
      </c>
      <c r="B8660" t="s">
        <v>491</v>
      </c>
      <c r="C8660" t="s">
        <v>492</v>
      </c>
      <c r="D8660" t="s">
        <v>429</v>
      </c>
      <c r="E8660" t="s">
        <v>431</v>
      </c>
      <c r="F8660">
        <v>1</v>
      </c>
      <c r="G8660" t="s">
        <v>488</v>
      </c>
      <c r="H8660" s="4">
        <v>99058008</v>
      </c>
      <c r="I8660" s="4">
        <v>105679450.75878404</v>
      </c>
      <c r="J8660" s="3">
        <v>0.06684409360204417</v>
      </c>
      <c r="K8660" s="3">
        <v>-0.06265591570775332</v>
      </c>
      <c r="L8660" t="s">
        <v>377</v>
      </c>
    </row>
    <row r="8661" spans="1:12" x14ac:dyDescent="0.25">
      <c r="A8661" t="s">
        <v>490</v>
      </c>
      <c r="B8661" t="s">
        <v>491</v>
      </c>
      <c r="C8661" t="s">
        <v>492</v>
      </c>
      <c r="D8661" t="s">
        <v>429</v>
      </c>
      <c r="E8661" t="s">
        <v>431</v>
      </c>
      <c r="F8661">
        <v>1</v>
      </c>
      <c r="G8661" t="s">
        <v>498</v>
      </c>
      <c r="H8661" s="4">
        <v>99058008</v>
      </c>
      <c r="I8661" s="4">
        <v>104186917</v>
      </c>
      <c r="J8661" s="3">
        <v>0.05177682353555908</v>
      </c>
      <c r="K8661" s="3">
        <v>-0.049227956327760426</v>
      </c>
      <c r="L8661" t="s">
        <v>377</v>
      </c>
    </row>
    <row r="8662" spans="1:12" x14ac:dyDescent="0.25">
      <c r="A8662" t="s">
        <v>490</v>
      </c>
      <c r="B8662" t="s">
        <v>491</v>
      </c>
      <c r="C8662" t="s">
        <v>492</v>
      </c>
      <c r="D8662" t="s">
        <v>429</v>
      </c>
      <c r="E8662" t="s">
        <v>431</v>
      </c>
      <c r="F8662">
        <v>1</v>
      </c>
      <c r="G8662" t="s">
        <v>499</v>
      </c>
      <c r="H8662" s="4">
        <v>99058008</v>
      </c>
      <c r="I8662" s="4">
        <v>88684796</v>
      </c>
      <c r="J8662" s="3">
        <v>0.10471856046206784</v>
      </c>
      <c r="K8662" s="3">
        <v>0.11696719694771582</v>
      </c>
      <c r="L8662" t="s">
        <v>377</v>
      </c>
    </row>
    <row r="8663" spans="1:12" x14ac:dyDescent="0.25">
      <c r="A8663" t="s">
        <v>490</v>
      </c>
      <c r="B8663" t="s">
        <v>491</v>
      </c>
      <c r="C8663" t="s">
        <v>492</v>
      </c>
      <c r="D8663" t="s">
        <v>429</v>
      </c>
      <c r="E8663" t="s">
        <v>433</v>
      </c>
      <c r="F8663">
        <v>2</v>
      </c>
      <c r="G8663" t="s">
        <v>488</v>
      </c>
      <c r="H8663" s="4">
        <v>107596875</v>
      </c>
      <c r="I8663" s="4">
        <v>123891634.37019654</v>
      </c>
      <c r="J8663" s="3">
        <v>0.1514426824217389</v>
      </c>
      <c r="K8663" s="3">
        <v>-0.13152429099051757</v>
      </c>
      <c r="L8663" t="s">
        <v>377</v>
      </c>
    </row>
    <row r="8664" spans="1:12" x14ac:dyDescent="0.25">
      <c r="A8664" t="s">
        <v>490</v>
      </c>
      <c r="B8664" t="s">
        <v>491</v>
      </c>
      <c r="C8664" t="s">
        <v>492</v>
      </c>
      <c r="D8664" t="s">
        <v>429</v>
      </c>
      <c r="E8664" t="s">
        <v>433</v>
      </c>
      <c r="F8664">
        <v>2</v>
      </c>
      <c r="G8664" t="s">
        <v>498</v>
      </c>
      <c r="H8664" s="4">
        <v>107596875</v>
      </c>
      <c r="I8664" s="4">
        <v>122141886</v>
      </c>
      <c r="J8664" s="3">
        <v>0.13518060817286748</v>
      </c>
      <c r="K8664" s="3">
        <v>-0.1190829082170878</v>
      </c>
      <c r="L8664" t="s">
        <v>377</v>
      </c>
    </row>
    <row r="8665" spans="1:12" x14ac:dyDescent="0.25">
      <c r="A8665" t="s">
        <v>490</v>
      </c>
      <c r="B8665" t="s">
        <v>491</v>
      </c>
      <c r="C8665" t="s">
        <v>492</v>
      </c>
      <c r="D8665" t="s">
        <v>429</v>
      </c>
      <c r="E8665" t="s">
        <v>433</v>
      </c>
      <c r="F8665">
        <v>2</v>
      </c>
      <c r="G8665" t="s">
        <v>499</v>
      </c>
      <c r="H8665" s="4">
        <v>107596875</v>
      </c>
      <c r="I8665" s="4">
        <v>88684796</v>
      </c>
      <c r="J8665" s="3">
        <v>0.17576792076907438</v>
      </c>
      <c r="K8665" s="3">
        <v>0.2132505215437379</v>
      </c>
      <c r="L8665" t="s">
        <v>377</v>
      </c>
    </row>
    <row r="8666" spans="1:12" x14ac:dyDescent="0.25">
      <c r="A8666" t="s">
        <v>490</v>
      </c>
      <c r="B8666" t="s">
        <v>491</v>
      </c>
      <c r="C8666" t="s">
        <v>492</v>
      </c>
      <c r="D8666" t="s">
        <v>429</v>
      </c>
      <c r="E8666" t="s">
        <v>435</v>
      </c>
      <c r="F8666">
        <v>3</v>
      </c>
      <c r="G8666" t="s">
        <v>488</v>
      </c>
      <c r="H8666" s="4">
        <v>89525274</v>
      </c>
      <c r="I8666" s="4">
        <v>116829015.47473852</v>
      </c>
      <c r="J8666" s="3">
        <v>0.30498361250185646</v>
      </c>
      <c r="K8666" s="3">
        <v>-0.23370685239269437</v>
      </c>
      <c r="L8666" t="s">
        <v>377</v>
      </c>
    </row>
    <row r="8667" spans="1:12" x14ac:dyDescent="0.25">
      <c r="A8667" t="s">
        <v>490</v>
      </c>
      <c r="B8667" t="s">
        <v>491</v>
      </c>
      <c r="C8667" t="s">
        <v>492</v>
      </c>
      <c r="D8667" t="s">
        <v>429</v>
      </c>
      <c r="E8667" t="s">
        <v>435</v>
      </c>
      <c r="F8667">
        <v>3</v>
      </c>
      <c r="G8667" t="s">
        <v>498</v>
      </c>
      <c r="H8667" s="4">
        <v>89525274</v>
      </c>
      <c r="I8667" s="4">
        <v>115179014</v>
      </c>
      <c r="J8667" s="3">
        <v>0.2865530464614942</v>
      </c>
      <c r="K8667" s="3">
        <v>-0.22272928990345411</v>
      </c>
      <c r="L8667" t="s">
        <v>377</v>
      </c>
    </row>
    <row r="8668" spans="1:12" x14ac:dyDescent="0.25">
      <c r="A8668" t="s">
        <v>490</v>
      </c>
      <c r="B8668" t="s">
        <v>491</v>
      </c>
      <c r="C8668" t="s">
        <v>492</v>
      </c>
      <c r="D8668" t="s">
        <v>429</v>
      </c>
      <c r="E8668" t="s">
        <v>435</v>
      </c>
      <c r="F8668">
        <v>3</v>
      </c>
      <c r="G8668" t="s">
        <v>499</v>
      </c>
      <c r="H8668" s="4">
        <v>89525274</v>
      </c>
      <c r="I8668" s="4">
        <v>88684796</v>
      </c>
      <c r="J8668" s="3">
        <v>0.009388164508717394</v>
      </c>
      <c r="K8668" s="3">
        <v>0.009477137434019694</v>
      </c>
      <c r="L8668" t="s">
        <v>377</v>
      </c>
    </row>
    <row r="8669" spans="1:12" x14ac:dyDescent="0.25">
      <c r="A8669" t="s">
        <v>490</v>
      </c>
      <c r="B8669" t="s">
        <v>491</v>
      </c>
      <c r="C8669" t="s">
        <v>492</v>
      </c>
      <c r="D8669" t="s">
        <v>431</v>
      </c>
      <c r="E8669" t="s">
        <v>433</v>
      </c>
      <c r="F8669">
        <v>1</v>
      </c>
      <c r="G8669" t="s">
        <v>488</v>
      </c>
      <c r="H8669" s="4">
        <v>107596875</v>
      </c>
      <c r="I8669" s="4">
        <v>123185858.8232612</v>
      </c>
      <c r="J8669" s="3">
        <v>0.14488323962253738</v>
      </c>
      <c r="K8669" s="3">
        <v>-0.1265484851278849</v>
      </c>
      <c r="L8669" t="s">
        <v>377</v>
      </c>
    </row>
    <row r="8670" spans="1:12" x14ac:dyDescent="0.25">
      <c r="A8670" t="s">
        <v>490</v>
      </c>
      <c r="B8670" t="s">
        <v>491</v>
      </c>
      <c r="C8670" t="s">
        <v>492</v>
      </c>
      <c r="D8670" t="s">
        <v>431</v>
      </c>
      <c r="E8670" t="s">
        <v>433</v>
      </c>
      <c r="F8670">
        <v>1</v>
      </c>
      <c r="G8670" t="s">
        <v>498</v>
      </c>
      <c r="H8670" s="4">
        <v>107596875</v>
      </c>
      <c r="I8670" s="4">
        <v>122141886</v>
      </c>
      <c r="J8670" s="3">
        <v>0.13518060817286748</v>
      </c>
      <c r="K8670" s="3">
        <v>-0.1190829082170878</v>
      </c>
      <c r="L8670" t="s">
        <v>377</v>
      </c>
    </row>
    <row r="8671" spans="1:12" x14ac:dyDescent="0.25">
      <c r="A8671" t="s">
        <v>490</v>
      </c>
      <c r="B8671" t="s">
        <v>491</v>
      </c>
      <c r="C8671" t="s">
        <v>492</v>
      </c>
      <c r="D8671" t="s">
        <v>431</v>
      </c>
      <c r="E8671" t="s">
        <v>433</v>
      </c>
      <c r="F8671">
        <v>1</v>
      </c>
      <c r="G8671" t="s">
        <v>499</v>
      </c>
      <c r="H8671" s="4">
        <v>107596875</v>
      </c>
      <c r="I8671" s="4">
        <v>99058008</v>
      </c>
      <c r="J8671" s="3">
        <v>0.0793598048270454</v>
      </c>
      <c r="K8671" s="3">
        <v>0.08620067344782463</v>
      </c>
      <c r="L8671" t="s">
        <v>377</v>
      </c>
    </row>
    <row r="8672" spans="1:12" x14ac:dyDescent="0.25">
      <c r="A8672" t="s">
        <v>490</v>
      </c>
      <c r="B8672" t="s">
        <v>491</v>
      </c>
      <c r="C8672" t="s">
        <v>492</v>
      </c>
      <c r="D8672" t="s">
        <v>431</v>
      </c>
      <c r="E8672" t="s">
        <v>435</v>
      </c>
      <c r="F8672">
        <v>2</v>
      </c>
      <c r="G8672" t="s">
        <v>488</v>
      </c>
      <c r="H8672" s="4">
        <v>89525274</v>
      </c>
      <c r="I8672" s="4">
        <v>116163473.66706312</v>
      </c>
      <c r="J8672" s="3">
        <v>0.2975494905166458</v>
      </c>
      <c r="K8672" s="3">
        <v>-0.22931648672465696</v>
      </c>
      <c r="L8672" t="s">
        <v>377</v>
      </c>
    </row>
    <row r="8673" spans="1:12" x14ac:dyDescent="0.25">
      <c r="A8673" t="s">
        <v>490</v>
      </c>
      <c r="B8673" t="s">
        <v>491</v>
      </c>
      <c r="C8673" t="s">
        <v>492</v>
      </c>
      <c r="D8673" t="s">
        <v>431</v>
      </c>
      <c r="E8673" t="s">
        <v>435</v>
      </c>
      <c r="F8673">
        <v>2</v>
      </c>
      <c r="G8673" t="s">
        <v>498</v>
      </c>
      <c r="H8673" s="4">
        <v>89525274</v>
      </c>
      <c r="I8673" s="4">
        <v>115179014</v>
      </c>
      <c r="J8673" s="3">
        <v>0.2865530464614942</v>
      </c>
      <c r="K8673" s="3">
        <v>-0.22272928990345411</v>
      </c>
      <c r="L8673" t="s">
        <v>377</v>
      </c>
    </row>
    <row r="8674" spans="1:12" x14ac:dyDescent="0.25">
      <c r="A8674" t="s">
        <v>490</v>
      </c>
      <c r="B8674" t="s">
        <v>491</v>
      </c>
      <c r="C8674" t="s">
        <v>492</v>
      </c>
      <c r="D8674" t="s">
        <v>431</v>
      </c>
      <c r="E8674" t="s">
        <v>435</v>
      </c>
      <c r="F8674">
        <v>2</v>
      </c>
      <c r="G8674" t="s">
        <v>499</v>
      </c>
      <c r="H8674" s="4">
        <v>89525274</v>
      </c>
      <c r="I8674" s="4">
        <v>99058008</v>
      </c>
      <c r="J8674" s="3">
        <v>0.10648092515192972</v>
      </c>
      <c r="K8674" s="3">
        <v>-0.09623385521743986</v>
      </c>
      <c r="L8674" t="s">
        <v>377</v>
      </c>
    </row>
    <row r="8675" spans="1:12" x14ac:dyDescent="0.25">
      <c r="A8675" t="s">
        <v>490</v>
      </c>
      <c r="B8675" t="s">
        <v>491</v>
      </c>
      <c r="C8675" t="s">
        <v>492</v>
      </c>
      <c r="D8675" t="s">
        <v>431</v>
      </c>
      <c r="E8675" t="s">
        <v>437</v>
      </c>
      <c r="F8675">
        <v>3</v>
      </c>
      <c r="G8675" t="s">
        <v>488</v>
      </c>
      <c r="H8675" s="4">
        <v>83542676</v>
      </c>
      <c r="I8675" s="4">
        <v>104008966.91899692</v>
      </c>
      <c r="J8675" s="3">
        <v>0.244980073645198</v>
      </c>
      <c r="K8675" s="3">
        <v>-0.1967742928831919</v>
      </c>
      <c r="L8675" t="s">
        <v>377</v>
      </c>
    </row>
    <row r="8676" spans="1:12" x14ac:dyDescent="0.25">
      <c r="A8676" t="s">
        <v>490</v>
      </c>
      <c r="B8676" t="s">
        <v>491</v>
      </c>
      <c r="C8676" t="s">
        <v>492</v>
      </c>
      <c r="D8676" t="s">
        <v>431</v>
      </c>
      <c r="E8676" t="s">
        <v>437</v>
      </c>
      <c r="F8676">
        <v>3</v>
      </c>
      <c r="G8676" t="s">
        <v>498</v>
      </c>
      <c r="H8676" s="4">
        <v>83542676</v>
      </c>
      <c r="I8676" s="4">
        <v>103127514</v>
      </c>
      <c r="J8676" s="3">
        <v>0.2344291437348739</v>
      </c>
      <c r="K8676" s="3">
        <v>-0.18990895097112492</v>
      </c>
      <c r="L8676" t="s">
        <v>377</v>
      </c>
    </row>
    <row r="8677" spans="1:12" x14ac:dyDescent="0.25">
      <c r="A8677" t="s">
        <v>490</v>
      </c>
      <c r="B8677" t="s">
        <v>491</v>
      </c>
      <c r="C8677" t="s">
        <v>492</v>
      </c>
      <c r="D8677" t="s">
        <v>431</v>
      </c>
      <c r="E8677" t="s">
        <v>437</v>
      </c>
      <c r="F8677">
        <v>3</v>
      </c>
      <c r="G8677" t="s">
        <v>499</v>
      </c>
      <c r="H8677" s="4">
        <v>83542676</v>
      </c>
      <c r="I8677" s="4">
        <v>99058008</v>
      </c>
      <c r="J8677" s="3">
        <v>0.18571744098788504</v>
      </c>
      <c r="K8677" s="3">
        <v>-0.15662875029750245</v>
      </c>
      <c r="L8677" t="s">
        <v>377</v>
      </c>
    </row>
    <row r="8678" spans="1:12" x14ac:dyDescent="0.25">
      <c r="A8678" t="s">
        <v>490</v>
      </c>
      <c r="B8678" t="s">
        <v>491</v>
      </c>
      <c r="C8678" t="s">
        <v>492</v>
      </c>
      <c r="D8678" t="s">
        <v>433</v>
      </c>
      <c r="E8678" t="s">
        <v>435</v>
      </c>
      <c r="F8678">
        <v>1</v>
      </c>
      <c r="G8678" t="s">
        <v>488</v>
      </c>
      <c r="H8678" s="4">
        <v>89525274</v>
      </c>
      <c r="I8678" s="4">
        <v>113611720.3608755</v>
      </c>
      <c r="J8678" s="3">
        <v>0.26904632942955864</v>
      </c>
      <c r="K8678" s="3">
        <v>-0.21200670392427362</v>
      </c>
      <c r="L8678" t="s">
        <v>377</v>
      </c>
    </row>
    <row r="8679" spans="1:12" x14ac:dyDescent="0.25">
      <c r="A8679" t="s">
        <v>490</v>
      </c>
      <c r="B8679" t="s">
        <v>491</v>
      </c>
      <c r="C8679" t="s">
        <v>492</v>
      </c>
      <c r="D8679" t="s">
        <v>433</v>
      </c>
      <c r="E8679" t="s">
        <v>435</v>
      </c>
      <c r="F8679">
        <v>1</v>
      </c>
      <c r="G8679" t="s">
        <v>498</v>
      </c>
      <c r="H8679" s="4">
        <v>89525274</v>
      </c>
      <c r="I8679" s="4">
        <v>115179014</v>
      </c>
      <c r="J8679" s="3">
        <v>0.2865530464614942</v>
      </c>
      <c r="K8679" s="3">
        <v>-0.22272928990345411</v>
      </c>
      <c r="L8679" t="s">
        <v>377</v>
      </c>
    </row>
    <row r="8680" spans="1:12" x14ac:dyDescent="0.25">
      <c r="A8680" t="s">
        <v>490</v>
      </c>
      <c r="B8680" t="s">
        <v>491</v>
      </c>
      <c r="C8680" t="s">
        <v>492</v>
      </c>
      <c r="D8680" t="s">
        <v>433</v>
      </c>
      <c r="E8680" t="s">
        <v>435</v>
      </c>
      <c r="F8680">
        <v>1</v>
      </c>
      <c r="G8680" t="s">
        <v>499</v>
      </c>
      <c r="H8680" s="4">
        <v>89525274</v>
      </c>
      <c r="I8680" s="4">
        <v>107596875</v>
      </c>
      <c r="J8680" s="3">
        <v>0.20186032605719811</v>
      </c>
      <c r="K8680" s="3">
        <v>-0.1679565600766751</v>
      </c>
      <c r="L8680" t="s">
        <v>377</v>
      </c>
    </row>
    <row r="8681" spans="1:12" x14ac:dyDescent="0.25">
      <c r="A8681" t="s">
        <v>490</v>
      </c>
      <c r="B8681" t="s">
        <v>491</v>
      </c>
      <c r="C8681" t="s">
        <v>492</v>
      </c>
      <c r="D8681" t="s">
        <v>433</v>
      </c>
      <c r="E8681" t="s">
        <v>437</v>
      </c>
      <c r="F8681">
        <v>2</v>
      </c>
      <c r="G8681" t="s">
        <v>488</v>
      </c>
      <c r="H8681" s="4">
        <v>83542676</v>
      </c>
      <c r="I8681" s="4">
        <v>101724210.64552848</v>
      </c>
      <c r="J8681" s="3">
        <v>0.21763170053983524</v>
      </c>
      <c r="K8681" s="3">
        <v>-0.1787336026512356</v>
      </c>
      <c r="L8681" t="s">
        <v>377</v>
      </c>
    </row>
    <row r="8682" spans="1:12" x14ac:dyDescent="0.25">
      <c r="A8682" t="s">
        <v>490</v>
      </c>
      <c r="B8682" t="s">
        <v>491</v>
      </c>
      <c r="C8682" t="s">
        <v>492</v>
      </c>
      <c r="D8682" t="s">
        <v>433</v>
      </c>
      <c r="E8682" t="s">
        <v>437</v>
      </c>
      <c r="F8682">
        <v>2</v>
      </c>
      <c r="G8682" t="s">
        <v>498</v>
      </c>
      <c r="H8682" s="4">
        <v>83542676</v>
      </c>
      <c r="I8682" s="4">
        <v>103127514</v>
      </c>
      <c r="J8682" s="3">
        <v>0.2344291437348739</v>
      </c>
      <c r="K8682" s="3">
        <v>-0.18990895097112492</v>
      </c>
      <c r="L8682" t="s">
        <v>377</v>
      </c>
    </row>
    <row r="8683" spans="1:12" x14ac:dyDescent="0.25">
      <c r="A8683" t="s">
        <v>490</v>
      </c>
      <c r="B8683" t="s">
        <v>491</v>
      </c>
      <c r="C8683" t="s">
        <v>492</v>
      </c>
      <c r="D8683" t="s">
        <v>433</v>
      </c>
      <c r="E8683" t="s">
        <v>437</v>
      </c>
      <c r="F8683">
        <v>2</v>
      </c>
      <c r="G8683" t="s">
        <v>499</v>
      </c>
      <c r="H8683" s="4">
        <v>83542676</v>
      </c>
      <c r="I8683" s="4">
        <v>107596875</v>
      </c>
      <c r="J8683" s="3">
        <v>0.287927082919872</v>
      </c>
      <c r="K8683" s="3">
        <v>-0.22355852807063403</v>
      </c>
      <c r="L8683" t="s">
        <v>377</v>
      </c>
    </row>
    <row r="8684" spans="1:12" x14ac:dyDescent="0.25">
      <c r="A8684" t="s">
        <v>490</v>
      </c>
      <c r="B8684" t="s">
        <v>491</v>
      </c>
      <c r="C8684" t="s">
        <v>492</v>
      </c>
      <c r="D8684" t="s">
        <v>433</v>
      </c>
      <c r="E8684" t="s">
        <v>11</v>
      </c>
      <c r="F8684">
        <v>3</v>
      </c>
      <c r="G8684" t="s">
        <v>488</v>
      </c>
      <c r="H8684" s="4">
        <v>84926488</v>
      </c>
      <c r="I8684" s="4">
        <v>81155989.86416876</v>
      </c>
      <c r="J8684" s="3">
        <v>0.044397198384457354</v>
      </c>
      <c r="K8684" s="3">
        <v>0.04645988721401761</v>
      </c>
      <c r="L8684" t="s">
        <v>377</v>
      </c>
    </row>
    <row r="8685" spans="1:12" x14ac:dyDescent="0.25">
      <c r="A8685" t="s">
        <v>490</v>
      </c>
      <c r="B8685" t="s">
        <v>491</v>
      </c>
      <c r="C8685" t="s">
        <v>492</v>
      </c>
      <c r="D8685" t="s">
        <v>433</v>
      </c>
      <c r="E8685" t="s">
        <v>11</v>
      </c>
      <c r="F8685">
        <v>3</v>
      </c>
      <c r="G8685" t="s">
        <v>498</v>
      </c>
      <c r="H8685" s="4">
        <v>84926488</v>
      </c>
      <c r="I8685" s="4">
        <v>82275551</v>
      </c>
      <c r="J8685" s="3">
        <v>0.031214489877410215</v>
      </c>
      <c r="K8685" s="3">
        <v>0.032220227853594074</v>
      </c>
      <c r="L8685" t="s">
        <v>377</v>
      </c>
    </row>
    <row r="8686" spans="1:12" x14ac:dyDescent="0.25">
      <c r="A8686" t="s">
        <v>490</v>
      </c>
      <c r="B8686" t="s">
        <v>491</v>
      </c>
      <c r="C8686" t="s">
        <v>492</v>
      </c>
      <c r="D8686" t="s">
        <v>433</v>
      </c>
      <c r="E8686" t="s">
        <v>11</v>
      </c>
      <c r="F8686">
        <v>3</v>
      </c>
      <c r="G8686" t="s">
        <v>499</v>
      </c>
      <c r="H8686" s="4">
        <v>84926488</v>
      </c>
      <c r="I8686" s="4">
        <v>107596875</v>
      </c>
      <c r="J8686" s="3">
        <v>0.2669412986911692</v>
      </c>
      <c r="K8686" s="3">
        <v>-0.21069744822979292</v>
      </c>
      <c r="L8686" t="s">
        <v>377</v>
      </c>
    </row>
    <row r="8687" spans="1:12" x14ac:dyDescent="0.25">
      <c r="A8687" t="s">
        <v>490</v>
      </c>
      <c r="B8687" t="s">
        <v>491</v>
      </c>
      <c r="C8687" t="s">
        <v>492</v>
      </c>
      <c r="D8687" t="s">
        <v>435</v>
      </c>
      <c r="E8687" t="s">
        <v>437</v>
      </c>
      <c r="F8687">
        <v>1</v>
      </c>
      <c r="G8687" t="s">
        <v>488</v>
      </c>
      <c r="H8687" s="4">
        <v>83542676</v>
      </c>
      <c r="I8687" s="4">
        <v>98101957.53031425</v>
      </c>
      <c r="J8687" s="3">
        <v>0.17427358360311862</v>
      </c>
      <c r="K8687" s="3">
        <v>-0.14840969433066942</v>
      </c>
      <c r="L8687" t="s">
        <v>377</v>
      </c>
    </row>
    <row r="8688" spans="1:12" x14ac:dyDescent="0.25">
      <c r="A8688" t="s">
        <v>490</v>
      </c>
      <c r="B8688" t="s">
        <v>491</v>
      </c>
      <c r="C8688" t="s">
        <v>492</v>
      </c>
      <c r="D8688" t="s">
        <v>435</v>
      </c>
      <c r="E8688" t="s">
        <v>437</v>
      </c>
      <c r="F8688">
        <v>1</v>
      </c>
      <c r="G8688" t="s">
        <v>498</v>
      </c>
      <c r="H8688" s="4">
        <v>83542676</v>
      </c>
      <c r="I8688" s="4">
        <v>103127514</v>
      </c>
      <c r="J8688" s="3">
        <v>0.2344291437348739</v>
      </c>
      <c r="K8688" s="3">
        <v>-0.18990895097112492</v>
      </c>
      <c r="L8688" t="s">
        <v>377</v>
      </c>
    </row>
    <row r="8689" spans="1:12" x14ac:dyDescent="0.25">
      <c r="A8689" t="s">
        <v>490</v>
      </c>
      <c r="B8689" t="s">
        <v>491</v>
      </c>
      <c r="C8689" t="s">
        <v>492</v>
      </c>
      <c r="D8689" t="s">
        <v>435</v>
      </c>
      <c r="E8689" t="s">
        <v>437</v>
      </c>
      <c r="F8689">
        <v>1</v>
      </c>
      <c r="G8689" t="s">
        <v>499</v>
      </c>
      <c r="H8689" s="4">
        <v>83542676</v>
      </c>
      <c r="I8689" s="4">
        <v>89525274</v>
      </c>
      <c r="J8689" s="3">
        <v>0.07161128044306361</v>
      </c>
      <c r="K8689" s="3">
        <v>-0.06682579938264138</v>
      </c>
      <c r="L8689" t="s">
        <v>377</v>
      </c>
    </row>
    <row r="8690" spans="1:12" x14ac:dyDescent="0.25">
      <c r="A8690" t="s">
        <v>490</v>
      </c>
      <c r="B8690" t="s">
        <v>491</v>
      </c>
      <c r="C8690" t="s">
        <v>492</v>
      </c>
      <c r="D8690" t="s">
        <v>435</v>
      </c>
      <c r="E8690" t="s">
        <v>11</v>
      </c>
      <c r="F8690">
        <v>2</v>
      </c>
      <c r="G8690" t="s">
        <v>488</v>
      </c>
      <c r="H8690" s="4">
        <v>84926488</v>
      </c>
      <c r="I8690" s="4">
        <v>78266141.5651424</v>
      </c>
      <c r="J8690" s="3">
        <v>0.0784248423749444</v>
      </c>
      <c r="K8690" s="3">
        <v>0.08509869404145948</v>
      </c>
      <c r="L8690" t="s">
        <v>377</v>
      </c>
    </row>
    <row r="8691" spans="1:12" x14ac:dyDescent="0.25">
      <c r="A8691" t="s">
        <v>490</v>
      </c>
      <c r="B8691" t="s">
        <v>491</v>
      </c>
      <c r="C8691" t="s">
        <v>492</v>
      </c>
      <c r="D8691" t="s">
        <v>435</v>
      </c>
      <c r="E8691" t="s">
        <v>11</v>
      </c>
      <c r="F8691">
        <v>2</v>
      </c>
      <c r="G8691" t="s">
        <v>498</v>
      </c>
      <c r="H8691" s="4">
        <v>84926488</v>
      </c>
      <c r="I8691" s="4">
        <v>82275551</v>
      </c>
      <c r="J8691" s="3">
        <v>0.031214489877410215</v>
      </c>
      <c r="K8691" s="3">
        <v>0.032220227853594074</v>
      </c>
      <c r="L8691" t="s">
        <v>377</v>
      </c>
    </row>
    <row r="8692" spans="1:12" x14ac:dyDescent="0.25">
      <c r="A8692" t="s">
        <v>490</v>
      </c>
      <c r="B8692" t="s">
        <v>491</v>
      </c>
      <c r="C8692" t="s">
        <v>492</v>
      </c>
      <c r="D8692" t="s">
        <v>435</v>
      </c>
      <c r="E8692" t="s">
        <v>11</v>
      </c>
      <c r="F8692">
        <v>2</v>
      </c>
      <c r="G8692" t="s">
        <v>499</v>
      </c>
      <c r="H8692" s="4">
        <v>84926488</v>
      </c>
      <c r="I8692" s="4">
        <v>89525274</v>
      </c>
      <c r="J8692" s="3">
        <v>0.054150196343925115</v>
      </c>
      <c r="K8692" s="3">
        <v>-0.05136857777168043</v>
      </c>
      <c r="L8692" t="s">
        <v>377</v>
      </c>
    </row>
    <row r="8693" spans="1:12" x14ac:dyDescent="0.25">
      <c r="A8693" t="s">
        <v>490</v>
      </c>
      <c r="B8693" t="s">
        <v>491</v>
      </c>
      <c r="C8693" t="s">
        <v>492</v>
      </c>
      <c r="D8693" t="s">
        <v>437</v>
      </c>
      <c r="E8693" t="s">
        <v>11</v>
      </c>
      <c r="F8693">
        <v>1</v>
      </c>
      <c r="G8693" t="s">
        <v>488</v>
      </c>
      <c r="H8693" s="4">
        <v>84926488</v>
      </c>
      <c r="I8693" s="4">
        <v>76562828.10141072</v>
      </c>
      <c r="J8693" s="3">
        <v>0.09848116995711965</v>
      </c>
      <c r="K8693" s="3">
        <v>0.10923917135755827</v>
      </c>
      <c r="L8693" t="s">
        <v>377</v>
      </c>
    </row>
    <row r="8694" spans="1:12" x14ac:dyDescent="0.25">
      <c r="A8694" t="s">
        <v>490</v>
      </c>
      <c r="B8694" t="s">
        <v>491</v>
      </c>
      <c r="C8694" t="s">
        <v>492</v>
      </c>
      <c r="D8694" t="s">
        <v>437</v>
      </c>
      <c r="E8694" t="s">
        <v>11</v>
      </c>
      <c r="F8694">
        <v>1</v>
      </c>
      <c r="G8694" t="s">
        <v>498</v>
      </c>
      <c r="H8694" s="4">
        <v>84926488</v>
      </c>
      <c r="I8694" s="4">
        <v>82275551</v>
      </c>
      <c r="J8694" s="3">
        <v>0.031214489877410215</v>
      </c>
      <c r="K8694" s="3">
        <v>0.032220227853594074</v>
      </c>
      <c r="L8694" t="s">
        <v>377</v>
      </c>
    </row>
    <row r="8695" spans="1:12" x14ac:dyDescent="0.25">
      <c r="A8695" t="s">
        <v>490</v>
      </c>
      <c r="B8695" t="s">
        <v>491</v>
      </c>
      <c r="C8695" t="s">
        <v>492</v>
      </c>
      <c r="D8695" t="s">
        <v>437</v>
      </c>
      <c r="E8695" t="s">
        <v>11</v>
      </c>
      <c r="F8695">
        <v>1</v>
      </c>
      <c r="G8695" t="s">
        <v>499</v>
      </c>
      <c r="H8695" s="4">
        <v>84926488</v>
      </c>
      <c r="I8695" s="4">
        <v>83542676</v>
      </c>
      <c r="J8695" s="3">
        <v>0.016294233196126044</v>
      </c>
      <c r="K8695" s="3">
        <v>0.016564133042614053</v>
      </c>
      <c r="L8695" t="s">
        <v>377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2" customWidth="1"/>
  </cols>
  <sheetData>
    <row r="1" spans="1:8" x14ac:dyDescent="0.25">
      <c r="A1" t="s">
        <v>479</v>
      </c>
      <c r="B1" t="s">
        <v>445</v>
      </c>
      <c r="C1" t="s">
        <v>446</v>
      </c>
      <c r="D1" t="s">
        <v>12</v>
      </c>
      <c r="E1" t="s">
        <v>35</v>
      </c>
      <c r="F1" t="s">
        <v>500</v>
      </c>
      <c r="G1" t="s">
        <v>501</v>
      </c>
      <c r="H1" t="s">
        <v>502</v>
      </c>
    </row>
    <row r="2" spans="1:8" x14ac:dyDescent="0.25">
      <c r="A2" t="s">
        <v>490</v>
      </c>
      <c r="B2" t="s">
        <v>491</v>
      </c>
      <c r="C2" t="s">
        <v>492</v>
      </c>
      <c r="D2" t="s">
        <v>488</v>
      </c>
      <c r="E2">
        <v>1</v>
      </c>
      <c r="F2">
        <v>162</v>
      </c>
      <c r="G2" s="3">
        <v>0.1347848533163415</v>
      </c>
      <c r="H2" s="3">
        <v>0.09565504307153089</v>
      </c>
    </row>
    <row r="3" spans="1:8" x14ac:dyDescent="0.25">
      <c r="A3" t="s">
        <v>490</v>
      </c>
      <c r="B3" t="s">
        <v>491</v>
      </c>
      <c r="C3" t="s">
        <v>492</v>
      </c>
      <c r="D3" t="s">
        <v>488</v>
      </c>
      <c r="E3">
        <v>2</v>
      </c>
      <c r="F3">
        <v>161</v>
      </c>
      <c r="G3" s="3">
        <v>0.14409469887021578</v>
      </c>
      <c r="H3" s="3">
        <v>0.09659473232945567</v>
      </c>
    </row>
    <row r="4" spans="1:8" x14ac:dyDescent="0.25">
      <c r="A4" t="s">
        <v>490</v>
      </c>
      <c r="B4" t="s">
        <v>491</v>
      </c>
      <c r="C4" t="s">
        <v>492</v>
      </c>
      <c r="D4" t="s">
        <v>488</v>
      </c>
      <c r="E4">
        <v>3</v>
      </c>
      <c r="F4">
        <v>160</v>
      </c>
      <c r="G4" s="3">
        <v>0.15187158805576578</v>
      </c>
      <c r="H4" s="3">
        <v>0.11122112578929039</v>
      </c>
    </row>
    <row r="5" spans="1:8" x14ac:dyDescent="0.25">
      <c r="A5" t="s">
        <v>490</v>
      </c>
      <c r="B5" t="s">
        <v>491</v>
      </c>
      <c r="C5" t="s">
        <v>492</v>
      </c>
      <c r="D5" t="s">
        <v>498</v>
      </c>
      <c r="E5">
        <v>1</v>
      </c>
      <c r="F5">
        <v>162</v>
      </c>
      <c r="G5" s="3">
        <v>0.13510543511658069</v>
      </c>
      <c r="H5" s="3">
        <v>0.10291706066674536</v>
      </c>
    </row>
    <row r="6" spans="1:8" x14ac:dyDescent="0.25">
      <c r="A6" t="s">
        <v>490</v>
      </c>
      <c r="B6" t="s">
        <v>491</v>
      </c>
      <c r="C6" t="s">
        <v>492</v>
      </c>
      <c r="D6" t="s">
        <v>498</v>
      </c>
      <c r="E6">
        <v>2</v>
      </c>
      <c r="F6">
        <v>161</v>
      </c>
      <c r="G6" s="3">
        <v>0.13487342954172923</v>
      </c>
      <c r="H6" s="3">
        <v>0.10217049154681318</v>
      </c>
    </row>
    <row r="7" spans="1:8" x14ac:dyDescent="0.25">
      <c r="A7" t="s">
        <v>490</v>
      </c>
      <c r="B7" t="s">
        <v>491</v>
      </c>
      <c r="C7" t="s">
        <v>492</v>
      </c>
      <c r="D7" t="s">
        <v>498</v>
      </c>
      <c r="E7">
        <v>3</v>
      </c>
      <c r="F7">
        <v>160</v>
      </c>
      <c r="G7" s="3">
        <v>0.13451292792905167</v>
      </c>
      <c r="H7" s="3">
        <v>0.10091349888963311</v>
      </c>
    </row>
    <row r="8" spans="1:8" x14ac:dyDescent="0.25">
      <c r="A8" t="s">
        <v>490</v>
      </c>
      <c r="B8" t="s">
        <v>491</v>
      </c>
      <c r="C8" t="s">
        <v>492</v>
      </c>
      <c r="D8" t="s">
        <v>499</v>
      </c>
      <c r="E8">
        <v>1</v>
      </c>
      <c r="F8">
        <v>162</v>
      </c>
      <c r="G8" s="3">
        <v>0.1453505373040757</v>
      </c>
      <c r="H8" s="3">
        <v>0.12094503044062097</v>
      </c>
    </row>
    <row r="9" spans="1:8" x14ac:dyDescent="0.25">
      <c r="A9" t="s">
        <v>490</v>
      </c>
      <c r="B9" t="s">
        <v>491</v>
      </c>
      <c r="C9" t="s">
        <v>492</v>
      </c>
      <c r="D9" t="s">
        <v>499</v>
      </c>
      <c r="E9">
        <v>2</v>
      </c>
      <c r="F9">
        <v>161</v>
      </c>
      <c r="G9" s="3">
        <v>0.22533132098443376</v>
      </c>
      <c r="H9" s="3">
        <v>0.18437729430770525</v>
      </c>
    </row>
    <row r="10" spans="1:8" x14ac:dyDescent="0.25">
      <c r="A10" t="s">
        <v>490</v>
      </c>
      <c r="B10" t="s">
        <v>491</v>
      </c>
      <c r="C10" t="s">
        <v>492</v>
      </c>
      <c r="D10" t="s">
        <v>499</v>
      </c>
      <c r="E10">
        <v>3</v>
      </c>
      <c r="F10">
        <v>160</v>
      </c>
      <c r="G10" s="3">
        <v>0.2739939983536154</v>
      </c>
      <c r="H10" s="3">
        <v>0.263920441812007</v>
      </c>
    </row>
    <row r="11" spans="1:8" x14ac:dyDescent="0.25">
      <c r="A11" t="s">
        <v>487</v>
      </c>
      <c r="B11" t="s">
        <v>455</v>
      </c>
      <c r="C11" t="s">
        <v>456</v>
      </c>
      <c r="D11" t="s">
        <v>488</v>
      </c>
      <c r="E11">
        <v>1</v>
      </c>
      <c r="F11">
        <v>162</v>
      </c>
      <c r="G11" s="3">
        <v>0.3398494121391829</v>
      </c>
      <c r="H11" s="3">
        <v>0.23992788781421082</v>
      </c>
    </row>
    <row r="12" spans="1:8" x14ac:dyDescent="0.25">
      <c r="A12" t="s">
        <v>487</v>
      </c>
      <c r="B12" t="s">
        <v>455</v>
      </c>
      <c r="C12" t="s">
        <v>456</v>
      </c>
      <c r="D12" t="s">
        <v>488</v>
      </c>
      <c r="E12">
        <v>2</v>
      </c>
      <c r="F12">
        <v>161</v>
      </c>
      <c r="G12" s="3">
        <v>0.3376132551473279</v>
      </c>
      <c r="H12" s="3">
        <v>0.23218648637787997</v>
      </c>
    </row>
    <row r="13" spans="1:8" x14ac:dyDescent="0.25">
      <c r="A13" t="s">
        <v>487</v>
      </c>
      <c r="B13" t="s">
        <v>455</v>
      </c>
      <c r="C13" t="s">
        <v>456</v>
      </c>
      <c r="D13" t="s">
        <v>488</v>
      </c>
      <c r="E13">
        <v>3</v>
      </c>
      <c r="F13">
        <v>160</v>
      </c>
      <c r="G13" s="3">
        <v>0.33401507233543204</v>
      </c>
      <c r="H13" s="3">
        <v>0.22411004612340601</v>
      </c>
    </row>
    <row r="14" spans="1:8" x14ac:dyDescent="0.25">
      <c r="A14" t="s">
        <v>487</v>
      </c>
      <c r="B14" t="s">
        <v>455</v>
      </c>
      <c r="C14" t="s">
        <v>456</v>
      </c>
      <c r="D14" t="s">
        <v>498</v>
      </c>
      <c r="E14">
        <v>1</v>
      </c>
      <c r="F14">
        <v>162</v>
      </c>
      <c r="G14" s="3">
        <v>0.29332698227032555</v>
      </c>
      <c r="H14" s="3">
        <v>0.22944449910761555</v>
      </c>
    </row>
    <row r="15" spans="1:8" x14ac:dyDescent="0.25">
      <c r="A15" t="s">
        <v>487</v>
      </c>
      <c r="B15" t="s">
        <v>455</v>
      </c>
      <c r="C15" t="s">
        <v>456</v>
      </c>
      <c r="D15" t="s">
        <v>498</v>
      </c>
      <c r="E15">
        <v>2</v>
      </c>
      <c r="F15">
        <v>161</v>
      </c>
      <c r="G15" s="3">
        <v>0.29312148528266485</v>
      </c>
      <c r="H15" s="3">
        <v>0.2276651358322783</v>
      </c>
    </row>
    <row r="16" spans="1:8" x14ac:dyDescent="0.25">
      <c r="A16" t="s">
        <v>487</v>
      </c>
      <c r="B16" t="s">
        <v>455</v>
      </c>
      <c r="C16" t="s">
        <v>456</v>
      </c>
      <c r="D16" t="s">
        <v>498</v>
      </c>
      <c r="E16">
        <v>3</v>
      </c>
      <c r="F16">
        <v>160</v>
      </c>
      <c r="G16" s="3">
        <v>0.29444662183812464</v>
      </c>
      <c r="H16" s="3">
        <v>0.22944449910761555</v>
      </c>
    </row>
    <row r="17" spans="1:8" x14ac:dyDescent="0.25">
      <c r="A17" t="s">
        <v>487</v>
      </c>
      <c r="B17" t="s">
        <v>455</v>
      </c>
      <c r="C17" t="s">
        <v>456</v>
      </c>
      <c r="D17" t="s">
        <v>499</v>
      </c>
      <c r="E17">
        <v>1</v>
      </c>
      <c r="F17">
        <v>162</v>
      </c>
      <c r="G17" s="3">
        <v>0.3188199168231025</v>
      </c>
      <c r="H17" s="3">
        <v>0.27684468133539997</v>
      </c>
    </row>
    <row r="18" spans="1:8" x14ac:dyDescent="0.25">
      <c r="A18" t="s">
        <v>487</v>
      </c>
      <c r="B18" t="s">
        <v>455</v>
      </c>
      <c r="C18" t="s">
        <v>456</v>
      </c>
      <c r="D18" t="s">
        <v>499</v>
      </c>
      <c r="E18">
        <v>2</v>
      </c>
      <c r="F18">
        <v>161</v>
      </c>
      <c r="G18" s="3">
        <v>0.3386282969462321</v>
      </c>
      <c r="H18" s="3">
        <v>0.26693820530078566</v>
      </c>
    </row>
    <row r="19" spans="1:8" x14ac:dyDescent="0.25">
      <c r="A19" t="s">
        <v>487</v>
      </c>
      <c r="B19" t="s">
        <v>455</v>
      </c>
      <c r="C19" t="s">
        <v>456</v>
      </c>
      <c r="D19" t="s">
        <v>499</v>
      </c>
      <c r="E19">
        <v>3</v>
      </c>
      <c r="F19">
        <v>160</v>
      </c>
      <c r="G19" s="3">
        <v>0.317271693919533</v>
      </c>
      <c r="H19" s="3">
        <v>0.23551560924425397</v>
      </c>
    </row>
    <row r="20" spans="1:8" x14ac:dyDescent="0.25">
      <c r="A20" t="s">
        <v>487</v>
      </c>
      <c r="B20" t="s">
        <v>461</v>
      </c>
      <c r="C20" t="s">
        <v>462</v>
      </c>
      <c r="D20" t="s">
        <v>488</v>
      </c>
      <c r="E20">
        <v>1</v>
      </c>
      <c r="F20">
        <v>162</v>
      </c>
      <c r="G20" s="3">
        <v>0.16684960645287195</v>
      </c>
      <c r="H20" s="3">
        <v>0.11444484024269783</v>
      </c>
    </row>
    <row r="21" spans="1:8" x14ac:dyDescent="0.25">
      <c r="A21" t="s">
        <v>487</v>
      </c>
      <c r="B21" t="s">
        <v>461</v>
      </c>
      <c r="C21" t="s">
        <v>462</v>
      </c>
      <c r="D21" t="s">
        <v>488</v>
      </c>
      <c r="E21">
        <v>2</v>
      </c>
      <c r="F21">
        <v>161</v>
      </c>
      <c r="G21" s="3">
        <v>0.1812879821887666</v>
      </c>
      <c r="H21" s="3">
        <v>0.11775023558311186</v>
      </c>
    </row>
    <row r="22" spans="1:8" x14ac:dyDescent="0.25">
      <c r="A22" t="s">
        <v>487</v>
      </c>
      <c r="B22" t="s">
        <v>461</v>
      </c>
      <c r="C22" t="s">
        <v>462</v>
      </c>
      <c r="D22" t="s">
        <v>488</v>
      </c>
      <c r="E22">
        <v>3</v>
      </c>
      <c r="F22">
        <v>160</v>
      </c>
      <c r="G22" s="3">
        <v>0.1915995897577341</v>
      </c>
      <c r="H22" s="3">
        <v>0.12386594975920105</v>
      </c>
    </row>
    <row r="23" spans="1:8" x14ac:dyDescent="0.25">
      <c r="A23" t="s">
        <v>487</v>
      </c>
      <c r="B23" t="s">
        <v>461</v>
      </c>
      <c r="C23" t="s">
        <v>462</v>
      </c>
      <c r="D23" t="s">
        <v>498</v>
      </c>
      <c r="E23">
        <v>1</v>
      </c>
      <c r="F23">
        <v>162</v>
      </c>
      <c r="G23" s="3">
        <v>0.168382873133654</v>
      </c>
      <c r="H23" s="3">
        <v>0.11685440694616517</v>
      </c>
    </row>
    <row r="24" spans="1:8" x14ac:dyDescent="0.25">
      <c r="A24" t="s">
        <v>487</v>
      </c>
      <c r="B24" t="s">
        <v>461</v>
      </c>
      <c r="C24" t="s">
        <v>462</v>
      </c>
      <c r="D24" t="s">
        <v>498</v>
      </c>
      <c r="E24">
        <v>2</v>
      </c>
      <c r="F24">
        <v>161</v>
      </c>
      <c r="G24" s="3">
        <v>0.16837277678343657</v>
      </c>
      <c r="H24" s="3">
        <v>0.11514464583338922</v>
      </c>
    </row>
    <row r="25" spans="1:8" x14ac:dyDescent="0.25">
      <c r="A25" t="s">
        <v>487</v>
      </c>
      <c r="B25" t="s">
        <v>461</v>
      </c>
      <c r="C25" t="s">
        <v>462</v>
      </c>
      <c r="D25" t="s">
        <v>498</v>
      </c>
      <c r="E25">
        <v>3</v>
      </c>
      <c r="F25">
        <v>160</v>
      </c>
      <c r="G25" s="3">
        <v>0.16866676557235288</v>
      </c>
      <c r="H25" s="3">
        <v>0.11509404200635447</v>
      </c>
    </row>
    <row r="26" spans="1:8" x14ac:dyDescent="0.25">
      <c r="A26" t="s">
        <v>487</v>
      </c>
      <c r="B26" t="s">
        <v>461</v>
      </c>
      <c r="C26" t="s">
        <v>462</v>
      </c>
      <c r="D26" t="s">
        <v>499</v>
      </c>
      <c r="E26">
        <v>1</v>
      </c>
      <c r="F26">
        <v>162</v>
      </c>
      <c r="G26" s="3">
        <v>0.15229785698156842</v>
      </c>
      <c r="H26" s="3">
        <v>0.13827761813537437</v>
      </c>
    </row>
    <row r="27" spans="1:8" x14ac:dyDescent="0.25">
      <c r="A27" t="s">
        <v>487</v>
      </c>
      <c r="B27" t="s">
        <v>461</v>
      </c>
      <c r="C27" t="s">
        <v>462</v>
      </c>
      <c r="D27" t="s">
        <v>499</v>
      </c>
      <c r="E27">
        <v>2</v>
      </c>
      <c r="F27">
        <v>161</v>
      </c>
      <c r="G27" s="3">
        <v>0.23475345463884295</v>
      </c>
      <c r="H27" s="3">
        <v>0.1794620867243508</v>
      </c>
    </row>
    <row r="28" spans="1:8" x14ac:dyDescent="0.25">
      <c r="A28" t="s">
        <v>487</v>
      </c>
      <c r="B28" t="s">
        <v>461</v>
      </c>
      <c r="C28" t="s">
        <v>462</v>
      </c>
      <c r="D28" t="s">
        <v>499</v>
      </c>
      <c r="E28">
        <v>3</v>
      </c>
      <c r="F28">
        <v>160</v>
      </c>
      <c r="G28" s="3">
        <v>0.2778141307610481</v>
      </c>
      <c r="H28" s="3">
        <v>0.19761172255396037</v>
      </c>
    </row>
    <row r="29" spans="1:8" x14ac:dyDescent="0.25">
      <c r="A29" t="s">
        <v>487</v>
      </c>
      <c r="B29" t="s">
        <v>463</v>
      </c>
      <c r="C29" t="s">
        <v>464</v>
      </c>
      <c r="D29" t="s">
        <v>488</v>
      </c>
      <c r="E29">
        <v>1</v>
      </c>
      <c r="F29">
        <v>162</v>
      </c>
      <c r="G29" s="3">
        <v>0.15219438724216186</v>
      </c>
      <c r="H29" s="3">
        <v>0.09675928112059327</v>
      </c>
    </row>
    <row r="30" spans="1:8" x14ac:dyDescent="0.25">
      <c r="A30" t="s">
        <v>487</v>
      </c>
      <c r="B30" t="s">
        <v>463</v>
      </c>
      <c r="C30" t="s">
        <v>464</v>
      </c>
      <c r="D30" t="s">
        <v>488</v>
      </c>
      <c r="E30">
        <v>2</v>
      </c>
      <c r="F30">
        <v>161</v>
      </c>
      <c r="G30" s="3">
        <v>0.16236958763038337</v>
      </c>
      <c r="H30" s="3">
        <v>0.10780771565655538</v>
      </c>
    </row>
    <row r="31" spans="1:8" x14ac:dyDescent="0.25">
      <c r="A31" t="s">
        <v>487</v>
      </c>
      <c r="B31" t="s">
        <v>463</v>
      </c>
      <c r="C31" t="s">
        <v>464</v>
      </c>
      <c r="D31" t="s">
        <v>488</v>
      </c>
      <c r="E31">
        <v>3</v>
      </c>
      <c r="F31">
        <v>160</v>
      </c>
      <c r="G31" s="3">
        <v>0.16660021989556906</v>
      </c>
      <c r="H31" s="3">
        <v>0.1064939712011416</v>
      </c>
    </row>
    <row r="32" spans="1:8" x14ac:dyDescent="0.25">
      <c r="A32" t="s">
        <v>487</v>
      </c>
      <c r="B32" t="s">
        <v>463</v>
      </c>
      <c r="C32" t="s">
        <v>464</v>
      </c>
      <c r="D32" t="s">
        <v>498</v>
      </c>
      <c r="E32">
        <v>1</v>
      </c>
      <c r="F32">
        <v>162</v>
      </c>
      <c r="G32" s="3">
        <v>0.15182610120223497</v>
      </c>
      <c r="H32" s="3">
        <v>0.09572617575146633</v>
      </c>
    </row>
    <row r="33" spans="1:8" x14ac:dyDescent="0.25">
      <c r="A33" t="s">
        <v>487</v>
      </c>
      <c r="B33" t="s">
        <v>463</v>
      </c>
      <c r="C33" t="s">
        <v>464</v>
      </c>
      <c r="D33" t="s">
        <v>498</v>
      </c>
      <c r="E33">
        <v>2</v>
      </c>
      <c r="F33">
        <v>161</v>
      </c>
      <c r="G33" s="3">
        <v>0.15127579321540022</v>
      </c>
      <c r="H33" s="3">
        <v>0.09436420074282736</v>
      </c>
    </row>
    <row r="34" spans="1:8" x14ac:dyDescent="0.25">
      <c r="A34" t="s">
        <v>487</v>
      </c>
      <c r="B34" t="s">
        <v>463</v>
      </c>
      <c r="C34" t="s">
        <v>464</v>
      </c>
      <c r="D34" t="s">
        <v>498</v>
      </c>
      <c r="E34">
        <v>3</v>
      </c>
      <c r="F34">
        <v>160</v>
      </c>
      <c r="G34" s="3">
        <v>0.1497077965674883</v>
      </c>
      <c r="H34" s="3">
        <v>0.09403820513348456</v>
      </c>
    </row>
    <row r="35" spans="1:8" x14ac:dyDescent="0.25">
      <c r="A35" t="s">
        <v>487</v>
      </c>
      <c r="B35" t="s">
        <v>463</v>
      </c>
      <c r="C35" t="s">
        <v>464</v>
      </c>
      <c r="D35" t="s">
        <v>499</v>
      </c>
      <c r="E35">
        <v>1</v>
      </c>
      <c r="F35">
        <v>162</v>
      </c>
      <c r="G35" s="3">
        <v>0.2065844357312208</v>
      </c>
      <c r="H35" s="3">
        <v>0.18008577917816557</v>
      </c>
    </row>
    <row r="36" spans="1:8" x14ac:dyDescent="0.25">
      <c r="A36" t="s">
        <v>487</v>
      </c>
      <c r="B36" t="s">
        <v>463</v>
      </c>
      <c r="C36" t="s">
        <v>464</v>
      </c>
      <c r="D36" t="s">
        <v>499</v>
      </c>
      <c r="E36">
        <v>2</v>
      </c>
      <c r="F36">
        <v>161</v>
      </c>
      <c r="G36" s="3">
        <v>0.3472834072469013</v>
      </c>
      <c r="H36" s="3">
        <v>0.3217003311920404</v>
      </c>
    </row>
    <row r="37" spans="1:8" x14ac:dyDescent="0.25">
      <c r="A37" t="s">
        <v>487</v>
      </c>
      <c r="B37" t="s">
        <v>463</v>
      </c>
      <c r="C37" t="s">
        <v>464</v>
      </c>
      <c r="D37" t="s">
        <v>499</v>
      </c>
      <c r="E37">
        <v>3</v>
      </c>
      <c r="F37">
        <v>160</v>
      </c>
      <c r="G37" s="3">
        <v>0.459069247476877</v>
      </c>
      <c r="H37" s="3">
        <v>0.4230368784327745</v>
      </c>
    </row>
    <row r="38" spans="1:8" x14ac:dyDescent="0.25">
      <c r="A38" t="s">
        <v>487</v>
      </c>
      <c r="B38" t="s">
        <v>465</v>
      </c>
      <c r="C38" t="s">
        <v>466</v>
      </c>
      <c r="D38" t="s">
        <v>488</v>
      </c>
      <c r="E38">
        <v>1</v>
      </c>
      <c r="F38">
        <v>162</v>
      </c>
      <c r="G38" s="3">
        <v>0.18556416916525686</v>
      </c>
      <c r="H38" s="3">
        <v>0.12339411545886844</v>
      </c>
    </row>
    <row r="39" spans="1:8" x14ac:dyDescent="0.25">
      <c r="A39" t="s">
        <v>487</v>
      </c>
      <c r="B39" t="s">
        <v>465</v>
      </c>
      <c r="C39" t="s">
        <v>466</v>
      </c>
      <c r="D39" t="s">
        <v>488</v>
      </c>
      <c r="E39">
        <v>2</v>
      </c>
      <c r="F39">
        <v>161</v>
      </c>
      <c r="G39" s="3">
        <v>0.19870721464690366</v>
      </c>
      <c r="H39" s="3">
        <v>0.14255275420545763</v>
      </c>
    </row>
    <row r="40" spans="1:8" x14ac:dyDescent="0.25">
      <c r="A40" t="s">
        <v>487</v>
      </c>
      <c r="B40" t="s">
        <v>465</v>
      </c>
      <c r="C40" t="s">
        <v>466</v>
      </c>
      <c r="D40" t="s">
        <v>488</v>
      </c>
      <c r="E40">
        <v>3</v>
      </c>
      <c r="F40">
        <v>160</v>
      </c>
      <c r="G40" s="3">
        <v>0.2110918465956903</v>
      </c>
      <c r="H40" s="3">
        <v>0.14444602076230106</v>
      </c>
    </row>
    <row r="41" spans="1:8" x14ac:dyDescent="0.25">
      <c r="A41" t="s">
        <v>487</v>
      </c>
      <c r="B41" t="s">
        <v>465</v>
      </c>
      <c r="C41" t="s">
        <v>466</v>
      </c>
      <c r="D41" t="s">
        <v>498</v>
      </c>
      <c r="E41">
        <v>1</v>
      </c>
      <c r="F41">
        <v>162</v>
      </c>
      <c r="G41" s="3">
        <v>0.17262188587265606</v>
      </c>
      <c r="H41" s="3">
        <v>0.12479516509362337</v>
      </c>
    </row>
    <row r="42" spans="1:8" x14ac:dyDescent="0.25">
      <c r="A42" t="s">
        <v>487</v>
      </c>
      <c r="B42" t="s">
        <v>465</v>
      </c>
      <c r="C42" t="s">
        <v>466</v>
      </c>
      <c r="D42" t="s">
        <v>498</v>
      </c>
      <c r="E42">
        <v>2</v>
      </c>
      <c r="F42">
        <v>161</v>
      </c>
      <c r="G42" s="3">
        <v>0.1727733939628081</v>
      </c>
      <c r="H42" s="3">
        <v>0.12253732838186761</v>
      </c>
    </row>
    <row r="43" spans="1:8" x14ac:dyDescent="0.25">
      <c r="A43" t="s">
        <v>487</v>
      </c>
      <c r="B43" t="s">
        <v>465</v>
      </c>
      <c r="C43" t="s">
        <v>466</v>
      </c>
      <c r="D43" t="s">
        <v>498</v>
      </c>
      <c r="E43">
        <v>3</v>
      </c>
      <c r="F43">
        <v>160</v>
      </c>
      <c r="G43" s="3">
        <v>0.17333808164867986</v>
      </c>
      <c r="H43" s="3">
        <v>0.12479516509362337</v>
      </c>
    </row>
    <row r="44" spans="1:8" x14ac:dyDescent="0.25">
      <c r="A44" t="s">
        <v>487</v>
      </c>
      <c r="B44" t="s">
        <v>465</v>
      </c>
      <c r="C44" t="s">
        <v>466</v>
      </c>
      <c r="D44" t="s">
        <v>499</v>
      </c>
      <c r="E44">
        <v>1</v>
      </c>
      <c r="F44">
        <v>162</v>
      </c>
      <c r="G44" s="3">
        <v>0.15623871847152251</v>
      </c>
      <c r="H44" s="3">
        <v>0.1267471239082532</v>
      </c>
    </row>
    <row r="45" spans="1:8" x14ac:dyDescent="0.25">
      <c r="A45" t="s">
        <v>487</v>
      </c>
      <c r="B45" t="s">
        <v>465</v>
      </c>
      <c r="C45" t="s">
        <v>466</v>
      </c>
      <c r="D45" t="s">
        <v>499</v>
      </c>
      <c r="E45">
        <v>2</v>
      </c>
      <c r="F45">
        <v>161</v>
      </c>
      <c r="G45" s="3">
        <v>0.17457794761850026</v>
      </c>
      <c r="H45" s="3">
        <v>0.1255407905807812</v>
      </c>
    </row>
    <row r="46" spans="1:8" x14ac:dyDescent="0.25">
      <c r="A46" t="s">
        <v>487</v>
      </c>
      <c r="B46" t="s">
        <v>465</v>
      </c>
      <c r="C46" t="s">
        <v>466</v>
      </c>
      <c r="D46" t="s">
        <v>499</v>
      </c>
      <c r="E46">
        <v>3</v>
      </c>
      <c r="F46">
        <v>160</v>
      </c>
      <c r="G46" s="3">
        <v>0.18842454938193673</v>
      </c>
      <c r="H46" s="3">
        <v>0.128052369669708</v>
      </c>
    </row>
    <row r="47" spans="1:8" x14ac:dyDescent="0.25">
      <c r="A47" t="s">
        <v>487</v>
      </c>
      <c r="B47" t="s">
        <v>467</v>
      </c>
      <c r="C47" t="s">
        <v>468</v>
      </c>
      <c r="D47" t="s">
        <v>488</v>
      </c>
      <c r="E47">
        <v>1</v>
      </c>
      <c r="F47">
        <v>162</v>
      </c>
      <c r="G47" s="3">
        <v>0.19856431807194608</v>
      </c>
      <c r="H47" s="3">
        <v>0.15724670870175017</v>
      </c>
    </row>
    <row r="48" spans="1:8" x14ac:dyDescent="0.25">
      <c r="A48" t="s">
        <v>487</v>
      </c>
      <c r="B48" t="s">
        <v>467</v>
      </c>
      <c r="C48" t="s">
        <v>468</v>
      </c>
      <c r="D48" t="s">
        <v>488</v>
      </c>
      <c r="E48">
        <v>2</v>
      </c>
      <c r="F48">
        <v>161</v>
      </c>
      <c r="G48" s="3">
        <v>0.20566317941924853</v>
      </c>
      <c r="H48" s="3">
        <v>0.15802886732512375</v>
      </c>
    </row>
    <row r="49" spans="1:8" x14ac:dyDescent="0.25">
      <c r="A49" t="s">
        <v>487</v>
      </c>
      <c r="B49" t="s">
        <v>467</v>
      </c>
      <c r="C49" t="s">
        <v>468</v>
      </c>
      <c r="D49" t="s">
        <v>488</v>
      </c>
      <c r="E49">
        <v>3</v>
      </c>
      <c r="F49">
        <v>160</v>
      </c>
      <c r="G49" s="3">
        <v>0.2120594592229926</v>
      </c>
      <c r="H49" s="3">
        <v>0.1747895286011164</v>
      </c>
    </row>
    <row r="50" spans="1:8" x14ac:dyDescent="0.25">
      <c r="A50" t="s">
        <v>487</v>
      </c>
      <c r="B50" t="s">
        <v>467</v>
      </c>
      <c r="C50" t="s">
        <v>468</v>
      </c>
      <c r="D50" t="s">
        <v>498</v>
      </c>
      <c r="E50">
        <v>1</v>
      </c>
      <c r="F50">
        <v>162</v>
      </c>
      <c r="G50" s="3">
        <v>0.19281049009914478</v>
      </c>
      <c r="H50" s="3">
        <v>0.1312892220919684</v>
      </c>
    </row>
    <row r="51" spans="1:8" x14ac:dyDescent="0.25">
      <c r="A51" t="s">
        <v>487</v>
      </c>
      <c r="B51" t="s">
        <v>467</v>
      </c>
      <c r="C51" t="s">
        <v>468</v>
      </c>
      <c r="D51" t="s">
        <v>498</v>
      </c>
      <c r="E51">
        <v>2</v>
      </c>
      <c r="F51">
        <v>161</v>
      </c>
      <c r="G51" s="3">
        <v>0.19399054661982376</v>
      </c>
      <c r="H51" s="3">
        <v>0.13329989963360062</v>
      </c>
    </row>
    <row r="52" spans="1:8" x14ac:dyDescent="0.25">
      <c r="A52" t="s">
        <v>487</v>
      </c>
      <c r="B52" t="s">
        <v>467</v>
      </c>
      <c r="C52" t="s">
        <v>468</v>
      </c>
      <c r="D52" t="s">
        <v>498</v>
      </c>
      <c r="E52">
        <v>3</v>
      </c>
      <c r="F52">
        <v>160</v>
      </c>
      <c r="G52" s="3">
        <v>0.19462572053039182</v>
      </c>
      <c r="H52" s="3">
        <v>0.13404408105811114</v>
      </c>
    </row>
    <row r="53" spans="1:8" x14ac:dyDescent="0.25">
      <c r="A53" t="s">
        <v>487</v>
      </c>
      <c r="B53" t="s">
        <v>467</v>
      </c>
      <c r="C53" t="s">
        <v>468</v>
      </c>
      <c r="D53" t="s">
        <v>499</v>
      </c>
      <c r="E53">
        <v>1</v>
      </c>
      <c r="F53">
        <v>162</v>
      </c>
      <c r="G53" s="3">
        <v>0.2547523381435135</v>
      </c>
      <c r="H53" s="3">
        <v>0.21613575273866587</v>
      </c>
    </row>
    <row r="54" spans="1:8" x14ac:dyDescent="0.25">
      <c r="A54" t="s">
        <v>487</v>
      </c>
      <c r="B54" t="s">
        <v>467</v>
      </c>
      <c r="C54" t="s">
        <v>468</v>
      </c>
      <c r="D54" t="s">
        <v>499</v>
      </c>
      <c r="E54">
        <v>2</v>
      </c>
      <c r="F54">
        <v>161</v>
      </c>
      <c r="G54" s="3">
        <v>0.42344480589111383</v>
      </c>
      <c r="H54" s="3">
        <v>0.35190755386913675</v>
      </c>
    </row>
    <row r="55" spans="1:8" x14ac:dyDescent="0.25">
      <c r="A55" t="s">
        <v>487</v>
      </c>
      <c r="B55" t="s">
        <v>467</v>
      </c>
      <c r="C55" t="s">
        <v>468</v>
      </c>
      <c r="D55" t="s">
        <v>499</v>
      </c>
      <c r="E55">
        <v>3</v>
      </c>
      <c r="F55">
        <v>160</v>
      </c>
      <c r="G55" s="3">
        <v>0.48306683697624386</v>
      </c>
      <c r="H55" s="3">
        <v>0.3807784738613787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x14ac:dyDescent="0.25">
      <c r="A1" t="s">
        <v>445</v>
      </c>
      <c r="B1" t="s">
        <v>42</v>
      </c>
      <c r="C1" t="s">
        <v>503</v>
      </c>
      <c r="D1" t="s">
        <v>504</v>
      </c>
    </row>
    <row r="2" spans="1:4" x14ac:dyDescent="0.25">
      <c r="A2" t="s">
        <v>455</v>
      </c>
      <c r="B2" t="s">
        <v>505</v>
      </c>
      <c r="C2" t="s">
        <v>506</v>
      </c>
      <c r="D2" t="s">
        <v>507</v>
      </c>
    </row>
    <row r="3" spans="1:4" x14ac:dyDescent="0.25">
      <c r="A3" t="s">
        <v>461</v>
      </c>
      <c r="B3" t="s">
        <v>505</v>
      </c>
      <c r="C3" t="s">
        <v>506</v>
      </c>
      <c r="D3" t="s">
        <v>507</v>
      </c>
    </row>
    <row r="4" spans="1:4" x14ac:dyDescent="0.25">
      <c r="A4" t="s">
        <v>463</v>
      </c>
      <c r="B4" t="s">
        <v>505</v>
      </c>
      <c r="C4" t="s">
        <v>506</v>
      </c>
      <c r="D4" t="s">
        <v>507</v>
      </c>
    </row>
    <row r="5" spans="1:4" x14ac:dyDescent="0.25">
      <c r="A5" t="s">
        <v>465</v>
      </c>
      <c r="B5" t="s">
        <v>505</v>
      </c>
      <c r="C5" t="s">
        <v>506</v>
      </c>
      <c r="D5" t="s">
        <v>507</v>
      </c>
    </row>
    <row r="6" spans="1:4" x14ac:dyDescent="0.25">
      <c r="A6" t="s">
        <v>467</v>
      </c>
      <c r="B6" t="s">
        <v>505</v>
      </c>
      <c r="C6" t="s">
        <v>506</v>
      </c>
      <c r="D6" t="s">
        <v>507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3" customWidth="1"/>
    <col min="6" max="6" width="14" customWidth="1"/>
    <col min="7" max="7" width="16" customWidth="1"/>
  </cols>
  <sheetData>
    <row r="1" spans="1:7" x14ac:dyDescent="0.25">
      <c r="A1" t="s">
        <v>445</v>
      </c>
      <c r="B1" t="s">
        <v>446</v>
      </c>
      <c r="C1" t="s">
        <v>451</v>
      </c>
      <c r="D1" t="s">
        <v>450</v>
      </c>
      <c r="E1" t="s">
        <v>508</v>
      </c>
      <c r="F1" t="s">
        <v>449</v>
      </c>
      <c r="G1" t="s">
        <v>509</v>
      </c>
    </row>
    <row r="2" spans="1:7" x14ac:dyDescent="0.25">
      <c r="A2" t="s">
        <v>455</v>
      </c>
      <c r="B2" t="s">
        <v>456</v>
      </c>
      <c r="C2" t="s">
        <v>459</v>
      </c>
      <c r="D2" s="4">
        <v>-0.716581263241914</v>
      </c>
      <c r="E2" s="3">
        <v>-0.3204834797957308</v>
      </c>
      <c r="F2" s="3">
        <v>1.1629230781639992</v>
      </c>
      <c r="G2" s="4">
        <v>1019779.9999999999</v>
      </c>
    </row>
    <row r="3" spans="1:7" x14ac:dyDescent="0.25">
      <c r="A3" t="s">
        <v>461</v>
      </c>
      <c r="B3" t="s">
        <v>462</v>
      </c>
      <c r="C3" t="s">
        <v>459</v>
      </c>
      <c r="D3" s="4">
        <v>0.5900296023079418</v>
      </c>
      <c r="E3" s="3">
        <v>0.13406685002951882</v>
      </c>
      <c r="F3" s="3">
        <v>0.7861791876333685</v>
      </c>
      <c r="G3" s="4">
        <v>30081799</v>
      </c>
    </row>
    <row r="4" spans="1:7" x14ac:dyDescent="0.25">
      <c r="A4" t="s">
        <v>463</v>
      </c>
      <c r="B4" t="s">
        <v>464</v>
      </c>
      <c r="C4" t="s">
        <v>459</v>
      </c>
      <c r="D4" s="4">
        <v>0.19721171652294442</v>
      </c>
      <c r="E4" s="3">
        <v>0.04328483265584712</v>
      </c>
      <c r="F4" s="3">
        <v>1.2488503271935463</v>
      </c>
      <c r="G4" s="4">
        <v>33632817</v>
      </c>
    </row>
    <row r="5" spans="1:7" x14ac:dyDescent="0.25">
      <c r="A5" t="s">
        <v>465</v>
      </c>
      <c r="B5" t="s">
        <v>466</v>
      </c>
      <c r="C5" t="s">
        <v>459</v>
      </c>
      <c r="D5" s="4">
        <v>0.8331488709597542</v>
      </c>
      <c r="E5" s="3">
        <v>0.27228562864601913</v>
      </c>
      <c r="F5" s="3">
        <v>0.9867922146886321</v>
      </c>
      <c r="G5" s="4">
        <v>14615618</v>
      </c>
    </row>
    <row r="6" spans="1:7" x14ac:dyDescent="0.25">
      <c r="A6" t="s">
        <v>467</v>
      </c>
      <c r="B6" t="s">
        <v>468</v>
      </c>
      <c r="C6" t="s">
        <v>459</v>
      </c>
      <c r="D6" s="4">
        <v>-0.06702298753168186</v>
      </c>
      <c r="E6" s="3">
        <v>-0.01766154918108414</v>
      </c>
      <c r="F6" s="3">
        <v>1.0142181729963768</v>
      </c>
      <c r="G6" s="4">
        <v>5576474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12" customWidth="1"/>
    <col min="10" max="12" width="14" customWidth="1"/>
    <col min="13" max="13" width="13" customWidth="1"/>
    <col min="14" max="14" width="12" customWidth="1"/>
  </cols>
  <sheetData>
    <row r="1" spans="1:14" x14ac:dyDescent="0.25">
      <c r="A1" t="s">
        <v>479</v>
      </c>
      <c r="B1" t="s">
        <v>445</v>
      </c>
      <c r="C1" t="s">
        <v>446</v>
      </c>
      <c r="D1" t="s">
        <v>510</v>
      </c>
      <c r="E1" t="s">
        <v>511</v>
      </c>
      <c r="F1" t="s">
        <v>512</v>
      </c>
      <c r="G1" t="s">
        <v>513</v>
      </c>
      <c r="H1" t="s">
        <v>514</v>
      </c>
      <c r="I1" t="s">
        <v>515</v>
      </c>
      <c r="J1" t="s">
        <v>516</v>
      </c>
      <c r="K1" t="s">
        <v>517</v>
      </c>
      <c r="L1" t="s">
        <v>518</v>
      </c>
      <c r="M1" t="s">
        <v>519</v>
      </c>
      <c r="N1" t="s">
        <v>520</v>
      </c>
    </row>
    <row r="2" spans="1:14" x14ac:dyDescent="0.25">
      <c r="A2" t="s">
        <v>490</v>
      </c>
      <c r="B2" t="s">
        <v>491</v>
      </c>
      <c r="C2" t="s">
        <v>492</v>
      </c>
      <c r="D2" t="s">
        <v>521</v>
      </c>
      <c r="E2" s="4">
        <v>1071851004</v>
      </c>
      <c r="F2" s="4">
        <v>992227079</v>
      </c>
      <c r="G2" s="4">
        <v>-79623925</v>
      </c>
      <c r="H2" s="4">
        <v>80696150</v>
      </c>
      <c r="I2" s="4">
        <v>82818918.00000001</v>
      </c>
      <c r="J2" s="4">
        <v>13.28255442174131</v>
      </c>
      <c r="K2" s="4">
        <v>11.980681503228524</v>
      </c>
      <c r="L2" s="4">
        <v>28195781.484731153</v>
      </c>
      <c r="M2" s="4">
        <v>-107819706.48473106</v>
      </c>
      <c r="N2" s="4">
        <v>-79623924.99999991</v>
      </c>
    </row>
    <row r="3" spans="1:14" x14ac:dyDescent="0.25">
      <c r="A3" t="s">
        <v>487</v>
      </c>
      <c r="B3" t="s">
        <v>455</v>
      </c>
      <c r="C3" t="s">
        <v>477</v>
      </c>
      <c r="D3" t="s">
        <v>521</v>
      </c>
      <c r="E3" s="4">
        <v>13835179</v>
      </c>
      <c r="F3" s="4">
        <v>13279143</v>
      </c>
      <c r="G3" s="4">
        <v>-556036</v>
      </c>
      <c r="H3" s="4">
        <v>2556786</v>
      </c>
      <c r="I3" s="4">
        <v>2773618.9999999995</v>
      </c>
      <c r="J3" s="4">
        <v>5.411160339582585</v>
      </c>
      <c r="K3" s="4">
        <v>4.7876593721055425</v>
      </c>
      <c r="L3" s="4">
        <v>1173318.1299127082</v>
      </c>
      <c r="M3" s="4">
        <v>-1729354.1299127066</v>
      </c>
      <c r="N3" s="4">
        <v>-556035.9999999984</v>
      </c>
    </row>
    <row r="4" spans="1:14" x14ac:dyDescent="0.25">
      <c r="A4" t="s">
        <v>487</v>
      </c>
      <c r="B4" t="s">
        <v>461</v>
      </c>
      <c r="C4" t="s">
        <v>462</v>
      </c>
      <c r="D4" t="s">
        <v>521</v>
      </c>
      <c r="E4" s="4">
        <v>325755001</v>
      </c>
      <c r="F4" s="4">
        <v>310845759</v>
      </c>
      <c r="G4" s="4">
        <v>-14909242</v>
      </c>
      <c r="H4" s="4">
        <v>17959255</v>
      </c>
      <c r="I4" s="4">
        <v>17726482.999999996</v>
      </c>
      <c r="J4" s="4">
        <v>18.13855869856517</v>
      </c>
      <c r="K4" s="4">
        <v>17.53567016085481</v>
      </c>
      <c r="L4" s="4">
        <v>-4222148.585382479</v>
      </c>
      <c r="M4" s="4">
        <v>-10687093.414617551</v>
      </c>
      <c r="N4" s="4">
        <v>-14909242.00000003</v>
      </c>
    </row>
    <row r="5" spans="1:14" x14ac:dyDescent="0.25">
      <c r="A5" t="s">
        <v>487</v>
      </c>
      <c r="B5" t="s">
        <v>463</v>
      </c>
      <c r="C5" t="s">
        <v>464</v>
      </c>
      <c r="D5" t="s">
        <v>521</v>
      </c>
      <c r="E5" s="4">
        <v>401342868</v>
      </c>
      <c r="F5" s="4">
        <v>378447663</v>
      </c>
      <c r="G5" s="4">
        <v>-22895205</v>
      </c>
      <c r="H5" s="4">
        <v>13406920.000000002</v>
      </c>
      <c r="I5" s="4">
        <v>11727832</v>
      </c>
      <c r="J5" s="4">
        <v>29.935501069596892</v>
      </c>
      <c r="K5" s="4">
        <v>32.269192038221554</v>
      </c>
      <c r="L5" s="4">
        <v>-50264340.61994736</v>
      </c>
      <c r="M5" s="4">
        <v>27369135.619947307</v>
      </c>
      <c r="N5" s="4">
        <v>-22895205.000000052</v>
      </c>
    </row>
    <row r="6" spans="1:14" x14ac:dyDescent="0.25">
      <c r="A6" t="s">
        <v>487</v>
      </c>
      <c r="B6" t="s">
        <v>465</v>
      </c>
      <c r="C6" t="s">
        <v>478</v>
      </c>
      <c r="D6" t="s">
        <v>521</v>
      </c>
      <c r="E6" s="4">
        <v>188015250</v>
      </c>
      <c r="F6" s="4">
        <v>175756432</v>
      </c>
      <c r="G6" s="4">
        <v>-12258818</v>
      </c>
      <c r="H6" s="4">
        <v>40481706</v>
      </c>
      <c r="I6" s="4">
        <v>45339031</v>
      </c>
      <c r="J6" s="4">
        <v>4.644449767013278</v>
      </c>
      <c r="K6" s="4">
        <v>3.876492905196849</v>
      </c>
      <c r="L6" s="4">
        <v>22559601.964557767</v>
      </c>
      <c r="M6" s="4">
        <v>-34818419.96455778</v>
      </c>
      <c r="N6" s="4">
        <v>-12258818.000000015</v>
      </c>
    </row>
    <row r="7" spans="1:14" x14ac:dyDescent="0.25">
      <c r="A7" t="s">
        <v>487</v>
      </c>
      <c r="B7" t="s">
        <v>467</v>
      </c>
      <c r="C7" t="s">
        <v>468</v>
      </c>
      <c r="D7" t="s">
        <v>521</v>
      </c>
      <c r="E7" s="4">
        <v>142902706</v>
      </c>
      <c r="F7" s="4">
        <v>113898082</v>
      </c>
      <c r="G7" s="4">
        <v>-29004624</v>
      </c>
      <c r="H7" s="4">
        <v>6291483</v>
      </c>
      <c r="I7" s="4">
        <v>5251953</v>
      </c>
      <c r="J7" s="4">
        <v>22.713675933003394</v>
      </c>
      <c r="K7" s="4">
        <v>21.686805270344195</v>
      </c>
      <c r="L7" s="4">
        <v>-23611547.54263502</v>
      </c>
      <c r="M7" s="4">
        <v>-5393076.45736497</v>
      </c>
      <c r="N7" s="4">
        <v>-29004623.99999999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  <col min="4" max="4" width="13" customWidth="1"/>
  </cols>
  <sheetData>
    <row r="1" spans="1:4" x14ac:dyDescent="0.25">
      <c r="A1" t="s">
        <v>522</v>
      </c>
      <c r="B1" t="s">
        <v>523</v>
      </c>
      <c r="C1" t="s">
        <v>470</v>
      </c>
      <c r="D1" t="s">
        <v>524</v>
      </c>
    </row>
    <row r="2" spans="1:4" x14ac:dyDescent="0.25">
      <c r="A2" t="s">
        <v>525</v>
      </c>
      <c r="B2" t="s">
        <v>526</v>
      </c>
      <c r="C2">
        <v>992227079</v>
      </c>
      <c r="D2">
        <v>992.227079</v>
      </c>
    </row>
    <row r="3" spans="1:4" x14ac:dyDescent="0.25">
      <c r="A3" t="s">
        <v>527</v>
      </c>
      <c r="B3" t="s">
        <v>526</v>
      </c>
      <c r="C3">
        <v>234644798.0419079</v>
      </c>
      <c r="D3">
        <v>234.6447980419079</v>
      </c>
    </row>
    <row r="4" spans="1:4" x14ac:dyDescent="0.25">
      <c r="A4" t="s">
        <v>528</v>
      </c>
      <c r="B4" t="s">
        <v>529</v>
      </c>
      <c r="C4">
        <v>0.1347848533163415</v>
      </c>
      <c r="D4">
        <v>0.1347848533163415</v>
      </c>
    </row>
    <row r="5" spans="1:4" x14ac:dyDescent="0.25">
      <c r="A5" t="s">
        <v>530</v>
      </c>
      <c r="B5" t="s">
        <v>529</v>
      </c>
      <c r="C5">
        <v>0.13510543511658069</v>
      </c>
      <c r="D5">
        <v>0.13510543511658069</v>
      </c>
    </row>
    <row r="6" spans="1:4" x14ac:dyDescent="0.25">
      <c r="A6" t="s">
        <v>531</v>
      </c>
      <c r="B6" t="s">
        <v>529</v>
      </c>
      <c r="C6">
        <v>0.1453505373040757</v>
      </c>
      <c r="D6">
        <v>0.1453505373040757</v>
      </c>
    </row>
    <row r="7" spans="1:4" x14ac:dyDescent="0.25">
      <c r="A7" t="s">
        <v>532</v>
      </c>
      <c r="B7" t="s">
        <v>533</v>
      </c>
      <c r="C7">
        <v>32</v>
      </c>
      <c r="D7">
        <v>32</v>
      </c>
    </row>
    <row r="8" spans="1:4" x14ac:dyDescent="0.25">
      <c r="A8" t="s">
        <v>534</v>
      </c>
      <c r="B8" t="s">
        <v>533</v>
      </c>
      <c r="C8">
        <v>36</v>
      </c>
      <c r="D8">
        <v>36</v>
      </c>
    </row>
    <row r="9" spans="1:4" x14ac:dyDescent="0.25">
      <c r="A9" t="s">
        <v>535</v>
      </c>
      <c r="B9" t="s">
        <v>533</v>
      </c>
      <c r="C9">
        <v>815</v>
      </c>
      <c r="D9">
        <v>815</v>
      </c>
    </row>
    <row r="10" spans="1:4" x14ac:dyDescent="0.25">
      <c r="A10" t="s">
        <v>536</v>
      </c>
      <c r="B10" t="s">
        <v>537</v>
      </c>
      <c r="C10" t="s">
        <v>11</v>
      </c>
      <c r="D1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FormatPr defaultRowHeight="15" outlineLevelRow="0" outlineLevelCol="0" x14ac:dyDescent="55"/>
  <cols>
    <col min="2" max="2" width="22" customWidth="1"/>
    <col min="3" max="18" width="12" customWidth="1"/>
  </cols>
  <sheetData>
    <row r="1" spans="1:12" x14ac:dyDescent="0.25">
      <c r="A1" t="s">
        <v>538</v>
      </c>
      <c r="B1"/>
      <c r="C1"/>
      <c r="D1"/>
      <c r="E1"/>
      <c r="F1"/>
      <c r="G1"/>
      <c r="H1"/>
      <c r="I1"/>
      <c r="J1"/>
      <c r="K1"/>
      <c r="L1"/>
    </row>
    <row r="3" spans="1:18" x14ac:dyDescent="0.25">
      <c r="A3" t="s">
        <v>445</v>
      </c>
      <c r="B3" t="s">
        <v>446</v>
      </c>
      <c r="C3" t="s">
        <v>11</v>
      </c>
      <c r="D3" t="s">
        <v>437</v>
      </c>
      <c r="E3" t="s">
        <v>435</v>
      </c>
      <c r="F3" t="s">
        <v>433</v>
      </c>
      <c r="G3" t="s">
        <v>431</v>
      </c>
      <c r="H3" t="s">
        <v>429</v>
      </c>
      <c r="I3" t="s">
        <v>427</v>
      </c>
      <c r="J3" t="s">
        <v>425</v>
      </c>
      <c r="K3" t="s">
        <v>423</v>
      </c>
      <c r="L3" t="s">
        <v>421</v>
      </c>
      <c r="M3" t="s">
        <v>419</v>
      </c>
      <c r="N3" t="s">
        <v>417</v>
      </c>
      <c r="O3" t="s">
        <v>539</v>
      </c>
      <c r="P3" t="s">
        <v>540</v>
      </c>
      <c r="Q3" t="s">
        <v>541</v>
      </c>
      <c r="R3" t="s">
        <v>542</v>
      </c>
    </row>
    <row r="4" spans="1:18" x14ac:dyDescent="0.25">
      <c r="A4" t="s">
        <v>455</v>
      </c>
      <c r="B4" t="s">
        <v>477</v>
      </c>
      <c r="C4" s="3">
        <f>IFERROR(SUMIFS(tblFactImports[ValueEUR],tblFactImports[HS2],$A4,tblFactImports[YearMonth],3$3)/SUMIFS(tblFactImports[ValueEUR],tblFactImports[HS2],$A4,tblFactImports[YearMonth],"2025-06")-1,NA())</f>
      </c>
      <c r="D4" s="3">
        <f>IFERROR(SUMIFS(tblFactImports[ValueEUR],tblFactImports[HS2],$A4,tblFactImports[YearMonth],4$3)/SUMIFS(tblFactImports[ValueEUR],tblFactImports[HS2],$A4,tblFactImports[YearMonth],"2025-05")-1,NA())</f>
      </c>
      <c r="E4" s="3">
        <f>IFERROR(SUMIFS(tblFactImports[ValueEUR],tblFactImports[HS2],$A4,tblFactImports[YearMonth],5$3)/SUMIFS(tblFactImports[ValueEUR],tblFactImports[HS2],$A4,tblFactImports[YearMonth],"2025-04")-1,NA())</f>
      </c>
      <c r="F4" s="3">
        <f>IFERROR(SUMIFS(tblFactImports[ValueEUR],tblFactImports[HS2],$A4,tblFactImports[YearMonth],6$3)/SUMIFS(tblFactImports[ValueEUR],tblFactImports[HS2],$A4,tblFactImports[YearMonth],"2025-03")-1,NA())</f>
      </c>
      <c r="G4" s="3">
        <f>IFERROR(SUMIFS(tblFactImports[ValueEUR],tblFactImports[HS2],$A4,tblFactImports[YearMonth],7$3)/SUMIFS(tblFactImports[ValueEUR],tblFactImports[HS2],$A4,tblFactImports[YearMonth],"2025-02")-1,NA())</f>
      </c>
      <c r="H4" s="3">
        <f>IFERROR(SUMIFS(tblFactImports[ValueEUR],tblFactImports[HS2],$A4,tblFactImports[YearMonth],8$3)/SUMIFS(tblFactImports[ValueEUR],tblFactImports[HS2],$A4,tblFactImports[YearMonth],"2025-01")-1,NA())</f>
      </c>
      <c r="I4" s="3">
        <f>IFERROR(SUMIFS(tblFactImports[ValueEUR],tblFactImports[HS2],$A4,tblFactImports[YearMonth],9$3)/SUMIFS(tblFactImports[ValueEUR],tblFactImports[HS2],$A4,tblFactImports[YearMonth],"2024-12")-1,NA())</f>
      </c>
      <c r="J4" s="3">
        <f>IFERROR(SUMIFS(tblFactImports[ValueEUR],tblFactImports[HS2],$A4,tblFactImports[YearMonth],10$3)/SUMIFS(tblFactImports[ValueEUR],tblFactImports[HS2],$A4,tblFactImports[YearMonth],"2024-11")-1,NA())</f>
      </c>
      <c r="K4" s="3">
        <f>IFERROR(SUMIFS(tblFactImports[ValueEUR],tblFactImports[HS2],$A4,tblFactImports[YearMonth],11$3)/SUMIFS(tblFactImports[ValueEUR],tblFactImports[HS2],$A4,tblFactImports[YearMonth],"2024-10")-1,NA())</f>
      </c>
      <c r="L4" s="3">
        <f>IFERROR(SUMIFS(tblFactImports[ValueEUR],tblFactImports[HS2],$A4,tblFactImports[YearMonth],12$3)/SUMIFS(tblFactImports[ValueEUR],tblFactImports[HS2],$A4,tblFactImports[YearMonth],"2024-09")-1,NA())</f>
      </c>
      <c r="M4" s="3">
        <f>IFERROR(SUMIFS(tblFactImports[ValueEUR],tblFactImports[HS2],$A4,tblFactImports[YearMonth],13$3)/SUMIFS(tblFactImports[ValueEUR],tblFactImports[HS2],$A4,tblFactImports[YearMonth],"2024-08")-1,NA())</f>
      </c>
      <c r="N4" s="3">
        <f>IFERROR(SUMIFS(tblFactImports[ValueEUR],tblFactImports[HS2],$A4,tblFactImports[YearMonth],14$3)/SUMIFS(tblFactImports[ValueEUR],tblFactImports[HS2],$A4,tblFactImports[YearMonth],"2024-07")-1,NA())</f>
      </c>
      <c r="O4" s="3">
        <f>AGGREGATE(1,6,C4:N4)</f>
      </c>
      <c r="P4" s="5">
        <f>SUMIFS(tblFactImports[ValueEUR],tblFactImports[HS2],$A4,tblFactImports[YearMonth],"2025-07")*(1+$O4)</f>
      </c>
      <c r="Q4" s="5">
        <f>SUMIFS(tblFactImports[ValueEUR],tblFactImports[HS2],$A4,tblFactImports[YearMonth],"2025-08")*(1+$O4)</f>
      </c>
      <c r="R4" s="5">
        <f>SUMIFS(tblFactImports[ValueEUR],tblFactImports[HS2],$A4,tblFactImports[YearMonth],"2025-09")*(1+$O4)</f>
      </c>
    </row>
    <row r="5" spans="1:18" x14ac:dyDescent="0.25">
      <c r="A5" t="s">
        <v>461</v>
      </c>
      <c r="B5" t="s">
        <v>462</v>
      </c>
      <c r="C5" s="3">
        <f>IFERROR(SUMIFS(tblFactImports[ValueEUR],tblFactImports[HS2],$A5,tblFactImports[YearMonth],3$3)/SUMIFS(tblFactImports[ValueEUR],tblFactImports[HS2],$A5,tblFactImports[YearMonth],"2025-06")-1,NA())</f>
      </c>
      <c r="D5" s="3">
        <f>IFERROR(SUMIFS(tblFactImports[ValueEUR],tblFactImports[HS2],$A5,tblFactImports[YearMonth],4$3)/SUMIFS(tblFactImports[ValueEUR],tblFactImports[HS2],$A5,tblFactImports[YearMonth],"2025-05")-1,NA())</f>
      </c>
      <c r="E5" s="3">
        <f>IFERROR(SUMIFS(tblFactImports[ValueEUR],tblFactImports[HS2],$A5,tblFactImports[YearMonth],5$3)/SUMIFS(tblFactImports[ValueEUR],tblFactImports[HS2],$A5,tblFactImports[YearMonth],"2025-04")-1,NA())</f>
      </c>
      <c r="F5" s="3">
        <f>IFERROR(SUMIFS(tblFactImports[ValueEUR],tblFactImports[HS2],$A5,tblFactImports[YearMonth],6$3)/SUMIFS(tblFactImports[ValueEUR],tblFactImports[HS2],$A5,tblFactImports[YearMonth],"2025-03")-1,NA())</f>
      </c>
      <c r="G5" s="3">
        <f>IFERROR(SUMIFS(tblFactImports[ValueEUR],tblFactImports[HS2],$A5,tblFactImports[YearMonth],7$3)/SUMIFS(tblFactImports[ValueEUR],tblFactImports[HS2],$A5,tblFactImports[YearMonth],"2025-02")-1,NA())</f>
      </c>
      <c r="H5" s="3">
        <f>IFERROR(SUMIFS(tblFactImports[ValueEUR],tblFactImports[HS2],$A5,tblFactImports[YearMonth],8$3)/SUMIFS(tblFactImports[ValueEUR],tblFactImports[HS2],$A5,tblFactImports[YearMonth],"2025-01")-1,NA())</f>
      </c>
      <c r="I5" s="3">
        <f>IFERROR(SUMIFS(tblFactImports[ValueEUR],tblFactImports[HS2],$A5,tblFactImports[YearMonth],9$3)/SUMIFS(tblFactImports[ValueEUR],tblFactImports[HS2],$A5,tblFactImports[YearMonth],"2024-12")-1,NA())</f>
      </c>
      <c r="J5" s="3">
        <f>IFERROR(SUMIFS(tblFactImports[ValueEUR],tblFactImports[HS2],$A5,tblFactImports[YearMonth],10$3)/SUMIFS(tblFactImports[ValueEUR],tblFactImports[HS2],$A5,tblFactImports[YearMonth],"2024-11")-1,NA())</f>
      </c>
      <c r="K5" s="3">
        <f>IFERROR(SUMIFS(tblFactImports[ValueEUR],tblFactImports[HS2],$A5,tblFactImports[YearMonth],11$3)/SUMIFS(tblFactImports[ValueEUR],tblFactImports[HS2],$A5,tblFactImports[YearMonth],"2024-10")-1,NA())</f>
      </c>
      <c r="L5" s="3">
        <f>IFERROR(SUMIFS(tblFactImports[ValueEUR],tblFactImports[HS2],$A5,tblFactImports[YearMonth],12$3)/SUMIFS(tblFactImports[ValueEUR],tblFactImports[HS2],$A5,tblFactImports[YearMonth],"2024-09")-1,NA())</f>
      </c>
      <c r="M5" s="3">
        <f>IFERROR(SUMIFS(tblFactImports[ValueEUR],tblFactImports[HS2],$A5,tblFactImports[YearMonth],13$3)/SUMIFS(tblFactImports[ValueEUR],tblFactImports[HS2],$A5,tblFactImports[YearMonth],"2024-08")-1,NA())</f>
      </c>
      <c r="N5" s="3">
        <f>IFERROR(SUMIFS(tblFactImports[ValueEUR],tblFactImports[HS2],$A5,tblFactImports[YearMonth],14$3)/SUMIFS(tblFactImports[ValueEUR],tblFactImports[HS2],$A5,tblFactImports[YearMonth],"2024-07")-1,NA())</f>
      </c>
      <c r="O5" s="3">
        <f>AGGREGATE(1,6,C5:N5)</f>
      </c>
      <c r="P5" s="5">
        <f>SUMIFS(tblFactImports[ValueEUR],tblFactImports[HS2],$A5,tblFactImports[YearMonth],"2025-07")*(1+$O5)</f>
      </c>
      <c r="Q5" s="5">
        <f>SUMIFS(tblFactImports[ValueEUR],tblFactImports[HS2],$A5,tblFactImports[YearMonth],"2025-08")*(1+$O5)</f>
      </c>
      <c r="R5" s="5">
        <f>SUMIFS(tblFactImports[ValueEUR],tblFactImports[HS2],$A5,tblFactImports[YearMonth],"2025-09")*(1+$O5)</f>
      </c>
    </row>
    <row r="6" spans="1:18" x14ac:dyDescent="0.25">
      <c r="A6" t="s">
        <v>463</v>
      </c>
      <c r="B6" t="s">
        <v>464</v>
      </c>
      <c r="C6" s="3">
        <f>IFERROR(SUMIFS(tblFactImports[ValueEUR],tblFactImports[HS2],$A6,tblFactImports[YearMonth],3$3)/SUMIFS(tblFactImports[ValueEUR],tblFactImports[HS2],$A6,tblFactImports[YearMonth],"2025-06")-1,NA())</f>
      </c>
      <c r="D6" s="3">
        <f>IFERROR(SUMIFS(tblFactImports[ValueEUR],tblFactImports[HS2],$A6,tblFactImports[YearMonth],4$3)/SUMIFS(tblFactImports[ValueEUR],tblFactImports[HS2],$A6,tblFactImports[YearMonth],"2025-05")-1,NA())</f>
      </c>
      <c r="E6" s="3">
        <f>IFERROR(SUMIFS(tblFactImports[ValueEUR],tblFactImports[HS2],$A6,tblFactImports[YearMonth],5$3)/SUMIFS(tblFactImports[ValueEUR],tblFactImports[HS2],$A6,tblFactImports[YearMonth],"2025-04")-1,NA())</f>
      </c>
      <c r="F6" s="3">
        <f>IFERROR(SUMIFS(tblFactImports[ValueEUR],tblFactImports[HS2],$A6,tblFactImports[YearMonth],6$3)/SUMIFS(tblFactImports[ValueEUR],tblFactImports[HS2],$A6,tblFactImports[YearMonth],"2025-03")-1,NA())</f>
      </c>
      <c r="G6" s="3">
        <f>IFERROR(SUMIFS(tblFactImports[ValueEUR],tblFactImports[HS2],$A6,tblFactImports[YearMonth],7$3)/SUMIFS(tblFactImports[ValueEUR],tblFactImports[HS2],$A6,tblFactImports[YearMonth],"2025-02")-1,NA())</f>
      </c>
      <c r="H6" s="3">
        <f>IFERROR(SUMIFS(tblFactImports[ValueEUR],tblFactImports[HS2],$A6,tblFactImports[YearMonth],8$3)/SUMIFS(tblFactImports[ValueEUR],tblFactImports[HS2],$A6,tblFactImports[YearMonth],"2025-01")-1,NA())</f>
      </c>
      <c r="I6" s="3">
        <f>IFERROR(SUMIFS(tblFactImports[ValueEUR],tblFactImports[HS2],$A6,tblFactImports[YearMonth],9$3)/SUMIFS(tblFactImports[ValueEUR],tblFactImports[HS2],$A6,tblFactImports[YearMonth],"2024-12")-1,NA())</f>
      </c>
      <c r="J6" s="3">
        <f>IFERROR(SUMIFS(tblFactImports[ValueEUR],tblFactImports[HS2],$A6,tblFactImports[YearMonth],10$3)/SUMIFS(tblFactImports[ValueEUR],tblFactImports[HS2],$A6,tblFactImports[YearMonth],"2024-11")-1,NA())</f>
      </c>
      <c r="K6" s="3">
        <f>IFERROR(SUMIFS(tblFactImports[ValueEUR],tblFactImports[HS2],$A6,tblFactImports[YearMonth],11$3)/SUMIFS(tblFactImports[ValueEUR],tblFactImports[HS2],$A6,tblFactImports[YearMonth],"2024-10")-1,NA())</f>
      </c>
      <c r="L6" s="3">
        <f>IFERROR(SUMIFS(tblFactImports[ValueEUR],tblFactImports[HS2],$A6,tblFactImports[YearMonth],12$3)/SUMIFS(tblFactImports[ValueEUR],tblFactImports[HS2],$A6,tblFactImports[YearMonth],"2024-09")-1,NA())</f>
      </c>
      <c r="M6" s="3">
        <f>IFERROR(SUMIFS(tblFactImports[ValueEUR],tblFactImports[HS2],$A6,tblFactImports[YearMonth],13$3)/SUMIFS(tblFactImports[ValueEUR],tblFactImports[HS2],$A6,tblFactImports[YearMonth],"2024-08")-1,NA())</f>
      </c>
      <c r="N6" s="3">
        <f>IFERROR(SUMIFS(tblFactImports[ValueEUR],tblFactImports[HS2],$A6,tblFactImports[YearMonth],14$3)/SUMIFS(tblFactImports[ValueEUR],tblFactImports[HS2],$A6,tblFactImports[YearMonth],"2024-07")-1,NA())</f>
      </c>
      <c r="O6" s="3">
        <f>AGGREGATE(1,6,C6:N6)</f>
      </c>
      <c r="P6" s="5">
        <f>SUMIFS(tblFactImports[ValueEUR],tblFactImports[HS2],$A6,tblFactImports[YearMonth],"2025-07")*(1+$O6)</f>
      </c>
      <c r="Q6" s="5">
        <f>SUMIFS(tblFactImports[ValueEUR],tblFactImports[HS2],$A6,tblFactImports[YearMonth],"2025-08")*(1+$O6)</f>
      </c>
      <c r="R6" s="5">
        <f>SUMIFS(tblFactImports[ValueEUR],tblFactImports[HS2],$A6,tblFactImports[YearMonth],"2025-09")*(1+$O6)</f>
      </c>
    </row>
    <row r="7" spans="1:18" x14ac:dyDescent="0.25">
      <c r="A7" t="s">
        <v>465</v>
      </c>
      <c r="B7" t="s">
        <v>478</v>
      </c>
      <c r="C7" s="3">
        <f>IFERROR(SUMIFS(tblFactImports[ValueEUR],tblFactImports[HS2],$A7,tblFactImports[YearMonth],3$3)/SUMIFS(tblFactImports[ValueEUR],tblFactImports[HS2],$A7,tblFactImports[YearMonth],"2025-06")-1,NA())</f>
      </c>
      <c r="D7" s="3">
        <f>IFERROR(SUMIFS(tblFactImports[ValueEUR],tblFactImports[HS2],$A7,tblFactImports[YearMonth],4$3)/SUMIFS(tblFactImports[ValueEUR],tblFactImports[HS2],$A7,tblFactImports[YearMonth],"2025-05")-1,NA())</f>
      </c>
      <c r="E7" s="3">
        <f>IFERROR(SUMIFS(tblFactImports[ValueEUR],tblFactImports[HS2],$A7,tblFactImports[YearMonth],5$3)/SUMIFS(tblFactImports[ValueEUR],tblFactImports[HS2],$A7,tblFactImports[YearMonth],"2025-04")-1,NA())</f>
      </c>
      <c r="F7" s="3">
        <f>IFERROR(SUMIFS(tblFactImports[ValueEUR],tblFactImports[HS2],$A7,tblFactImports[YearMonth],6$3)/SUMIFS(tblFactImports[ValueEUR],tblFactImports[HS2],$A7,tblFactImports[YearMonth],"2025-03")-1,NA())</f>
      </c>
      <c r="G7" s="3">
        <f>IFERROR(SUMIFS(tblFactImports[ValueEUR],tblFactImports[HS2],$A7,tblFactImports[YearMonth],7$3)/SUMIFS(tblFactImports[ValueEUR],tblFactImports[HS2],$A7,tblFactImports[YearMonth],"2025-02")-1,NA())</f>
      </c>
      <c r="H7" s="3">
        <f>IFERROR(SUMIFS(tblFactImports[ValueEUR],tblFactImports[HS2],$A7,tblFactImports[YearMonth],8$3)/SUMIFS(tblFactImports[ValueEUR],tblFactImports[HS2],$A7,tblFactImports[YearMonth],"2025-01")-1,NA())</f>
      </c>
      <c r="I7" s="3">
        <f>IFERROR(SUMIFS(tblFactImports[ValueEUR],tblFactImports[HS2],$A7,tblFactImports[YearMonth],9$3)/SUMIFS(tblFactImports[ValueEUR],tblFactImports[HS2],$A7,tblFactImports[YearMonth],"2024-12")-1,NA())</f>
      </c>
      <c r="J7" s="3">
        <f>IFERROR(SUMIFS(tblFactImports[ValueEUR],tblFactImports[HS2],$A7,tblFactImports[YearMonth],10$3)/SUMIFS(tblFactImports[ValueEUR],tblFactImports[HS2],$A7,tblFactImports[YearMonth],"2024-11")-1,NA())</f>
      </c>
      <c r="K7" s="3">
        <f>IFERROR(SUMIFS(tblFactImports[ValueEUR],tblFactImports[HS2],$A7,tblFactImports[YearMonth],11$3)/SUMIFS(tblFactImports[ValueEUR],tblFactImports[HS2],$A7,tblFactImports[YearMonth],"2024-10")-1,NA())</f>
      </c>
      <c r="L7" s="3">
        <f>IFERROR(SUMIFS(tblFactImports[ValueEUR],tblFactImports[HS2],$A7,tblFactImports[YearMonth],12$3)/SUMIFS(tblFactImports[ValueEUR],tblFactImports[HS2],$A7,tblFactImports[YearMonth],"2024-09")-1,NA())</f>
      </c>
      <c r="M7" s="3">
        <f>IFERROR(SUMIFS(tblFactImports[ValueEUR],tblFactImports[HS2],$A7,tblFactImports[YearMonth],13$3)/SUMIFS(tblFactImports[ValueEUR],tblFactImports[HS2],$A7,tblFactImports[YearMonth],"2024-08")-1,NA())</f>
      </c>
      <c r="N7" s="3">
        <f>IFERROR(SUMIFS(tblFactImports[ValueEUR],tblFactImports[HS2],$A7,tblFactImports[YearMonth],14$3)/SUMIFS(tblFactImports[ValueEUR],tblFactImports[HS2],$A7,tblFactImports[YearMonth],"2024-07")-1,NA())</f>
      </c>
      <c r="O7" s="3">
        <f>AGGREGATE(1,6,C7:N7)</f>
      </c>
      <c r="P7" s="5">
        <f>SUMIFS(tblFactImports[ValueEUR],tblFactImports[HS2],$A7,tblFactImports[YearMonth],"2025-07")*(1+$O7)</f>
      </c>
      <c r="Q7" s="5">
        <f>SUMIFS(tblFactImports[ValueEUR],tblFactImports[HS2],$A7,tblFactImports[YearMonth],"2025-08")*(1+$O7)</f>
      </c>
      <c r="R7" s="5">
        <f>SUMIFS(tblFactImports[ValueEUR],tblFactImports[HS2],$A7,tblFactImports[YearMonth],"2025-09")*(1+$O7)</f>
      </c>
    </row>
    <row r="8" spans="1:18" x14ac:dyDescent="0.25">
      <c r="A8" t="s">
        <v>467</v>
      </c>
      <c r="B8" t="s">
        <v>468</v>
      </c>
      <c r="C8" s="3">
        <f>IFERROR(SUMIFS(tblFactImports[ValueEUR],tblFactImports[HS2],$A8,tblFactImports[YearMonth],3$3)/SUMIFS(tblFactImports[ValueEUR],tblFactImports[HS2],$A8,tblFactImports[YearMonth],"2025-06")-1,NA())</f>
      </c>
      <c r="D8" s="3">
        <f>IFERROR(SUMIFS(tblFactImports[ValueEUR],tblFactImports[HS2],$A8,tblFactImports[YearMonth],4$3)/SUMIFS(tblFactImports[ValueEUR],tblFactImports[HS2],$A8,tblFactImports[YearMonth],"2025-05")-1,NA())</f>
      </c>
      <c r="E8" s="3">
        <f>IFERROR(SUMIFS(tblFactImports[ValueEUR],tblFactImports[HS2],$A8,tblFactImports[YearMonth],5$3)/SUMIFS(tblFactImports[ValueEUR],tblFactImports[HS2],$A8,tblFactImports[YearMonth],"2025-04")-1,NA())</f>
      </c>
      <c r="F8" s="3">
        <f>IFERROR(SUMIFS(tblFactImports[ValueEUR],tblFactImports[HS2],$A8,tblFactImports[YearMonth],6$3)/SUMIFS(tblFactImports[ValueEUR],tblFactImports[HS2],$A8,tblFactImports[YearMonth],"2025-03")-1,NA())</f>
      </c>
      <c r="G8" s="3">
        <f>IFERROR(SUMIFS(tblFactImports[ValueEUR],tblFactImports[HS2],$A8,tblFactImports[YearMonth],7$3)/SUMIFS(tblFactImports[ValueEUR],tblFactImports[HS2],$A8,tblFactImports[YearMonth],"2025-02")-1,NA())</f>
      </c>
      <c r="H8" s="3">
        <f>IFERROR(SUMIFS(tblFactImports[ValueEUR],tblFactImports[HS2],$A8,tblFactImports[YearMonth],8$3)/SUMIFS(tblFactImports[ValueEUR],tblFactImports[HS2],$A8,tblFactImports[YearMonth],"2025-01")-1,NA())</f>
      </c>
      <c r="I8" s="3">
        <f>IFERROR(SUMIFS(tblFactImports[ValueEUR],tblFactImports[HS2],$A8,tblFactImports[YearMonth],9$3)/SUMIFS(tblFactImports[ValueEUR],tblFactImports[HS2],$A8,tblFactImports[YearMonth],"2024-12")-1,NA())</f>
      </c>
      <c r="J8" s="3">
        <f>IFERROR(SUMIFS(tblFactImports[ValueEUR],tblFactImports[HS2],$A8,tblFactImports[YearMonth],10$3)/SUMIFS(tblFactImports[ValueEUR],tblFactImports[HS2],$A8,tblFactImports[YearMonth],"2024-11")-1,NA())</f>
      </c>
      <c r="K8" s="3">
        <f>IFERROR(SUMIFS(tblFactImports[ValueEUR],tblFactImports[HS2],$A8,tblFactImports[YearMonth],11$3)/SUMIFS(tblFactImports[ValueEUR],tblFactImports[HS2],$A8,tblFactImports[YearMonth],"2024-10")-1,NA())</f>
      </c>
      <c r="L8" s="3">
        <f>IFERROR(SUMIFS(tblFactImports[ValueEUR],tblFactImports[HS2],$A8,tblFactImports[YearMonth],12$3)/SUMIFS(tblFactImports[ValueEUR],tblFactImports[HS2],$A8,tblFactImports[YearMonth],"2024-09")-1,NA())</f>
      </c>
      <c r="M8" s="3">
        <f>IFERROR(SUMIFS(tblFactImports[ValueEUR],tblFactImports[HS2],$A8,tblFactImports[YearMonth],13$3)/SUMIFS(tblFactImports[ValueEUR],tblFactImports[HS2],$A8,tblFactImports[YearMonth],"2024-08")-1,NA())</f>
      </c>
      <c r="N8" s="3">
        <f>IFERROR(SUMIFS(tblFactImports[ValueEUR],tblFactImports[HS2],$A8,tblFactImports[YearMonth],14$3)/SUMIFS(tblFactImports[ValueEUR],tblFactImports[HS2],$A8,tblFactImports[YearMonth],"2024-07")-1,NA())</f>
      </c>
      <c r="O8" s="3">
        <f>AGGREGATE(1,6,C8:N8)</f>
      </c>
      <c r="P8" s="5">
        <f>SUMIFS(tblFactImports[ValueEUR],tblFactImports[HS2],$A8,tblFactImports[YearMonth],"2025-07")*(1+$O8)</f>
      </c>
      <c r="Q8" s="5">
        <f>SUMIFS(tblFactImports[ValueEUR],tblFactImports[HS2],$A8,tblFactImports[YearMonth],"2025-08")*(1+$O8)</f>
      </c>
      <c r="R8" s="5">
        <f>SUMIFS(tblFactImports[ValueEUR],tblFactImports[HS2],$A8,tblFactImports[YearMonth],"2025-09")*(1+$O8)</f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120" customWidth="1"/>
  </cols>
  <sheetData>
    <row r="1" ht="420" customHeight="1" spans="1:1" x14ac:dyDescent="0.25">
      <c r="A1" s="6" t="s">
        <v>543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100" customWidth="1"/>
  </cols>
  <sheetData>
    <row r="1" ht="420" customHeight="1" spans="1:1" x14ac:dyDescent="0.25">
      <c r="A1" s="6" t="s">
        <v>544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Cover</vt:lpstr>
      <vt:lpstr>Methodology</vt:lpstr>
      <vt:lpstr>DimDate</vt:lpstr>
      <vt:lpstr>DimCategory</vt:lpstr>
      <vt:lpstr>FactImports</vt:lpstr>
      <vt:lpstr>FactForecast</vt:lpstr>
      <vt:lpstr>FactBacktest</vt:lpstr>
      <vt:lpstr>Accuracy</vt:lpstr>
      <vt:lpstr>GapLog</vt:lpstr>
      <vt:lpstr>Alerts</vt:lpstr>
      <vt:lpstr>VolumePrice</vt:lpstr>
      <vt:lpstr>KPI</vt:lpstr>
      <vt:lpstr>Calculator</vt:lpstr>
      <vt:lpstr>PowerQueryM</vt:lpstr>
      <vt:lpstr>DAX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Bhawesh Chandra Kalauni</dc:creator>
  <dc:title/>
  <dc:subject/>
  <dc:description/>
  <cp:keywords/>
  <cp:category/>
  <cp:lastModifiedBy>Unknown</cp:lastModifiedBy>
  <dcterms:created xsi:type="dcterms:W3CDTF">2026-09-19T22:32:18Z</dcterms:created>
  <dcterms:modified xsi:type="dcterms:W3CDTF">2026-09-19T22:32:18Z</dcterms:modified>
</cp:coreProperties>
</file>